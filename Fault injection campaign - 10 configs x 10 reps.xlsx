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verview" sheetId="2" state="visible" r:id="rId4"/>
    <sheet name="Recall by class" sheetId="3" state="visible" r:id="rId5"/>
    <sheet name="Configurations" sheetId="4" state="visible" r:id="rId6"/>
    <sheet name="Runs" sheetId="5" state="visible" r:id="rId7"/>
    <sheet name="Recall" sheetId="6" state="visible" r:id="rId8"/>
    <sheet name="Precision" sheetId="7" state="visible" r:id="rId9"/>
    <sheet name="F1" sheetId="8" state="visible" r:id="rId10"/>
    <sheet name="False alarms" sheetId="9" state="visible" r:id="rId11"/>
    <sheet name="Flips" sheetId="10" state="visible" r:id="rId12"/>
  </sheets>
  <definedNames>
    <definedName function="false" hidden="true" localSheetId="4" name="_xlnm._FilterDatabase" vbProcedure="false">Runs!$A$1:$V$3301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<sst xmlns="http://schemas.openxmlformats.org/spreadsheetml/2006/main" count="24311" uniqueCount="1194">
  <si>
    <t xml:space="preserve">Fault-injection campaign — M2 (ResNet-20), exported ONNX bundle with D2 SVDD monitor</t>
  </si>
  <si>
    <t xml:space="preserve">What was run</t>
  </si>
  <si>
    <t xml:space="preserve">10 fault configurations × 10 repetitions. Each repetition flips a fresh, seeded random set of bits (seed = 1000 × config number + repetition − 1) in the weights of artifacts/deploy/m2_fp32_default_seed0/model.onnx, then runs the 200 bundled CIFAR-10 test pictures (20 per class, 10 classes) through the corrupted model.</t>
  </si>
  <si>
    <t xml:space="preserve">Injection is the bundle UI's own code (sections 3–4), driven automatically in a headless browser with ONNX Runtime Web. The model is restored between repetitions; flips never accumulate across repetitions.</t>
  </si>
  <si>
    <t xml:space="preserve">The monitor is the joint SVDD (D2) inside model.onnx, thresholds fixed on clean_cal at export. Headline sheets use the false-alarm setting α = 1 % (the UI default); 'Runs' also holds α = 5 % and 0.1 %.</t>
  </si>
  <si>
    <t xml:space="preserve">How each metric is defined (per configuration, repetition and class)</t>
  </si>
  <si>
    <t xml:space="preserve">Positives: the class's 20 pictures through the corrupted model (should be flagged). Negatives: the same 20 pictures through the model before flips, in the same weight format (should not be flagged).</t>
  </si>
  <si>
    <t xml:space="preserve">Recall (detection rate) = TP / (TP + FN).  Precision = TP / (TP + FP), blank when nothing was flagged.  F1 = 2·TP / (2·TP + FP + FN).  False-alarm rate = FP / (FP + TN).</t>
  </si>
  <si>
    <t xml:space="preserve">Mean and SD are across the 10 repetitions (sample SD, n − 1). Precision's mean and SD use only repetitions where it is defined; column N says how many.</t>
  </si>
  <si>
    <t xml:space="preserve">Class 'ALL' pools the 200 pictures of a repetition.</t>
  </si>
  <si>
    <t xml:space="preserve">Read before using these numbers</t>
  </si>
  <si>
    <t xml:space="preserve">• False-alarm rate has SD 0 by construction: it is measured on the unflipped model, which is the same in every repetition of a configuration.</t>
  </si>
  <si>
    <t xml:space="preserve">• Precision and F1 assume the 50/50 mix of corrupted and healthy pictures used here; recall and false-alarm rate do not.</t>
  </si>
  <si>
    <t xml:space="preserve">• 20 pictures per class: each picture is 5 percentage points of a class's recall. One truck picture is flagged even on the healthy model, so truck shows ~5 % recall/false alarms everywhere.</t>
  </si>
  <si>
    <t xml:space="preserve">• Exponent-top flips are all-or-nothing: a flip that sends a weight to ~10^38 makes every score infinite (every picture flagged); otherwise nothing is caught. Their large SD is that bimodality, not noise.</t>
  </si>
  <si>
    <t xml:space="preserve">• This is the deployment bundle (one training seed, FP32 export, BN folded into conv weights), not the fidnn sweep. It produces no thesis number (C4: ≥ 5 seeds). INT8/FP16 rows convert every weight to that format in the browser; the monitor's thresholds are the FP32 ones.</t>
  </si>
  <si>
    <t xml:space="preserve">Sheets</t>
  </si>
  <si>
    <t xml:space="preserve">Overview — one row per configuration, all classes pooled: mean ± SD of recall, precision, F1, false-alarm rate, plus damage to the classifier.</t>
  </si>
  <si>
    <t xml:space="preserve">Recall by class — mean recall per configuration × class.</t>
  </si>
  <si>
    <t xml:space="preserve">Recall / Precision / F1 / False alarms — every configuration × class, the 10 repetition values, mean, SD and N (formulas).</t>
  </si>
  <si>
    <t xml:space="preserve">Runs — raw counts (TP, FN, FP, TN) per configuration × repetition × class × α, metrics as formulas.</t>
  </si>
  <si>
    <t xml:space="preserve">Configurations — the 10 settings.   Flips — every bit flipped, per run, for reproduction.</t>
  </si>
  <si>
    <t xml:space="preserve">Detection per configuration — all 10 classes pooled (200 pictures per run), 10 repetitions, α = 1 %</t>
  </si>
  <si>
    <t xml:space="preserve">Config</t>
  </si>
  <si>
    <t xml:space="preserve">Format</t>
  </si>
  <si>
    <t xml:space="preserve">Where</t>
  </si>
  <si>
    <t xml:space="preserve">Which bit</t>
  </si>
  <si>
    <t xml:space="preserve">Flips</t>
  </si>
  <si>
    <t xml:space="preserve">Recall mean</t>
  </si>
  <si>
    <t xml:space="preserve">Recall SD</t>
  </si>
  <si>
    <t xml:space="preserve">Precision mean</t>
  </si>
  <si>
    <t xml:space="preserve">Precision SD</t>
  </si>
  <si>
    <t xml:space="preserve">Precision N</t>
  </si>
  <si>
    <t xml:space="preserve">F1 mean</t>
  </si>
  <si>
    <t xml:space="preserve">F1 SD</t>
  </si>
  <si>
    <t xml:space="preserve">False-alarm rate mean</t>
  </si>
  <si>
    <t xml:space="preserve">False-alarm rate SD</t>
  </si>
  <si>
    <t xml:space="preserve">Answers changed (of 200), mean</t>
  </si>
  <si>
    <t xml:space="preserve">Recall when answer changed</t>
  </si>
  <si>
    <t xml:space="preserve">Recall when answer unchanged</t>
  </si>
  <si>
    <t xml:space="preserve">Accuracy after (mean)</t>
  </si>
  <si>
    <t xml:space="preserve">Runs with recall ≥ 50 %</t>
  </si>
  <si>
    <t xml:space="preserve">C01</t>
  </si>
  <si>
    <t xml:space="preserve">FP32</t>
  </si>
  <si>
    <t xml:space="preserve">early</t>
  </si>
  <si>
    <t xml:space="preserve">Sign bit</t>
  </si>
  <si>
    <t xml:space="preserve">C02</t>
  </si>
  <si>
    <t xml:space="preserve">Exponent, top bits (drastic)</t>
  </si>
  <si>
    <t xml:space="preserve">C03</t>
  </si>
  <si>
    <t xml:space="preserve">middle</t>
  </si>
  <si>
    <t xml:space="preserve">C04</t>
  </si>
  <si>
    <t xml:space="preserve">late</t>
  </si>
  <si>
    <t xml:space="preserve">C05</t>
  </si>
  <si>
    <t xml:space="preserve">Exponent, low bits</t>
  </si>
  <si>
    <t xml:space="preserve">C06</t>
  </si>
  <si>
    <t xml:space="preserve">Mantissa, high bits</t>
  </si>
  <si>
    <t xml:space="preserve">C07</t>
  </si>
  <si>
    <t xml:space="preserve">Mantissa, low bits (subtle)</t>
  </si>
  <si>
    <t xml:space="preserve">C08</t>
  </si>
  <si>
    <t xml:space="preserve">INT8</t>
  </si>
  <si>
    <t xml:space="preserve">C09</t>
  </si>
  <si>
    <t xml:space="preserve">Top magnitude bit</t>
  </si>
  <si>
    <t xml:space="preserve">C10</t>
  </si>
  <si>
    <t xml:space="preserve">FP16</t>
  </si>
  <si>
    <t xml:space="preserve">Green = linked from the per-metric sheets; other columns compute from 'Runs'. 'Recall when answer changed/unchanged' averages only runs where such pictures exist.</t>
  </si>
  <si>
    <t xml:space="preserve">Accuracy before flips: 88.0 % for FP32, INT8 and FP16 alike on these 200 pictures. False-alarm rate is measured on the model before flips, so its SD is 0.</t>
  </si>
  <si>
    <t xml:space="preserve">Exponent-top configurations (C02–C04) are all-or-nothing per run; 'Runs with recall ≥ 50 %' shows how many of the 10 blew the network up.</t>
  </si>
  <si>
    <t xml:space="preserve">Mean recall per class (10 repetitions, α = 1 %) — links to the 'Recall' sheet</t>
  </si>
  <si>
    <t xml:space="preserve">airplane</t>
  </si>
  <si>
    <t xml:space="preserve">automobile</t>
  </si>
  <si>
    <t xml:space="preserve">bird</t>
  </si>
  <si>
    <t xml:space="preserve">cat</t>
  </si>
  <si>
    <t xml:space="preserve">deer</t>
  </si>
  <si>
    <t xml:space="preserve">dog</t>
  </si>
  <si>
    <t xml:space="preserve">frog</t>
  </si>
  <si>
    <t xml:space="preserve">horse</t>
  </si>
  <si>
    <t xml:space="preserve">ship</t>
  </si>
  <si>
    <t xml:space="preserve">truck</t>
  </si>
  <si>
    <t xml:space="preserve">ALL</t>
  </si>
  <si>
    <t xml:space="preserve">Each class has 20 pictures per run, so one picture is 5 points. The truck class contains one picture the monitor flags even on the healthy model.</t>
  </si>
  <si>
    <t xml:space="preserve">Weight format</t>
  </si>
  <si>
    <t xml:space="preserve">Bits</t>
  </si>
  <si>
    <t xml:space="preserve">Flips per run</t>
  </si>
  <si>
    <t xml:space="preserve">Repetitions</t>
  </si>
  <si>
    <t xml:space="preserve">Pictures per run</t>
  </si>
  <si>
    <t xml:space="preserve">Early layers (stem, stage 1)</t>
  </si>
  <si>
    <t xml:space="preserve">31</t>
  </si>
  <si>
    <t xml:space="preserve">30–27</t>
  </si>
  <si>
    <t xml:space="preserve">Middle layers (stage 2)</t>
  </si>
  <si>
    <t xml:space="preserve">Late layers (stage 3, fc)</t>
  </si>
  <si>
    <t xml:space="preserve">26–23</t>
  </si>
  <si>
    <t xml:space="preserve">22–16</t>
  </si>
  <si>
    <t xml:space="preserve">15–0</t>
  </si>
  <si>
    <t xml:space="preserve">7</t>
  </si>
  <si>
    <t xml:space="preserve">6</t>
  </si>
  <si>
    <t xml:space="preserve">15</t>
  </si>
  <si>
    <t xml:space="preserve">Blue = chosen inputs. Bits: positions in the format's code (FP32 bit 31 = sign; INT8 bit 7 = sign).</t>
  </si>
  <si>
    <t xml:space="preserve">Repetition</t>
  </si>
  <si>
    <t xml:space="preserve">Class</t>
  </si>
  <si>
    <t xml:space="preserve">α (allowed false alarms)</t>
  </si>
  <si>
    <t xml:space="preserve">Pictures</t>
  </si>
  <si>
    <t xml:space="preserve">TP</t>
  </si>
  <si>
    <t xml:space="preserve">FN</t>
  </si>
  <si>
    <t xml:space="preserve">FP</t>
  </si>
  <si>
    <t xml:space="preserve">TN</t>
  </si>
  <si>
    <t xml:space="preserve">Recall</t>
  </si>
  <si>
    <t xml:space="preserve">Precision</t>
  </si>
  <si>
    <t xml:space="preserve">F1</t>
  </si>
  <si>
    <t xml:space="preserve">False-alarm rate</t>
  </si>
  <si>
    <t xml:space="preserve">Answers changed</t>
  </si>
  <si>
    <t xml:space="preserve">Recall: answer changed</t>
  </si>
  <si>
    <t xml:space="preserve">Recall: answer unchanged</t>
  </si>
  <si>
    <t xml:space="preserve">Accuracy before</t>
  </si>
  <si>
    <t xml:space="preserve">Accuracy after</t>
  </si>
  <si>
    <t xml:space="preserve">sign</t>
  </si>
  <si>
    <t xml:space="preserve">exp_msb</t>
  </si>
  <si>
    <t xml:space="preserve">exp_low</t>
  </si>
  <si>
    <t xml:space="preserve">mant_high</t>
  </si>
  <si>
    <t xml:space="preserve">mant_low</t>
  </si>
  <si>
    <t xml:space="preserve">msb</t>
  </si>
  <si>
    <t xml:space="preserve">Rep 1</t>
  </si>
  <si>
    <t xml:space="preserve">Rep 2</t>
  </si>
  <si>
    <t xml:space="preserve">Rep 3</t>
  </si>
  <si>
    <t xml:space="preserve">Rep 4</t>
  </si>
  <si>
    <t xml:space="preserve">Rep 5</t>
  </si>
  <si>
    <t xml:space="preserve">Rep 6</t>
  </si>
  <si>
    <t xml:space="preserve">Rep 7</t>
  </si>
  <si>
    <t xml:space="preserve">Rep 8</t>
  </si>
  <si>
    <t xml:space="preserve">Rep 9</t>
  </si>
  <si>
    <t xml:space="preserve">Rep 10</t>
  </si>
  <si>
    <t xml:space="preserve">Mean</t>
  </si>
  <si>
    <t xml:space="preserve">SD</t>
  </si>
  <si>
    <t xml:space="preserve">N</t>
  </si>
  <si>
    <t xml:space="preserve">α = 1% (allowed false alarms). Values link to the 'Runs' sheet. Mean/SD over repetitions; N = repetitions where the metric is defined.</t>
  </si>
  <si>
    <t xml:space="preserve">Bit flipped (weight[index] format bit: before → after, layer it feeds)</t>
  </si>
  <si>
    <t xml:space="preserve">layer1.2.conv1.weight[1688] FP32 bit 31: -0.03461 → 0.03461  ⚡ feeds Stage 1</t>
  </si>
  <si>
    <t xml:space="preserve">layer1.2.conv1.weight[2151] FP32 bit 31: -0.01298 → 0.01298  ⚡ feeds Stage 1</t>
  </si>
  <si>
    <t xml:space="preserve">layer1.2.conv1.weight[210] FP32 bit 31: 0.06005 → -0.06005  ⚡ feeds Stage 1</t>
  </si>
  <si>
    <t xml:space="preserve">layer1.2.conv2.weight[601] FP32 bit 31: 0.1491 → -0.1491  ⚡ feeds Stage 1</t>
  </si>
  <si>
    <t xml:space="preserve">conv1.weight[253] FP32 bit 31: 0.2893 → -0.2893  ⚡ feeds Stem</t>
  </si>
  <si>
    <t xml:space="preserve">layer1.1.conv1.weight[1020] FP32 bit 31: 0.008737 → -0.008737  ⚡ feeds Stage 1</t>
  </si>
  <si>
    <t xml:space="preserve">layer1.0.conv2.weight[1549] FP32 bit 31: -0.05307 → 0.05307  ⚡ feeds Stage 1</t>
  </si>
  <si>
    <t xml:space="preserve">layer1.0.conv1.weight[1145] FP32 bit 31: -0.03113 → 0.03113  ⚡ feeds Stage 1</t>
  </si>
  <si>
    <t xml:space="preserve">layer1.2.conv1.weight[1150] FP32 bit 31: -0.05495 → 0.05495  ⚡ feeds Stage 1</t>
  </si>
  <si>
    <t xml:space="preserve">layer1.2.conv1.weight[337] FP32 bit 31: -0.04525 → 0.04525  ⚡ feeds Stage 1</t>
  </si>
  <si>
    <t xml:space="preserve">layer1.1.conv2.weight[1802] FP32 bit 31: -0.02823 → 0.02823  ⚡ feeds Stage 1</t>
  </si>
  <si>
    <t xml:space="preserve">layer1.0.conv1.weight[2192] FP32 bit 31: 0.004197 → -0.004197  ⚡ feeds Stage 1</t>
  </si>
  <si>
    <t xml:space="preserve">layer1.2.conv2.weight[244] FP32 bit 31: -0.06952 → 0.06952  ⚡ feeds Stage 1</t>
  </si>
  <si>
    <t xml:space="preserve">layer1.1.conv1.weight[2095] FP32 bit 31: 0.06606 → -0.06606  ⚡ feeds Stage 1</t>
  </si>
  <si>
    <t xml:space="preserve">layer1.1.conv2.weight[596] FP32 bit 31: -0.05390 → 0.05390  ⚡ feeds Stage 1</t>
  </si>
  <si>
    <t xml:space="preserve">layer1.0.conv1.weight[184] FP32 bit 31: 0.01689 → -0.01689  ⚡ feeds Stage 1</t>
  </si>
  <si>
    <t xml:space="preserve">layer1.0.conv1.weight[1580] FP32 bit 31: 0.01072 → -0.01072  ⚡ feeds Stage 1</t>
  </si>
  <si>
    <t xml:space="preserve">layer1.0.conv2.weight[1076] FP32 bit 31: 0.02079 → -0.02079  ⚡ feeds Stage 1</t>
  </si>
  <si>
    <t xml:space="preserve">layer1.0.conv1.weight[1151] FP32 bit 31: 0.03262 → -0.03262  ⚡ feeds Stage 1</t>
  </si>
  <si>
    <t xml:space="preserve">layer1.0.conv2.weight[2009] FP32 bit 31: 0.06076 → -0.06076  ⚡ feeds Stage 1</t>
  </si>
  <si>
    <t xml:space="preserve">layer1.1.conv2.weight[2021] FP32 bit 31: 0.0002455 → -0.0002455  ⚡ feeds Stage 1</t>
  </si>
  <si>
    <t xml:space="preserve">layer1.2.conv2.weight[1961] FP32 bit 31: 0.08029 → -0.08029  ⚡ feeds Stage 1</t>
  </si>
  <si>
    <t xml:space="preserve">layer1.1.conv2.weight[1186] FP32 bit 31: -0.09239 → 0.09239  ⚡ feeds Stage 1</t>
  </si>
  <si>
    <t xml:space="preserve">layer1.2.conv2.weight[208] FP32 bit 31: -0.1004 → 0.1004  ⚡ feeds Stage 1</t>
  </si>
  <si>
    <t xml:space="preserve">layer1.2.conv1.weight[7] FP32 bit 31: 0.03098 → -0.03098  ⚡ feeds Stage 1</t>
  </si>
  <si>
    <t xml:space="preserve">layer1.0.conv2.weight[2254] FP32 bit 31: -0.07277 → 0.07277  ⚡ feeds Stage 1</t>
  </si>
  <si>
    <t xml:space="preserve">layer1.0.conv1.weight[1789] FP32 bit 31: 0.0004215 → -0.0004215  ⚡ feeds Stage 1</t>
  </si>
  <si>
    <t xml:space="preserve">layer1.0.conv1.weight[925] FP32 bit 31: 0.002846 → -0.002846  ⚡ feeds Stage 1</t>
  </si>
  <si>
    <t xml:space="preserve">layer1.1.conv2.weight[1677] FP32 bit 31: -0.1039 → 0.1039  ⚡ feeds Stage 1</t>
  </si>
  <si>
    <t xml:space="preserve">layer1.1.conv1.weight[2128] FP32 bit 31: -0.02171 → 0.02171  ⚡ feeds Stage 1</t>
  </si>
  <si>
    <t xml:space="preserve">layer1.2.conv2.weight[124] FP32 bit 31: -0.04006 → 0.04006  ⚡ feeds Stage 1</t>
  </si>
  <si>
    <t xml:space="preserve">layer1.2.conv1.weight[32] FP32 bit 31: 0.02043 → -0.02043  ⚡ feeds Stage 1</t>
  </si>
  <si>
    <t xml:space="preserve">layer1.1.conv1.weight[1142] FP32 bit 31: -0.01352 → 0.01352  ⚡ feeds Stage 1</t>
  </si>
  <si>
    <t xml:space="preserve">layer1.1.conv2.weight[269] FP32 bit 31: -0.1057 → 0.1057  ⚡ feeds Stage 1</t>
  </si>
  <si>
    <t xml:space="preserve">layer1.1.conv1.weight[889] FP32 bit 31: -0.004929 → 0.004929  ⚡ feeds Stage 1</t>
  </si>
  <si>
    <t xml:space="preserve">layer1.1.conv1.weight[587] FP32 bit 31: 0.03416 → -0.03416  ⚡ feeds Stage 1</t>
  </si>
  <si>
    <t xml:space="preserve">layer1.1.conv1.weight[2068] FP32 bit 31: 0.01885 → -0.01885  ⚡ feeds Stage 1</t>
  </si>
  <si>
    <t xml:space="preserve">layer1.1.conv2.weight[1286] FP32 bit 31: 0.07336 → -0.07336  ⚡ feeds Stage 1</t>
  </si>
  <si>
    <t xml:space="preserve">layer1.0.conv2.weight[2194] FP32 bit 31: 0.06466 → -0.06466  ⚡ feeds Stage 1</t>
  </si>
  <si>
    <t xml:space="preserve">layer1.0.conv1.weight[2234] FP32 bit 31: 0.02171 → -0.02171  ⚡ feeds Stage 1</t>
  </si>
  <si>
    <t xml:space="preserve">layer1.2.conv2.weight[595] FP32 bit 31: 0.05453 → -0.05453  ⚡ feeds Stage 1</t>
  </si>
  <si>
    <t xml:space="preserve">layer1.0.conv1.weight[800] FP32 bit 31: 0.01186 → -0.01186  ⚡ feeds Stage 1</t>
  </si>
  <si>
    <t xml:space="preserve">layer1.2.conv1.weight[2222] FP32 bit 31: 0.009338 → -0.009338  ⚡ feeds Stage 1</t>
  </si>
  <si>
    <t xml:space="preserve">layer1.1.conv1.weight[947] FP32 bit 31: -0.1020 → 0.1020  ⚡ feeds Stage 1</t>
  </si>
  <si>
    <t xml:space="preserve">conv1.weight[115] FP32 bit 31: -0.01994 → 0.01994  ⚡ feeds Stem</t>
  </si>
  <si>
    <t xml:space="preserve">layer1.2.conv1.weight[2065] FP32 bit 31: -0.01447 → 0.01447  ⚡ feeds Stage 1</t>
  </si>
  <si>
    <t xml:space="preserve">layer1.0.conv2.weight[1768] FP32 bit 31: 0.03359 → -0.03359  ⚡ feeds Stage 1</t>
  </si>
  <si>
    <t xml:space="preserve">layer1.0.conv2.weight[2234] FP32 bit 31: 0.001083 → -0.001083  ⚡ feeds Stage 1</t>
  </si>
  <si>
    <t xml:space="preserve">layer1.0.conv2.weight[2024] FP32 bit 31: 0.005763 → -0.005763  ⚡ feeds Stage 1</t>
  </si>
  <si>
    <t xml:space="preserve">layer1.0.conv2.weight[465] FP32 bit 31: -0.01581 → 0.01581  ⚡ feeds Stage 1</t>
  </si>
  <si>
    <t xml:space="preserve">layer1.2.conv2.weight[1147] FP32 bit 31: -0.005439 → 0.005439  ⚡ feeds Stage 1</t>
  </si>
  <si>
    <t xml:space="preserve">layer1.2.conv2.weight[1501] FP32 bit 31: 0.06404 → -0.06404  ⚡ feeds Stage 1</t>
  </si>
  <si>
    <t xml:space="preserve">layer1.1.conv2.weight[360] FP32 bit 31: 0.003230 → -0.003230  ⚡ feeds Stage 1</t>
  </si>
  <si>
    <t xml:space="preserve">layer1.2.conv2.weight[397] FP32 bit 31: 0.09301 → -0.09301  ⚡ feeds Stage 1</t>
  </si>
  <si>
    <t xml:space="preserve">layer1.1.conv1.weight[1017] FP32 bit 31: -0.06523 → 0.06523  ⚡ feeds Stage 1</t>
  </si>
  <si>
    <t xml:space="preserve">layer1.2.conv2.weight[2110] FP32 bit 31: 0.005828 → -0.005828  ⚡ feeds Stage 1</t>
  </si>
  <si>
    <t xml:space="preserve">layer1.2.conv2.weight[2071] FP32 bit 31: -0.1449 → 0.1449  ⚡ feeds Stage 1</t>
  </si>
  <si>
    <t xml:space="preserve">layer1.0.conv1.weight[1480] FP32 bit 31: -0.02136 → 0.02136  ⚡ feeds Stage 1</t>
  </si>
  <si>
    <t xml:space="preserve">layer1.0.conv2.weight[1833] FP32 bit 31: -0.04513 → 0.04513  ⚡ feeds Stage 1</t>
  </si>
  <si>
    <t xml:space="preserve">layer1.2.conv2.weight[1542] FP32 bit 31: 0.07958 → -0.07958  ⚡ feeds Stage 1</t>
  </si>
  <si>
    <t xml:space="preserve">layer1.1.conv1.weight[403] FP32 bit 31: -0.03840 → 0.03840  ⚡ feeds Stage 1</t>
  </si>
  <si>
    <t xml:space="preserve">layer1.0.conv1.weight[1805] FP32 bit 31: -0.09054 → 0.09054  ⚡ feeds Stage 1</t>
  </si>
  <si>
    <t xml:space="preserve">layer1.2.conv2.weight[1910] FP32 bit 31: 0.006909 → -0.006909  ⚡ feeds Stage 1</t>
  </si>
  <si>
    <t xml:space="preserve">layer1.2.conv2.weight[2220] FP32 bit 31: 0.1082 → -0.1082  ⚡ feeds Stage 1</t>
  </si>
  <si>
    <t xml:space="preserve">layer1.0.conv1.weight[2068] FP32 bit 31: -0.04145 → 0.04145  ⚡ feeds Stage 1</t>
  </si>
  <si>
    <t xml:space="preserve">layer1.0.conv2.weight[1188] FP32 bit 31: 0.01969 → -0.01969  ⚡ feeds Stage 1</t>
  </si>
  <si>
    <t xml:space="preserve">layer1.1.conv1.weight[1616] FP32 bit 31: 0.1347 → -0.1347  ⚡ feeds Stage 1</t>
  </si>
  <si>
    <t xml:space="preserve">layer1.1.conv2.weight[1721] FP32 bit 31: 0.05024 → -0.05024  ⚡ feeds Stage 1</t>
  </si>
  <si>
    <t xml:space="preserve">layer1.1.conv2.weight[567] FP32 bit 31: -0.01753 → 0.01753  ⚡ feeds Stage 1</t>
  </si>
  <si>
    <t xml:space="preserve">conv1.weight[180] FP32 bit 31: 0.001161 → -0.001161  ⚡ feeds Stem</t>
  </si>
  <si>
    <t xml:space="preserve">layer1.1.conv2.weight[603] FP32 bit 31: 0.01695 → -0.01695  ⚡ feeds Stage 1</t>
  </si>
  <si>
    <t xml:space="preserve">layer1.1.conv2.weight[1733] FP32 bit 31: 0.002439 → -0.002439  ⚡ feeds Stage 1</t>
  </si>
  <si>
    <t xml:space="preserve">layer1.1.conv1.weight[278] FP32 bit 31: 0.03131 → -0.03131  ⚡ feeds Stage 1</t>
  </si>
  <si>
    <t xml:space="preserve">layer1.2.conv1.weight[1917] FP32 bit 31: -0.06257 → 0.06257  ⚡ feeds Stage 1</t>
  </si>
  <si>
    <t xml:space="preserve">layer1.0.conv2.weight[857] FP32 bit 31: -0.001384 → 0.001384  ⚡ feeds Stage 1</t>
  </si>
  <si>
    <t xml:space="preserve">layer1.2.conv2.weight[751] FP32 bit 31: -0.06094 → 0.06094  ⚡ feeds Stage 1</t>
  </si>
  <si>
    <t xml:space="preserve">conv1.weight[24] FP32 bit 31: 0.05629 → -0.05629  ⚡ feeds Stem</t>
  </si>
  <si>
    <t xml:space="preserve">layer1.0.conv2.weight[1997] FP32 bit 31: -0.007535 → 0.007535  ⚡ feeds Stage 1</t>
  </si>
  <si>
    <t xml:space="preserve">layer1.2.conv1.weight[261] FP32 bit 31: -0.03648 → 0.03648  ⚡ feeds Stage 1</t>
  </si>
  <si>
    <t xml:space="preserve">layer1.0.conv1.weight[754] FP32 bit 31: -0.08348 → 0.08348  ⚡ feeds Stage 1</t>
  </si>
  <si>
    <t xml:space="preserve">layer1.1.conv1.weight[924] FP32 bit 31: 0.05232 → -0.05232  ⚡ feeds Stage 1</t>
  </si>
  <si>
    <t xml:space="preserve">layer1.2.conv1.weight[220] FP32 bit 31: -0.1999 → 0.1999  ⚡ feeds Stage 1</t>
  </si>
  <si>
    <t xml:space="preserve">layer1.1.conv2.weight[451] FP32 bit 31: 0.1113 → -0.1113  ⚡ feeds Stage 1</t>
  </si>
  <si>
    <t xml:space="preserve">layer1.1.conv2.weight[738] FP32 bit 31: 0.06607 → -0.06607  ⚡ feeds Stage 1</t>
  </si>
  <si>
    <t xml:space="preserve">layer1.2.conv1.weight[249] FP32 bit 31: 0.006622 → -0.006622  ⚡ feeds Stage 1</t>
  </si>
  <si>
    <t xml:space="preserve">layer1.0.conv2.weight[1994] FP32 bit 31: -0.09722 → 0.09722  ⚡ feeds Stage 1</t>
  </si>
  <si>
    <t xml:space="preserve">layer1.0.conv2.weight[808] FP32 bit 31: 0.1868 → -0.1868  ⚡ feeds Stage 1</t>
  </si>
  <si>
    <t xml:space="preserve">layer1.0.conv1.weight[1247] FP32 bit 31: 0.006035 → -0.006035  ⚡ feeds Stage 1</t>
  </si>
  <si>
    <t xml:space="preserve">layer1.2.conv2.weight[985] FP32 bit 31: 0.02512 → -0.02512  ⚡ feeds Stage 1</t>
  </si>
  <si>
    <t xml:space="preserve">layer1.0.conv2.weight[998] FP32 bit 31: -0.007133 → 0.007133  ⚡ feeds Stage 1</t>
  </si>
  <si>
    <t xml:space="preserve">layer1.2.conv1.weight[2281] FP32 bit 31: -0.03335 → 0.03335  ⚡ feeds Stage 1</t>
  </si>
  <si>
    <t xml:space="preserve">layer1.0.conv1.weight[1653] FP32 bit 31: -0.08227 → 0.08227  ⚡ feeds Stage 1</t>
  </si>
  <si>
    <t xml:space="preserve">layer1.2.conv2.weight[1267] FP32 bit 31: -0.02414 → 0.02414  ⚡ feeds Stage 1</t>
  </si>
  <si>
    <t xml:space="preserve">layer1.0.conv2.weight[2031] FP32 bit 31: -0.02582 → 0.02582  ⚡ feeds Stage 1</t>
  </si>
  <si>
    <t xml:space="preserve">layer1.2.conv2.weight[1497] FP32 bit 31: 0.09821 → -0.09821  ⚡ feeds Stage 1</t>
  </si>
  <si>
    <t xml:space="preserve">layer1.0.conv1.weight[1189] FP32 bit 31: -0.03127 → 0.03127  ⚡ feeds Stage 1</t>
  </si>
  <si>
    <t xml:space="preserve">layer1.0.conv2.weight[2290] FP32 bit 31: -0.03611 → 0.03611  ⚡ feeds Stage 1</t>
  </si>
  <si>
    <t xml:space="preserve">layer1.0.conv2.weight[407] FP32 bit 31: -0.008446 → 0.008446  ⚡ feeds Stage 1</t>
  </si>
  <si>
    <t xml:space="preserve">layer1.2.conv2.weight[1346] FP32 bit 31: -0.03195 → 0.03195  ⚡ feeds Stage 1</t>
  </si>
  <si>
    <t xml:space="preserve">layer1.2.conv2.weight[1820] FP32 bit 31: -0.09038 → 0.09038  ⚡ feeds Stage 1</t>
  </si>
  <si>
    <t xml:space="preserve">layer1.2.conv2.weight[617] FP32 bit 31: -0.003491 → 0.003491  ⚡ feeds Stage 1</t>
  </si>
  <si>
    <t xml:space="preserve">layer1.2.conv2.weight[1808] FP32 bit 31: -0.05375 → 0.05375  ⚡ feeds Stage 1</t>
  </si>
  <si>
    <t xml:space="preserve">layer1.0.conv2.weight[51] FP32 bit 31: 0.05279 → -0.05279  ⚡ feeds Stage 1</t>
  </si>
  <si>
    <t xml:space="preserve">layer1.1.conv1.weight[585] FP32 bit 31: 0.07160 → -0.07160  ⚡ feeds Stage 1</t>
  </si>
  <si>
    <t xml:space="preserve">layer1.1.conv1.weight[1182] FP32 bit 31: 0.1773 → -0.1773  ⚡ feeds Stage 1</t>
  </si>
  <si>
    <t xml:space="preserve">layer1.0.conv2.weight[1005] FP32 bit 31: 0.003673 → -0.003673  ⚡ feeds Stage 1</t>
  </si>
  <si>
    <t xml:space="preserve">layer1.1.conv1.weight[106] FP32 bit 31: 0.01062 → -0.01062  ⚡ feeds Stage 1</t>
  </si>
  <si>
    <t xml:space="preserve">layer1.2.conv2.weight[330] FP32 bit 31: 0.01507 → -0.01507  ⚡ feeds Stage 1</t>
  </si>
  <si>
    <t xml:space="preserve">layer1.0.conv1.weight[1202] FP32 bit 31: 0.02523 → -0.02523  ⚡ feeds Stage 1</t>
  </si>
  <si>
    <t xml:space="preserve">layer1.2.conv1.weight[780] FP32 bit 31: 0.02910 → -0.02910  ⚡ feeds Stage 1</t>
  </si>
  <si>
    <t xml:space="preserve">layer1.2.conv2.weight[1942] FP32 bit 31: 0.009027 → -0.009027  ⚡ feeds Stage 1</t>
  </si>
  <si>
    <t xml:space="preserve">layer1.1.conv2.weight[1225] FP32 bit 31: -0.08067 → 0.08067  ⚡ feeds Stage 1</t>
  </si>
  <si>
    <t xml:space="preserve">layer1.2.conv2.weight[465] FP32 bit 31: -0.03507 → 0.03507  ⚡ feeds Stage 1</t>
  </si>
  <si>
    <t xml:space="preserve">layer1.0.conv2.weight[728] FP32 bit 31: 0.08065 → -0.08065  ⚡ feeds Stage 1</t>
  </si>
  <si>
    <t xml:space="preserve">layer1.0.conv1.weight[981] FP32 bit 31: 0.01273 → -0.01273  ⚡ feeds Stage 1</t>
  </si>
  <si>
    <t xml:space="preserve">layer1.1.conv1.weight[1038] FP32 bit 31: -0.01186 → 0.01186  ⚡ feeds Stage 1</t>
  </si>
  <si>
    <t xml:space="preserve">layer1.0.conv1.weight[1811] FP32 bit 31: -0.07158 → 0.07158  ⚡ feeds Stage 1</t>
  </si>
  <si>
    <t xml:space="preserve">layer1.0.conv1.weight[225] FP32 bit 31: 0.03437 → -0.03437  ⚡ feeds Stage 1</t>
  </si>
  <si>
    <t xml:space="preserve">conv1.weight[377] FP32 bit 31: 0.06430 → -0.06430  ⚡ feeds Stem</t>
  </si>
  <si>
    <t xml:space="preserve">layer1.1.conv2.weight[990] FP32 bit 31: 0.02926 → -0.02926  ⚡ feeds Stage 1</t>
  </si>
  <si>
    <t xml:space="preserve">conv1.weight[191] FP32 bit 31: -0.01459 → 0.01459  ⚡ feeds Stem</t>
  </si>
  <si>
    <t xml:space="preserve">layer1.2.conv1.weight[1570] FP32 bit 31: -0.05170 → 0.05170  ⚡ feeds Stage 1</t>
  </si>
  <si>
    <t xml:space="preserve">layer1.0.conv1.weight[772] FP32 bit 31: -0.06474 → 0.06474  ⚡ feeds Stage 1</t>
  </si>
  <si>
    <t xml:space="preserve">layer1.0.conv1.weight[1889] FP32 bit 31: -0.1121 → 0.1121  ⚡ feeds Stage 1</t>
  </si>
  <si>
    <t xml:space="preserve">layer1.2.conv2.weight[1438] FP32 bit 31: 0.06071 → -0.06071  ⚡ feeds Stage 1</t>
  </si>
  <si>
    <t xml:space="preserve">layer1.2.conv1.weight[1889] FP32 bit 31: -0.03781 → 0.03781  ⚡ feeds Stage 1</t>
  </si>
  <si>
    <t xml:space="preserve">layer1.1.conv2.weight[1023] FP32 bit 31: 0.005735 → -0.005735  ⚡ feeds Stage 1</t>
  </si>
  <si>
    <t xml:space="preserve">layer1.2.conv2.weight[421] FP32 bit 31: 0.06259 → -0.06259  ⚡ feeds Stage 1</t>
  </si>
  <si>
    <t xml:space="preserve">layer1.2.conv1.weight[1329] FP32 bit 31: 0.04474 → -0.04474  ⚡ feeds Stage 1</t>
  </si>
  <si>
    <t xml:space="preserve">layer1.2.conv1.weight[706] FP32 bit 31: 0.009753 → -0.009753  ⚡ feeds Stage 1</t>
  </si>
  <si>
    <t xml:space="preserve">layer1.1.conv1.weight[2097] FP32 bit 31: -0.02822 → 0.02822  ⚡ feeds Stage 1</t>
  </si>
  <si>
    <t xml:space="preserve">layer1.1.conv1.weight[1513] FP32 bit 31: -0.1496 → 0.1496  ⚡ feeds Stage 1</t>
  </si>
  <si>
    <t xml:space="preserve">layer1.1.conv2.weight[1131] FP32 bit 31: 0.004995 → -0.004995  ⚡ feeds Stage 1</t>
  </si>
  <si>
    <t xml:space="preserve">layer1.0.conv1.weight[1676] FP32 bit 31: -0.0003100 → 0.0003100  ⚡ feeds Stage 1</t>
  </si>
  <si>
    <t xml:space="preserve">layer1.1.conv1.weight[375] FP32 bit 31: 0.1566 → -0.1566  ⚡ feeds Stage 1</t>
  </si>
  <si>
    <t xml:space="preserve">layer1.2.conv2.weight[644] FP32 bit 31: -0.01215 → 0.01215  ⚡ feeds Stage 1</t>
  </si>
  <si>
    <t xml:space="preserve">layer1.1.conv1.weight[167] FP32 bit 31: 0.01562 → -0.01562  ⚡ feeds Stage 1</t>
  </si>
  <si>
    <t xml:space="preserve">layer1.1.conv2.weight[1845] FP32 bit 31: -0.08874 → 0.08874  ⚡ feeds Stage 1</t>
  </si>
  <si>
    <t xml:space="preserve">layer1.2.conv1.weight[1861] FP32 bit 31: 0.05961 → -0.05961  ⚡ feeds Stage 1</t>
  </si>
  <si>
    <t xml:space="preserve">layer1.0.conv2.weight[492] FP32 bit 31: 0.1100 → -0.1100  ⚡ feeds Stage 1</t>
  </si>
  <si>
    <t xml:space="preserve">layer1.0.conv1.weight[127] FP32 bit 31: 0.1810 → -0.1810  ⚡ feeds Stage 1</t>
  </si>
  <si>
    <t xml:space="preserve">layer1.2.conv1.weight[1333] FP32 bit 31: -0.02359 → 0.02359  ⚡ feeds Stage 1</t>
  </si>
  <si>
    <t xml:space="preserve">layer1.2.conv2.weight[802] FP32 bit 31: -0.07766 → 0.07766  ⚡ feeds Stage 1</t>
  </si>
  <si>
    <t xml:space="preserve">layer1.2.conv1.weight[231] FP32 bit 31: -0.01959 → 0.01959  ⚡ feeds Stage 1</t>
  </si>
  <si>
    <t xml:space="preserve">layer1.1.conv2.weight[1632] FP32 bit 31: 0.08290 → -0.08290  ⚡ feeds Stage 1</t>
  </si>
  <si>
    <t xml:space="preserve">layer1.1.conv1.weight[841] FP32 bit 31: 0.08421 → -0.08421  ⚡ feeds Stage 1</t>
  </si>
  <si>
    <t xml:space="preserve">layer1.1.conv1.weight[1022] FP32 bit 31: 0.03334 → -0.03334  ⚡ feeds Stage 1</t>
  </si>
  <si>
    <t xml:space="preserve">layer1.2.conv1.weight[473] FP32 bit 31: -0.009278 → 0.009278  ⚡ feeds Stage 1</t>
  </si>
  <si>
    <t xml:space="preserve">layer1.0.conv2.weight[1518] FP32 bit 31: 0.07193 → -0.07193  ⚡ feeds Stage 1</t>
  </si>
  <si>
    <t xml:space="preserve">layer1.1.conv2.weight[1567] FP32 bit 31: -0.03522 → 0.03522  ⚡ feeds Stage 1</t>
  </si>
  <si>
    <t xml:space="preserve">layer1.1.conv1.weight[152] FP32 bit 31: 0.007778 → -0.007778  ⚡ feeds Stage 1</t>
  </si>
  <si>
    <t xml:space="preserve">conv1.weight[297] FP32 bit 31: -0.1313 → 0.1313  ⚡ feeds Stem</t>
  </si>
  <si>
    <t xml:space="preserve">layer1.0.conv2.weight[1576] FP32 bit 31: 0.005675 → -0.005675  ⚡ feeds Stage 1</t>
  </si>
  <si>
    <t xml:space="preserve">layer1.2.conv2.weight[1432] FP32 bit 31: 0.02339 → -0.02339  ⚡ feeds Stage 1</t>
  </si>
  <si>
    <t xml:space="preserve">layer1.0.conv2.weight[420] FP32 bit 31: -0.008387 → 0.008387  ⚡ feeds Stage 1</t>
  </si>
  <si>
    <t xml:space="preserve">layer1.2.conv1.weight[667] FP32 bit 31: -0.01610 → 0.01610  ⚡ feeds Stage 1</t>
  </si>
  <si>
    <t xml:space="preserve">layer1.0.conv2.weight[1998] FP32 bit 31: 0.03202 → -0.03202  ⚡ feeds Stage 1</t>
  </si>
  <si>
    <t xml:space="preserve">layer1.0.conv1.weight[1544] FP32 bit 31: -0.01786 → 0.01786  ⚡ feeds Stage 1</t>
  </si>
  <si>
    <t xml:space="preserve">layer1.2.conv1.weight[748] FP32 bit 31: -0.04096 → 0.04096  ⚡ feeds Stage 1</t>
  </si>
  <si>
    <t xml:space="preserve">layer1.2.conv2.weight[2107] FP32 bit 27: -0.01701 → -2.596e-7  ⚡ feeds Stage 1</t>
  </si>
  <si>
    <t xml:space="preserve">layer1.0.conv1.weight[1289] FP32 bit 28: -0.08601 → -2.003e-11  ⚡ feeds Stage 1</t>
  </si>
  <si>
    <t xml:space="preserve">layer1.0.conv2.weight[1270] FP32 bit 27: 0.1089 → 0.000001662  ⚡ feeds Stage 1</t>
  </si>
  <si>
    <t xml:space="preserve">layer1.1.conv1.weight[615] FP32 bit 30: 0.01016 → 3.457e+36  ⚡ feeds Stage 1</t>
  </si>
  <si>
    <t xml:space="preserve">layer1.1.conv1.weight[128] FP32 bit 30: -0.09797 → -3.334e+37  ⚡ feeds Stage 1</t>
  </si>
  <si>
    <t xml:space="preserve">layer1.1.conv2.weight[146] FP32 bit 30: 0.06521 → 2.219e+37  ⚡ feeds Stage 1</t>
  </si>
  <si>
    <t xml:space="preserve">layer1.0.conv1.weight[576] FP32 bit 27: -0.02964 → -4.523e-7  ⚡ feeds Stage 1</t>
  </si>
  <si>
    <t xml:space="preserve">layer1.0.conv1.weight[713] FP32 bit 30: -0.04045 → -1.376e+37  ⚡ feeds Stage 1</t>
  </si>
  <si>
    <t xml:space="preserve">layer1.0.conv2.weight[1369] FP32 bit 29: -0.03051 → -1.654e-21  ⚡ feeds Stage 1</t>
  </si>
  <si>
    <t xml:space="preserve">layer1.0.conv1.weight[1891] FP32 bit 29: 0.01258 → 6.820e-22  ⚡ feeds Stage 1</t>
  </si>
  <si>
    <t xml:space="preserve">layer2.2.conv1.weight[5246] FP32 bit 29: -0.009094 → -4.930e-22  ⚡ feeds Stage 2</t>
  </si>
  <si>
    <t xml:space="preserve">layer2.1.conv1.weight[5067] FP32 bit 30: -0.01315 → -4.474e+36  ⚡ feeds Stage 2</t>
  </si>
  <si>
    <t xml:space="preserve">layer2.0.conv2.weight[4797] FP32 bit 28: -0.01270 → -2.956e-12  ⚡ feeds Stage 2</t>
  </si>
  <si>
    <t xml:space="preserve">layer2.0.conv2.weight[3819] FP32 bit 30: 0.03297 → 1.122e+37  ⚡ feeds Stage 2</t>
  </si>
  <si>
    <t xml:space="preserve">layer2.2.conv1.weight[3730] FP32 bit 27: -0.02052 → -3.131e-7  ⚡ feeds Stage 2</t>
  </si>
  <si>
    <t xml:space="preserve">layer2.1.conv2.weight[6526] FP32 bit 28: 0.03700 → 8.615e-12  ⚡ feeds Stage 2</t>
  </si>
  <si>
    <t xml:space="preserve">layer2.0.conv1.weight[2313] FP32 bit 27: 0.03443 → 5.254e-7  ⚡ feeds Stage 2</t>
  </si>
  <si>
    <t xml:space="preserve">layer2.0.conv2.weight[2153] FP32 bit 28: -0.06654 → -1.549e-11  ⚡ feeds Stage 2</t>
  </si>
  <si>
    <t xml:space="preserve">layer2.1.conv2.weight[1744] FP32 bit 28: -0.02655 → -6.182e-12  ⚡ feeds Stage 2</t>
  </si>
  <si>
    <t xml:space="preserve">layer2.2.conv2.weight[7279] FP32 bit 28: -0.02076 → -4.834e-12  ⚡ feeds Stage 2</t>
  </si>
  <si>
    <t xml:space="preserve">layer2.2.conv2.weight[8745] FP32 bit 30: 0.1510 → 5.137e+37  ⚡ feeds Stage 2</t>
  </si>
  <si>
    <t xml:space="preserve">layer2.1.conv2.weight[280] FP32 bit 27: 0.06224 → 9.497e-7  ⚡ feeds Stage 2</t>
  </si>
  <si>
    <t xml:space="preserve">layer2.1.conv1.weight[8591] FP32 bit 27: 0.04370 → 6.668e-7  ⚡ feeds Stage 2</t>
  </si>
  <si>
    <t xml:space="preserve">layer2.0.conv2.weight[3911] FP32 bit 28: -0.07472 → -1.740e-11  ⚡ feeds Stage 2</t>
  </si>
  <si>
    <t xml:space="preserve">layer2.2.conv2.weight[7250] FP32 bit 30: -0.1336 → -4.547e+37  ⚡ feeds Stage 2</t>
  </si>
  <si>
    <t xml:space="preserve">layer2.1.conv2.weight[7581] FP32 bit 29: -0.1690 → -9.163e-21  ⚡ feeds Stage 2</t>
  </si>
  <si>
    <t xml:space="preserve">layer2.2.conv1.weight[6342] FP32 bit 30: -0.03347 → -1.139e+37  ⚡ feeds Stage 2</t>
  </si>
  <si>
    <t xml:space="preserve">layer2.1.conv2.weight[4980] FP32 bit 27: 0.04638 → 7.077e-7  ⚡ feeds Stage 2</t>
  </si>
  <si>
    <t xml:space="preserve">layer2.0.conv1.weight[1963] FP32 bit 28: 0.0005573 → 1.298e-13  ⚡ feeds Stage 2</t>
  </si>
  <si>
    <t xml:space="preserve">layer2.2.conv2.weight[3937] FP32 bit 29: -0.1350 → -7.320e-21  ⚡ feeds Stage 2</t>
  </si>
  <si>
    <t xml:space="preserve">layer2.1.conv2.weight[4640] FP32 bit 30: -0.03195 → -1.087e+37  ⚡ feeds Stage 2</t>
  </si>
  <si>
    <t xml:space="preserve">layer2.2.conv2.weight[8085] FP32 bit 28: -0.01621 → -3.774e-12  ⚡ feeds Stage 2</t>
  </si>
  <si>
    <t xml:space="preserve">layer2.2.conv2.weight[7086] FP32 bit 29: 0.02038 → 1.105e-21  ⚡ feeds Stage 2</t>
  </si>
  <si>
    <t xml:space="preserve">layer2.2.conv2.weight[3892] FP32 bit 27: 0.08227 → 0.000001255  ⚡ feeds Stage 2</t>
  </si>
  <si>
    <t xml:space="preserve">layer2.2.conv1.weight[649] FP32 bit 30: 0.05725 → 1.948e+37  ⚡ feeds Stage 2</t>
  </si>
  <si>
    <t xml:space="preserve">layer2.2.conv2.weight[2733] FP32 bit 27: 0.08165 → 0.000001246  ⚡ feeds Stage 2</t>
  </si>
  <si>
    <t xml:space="preserve">layer2.1.conv1.weight[5520] FP32 bit 29: -0.005530 → -2.998e-22  ⚡ feeds Stage 2</t>
  </si>
  <si>
    <t xml:space="preserve">layer2.2.conv1.weight[8046] FP32 bit 29: -0.06868 → -3.723e-21  ⚡ feeds Stage 2</t>
  </si>
  <si>
    <t xml:space="preserve">layer2.1.conv2.weight[4729] FP32 bit 28: 0.003628 → 8.447e-13  ⚡ feeds Stage 2</t>
  </si>
  <si>
    <t xml:space="preserve">layer2.0.conv2.weight[2168] FP32 bit 30: 0.01021 → 3.474e+36  ⚡ feeds Stage 2</t>
  </si>
  <si>
    <t xml:space="preserve">layer2.0.conv1.weight[3610] FP32 bit 27: 0.03932 → 6.000e-7  ⚡ feeds Stage 2</t>
  </si>
  <si>
    <t xml:space="preserve">layer2.2.conv2.weight[8062] FP32 bit 30: -0.07340 → -2.498e+37  ⚡ feeds Stage 2</t>
  </si>
  <si>
    <t xml:space="preserve">layer2.1.conv1.weight[3024] FP32 bit 27: -0.02935 → -4.479e-7  ⚡ feeds Stage 2</t>
  </si>
  <si>
    <t xml:space="preserve">layer2.1.conv2.weight[914] FP32 bit 30: 0.006618 → 2.252e+36  ⚡ feeds Stage 2</t>
  </si>
  <si>
    <t xml:space="preserve">layer2.0.conv1.weight[2459] FP32 bit 29: -0.001338 → -7.253e-23  ⚡ feeds Stage 2</t>
  </si>
  <si>
    <t xml:space="preserve">layer2.0.conv2.weight[3411] FP32 bit 28: -0.04805 → -1.119e-11  ⚡ feeds Stage 2</t>
  </si>
  <si>
    <t xml:space="preserve">layer2.2.conv1.weight[221] FP32 bit 27: -0.01420 → -2.167e-7  ⚡ feeds Stage 2</t>
  </si>
  <si>
    <t xml:space="preserve">layer2.1.conv1.weight[590] FP32 bit 28: -0.007824 → -1.822e-12  ⚡ feeds Stage 2</t>
  </si>
  <si>
    <t xml:space="preserve">layer2.1.conv1.weight[5401] FP32 bit 28: -0.05923 → -1.379e-11  ⚡ feeds Stage 2</t>
  </si>
  <si>
    <t xml:space="preserve">layer2.0.conv2.weight[5725] FP32 bit 29: 0.01627 → 8.818e-22  ⚡ feeds Stage 2</t>
  </si>
  <si>
    <t xml:space="preserve">layer3.0.conv2.weight[8802] FP32 bit 27: -0.1216 → -0.000001855  ⚡ feeds Stage 3</t>
  </si>
  <si>
    <t xml:space="preserve">layer3.2.conv2.weight[31826] FP32 bit 27: -0.1031 → -0.000001573  ⚡ feeds Stage 3</t>
  </si>
  <si>
    <t xml:space="preserve">layer3.0.conv2.weight[27717] FP32 bit 29: 0.06798 → 3.685e-21  ⚡ feeds Stage 3</t>
  </si>
  <si>
    <t xml:space="preserve">layer3.2.conv2.weight[23397] FP32 bit 30: 0.04424 → 1.505e+37  ⚡ feeds Stage 3</t>
  </si>
  <si>
    <t xml:space="preserve">layer3.2.conv2.weight[9198] FP32 bit 30: -0.1952 → -6.643e+37  ⚡ feeds Stage 3</t>
  </si>
  <si>
    <t xml:space="preserve">layer3.2.conv1.weight[23422] FP32 bit 29: -0.008185 → -4.437e-22  ⚡ feeds Stage 3</t>
  </si>
  <si>
    <t xml:space="preserve">layer3.0.conv2.weight[9800] FP32 bit 28: -0.06008 → -1.399e-11  ⚡ feeds Stage 3</t>
  </si>
  <si>
    <t xml:space="preserve">layer3.2.conv1.weight[32330] FP32 bit 29: 0.04787 → 2.595e-21  ⚡ feeds Stage 3</t>
  </si>
  <si>
    <t xml:space="preserve">layer3.2.conv2.weight[31667] FP32 bit 30: 0.07923 → 2.696e+37  ⚡ feeds Stage 3</t>
  </si>
  <si>
    <t xml:space="preserve">layer3.1.conv1.weight[4121] FP32 bit 27: -0.01930 → -2.945e-7  ⚡ feeds Stage 3</t>
  </si>
  <si>
    <t xml:space="preserve">layer3.0.conv1.weight[5347] FP32 bit 25: -0.003590 → -0.0002244  ⚡ feeds Stage 3</t>
  </si>
  <si>
    <t xml:space="preserve">layer3.1.conv2.weight[4589] FP32 bit 24: -0.09529 → -0.02382  ⚡ feeds Stage 3</t>
  </si>
  <si>
    <t xml:space="preserve">layer3.2.conv2.weight[18368] FP32 bit 26: 0.3923 → 0.001532  ⚡ feeds Stage 3</t>
  </si>
  <si>
    <t xml:space="preserve">layer3.0.conv2.weight[36539] FP32 bit 25: 0.03284 → 0.5254  ⚡ feeds Stage 3</t>
  </si>
  <si>
    <t xml:space="preserve">layer3.0.conv1.weight[8488] FP32 bit 26: -0.05357 → -0.0002092  ⚡ feeds Stage 3</t>
  </si>
  <si>
    <t xml:space="preserve">layer3.1.conv1.weight[17101] FP32 bit 26: -0.02777 → -0.0001085  ⚡ feeds Stage 3</t>
  </si>
  <si>
    <t xml:space="preserve">layer3.2.conv1.weight[16819] FP32 bit 25: -0.01617 → -0.2587  ⚡ feeds Stage 3</t>
  </si>
  <si>
    <t xml:space="preserve">layer3.2.conv1.weight[17244] FP32 bit 26: -0.009992 → -0.00003903  ⚡ feeds Stage 3</t>
  </si>
  <si>
    <t xml:space="preserve">layer3.1.conv1.weight[23288] FP32 bit 25: 0.007694 → 0.0004809  ⚡ feeds Stage 3</t>
  </si>
  <si>
    <t xml:space="preserve">layer3.0.conv2.weight[26800] FP32 bit 23: -0.1143 → -0.05717  ⚡ feeds Stage 3</t>
  </si>
  <si>
    <t xml:space="preserve">layer3.1.conv2.weight[21958] FP32 bit 25: -0.1503 → -0.009391  ⚡ feeds Stage 3</t>
  </si>
  <si>
    <t xml:space="preserve">layer3.0.conv1.weight[15589] FP32 bit 25: -0.03422 → -0.5474  ⚡ feeds Stage 3</t>
  </si>
  <si>
    <t xml:space="preserve">layer3.1.conv2.weight[743] FP32 bit 24: 0.001904 → 0.007615  ⚡ feeds Stage 3</t>
  </si>
  <si>
    <t xml:space="preserve">layer3.0.conv1.weight[336] FP32 bit 25: -0.01383 → -0.2212  ⚡ feeds Stage 3</t>
  </si>
  <si>
    <t xml:space="preserve">layer3.0.conv2.weight[485] FP32 bit 26: 0.02896 → 0.0001131  ⚡ feeds Stage 3</t>
  </si>
  <si>
    <t xml:space="preserve">layer3.1.conv2.weight[29533] FP32 bit 23: -0.06708 → -0.03354  ⚡ feeds Stage 3</t>
  </si>
  <si>
    <t xml:space="preserve">layer3.2.conv2.weight[9149] FP32 bit 26: -0.1445 → -0.0005644  ⚡ feeds Stage 3</t>
  </si>
  <si>
    <t xml:space="preserve">layer3.0.conv2.weight[15354] FP32 bit 23: 0.06730 → 0.03365  ⚡ feeds Stage 3</t>
  </si>
  <si>
    <t xml:space="preserve">layer3.1.conv2.weight[1347] FP32 bit 24: 0.1316 → 0.5262  ⚡ feeds Stage 3</t>
  </si>
  <si>
    <t xml:space="preserve">layer3.2.conv2.weight[9206] FP32 bit 23: -0.1645 → -0.3290  ⚡ feeds Stage 3</t>
  </si>
  <si>
    <t xml:space="preserve">layer3.1.conv2.weight[17103] FP32 bit 25: -0.1276 → -0.007977  ⚡ feeds Stage 3</t>
  </si>
  <si>
    <t xml:space="preserve">layer3.0.conv2.weight[10367] FP32 bit 25: -0.1078 → -1.725  ⚡ feeds Stage 3</t>
  </si>
  <si>
    <t xml:space="preserve">layer3.1.conv1.weight[6445] FP32 bit 24: -0.02452 → -0.09808  ⚡ feeds Stage 3</t>
  </si>
  <si>
    <t xml:space="preserve">layer3.0.conv2.weight[27386] FP32 bit 26: -0.1295 → -0.0005059  ⚡ feeds Stage 3</t>
  </si>
  <si>
    <t xml:space="preserve">layer3.1.conv2.weight[27153] FP32 bit 24: -0.2127 → -0.8508  ⚡ feeds Stage 3</t>
  </si>
  <si>
    <t xml:space="preserve">layer3.2.conv2.weight[8900] FP32 bit 25: 0.04139 → 0.6622  ⚡ feeds Stage 3</t>
  </si>
  <si>
    <t xml:space="preserve">layer3.1.conv1.weight[16828] FP32 bit 26: 0.02436 → 0.00009515  ⚡ feeds Stage 3</t>
  </si>
  <si>
    <t xml:space="preserve">layer3.2.conv1.weight[22435] FP32 bit 24: 0.01653 → 0.06611  ⚡ feeds Stage 3</t>
  </si>
  <si>
    <t xml:space="preserve">layer3.1.conv2.weight[10181] FP32 bit 24: 0.07563 → 0.01891  ⚡ feeds Stage 3</t>
  </si>
  <si>
    <t xml:space="preserve">layer3.2.conv1.weight[27468] FP32 bit 26: 0.02133 → 0.00008333  ⚡ feeds Stage 3</t>
  </si>
  <si>
    <t xml:space="preserve">layer3.0.conv1.weight[15878] FP32 bit 24: -0.01815 → -0.07261  ⚡ feeds Stage 3</t>
  </si>
  <si>
    <t xml:space="preserve">layer3.1.conv1.weight[22161] FP32 bit 24: -0.009559 → -0.03824  ⚡ feeds Stage 3</t>
  </si>
  <si>
    <t xml:space="preserve">layer3.2.conv1.weight[13948] FP32 bit 24: -0.005920 → -0.001480  ⚡ feeds Stage 3</t>
  </si>
  <si>
    <t xml:space="preserve">layer3.0.conv2.weight[36499] FP32 bit 24: 0.04123 → 0.01031  ⚡ feeds Stage 3</t>
  </si>
  <si>
    <t xml:space="preserve">layer3.0.conv2.weight[6820] FP32 bit 23: -0.1241 → -0.06205  ⚡ feeds Stage 3</t>
  </si>
  <si>
    <t xml:space="preserve">layer3.1.conv2.weight[23919] FP32 bit 23: -0.08353 → -0.04177  ⚡ feeds Stage 3</t>
  </si>
  <si>
    <t xml:space="preserve">layer3.0.conv1.weight[3760] FP32 bit 24: -0.02653 → -0.1061  ⚡ feeds Stage 3</t>
  </si>
  <si>
    <t xml:space="preserve">layer3.2.conv2.weight[4616] FP32 bit 26: -0.1873 → -0.0007317  ⚡ feeds Stage 3</t>
  </si>
  <si>
    <t xml:space="preserve">layer3.2.conv2.weight[32958] FP32 bit 23: 0.04375 → 0.08749  ⚡ feeds Stage 3</t>
  </si>
  <si>
    <t xml:space="preserve">layer3.2.conv2.weight[23799] FP32 bit 25: -0.1875 → -0.01172  ⚡ feeds Stage 3</t>
  </si>
  <si>
    <t xml:space="preserve">layer3.2.conv1.weight[2213] FP32 bit 25: -0.02591 → -0.4146  ⚡ feeds Stage 3</t>
  </si>
  <si>
    <t xml:space="preserve">layer3.1.conv1.weight[36670] FP32 bit 26: 0.03324 → 0.0001298  ⚡ feeds Stage 3</t>
  </si>
  <si>
    <t xml:space="preserve">layer3.2.conv2.weight[7621] FP32 bit 25: -0.01718 → -0.2749  ⚡ feeds Stage 3</t>
  </si>
  <si>
    <t xml:space="preserve">layer3.0.conv2.weight[18075] FP32 bit 25: 0.02468 → 0.3948  ⚡ feeds Stage 3</t>
  </si>
  <si>
    <t xml:space="preserve">layer3.2.conv1.weight[30251] FP32 bit 24: -0.03147 → -0.007868  ⚡ feeds Stage 3</t>
  </si>
  <si>
    <t xml:space="preserve">layer3.2.conv2.weight[31312] FP32 bit 26: 0.004367 → 1.118  ⚡ feeds Stage 3</t>
  </si>
  <si>
    <t xml:space="preserve">layer3.1.conv2.weight[33593] FP32 bit 25: -0.1039 → -1.663  ⚡ feeds Stage 3</t>
  </si>
  <si>
    <t xml:space="preserve">layer3.2.conv1.weight[29492] FP32 bit 25: -0.01993 → -0.3188  ⚡ feeds Stage 3</t>
  </si>
  <si>
    <t xml:space="preserve">layer3.2.conv2.weight[14232] FP32 bit 25: 0.1146 → 1.834  ⚡ feeds Stage 3</t>
  </si>
  <si>
    <t xml:space="preserve">layer3.0.conv2.weight[4740] FP32 bit 24: -0.04714 → -0.01179  ⚡ feeds Stage 3</t>
  </si>
  <si>
    <t xml:space="preserve">layer3.1.conv2.weight[21498] FP32 bit 24: -0.2861 → -1.144  ⚡ feeds Stage 3</t>
  </si>
  <si>
    <t xml:space="preserve">layer3.0.conv2.weight[36010] FP32 bit 25: -0.03733 → -0.5973  ⚡ feeds Stage 3</t>
  </si>
  <si>
    <t xml:space="preserve">layer3.2.conv1.weight[18902] FP32 bit 24: -0.01228 → -0.04912  ⚡ feeds Stage 3</t>
  </si>
  <si>
    <t xml:space="preserve">layer3.2.conv2.weight[4617] FP32 bit 23: -0.003396 → -0.006791  ⚡ feeds Stage 3</t>
  </si>
  <si>
    <t xml:space="preserve">layer3.1.conv1.weight[28235] FP32 bit 26: 0.02173 → 0.00008490  ⚡ feeds Stage 3</t>
  </si>
  <si>
    <t xml:space="preserve">layer3.2.conv1.weight[18261] FP32 bit 23: -0.01649 → -0.008247  ⚡ feeds Stage 3</t>
  </si>
  <si>
    <t xml:space="preserve">layer3.1.conv2.weight[17498] FP32 bit 23: 0.1282 → 0.2564  ⚡ feeds Stage 3</t>
  </si>
  <si>
    <t xml:space="preserve">layer3.2.conv2.weight[11530] FP32 bit 26: -0.3061 → -0.001196  ⚡ feeds Stage 3</t>
  </si>
  <si>
    <t xml:space="preserve">layer3.1.conv2.weight[28575] FP32 bit 24: 0.08123 → 0.02031  ⚡ feeds Stage 3</t>
  </si>
  <si>
    <t xml:space="preserve">layer3.1.conv1.weight[30461] FP32 bit 25: -0.06142 → -0.9827  ⚡ feeds Stage 3</t>
  </si>
  <si>
    <t xml:space="preserve">layer3.0.conv2.weight[11887] FP32 bit 23: -0.009032 → -0.01806  ⚡ feeds Stage 3</t>
  </si>
  <si>
    <t xml:space="preserve">layer3.2.conv2.weight[29532] FP32 bit 26: -0.1068 → -0.0004172  ⚡ feeds Stage 3</t>
  </si>
  <si>
    <t xml:space="preserve">layer3.0.conv2.weight[6232] FP32 bit 24: -0.04416 → -0.01104  ⚡ feeds Stage 3</t>
  </si>
  <si>
    <t xml:space="preserve">layer3.0.conv2.weight[19211] FP32 bit 23: -0.1271 → -0.2542  ⚡ feeds Stage 3</t>
  </si>
  <si>
    <t xml:space="preserve">layer3.1.conv1.weight[32411] FP32 bit 24: -0.01832 → -0.07326  ⚡ feeds Stage 3</t>
  </si>
  <si>
    <t xml:space="preserve">layer3.2.conv1.weight[20282] FP32 bit 26: 0.007263 → 1.859  ⚡ feeds Stage 3</t>
  </si>
  <si>
    <t xml:space="preserve">layer3.0.conv1.weight[5362] FP32 bit 25: -0.02798 → -0.4476  ⚡ feeds Stage 3</t>
  </si>
  <si>
    <t xml:space="preserve">layer3.0.conv1.weight[4785] FP32 bit 23: -0.04987 → -0.09973  ⚡ feeds Stage 3</t>
  </si>
  <si>
    <t xml:space="preserve">layer3.2.conv1.weight[13308] FP32 bit 25: -0.03939 → -0.6302  ⚡ feeds Stage 3</t>
  </si>
  <si>
    <t xml:space="preserve">layer3.1.conv2.weight[10577] FP32 bit 26: 0.03992 → 0.0001559  ⚡ feeds Stage 3</t>
  </si>
  <si>
    <t xml:space="preserve">layer3.1.conv2.weight[19344] FP32 bit 26: 0.05400 → 0.0002109  ⚡ feeds Stage 3</t>
  </si>
  <si>
    <t xml:space="preserve">layer3.0.conv2.weight[27826] FP32 bit 26: 0.05384 → 0.0002103  ⚡ feeds Stage 3</t>
  </si>
  <si>
    <t xml:space="preserve">layer3.2.conv2.weight[12375] FP32 bit 24: -0.05298 → -0.01324  ⚡ feeds Stage 3</t>
  </si>
  <si>
    <t xml:space="preserve">layer3.2.conv1.weight[18215] FP32 bit 24: -0.02133 → -0.08533  ⚡ feeds Stage 3</t>
  </si>
  <si>
    <t xml:space="preserve">layer3.1.conv1.weight[36841] FP32 bit 25: 0.01368 → 0.2189  ⚡ feeds Stage 3</t>
  </si>
  <si>
    <t xml:space="preserve">layer3.0.conv2.weight[10452] FP32 bit 23: -0.09691 → -0.04846  ⚡ feeds Stage 3</t>
  </si>
  <si>
    <t xml:space="preserve">layer3.2.conv1.weight[25380] FP32 bit 23: -0.002961 → -0.005921  ⚡ feeds Stage 3</t>
  </si>
  <si>
    <t xml:space="preserve">layer3.2.conv1.weight[35970] FP32 bit 24: -0.01205 → -0.04821  ⚡ feeds Stage 3</t>
  </si>
  <si>
    <t xml:space="preserve">layer3.0.conv2.weight[12922] FP32 bit 23: 0.06755 → 0.03377  ⚡ feeds Stage 3</t>
  </si>
  <si>
    <t xml:space="preserve">layer3.2.conv1.weight[12495] FP32 bit 24: -0.03117 → -0.1247  ⚡ feeds Stage 3</t>
  </si>
  <si>
    <t xml:space="preserve">layer3.1.conv2.weight[30945] FP32 bit 26: -0.04667 → -0.0001823  ⚡ feeds Stage 3</t>
  </si>
  <si>
    <t xml:space="preserve">layer3.1.conv2.weight[15295] FP32 bit 25: -0.1110 → -1.775  ⚡ feeds Stage 3</t>
  </si>
  <si>
    <t xml:space="preserve">layer3.2.conv1.weight[24735] FP32 bit 25: 0.02047 → 0.3275  ⚡ feeds Stage 3</t>
  </si>
  <si>
    <t xml:space="preserve">layer3.2.conv2.weight[33863] FP32 bit 26: 0.3593 → 0.001404  ⚡ feeds Stage 3</t>
  </si>
  <si>
    <t xml:space="preserve">layer3.2.conv2.weight[3572] FP32 bit 23: 0.1059 → 0.05297  ⚡ feeds Stage 3</t>
  </si>
  <si>
    <t xml:space="preserve">layer3.0.conv1.weight[9695] FP32 bit 26: 0.01037 → 0.00004050  ⚡ feeds Stage 3</t>
  </si>
  <si>
    <t xml:space="preserve">layer3.0.conv2.weight[31017] FP32 bit 23: -0.08995 → -0.04498  ⚡ feeds Stage 3</t>
  </si>
  <si>
    <t xml:space="preserve">layer3.2.conv2.weight[9743] FP32 bit 23: -0.1029 → -0.05147  ⚡ feeds Stage 3</t>
  </si>
  <si>
    <t xml:space="preserve">layer3.1.conv2.weight[10086] FP32 bit 24: -0.07572 → -0.01893  ⚡ feeds Stage 3</t>
  </si>
  <si>
    <t xml:space="preserve">layer3.2.conv2.weight[5554] FP32 bit 25: -0.1078 → -1.725  ⚡ feeds Stage 3</t>
  </si>
  <si>
    <t xml:space="preserve">layer3.2.conv2.weight[16777] FP32 bit 26: -0.07330 → -0.0002863  ⚡ feeds Stage 3</t>
  </si>
  <si>
    <t xml:space="preserve">layer3.1.conv1.weight[30073] FP32 bit 23: 0.01304 → 0.02608  ⚡ feeds Stage 3</t>
  </si>
  <si>
    <t xml:space="preserve">layer3.2.conv2.weight[17244] FP32 bit 25: 0.01058 → 0.1693  ⚡ feeds Stage 3</t>
  </si>
  <si>
    <t xml:space="preserve">layer3.2.conv2.weight[5116] FP32 bit 25: 0.2558 → 0.01598  ⚡ feeds Stage 3</t>
  </si>
  <si>
    <t xml:space="preserve">layer3.1.conv2.weight[27941] FP32 bit 24: -0.006289 → -0.001572  ⚡ feeds Stage 3</t>
  </si>
  <si>
    <t xml:space="preserve">layer3.2.conv1.weight[5827] FP32 bit 24: -0.02289 → -0.09156  ⚡ feeds Stage 3</t>
  </si>
  <si>
    <t xml:space="preserve">layer3.0.conv1.weight[12231] FP32 bit 26: -0.02450 → -0.00009572  ⚡ feeds Stage 3</t>
  </si>
  <si>
    <t xml:space="preserve">layer3.2.conv1.weight[5351] FP32 bit 25: 0.004238 → 0.0002649  ⚡ feeds Stage 3</t>
  </si>
  <si>
    <t xml:space="preserve">fc.weight[279] FP32 bit 23: 0.3555 → 0.1778  ⚡ feeds Output (logits)</t>
  </si>
  <si>
    <t xml:space="preserve">layer3.0.conv2.weight[713] FP32 bit 26: -0.1498 → -0.0005852  ⚡ feeds Stage 3</t>
  </si>
  <si>
    <t xml:space="preserve">layer3.2.conv1.weight[36399] FP32 bit 23: -0.02731 → -0.01365  ⚡ feeds Stage 3</t>
  </si>
  <si>
    <t xml:space="preserve">layer3.2.conv1.weight[36699] FP32 bit 23: 0.03340 → 0.06680  ⚡ feeds Stage 3</t>
  </si>
  <si>
    <t xml:space="preserve">layer3.1.conv1.weight[32056] FP32 bit 25: -0.01022 → -0.1635  ⚡ feeds Stage 3</t>
  </si>
  <si>
    <t xml:space="preserve">fc.weight[173] FP32 bit 24: 0.2120 → 0.8481  ⚡ feeds Output (logits)</t>
  </si>
  <si>
    <t xml:space="preserve">layer3.0.conv1.weight[5691] FP32 bit 24: -0.03883 → -0.009707  ⚡ feeds Stage 3</t>
  </si>
  <si>
    <t xml:space="preserve">layer3.1.conv2.weight[28935] FP32 bit 26: 0.06352 → 0.0002481  ⚡ feeds Stage 3</t>
  </si>
  <si>
    <t xml:space="preserve">layer3.1.conv2.weight[17604] FP32 bit 26: 0.02697 → 0.0001054  ⚡ feeds Stage 3</t>
  </si>
  <si>
    <t xml:space="preserve">layer3.0.conv2.weight[34814] FP32 bit 25: -0.1155 → -1.848  ⚡ feeds Stage 3</t>
  </si>
  <si>
    <t xml:space="preserve">layer3.2.conv1.weight[12893] FP32 bit 26: 0.002335 → 0.5977  ⚡ feeds Stage 3</t>
  </si>
  <si>
    <t xml:space="preserve">layer3.1.conv1.weight[21191] FP32 bit 23: 0.008320 → 0.01664  ⚡ feeds Stage 3</t>
  </si>
  <si>
    <t xml:space="preserve">layer3.1.conv1.weight[14549] FP32 bit 24: 0.003053 → 0.0007633  ⚡ feeds Stage 3</t>
  </si>
  <si>
    <t xml:space="preserve">layer3.2.conv2.weight[35894] FP32 bit 26: -0.2424 → -0.0009469  ⚡ feeds Stage 3</t>
  </si>
  <si>
    <t xml:space="preserve">layer3.1.conv2.weight[33532] FP32 bit 26: -0.06206 → -0.0002424  ⚡ feeds Stage 3</t>
  </si>
  <si>
    <t xml:space="preserve">layer3.0.conv2.weight[24824] FP32 bit 26: -0.05771 → -0.0002254  ⚡ feeds Stage 3</t>
  </si>
  <si>
    <t xml:space="preserve">layer3.1.conv2.weight[35864] FP32 bit 24: 0.08648 → 0.02162  ⚡ feeds Stage 3</t>
  </si>
  <si>
    <t xml:space="preserve">layer3.2.conv1.weight[1968] FP32 bit 24: 0.04284 → 0.01071  ⚡ feeds Stage 3</t>
  </si>
  <si>
    <t xml:space="preserve">layer3.2.conv1.weight[35814] FP32 bit 24: -0.01968 → -0.07872  ⚡ feeds Stage 3</t>
  </si>
  <si>
    <t xml:space="preserve">layer3.0.conv2.weight[167] FP32 bit 26: -0.09399 → -0.0003671  ⚡ feeds Stage 3</t>
  </si>
  <si>
    <t xml:space="preserve">layer3.1.conv2.weight[999] FP32 bit 24: 0.07748 → 0.01937  ⚡ feeds Stage 3</t>
  </si>
  <si>
    <t xml:space="preserve">layer3.0.conv2.weight[24179] FP32 bit 23: -0.02634 → -0.01317  ⚡ feeds Stage 3</t>
  </si>
  <si>
    <t xml:space="preserve">layer3.0.conv2.weight[117] FP32 bit 26: 0.1520 → 0.0005938  ⚡ feeds Stage 3</t>
  </si>
  <si>
    <t xml:space="preserve">layer3.1.conv1.weight[30599] FP32 bit 26: -0.04215 → -0.0001647  ⚡ feeds Stage 3</t>
  </si>
  <si>
    <t xml:space="preserve">layer3.1.conv1.weight[33721] FP32 bit 25: 0.07098 → 1.136  ⚡ feeds Stage 3</t>
  </si>
  <si>
    <t xml:space="preserve">layer3.1.conv2.weight[29772] FP32 bit 26: -0.1457 → -0.0005693  ⚡ feeds Stage 3</t>
  </si>
  <si>
    <t xml:space="preserve">layer3.1.conv1.weight[21726] FP32 bit 25: -0.03927 → -0.6283  ⚡ feeds Stage 3</t>
  </si>
  <si>
    <t xml:space="preserve">layer3.1.conv1.weight[24232] FP32 bit 23: -0.02945 → -0.01473  ⚡ feeds Stage 3</t>
  </si>
  <si>
    <t xml:space="preserve">layer3.2.conv1.weight[25438] FP32 bit 25: 0.003523 → 0.0002202  ⚡ feeds Stage 3</t>
  </si>
  <si>
    <t xml:space="preserve">layer3.1.conv1.weight[23712] FP32 bit 23: -0.007876 → -0.01575  ⚡ feeds Stage 3</t>
  </si>
  <si>
    <t xml:space="preserve">layer3.1.conv1.weight[17957] FP32 bit 25: 0.008883 → 0.1421  ⚡ feeds Stage 3</t>
  </si>
  <si>
    <t xml:space="preserve">layer3.2.conv1.weight[6573] FP32 bit 25: -0.008514 → -0.1362  ⚡ feeds Stage 3</t>
  </si>
  <si>
    <t xml:space="preserve">layer3.2.conv2.weight[4048] FP32 bit 24: -0.1083 → -0.02707  ⚡ feeds Stage 3</t>
  </si>
  <si>
    <t xml:space="preserve">layer3.2.conv2.weight[16373] FP32 bit 23: -0.1544 → -0.3089  ⚡ feeds Stage 3</t>
  </si>
  <si>
    <t xml:space="preserve">layer3.1.conv1.weight[30691] FP32 bit 25: 0.0001816 → 0.002906  ⚡ feeds Stage 3</t>
  </si>
  <si>
    <t xml:space="preserve">layer3.0.conv2.weight[20035] FP32 bit 23: 0.06825 → 0.03412  ⚡ feeds Stage 3</t>
  </si>
  <si>
    <t xml:space="preserve">layer3.0.conv1.weight[16770] FP32 bit 25: -0.01220 → -0.1952  ⚡ feeds Stage 3</t>
  </si>
  <si>
    <t xml:space="preserve">layer3.2.conv1.weight[19199] FP32 bit 26: 0.004937 → 1.264  ⚡ feeds Stage 3</t>
  </si>
  <si>
    <t xml:space="preserve">layer3.2.conv1.weight[32747] FP32 bit 23: -0.02364 → -0.01182  ⚡ feeds Stage 3</t>
  </si>
  <si>
    <t xml:space="preserve">layer3.2.conv1.weight[14403] FP32 bit 25: 0.001648 → 0.0001030  ⚡ feeds Stage 3</t>
  </si>
  <si>
    <t xml:space="preserve">layer3.1.conv1.weight[16206] FP32 bit 23: 0.007289 → 0.003644  ⚡ feeds Stage 3</t>
  </si>
  <si>
    <t xml:space="preserve">layer3.1.conv2.weight[3517] FP32 bit 24: -0.07469 → -0.01867  ⚡ feeds Stage 3</t>
  </si>
  <si>
    <t xml:space="preserve">layer3.2.conv2.weight[18586] FP32 bit 24: -0.2083 → -0.8332  ⚡ feeds Stage 3</t>
  </si>
  <si>
    <t xml:space="preserve">layer3.2.conv1.weight[3144] FP32 bit 25: 0.02507 → 0.4012  ⚡ feeds Stage 3</t>
  </si>
  <si>
    <t xml:space="preserve">layer3.1.conv2.weight[12421] FP32 bit 23: -0.1065 → -0.05323  ⚡ feeds Stage 3</t>
  </si>
  <si>
    <t xml:space="preserve">layer3.2.conv1.weight[12662] FP32 bit 24: -0.007749 → -0.001937  ⚡ feeds Stage 3</t>
  </si>
  <si>
    <t xml:space="preserve">layer3.2.conv2.weight[21348] FP32 bit 24: 0.02323 → 0.09293  ⚡ feeds Stage 3</t>
  </si>
  <si>
    <t xml:space="preserve">layer3.2.conv1.weight[12786] FP32 bit 24: -0.01921 → -0.07684  ⚡ feeds Stage 3</t>
  </si>
  <si>
    <t xml:space="preserve">layer3.0.conv2.weight[19978] FP32 bit 24: 0.1470 → 0.5878  ⚡ feeds Stage 3</t>
  </si>
  <si>
    <t xml:space="preserve">layer3.2.conv2.weight[8740] FP32 bit 26: -0.03730 → -0.0001457  ⚡ feeds Stage 3</t>
  </si>
  <si>
    <t xml:space="preserve">layer3.2.conv2.weight[1913] FP32 bit 23: 0.2850 → 0.1425  ⚡ feeds Stage 3</t>
  </si>
  <si>
    <t xml:space="preserve">layer3.2.conv1.weight[36617] FP32 bit 25: -0.01934 → -0.3094  ⚡ feeds Stage 3</t>
  </si>
  <si>
    <t xml:space="preserve">layer3.0.conv1.weight[7457] FP32 bit 23: 0.002460 → 0.004920  ⚡ feeds Stage 3</t>
  </si>
  <si>
    <t xml:space="preserve">layer3.2.conv1.weight[12050] FP32 bit 24: -0.01269 → -0.05077  ⚡ feeds Stage 3</t>
  </si>
  <si>
    <t xml:space="preserve">layer3.2.conv2.weight[13569] FP32 bit 23: -0.1365 → -0.2729  ⚡ feeds Stage 3</t>
  </si>
  <si>
    <t xml:space="preserve">layer3.0.conv2.weight[13365] FP32 bit 23: -0.006129 → -0.003064  ⚡ feeds Stage 3</t>
  </si>
  <si>
    <t xml:space="preserve">layer3.0.conv2.weight[18263] FP32 bit 23: 0.003515 → 0.007031  ⚡ feeds Stage 3</t>
  </si>
  <si>
    <t xml:space="preserve">layer3.1.conv2.weight[16352] FP32 bit 23: -0.2007 → -0.4014  ⚡ feeds Stage 3</t>
  </si>
  <si>
    <t xml:space="preserve">layer3.0.conv2.weight[23383] FP32 bit 25: 0.1078 → 1.725  ⚡ feeds Stage 3</t>
  </si>
  <si>
    <t xml:space="preserve">layer3.0.conv2.weight[7007] FP32 bit 24: 0.05178 → 0.01294  ⚡ feeds Stage 3</t>
  </si>
  <si>
    <t xml:space="preserve">layer3.1.conv2.weight[22010] FP32 bit 26: 0.1334 → 0.0005210  ⚡ feeds Stage 3</t>
  </si>
  <si>
    <t xml:space="preserve">layer3.1.conv1.weight[34363] FP32 bit 26: 0.001764 → 0.4516  ⚡ feeds Stage 3</t>
  </si>
  <si>
    <t xml:space="preserve">layer2.2.conv1.weight[1807] FP32 bit 18: -0.03637 → -0.03539  ⚡ feeds Stage 2</t>
  </si>
  <si>
    <t xml:space="preserve">layer2.0.conv2.weight[8602] FP32 bit 17: 0.07313 → 0.07411  ⚡ feeds Stage 2</t>
  </si>
  <si>
    <t xml:space="preserve">layer2.2.conv2.weight[6507] FP32 bit 18: -0.03749 → -0.03847  ⚡ feeds Stage 2</t>
  </si>
  <si>
    <t xml:space="preserve">layer2.0.conv2.weight[5164] FP32 bit 22: -0.007311 → -0.005358  ⚡ feeds Stage 2</t>
  </si>
  <si>
    <t xml:space="preserve">layer2.2.conv1.weight[3797] FP32 bit 18: -0.02054 → -0.02102  ⚡ feeds Stage 2</t>
  </si>
  <si>
    <t xml:space="preserve">layer2.0.conv1.weight[1559] FP32 bit 20: 0.03144 → 0.03535  ⚡ feeds Stage 2</t>
  </si>
  <si>
    <t xml:space="preserve">layer2.2.conv1.weight[1737] FP32 bit 17: -0.04480 → -0.04431  ⚡ feeds Stage 2</t>
  </si>
  <si>
    <t xml:space="preserve">layer2.2.conv1.weight[4832] FP32 bit 20: -0.07095 → -0.06314  ⚡ feeds Stage 2</t>
  </si>
  <si>
    <t xml:space="preserve">layer2.0.conv1.weight[3830] FP32 bit 16: -0.01377 → -0.01371  ⚡ feeds Stage 2</t>
  </si>
  <si>
    <t xml:space="preserve">layer2.0.conv1.weight[4050] FP32 bit 17: 0.01292 → 0.01279  ⚡ feeds Stage 2</t>
  </si>
  <si>
    <t xml:space="preserve">layer2.1.conv2.weight[2085] FP32 bit 20: -0.03188 → -0.03578  ⚡ feeds Stage 2</t>
  </si>
  <si>
    <t xml:space="preserve">layer2.0.conv2.weight[6715] FP32 bit 18: -0.008795 → -0.009040  ⚡ feeds Stage 2</t>
  </si>
  <si>
    <t xml:space="preserve">layer2.2.conv2.weight[7219] FP32 bit 21: -0.04843 → -0.05624  ⚡ feeds Stage 2</t>
  </si>
  <si>
    <t xml:space="preserve">layer2.0.conv1.weight[397] FP32 bit 21: -0.04631 → -0.03850  ⚡ feeds Stage 2</t>
  </si>
  <si>
    <t xml:space="preserve">layer2.0.conv2.weight[6201] FP32 bit 22: -0.005112 → -0.007065  ⚡ feeds Stage 2</t>
  </si>
  <si>
    <t xml:space="preserve">layer2.1.conv2.weight[5112] FP32 bit 18: 0.03798 → 0.03895  ⚡ feeds Stage 2</t>
  </si>
  <si>
    <t xml:space="preserve">layer2.1.conv2.weight[4657] FP32 bit 18: -0.01176 → -0.01201  ⚡ feeds Stage 2</t>
  </si>
  <si>
    <t xml:space="preserve">layer2.0.conv1.weight[4263] FP32 bit 21: -0.1533 → -0.1846  ⚡ feeds Stage 2</t>
  </si>
  <si>
    <t xml:space="preserve">layer2.1.conv1.weight[7344] FP32 bit 17: 0.05644 → 0.05595  ⚡ feeds Stage 2</t>
  </si>
  <si>
    <t xml:space="preserve">layer2.1.conv2.weight[7383] FP32 bit 18: 0.1461 → 0.1421  ⚡ feeds Stage 2</t>
  </si>
  <si>
    <t xml:space="preserve">layer2.0.conv1.weight[2710] FP32 bit 19: -0.01457 → -0.01408  ⚡ feeds Stage 2</t>
  </si>
  <si>
    <t xml:space="preserve">layer2.0.conv1.weight[2668] FP32 bit 16: -0.1324 → -0.1314  ⚡ feeds Stage 2</t>
  </si>
  <si>
    <t xml:space="preserve">layer2.1.conv1.weight[9066] FP32 bit 19: -0.04060 → -0.04255  ⚡ feeds Stage 2</t>
  </si>
  <si>
    <t xml:space="preserve">layer2.1.conv2.weight[4319] FP32 bit 17: -0.01986 → -0.01962  ⚡ feeds Stage 2</t>
  </si>
  <si>
    <t xml:space="preserve">layer2.0.conv2.weight[7927] FP32 bit 20: 0.04113 → 0.04503  ⚡ feeds Stage 2</t>
  </si>
  <si>
    <t xml:space="preserve">layer2.0.conv2.weight[3237] FP32 bit 16: -0.07642 → -0.07691  ⚡ feeds Stage 2</t>
  </si>
  <si>
    <t xml:space="preserve">layer2.1.conv2.weight[1478] FP32 bit 20: -0.2601 → -0.2913  ⚡ feeds Stage 2</t>
  </si>
  <si>
    <t xml:space="preserve">layer2.2.conv2.weight[3766] FP32 bit 20: -0.04193 → -0.04584  ⚡ feeds Stage 2</t>
  </si>
  <si>
    <t xml:space="preserve">layer2.2.conv2.weight[3171] FP32 bit 19: 0.02815 → 0.02912  ⚡ feeds Stage 2</t>
  </si>
  <si>
    <t xml:space="preserve">layer2.2.conv2.weight[1862] FP32 bit 20: -0.01973 → -0.02168  ⚡ feeds Stage 2</t>
  </si>
  <si>
    <t xml:space="preserve">layer2.2.conv2.weight[6786] FP32 bit 17: -0.02148 → -0.02123  ⚡ feeds Stage 2</t>
  </si>
  <si>
    <t xml:space="preserve">layer2.0.conv2.weight[6143] FP32 bit 21: 0.001398 → 0.001154  ⚡ feeds Stage 2</t>
  </si>
  <si>
    <t xml:space="preserve">layer2.1.conv1.weight[680] FP32 bit 18: -0.03305 → -0.03207  ⚡ feeds Stage 2</t>
  </si>
  <si>
    <t xml:space="preserve">layer2.2.conv2.weight[2372] FP32 bit 22: -0.09715 → -0.06590  ⚡ feeds Stage 2</t>
  </si>
  <si>
    <t xml:space="preserve">layer2.2.conv1.weight[189] FP32 bit 21: -0.05612 → -0.04831  ⚡ feeds Stage 2</t>
  </si>
  <si>
    <t xml:space="preserve">layer2.0.conv1.weight[1328] FP32 bit 19: 0.1296 → 0.1374  ⚡ feeds Stage 2</t>
  </si>
  <si>
    <t xml:space="preserve">layer2.2.conv2.weight[2884] FP32 bit 17: -0.1305 → -0.1325  ⚡ feeds Stage 2</t>
  </si>
  <si>
    <t xml:space="preserve">layer2.2.conv1.weight[3664] FP32 bit 18: 0.05002 → 0.04904  ⚡ feeds Stage 2</t>
  </si>
  <si>
    <t xml:space="preserve">layer2.1.conv2.weight[4180] FP32 bit 18: -0.08296 → -0.08491  ⚡ feeds Stage 2</t>
  </si>
  <si>
    <t xml:space="preserve">layer2.1.conv2.weight[6736] FP32 bit 19: -0.04630 → -0.04434  ⚡ feeds Stage 2</t>
  </si>
  <si>
    <t xml:space="preserve">layer2.1.conv1.weight[7110] FP32 bit 17: -0.001505 → -0.001520  ⚡ feeds Stage 2</t>
  </si>
  <si>
    <t xml:space="preserve">layer2.2.conv2.weight[5104] FP32 bit 19: 0.2421 → 0.2499  ⚡ feeds Stage 2</t>
  </si>
  <si>
    <t xml:space="preserve">layer2.0.conv2.weight[4144] FP32 bit 18: 0.002591 → 0.002652  ⚡ feeds Stage 2</t>
  </si>
  <si>
    <t xml:space="preserve">layer2.2.conv1.weight[7637] FP32 bit 19: -0.04954 → -0.04759  ⚡ feeds Stage 2</t>
  </si>
  <si>
    <t xml:space="preserve">layer2.2.conv1.weight[8992] FP32 bit 18: -0.01104 → -0.01079  ⚡ feeds Stage 2</t>
  </si>
  <si>
    <t xml:space="preserve">layer2.0.conv1.weight[619] FP32 bit 20: 0.01637 → 0.01832  ⚡ feeds Stage 2</t>
  </si>
  <si>
    <t xml:space="preserve">layer2.0.conv1.weight[405] FP32 bit 22: -0.006473 → -0.004519  ⚡ feeds Stage 2</t>
  </si>
  <si>
    <t xml:space="preserve">layer2.0.conv1.weight[2889] FP32 bit 16: -0.05461 → -0.05436  ⚡ feeds Stage 2</t>
  </si>
  <si>
    <t xml:space="preserve">layer2.1.conv1.weight[1789] FP32 bit 22: -0.005141 → -0.007094  ⚡ feeds Stage 2</t>
  </si>
  <si>
    <t xml:space="preserve">layer2.1.conv1.weight[2939] FP32 bit 22: 0.009494 → 0.01340  ⚡ feeds Stage 2</t>
  </si>
  <si>
    <t xml:space="preserve">layer2.2.conv1.weight[4523] FP32 bit 22: -0.04090 → -0.05653  ⚡ feeds Stage 2</t>
  </si>
  <si>
    <t xml:space="preserve">layer2.1.conv1.weight[8823] FP32 bit 18: 0.01654 → 0.01605  ⚡ feeds Stage 2</t>
  </si>
  <si>
    <t xml:space="preserve">layer2.2.conv2.weight[8538] FP32 bit 17: 0.09290 → 0.09192  ⚡ feeds Stage 2</t>
  </si>
  <si>
    <t xml:space="preserve">layer2.1.conv2.weight[5836] FP32 bit 17: -0.08730 → -0.08633  ⚡ feeds Stage 2</t>
  </si>
  <si>
    <t xml:space="preserve">layer2.0.conv2.weight[8578] FP32 bit 16: 0.07715 → 0.07764  ⚡ feeds Stage 2</t>
  </si>
  <si>
    <t xml:space="preserve">layer2.2.conv1.weight[5627] FP32 bit 22: 0.01216 → 0.008257  ⚡ feeds Stage 2</t>
  </si>
  <si>
    <t xml:space="preserve">layer2.2.conv1.weight[3052] FP32 bit 17: 0.01272 → 0.01284  ⚡ feeds Stage 2</t>
  </si>
  <si>
    <t xml:space="preserve">layer2.1.conv2.weight[1344] FP32 bit 19: 0.04505 → 0.04310  ⚡ feeds Stage 2</t>
  </si>
  <si>
    <t xml:space="preserve">layer2.2.conv2.weight[2860] FP32 bit 21: -0.01849 → -0.02239  ⚡ feeds Stage 2</t>
  </si>
  <si>
    <t xml:space="preserve">layer2.2.conv2.weight[4537] FP32 bit 16: -0.1110 → -0.1105  ⚡ feeds Stage 2</t>
  </si>
  <si>
    <t xml:space="preserve">layer2.1.conv2.weight[8093] FP32 bit 19: -0.2069 → -0.2148  ⚡ feeds Stage 2</t>
  </si>
  <si>
    <t xml:space="preserve">layer2.2.conv1.weight[153] FP32 bit 21: -0.01654 → -0.02045  ⚡ feeds Stage 2</t>
  </si>
  <si>
    <t xml:space="preserve">layer2.1.conv2.weight[3835] FP32 bit 18: -0.2397 → -0.2358  ⚡ feeds Stage 2</t>
  </si>
  <si>
    <t xml:space="preserve">layer2.0.conv1.weight[2587] FP32 bit 19: -0.01342 → -0.01294  ⚡ feeds Stage 2</t>
  </si>
  <si>
    <t xml:space="preserve">layer2.1.conv2.weight[4962] FP32 bit 20: -0.005174 → -0.005662  ⚡ feeds Stage 2</t>
  </si>
  <si>
    <t xml:space="preserve">layer2.1.conv1.weight[2695] FP32 bit 21: -0.02882 → -0.02491  ⚡ feeds Stage 2</t>
  </si>
  <si>
    <t xml:space="preserve">layer2.0.conv1.weight[2851] FP32 bit 19: 0.0009470 → 0.0009165  ⚡ feeds Stage 2</t>
  </si>
  <si>
    <t xml:space="preserve">layer2.0.conv2.weight[6866] FP32 bit 21: 0.02104 → 0.01714  ⚡ feeds Stage 2</t>
  </si>
  <si>
    <t xml:space="preserve">layer2.1.conv2.weight[3087] FP32 bit 19: -0.08718 → -0.09109  ⚡ feeds Stage 2</t>
  </si>
  <si>
    <t xml:space="preserve">layer2.1.conv1.weight[7362] FP32 bit 20: 0.04983 → 0.05373  ⚡ feeds Stage 2</t>
  </si>
  <si>
    <t xml:space="preserve">layer2.1.conv1.weight[4100] FP32 bit 19: -0.01219 → -0.01268  ⚡ feeds Stage 2</t>
  </si>
  <si>
    <t xml:space="preserve">layer2.0.conv2.weight[7154] FP32 bit 21: -0.02441 → -0.02832  ⚡ feeds Stage 2</t>
  </si>
  <si>
    <t xml:space="preserve">layer2.1.conv1.weight[1625] FP32 bit 19: 0.04094 → 0.04289  ⚡ feeds Stage 2</t>
  </si>
  <si>
    <t xml:space="preserve">layer2.2.conv2.weight[3779] FP32 bit 18: 0.1393 → 0.1354  ⚡ feeds Stage 2</t>
  </si>
  <si>
    <t xml:space="preserve">layer2.1.conv2.weight[402] FP32 bit 16: -0.1035 → -0.1030  ⚡ feeds Stage 2</t>
  </si>
  <si>
    <t xml:space="preserve">layer2.2.conv2.weight[7175] FP32 bit 21: 0.02386 → 0.02777  ⚡ feeds Stage 2</t>
  </si>
  <si>
    <t xml:space="preserve">layer2.0.conv2.weight[3042] FP32 bit 21: 0.02354 → 0.02745  ⚡ feeds Stage 2</t>
  </si>
  <si>
    <t xml:space="preserve">layer2.2.conv2.weight[7031] FP32 bit 22: 0.06525 → 0.09650  ⚡ feeds Stage 2</t>
  </si>
  <si>
    <t xml:space="preserve">layer2.0.conv2.weight[5481] FP32 bit 16: -0.004625 → -0.004595  ⚡ feeds Stage 2</t>
  </si>
  <si>
    <t xml:space="preserve">layer2.0.conv2.weight[7796] FP32 bit 18: 0.09317 → 0.09122  ⚡ feeds Stage 2</t>
  </si>
  <si>
    <t xml:space="preserve">layer2.1.conv1.weight[2133] FP32 bit 18: -0.03592 → -0.03690  ⚡ feeds Stage 2</t>
  </si>
  <si>
    <t xml:space="preserve">layer2.1.conv1.weight[7809] FP32 bit 19: 0.001525 → 0.001586  ⚡ feeds Stage 2</t>
  </si>
  <si>
    <t xml:space="preserve">layer2.0.conv2.weight[3875] FP32 bit 17: -0.02936 → -0.02960  ⚡ feeds Stage 2</t>
  </si>
  <si>
    <t xml:space="preserve">layer2.2.conv2.weight[6226] FP32 bit 18: 0.03254 → 0.03156  ⚡ feeds Stage 2</t>
  </si>
  <si>
    <t xml:space="preserve">layer2.1.conv2.weight[2588] FP32 bit 19: 0.02415 → 0.02513  ⚡ feeds Stage 2</t>
  </si>
  <si>
    <t xml:space="preserve">layer2.2.conv1.weight[7638] FP32 bit 16: -0.05485 → -0.05509  ⚡ feeds Stage 2</t>
  </si>
  <si>
    <t xml:space="preserve">layer2.0.conv2.weight[5124] FP32 bit 19: 0.009653 → 0.009164  ⚡ feeds Stage 2</t>
  </si>
  <si>
    <t xml:space="preserve">layer2.0.conv2.weight[4154] FP32 bit 22: 0.01753 → 0.02534  ⚡ feeds Stage 2</t>
  </si>
  <si>
    <t xml:space="preserve">layer2.0.conv1.weight[825] FP32 bit 17: 0.007106 → 0.007167  ⚡ feeds Stage 2</t>
  </si>
  <si>
    <t xml:space="preserve">layer2.0.conv1.weight[2290] FP32 bit 21: -0.03078 → -0.02687  ⚡ feeds Stage 2</t>
  </si>
  <si>
    <t xml:space="preserve">layer2.2.conv2.weight[7707] FP32 bit 18: 0.01239 → 0.01263  ⚡ feeds Stage 2</t>
  </si>
  <si>
    <t xml:space="preserve">layer2.0.conv2.weight[8179] FP32 bit 16: -0.06431 → -0.06382  ⚡ feeds Stage 2</t>
  </si>
  <si>
    <t xml:space="preserve">layer2.1.conv2.weight[771] FP32 bit 17: -0.1310 → -0.1291  ⚡ feeds Stage 2</t>
  </si>
  <si>
    <t xml:space="preserve">layer2.0.conv1.weight[2962] FP32 bit 17: -0.06797 → -0.06700  ⚡ feeds Stage 2</t>
  </si>
  <si>
    <t xml:space="preserve">layer2.0.conv2.weight[8573] FP32 bit 17: -0.1694 → -0.1713  ⚡ feeds Stage 2</t>
  </si>
  <si>
    <t xml:space="preserve">layer2.0.conv2.weight[7899] FP32 bit 16: 0.03327 → 0.03352  ⚡ feeds Stage 2</t>
  </si>
  <si>
    <t xml:space="preserve">layer2.1.conv1.weight[1581] FP32 bit 22: -0.08146 → -0.1127  ⚡ feeds Stage 2</t>
  </si>
  <si>
    <t xml:space="preserve">layer2.2.conv2.weight[9161] FP32 bit 21: -0.04116 → -0.03335  ⚡ feeds Stage 2</t>
  </si>
  <si>
    <t xml:space="preserve">layer2.0.conv1.weight[3286] FP32 bit 21: -0.01865 → -0.02256  ⚡ feeds Stage 2</t>
  </si>
  <si>
    <t xml:space="preserve">layer2.1.conv2.weight[1676] FP32 bit 22: 0.1081 → 0.07681  ⚡ feeds Stage 2</t>
  </si>
  <si>
    <t xml:space="preserve">layer2.1.conv1.weight[1631] FP32 bit 17: -0.08104 → -0.08202  ⚡ feeds Stage 2</t>
  </si>
  <si>
    <t xml:space="preserve">layer2.1.conv2.weight[763] FP32 bit 17: 0.07908 → 0.08006  ⚡ feeds Stage 2</t>
  </si>
  <si>
    <t xml:space="preserve">layer2.2.conv2.weight[576] FP32 bit 17: -0.007428 → -0.007367  ⚡ feeds Stage 2</t>
  </si>
  <si>
    <t xml:space="preserve">layer2.0.conv2.weight[2555] FP32 bit 20: -0.01825 → -0.01630  ⚡ feeds Stage 2</t>
  </si>
  <si>
    <t xml:space="preserve">layer2.2.conv2.weight[1463] FP32 bit 16: -0.09502 → -0.09550  ⚡ feeds Stage 2</t>
  </si>
  <si>
    <t xml:space="preserve">layer2.0.conv2.weight[3348] FP32 bit 19: -0.1587 → -0.1665  ⚡ feeds Stage 2</t>
  </si>
  <si>
    <t xml:space="preserve">layer2.0.conv1.weight[4028] FP32 bit 18: 0.06334 → 0.06529  ⚡ feeds Stage 2</t>
  </si>
  <si>
    <t xml:space="preserve">layer2.1.conv2.weight[8079] FP32 bit 16: -0.1504 → -0.1514  ⚡ feeds Stage 2</t>
  </si>
  <si>
    <t xml:space="preserve">layer2.2.conv1.weight[5460] FP32 bit 22: -0.004635 → -0.006588  ⚡ feeds Stage 2</t>
  </si>
  <si>
    <t xml:space="preserve">layer2.2.conv1.weight[2931] FP32 bit 18: 0.009141 → 0.008897  ⚡ feeds Stage 2</t>
  </si>
  <si>
    <t xml:space="preserve">layer2.0.conv2.weight[7670] FP32 bit 21: -0.03972 → -0.03191  ⚡ feeds Stage 2</t>
  </si>
  <si>
    <t xml:space="preserve">layer2.2.conv2.weight[2180] FP32 bit 16: 0.07510 → 0.07461  ⚡ feeds Stage 2</t>
  </si>
  <si>
    <t xml:space="preserve">layer2.1.conv2.weight[2842] FP32 bit 16: 0.002370 → 0.002355  ⚡ feeds Stage 2</t>
  </si>
  <si>
    <t xml:space="preserve">layer2.0.conv1.weight[2859] FP32 bit 19: -0.06969 → -0.06579  ⚡ feeds Stage 2</t>
  </si>
  <si>
    <t xml:space="preserve">layer2.2.conv2.weight[7326] FP32 bit 18: -0.07345 → -0.07150  ⚡ feeds Stage 2</t>
  </si>
  <si>
    <t xml:space="preserve">layer2.0.conv2.weight[5203] FP32 bit 20: -0.008940 → -0.007964  ⚡ feeds Stage 2</t>
  </si>
  <si>
    <t xml:space="preserve">layer2.1.conv1.weight[111] FP32 bit 19: 0.05793 → 0.05598  ⚡ feeds Stage 2</t>
  </si>
  <si>
    <t xml:space="preserve">layer2.0.conv2.weight[1402] FP32 bit 22: 0.08489 → 0.1161  ⚡ feeds Stage 2</t>
  </si>
  <si>
    <t xml:space="preserve">layer2.0.conv2.weight[3455] FP32 bit 21: -0.03335 → -0.04116  ⚡ feeds Stage 2</t>
  </si>
  <si>
    <t xml:space="preserve">layer2.1.conv2.weight[1226] FP32 bit 16: -0.04286 → -0.04261  ⚡ feeds Stage 2</t>
  </si>
  <si>
    <t xml:space="preserve">layer2.1.conv2.weight[3954] FP32 bit 22: -0.1401 → -0.2026  ⚡ feeds Stage 2</t>
  </si>
  <si>
    <t xml:space="preserve">layer2.0.conv2.weight[7545] FP32 bit 17: 0.02813 → 0.02789  ⚡ feeds Stage 2</t>
  </si>
  <si>
    <t xml:space="preserve">layer2.1.conv2.weight[6994] FP32 bit 16: -0.03490 → -0.03515  ⚡ feeds Stage 2</t>
  </si>
  <si>
    <t xml:space="preserve">layer2.0.conv2.weight[1602] FP32 bit 22: -0.09072 → -0.1220  ⚡ feeds Stage 2</t>
  </si>
  <si>
    <t xml:space="preserve">layer2.2.conv1.weight[5944] FP32 bit 19: -0.03914 → -0.04110  ⚡ feeds Stage 2</t>
  </si>
  <si>
    <t xml:space="preserve">layer2.1.conv2.weight[6367] FP32 bit 16: 0.01495 → 0.01501  ⚡ feeds Stage 2</t>
  </si>
  <si>
    <t xml:space="preserve">layer2.0.conv2.weight[4203] FP32 bit 21: 0.002173 → 0.002661  ⚡ feeds Stage 2</t>
  </si>
  <si>
    <t xml:space="preserve">layer2.0.conv2.weight[6870] FP32 bit 20: -0.003654 → -0.003898  ⚡ feeds Stage 2</t>
  </si>
  <si>
    <t xml:space="preserve">layer2.1.conv2.weight[7822] FP32 bit 16: -0.1522 → -0.1513  ⚡ feeds Stage 2</t>
  </si>
  <si>
    <t xml:space="preserve">layer2.1.conv2.weight[2518] FP32 bit 20: -0.02396 → -0.02591  ⚡ feeds Stage 2</t>
  </si>
  <si>
    <t xml:space="preserve">layer2.0.conv1.weight[22] FP32 bit 19: 0.03218 → 0.03413  ⚡ feeds Stage 2</t>
  </si>
  <si>
    <t xml:space="preserve">layer2.0.conv2.weight[8044] FP32 bit 19: -0.01287 → -0.01336  ⚡ feeds Stage 2</t>
  </si>
  <si>
    <t xml:space="preserve">layer2.2.conv1.weight[8701] FP32 bit 18: 0.02624 → 0.02575  ⚡ feeds Stage 2</t>
  </si>
  <si>
    <t xml:space="preserve">layer2.2.conv1.weight[7945] FP32 bit 22: 0.006358 → 0.004405  ⚡ feeds Stage 2</t>
  </si>
  <si>
    <t xml:space="preserve">layer2.2.conv2.weight[3161] FP32 bit 22: 0.006201 → 0.004248  ⚡ feeds Stage 2</t>
  </si>
  <si>
    <t xml:space="preserve">layer2.1.conv2.weight[1604] FP32 bit 16: -0.09155 → -0.09106  ⚡ feeds Stage 2</t>
  </si>
  <si>
    <t xml:space="preserve">layer2.1.conv2.weight[9108] FP32 bit 18: 0.1092 → 0.1073  ⚡ feeds Stage 2</t>
  </si>
  <si>
    <t xml:space="preserve">layer2.0.conv2.weight[2477] FP32 bit 18: -0.02891 → -0.02842  ⚡ feeds Stage 2</t>
  </si>
  <si>
    <t xml:space="preserve">layer2.2.conv2.weight[4863] FP32 bit 19: 0.1038 → 0.1077  ⚡ feeds Stage 2</t>
  </si>
  <si>
    <t xml:space="preserve">layer2.1.conv2.weight[5487] FP32 bit 17: 0.02937 → 0.02962  ⚡ feeds Stage 2</t>
  </si>
  <si>
    <t xml:space="preserve">layer2.1.conv2.weight[7737] FP32 bit 16: 0.1702 → 0.1711  ⚡ feeds Stage 2</t>
  </si>
  <si>
    <t xml:space="preserve">layer2.0.conv1.weight[697] FP32 bit 17: 0.01032 → 0.01044  ⚡ feeds Stage 2</t>
  </si>
  <si>
    <t xml:space="preserve">layer2.0.conv2.weight[5342] FP32 bit 19: 0.007546 → 0.007790  ⚡ feeds Stage 2</t>
  </si>
  <si>
    <t xml:space="preserve">layer2.0.conv2.weight[1192] FP32 bit 22: -0.08794 → -0.1192  ⚡ feeds Stage 2</t>
  </si>
  <si>
    <t xml:space="preserve">layer2.2.conv1.weight[4734] FP32 bit 22: 0.01763 → 0.02544  ⚡ feeds Stage 2</t>
  </si>
  <si>
    <t xml:space="preserve">layer2.2.conv2.weight[4676] FP32 bit 20: -0.1578 → -0.1734  ⚡ feeds Stage 2</t>
  </si>
  <si>
    <t xml:space="preserve">layer2.1.conv1.weight[1968] FP32 bit 21: -0.001020 → -0.001264  ⚡ feeds Stage 2</t>
  </si>
  <si>
    <t xml:space="preserve">layer2.1.conv1.weight[6469] FP32 bit 16: 0.05159 → 0.05135  ⚡ feeds Stage 2</t>
  </si>
  <si>
    <t xml:space="preserve">layer2.2.conv2.weight[7481] FP32 bit 17: 0.0004094 → 0.0004056  ⚡ feeds Stage 2</t>
  </si>
  <si>
    <t xml:space="preserve">layer2.1.conv1.weight[2097] FP32 bit 21: -0.01115 → -0.009198  ⚡ feeds Stage 2</t>
  </si>
  <si>
    <t xml:space="preserve">layer2.0.conv2.weight[5499] FP32 bit 18: -0.04311 → -0.04409  ⚡ feeds Stage 2</t>
  </si>
  <si>
    <t xml:space="preserve">layer2.0.conv2.weight[3717] FP32 bit 21: -0.02086 → -0.01696  ⚡ feeds Stage 2</t>
  </si>
  <si>
    <t xml:space="preserve">layer2.2.conv1.weight[6371] FP32 bit 17: -0.01115 → -0.01103  ⚡ feeds Stage 2</t>
  </si>
  <si>
    <t xml:space="preserve">layer2.0.conv2.weight[3535] FP32 bit 22: -0.03793 → -0.05355  ⚡ feeds Stage 2</t>
  </si>
  <si>
    <t xml:space="preserve">layer2.2.conv1.weight[5906] FP32 bit 17: 0.02040 → 0.02015  ⚡ feeds Stage 2</t>
  </si>
  <si>
    <t xml:space="preserve">layer2.1.conv2.weight[6501] FP32 bit 20: 0.03082 → 0.02886  ⚡ feeds Stage 2</t>
  </si>
  <si>
    <t xml:space="preserve">layer2.2.conv1.weight[9215] FP32 bit 20: 0.03134 → 0.03525  ⚡ feeds Stage 2</t>
  </si>
  <si>
    <t xml:space="preserve">layer2.1.conv2.weight[5122] FP32 bit 17: -0.02152 → -0.02177  ⚡ feeds Stage 2</t>
  </si>
  <si>
    <t xml:space="preserve">layer2.2.conv2.weight[8921] FP32 bit 16: -0.1415 → -0.1424  ⚡ feeds Stage 2</t>
  </si>
  <si>
    <t xml:space="preserve">layer2.1.conv2.weight[9056] FP32 bit 18: 0.03551 → 0.03648  ⚡ feeds Stage 2</t>
  </si>
  <si>
    <t xml:space="preserve">layer3.2.conv2.weight[35520] FP32 bit 5: -0.05513 → -0.05513  ⚡ feeds Stage 3</t>
  </si>
  <si>
    <t xml:space="preserve">layer3.2.conv1.weight[8500] FP32 bit 9: -0.02684 → -0.02684  ⚡ feeds Stage 3</t>
  </si>
  <si>
    <t xml:space="preserve">layer3.1.conv2.weight[36197] FP32 bit 2: 0.1268 → 0.1268  ⚡ feeds Stage 3</t>
  </si>
  <si>
    <t xml:space="preserve">layer3.1.conv1.weight[18432] FP32 bit 11: 0.03908 → 0.03909  ⚡ feeds Stage 3</t>
  </si>
  <si>
    <t xml:space="preserve">layer3.1.conv2.weight[22018] FP32 bit 5: -0.1636 → -0.1636  ⚡ feeds Stage 3</t>
  </si>
  <si>
    <t xml:space="preserve">fc.weight[463] FP32 bit 9: -0.3297 → -0.3297  ⚡ feeds Output (logits)</t>
  </si>
  <si>
    <t xml:space="preserve">layer3.0.conv2.weight[5632] FP32 bit 1: -0.006085 → -0.006085  ⚡ feeds Stage 3</t>
  </si>
  <si>
    <t xml:space="preserve">layer3.1.conv1.weight[17976] FP32 bit 1: -0.009980 → -0.009980  ⚡ feeds Stage 3</t>
  </si>
  <si>
    <t xml:space="preserve">layer3.0.conv2.weight[35349] FP32 bit 3: -0.02430 → -0.02430  ⚡ feeds Stage 3</t>
  </si>
  <si>
    <t xml:space="preserve">layer3.1.conv1.weight[27588] FP32 bit 3: -0.004220 → -0.004220  ⚡ feeds Stage 3</t>
  </si>
  <si>
    <t xml:space="preserve">layer3.1.conv1.weight[13625] FP32 bit 5: -0.008124 → -0.008124  ⚡ feeds Stage 3</t>
  </si>
  <si>
    <t xml:space="preserve">layer3.1.conv2.weight[1088] FP32 bit 8: 0.3303 → 0.3303  ⚡ feeds Stage 3</t>
  </si>
  <si>
    <t xml:space="preserve">layer3.1.conv1.weight[20759] FP32 bit 9: 0.01637 → 0.01637  ⚡ feeds Stage 3</t>
  </si>
  <si>
    <t xml:space="preserve">layer3.2.conv1.weight[7503] FP32 bit 4: 0.04198 → 0.04198  ⚡ feeds Stage 3</t>
  </si>
  <si>
    <t xml:space="preserve">layer3.1.conv2.weight[21508] FP32 bit 6: -0.07800 → -0.07800  ⚡ feeds Stage 3</t>
  </si>
  <si>
    <t xml:space="preserve">layer3.2.conv1.weight[23552] FP32 bit 1: -0.02855 → -0.02855  ⚡ feeds Stage 3</t>
  </si>
  <si>
    <t xml:space="preserve">layer3.2.conv2.weight[30229] FP32 bit 1: -0.03577 → -0.03577  ⚡ feeds Stage 3</t>
  </si>
  <si>
    <t xml:space="preserve">layer3.0.conv1.weight[13377] FP32 bit 13: -0.008727 → -0.008720  ⚡ feeds Stage 3</t>
  </si>
  <si>
    <t xml:space="preserve">layer3.1.conv1.weight[22355] FP32 bit 6: 0.01548 → 0.01548  ⚡ feeds Stage 3</t>
  </si>
  <si>
    <t xml:space="preserve">layer3.1.conv2.weight[6665] FP32 bit 2: 0.2372 → 0.2372  ⚡ feeds Stage 3</t>
  </si>
  <si>
    <t xml:space="preserve">layer3.2.conv1.weight[33776] FP32 bit 1: 0.09629 → 0.09629  ⚡ feeds Stage 3</t>
  </si>
  <si>
    <t xml:space="preserve">layer3.1.conv1.weight[21061] FP32 bit 3: 0.01821 → 0.01821  ⚡ feeds Stage 3</t>
  </si>
  <si>
    <t xml:space="preserve">layer3.2.conv1.weight[13941] FP32 bit 14: 0.01205 → 0.01204  ⚡ feeds Stage 3</t>
  </si>
  <si>
    <t xml:space="preserve">layer3.2.conv1.weight[6414] FP32 bit 5: -0.01328 → -0.01328  ⚡ feeds Stage 3</t>
  </si>
  <si>
    <t xml:space="preserve">layer3.1.conv1.weight[27104] FP32 bit 9: 0.02609 → 0.02609  ⚡ feeds Stage 3</t>
  </si>
  <si>
    <t xml:space="preserve">layer3.0.conv1.weight[2752] FP32 bit 14: 0.03470 → 0.03477  ⚡ feeds Stage 3</t>
  </si>
  <si>
    <t xml:space="preserve">layer3.1.conv2.weight[26187] FP32 bit 0: -0.1832 → -0.1832  ⚡ feeds Stage 3</t>
  </si>
  <si>
    <t xml:space="preserve">layer3.1.conv1.weight[23713] FP32 bit 5: -0.007372 → -0.007372  ⚡ feeds Stage 3</t>
  </si>
  <si>
    <t xml:space="preserve">layer3.2.conv1.weight[15898] FP32 bit 2: -0.02385 → -0.02385  ⚡ feeds Stage 3</t>
  </si>
  <si>
    <t xml:space="preserve">layer3.0.conv2.weight[8586] FP32 bit 13: 0.2118 → 0.2117  ⚡ feeds Stage 3</t>
  </si>
  <si>
    <t xml:space="preserve">layer3.0.conv2.weight[19733] FP32 bit 8: -0.003557 → -0.003557  ⚡ feeds Stage 3</t>
  </si>
  <si>
    <t xml:space="preserve">layer3.2.conv2.weight[4228] FP32 bit 7: -0.07022 → -0.07022  ⚡ feeds Stage 3</t>
  </si>
  <si>
    <t xml:space="preserve">layer3.2.conv2.weight[22205] FP32 bit 3: -0.1100 → -0.1100  ⚡ feeds Stage 3</t>
  </si>
  <si>
    <t xml:space="preserve">layer3.2.conv1.weight[33047] FP32 bit 4: 0.05286 → 0.05286  ⚡ feeds Stage 3</t>
  </si>
  <si>
    <t xml:space="preserve">layer3.0.conv2.weight[14817] FP32 bit 11: -0.08387 → -0.08389  ⚡ feeds Stage 3</t>
  </si>
  <si>
    <t xml:space="preserve">layer3.1.conv2.weight[29539] FP32 bit 6: -0.3143 → -0.3143  ⚡ feeds Stage 3</t>
  </si>
  <si>
    <t xml:space="preserve">layer3.0.conv2.weight[16275] FP32 bit 3: -0.1060 → -0.1060  ⚡ feeds Stage 3</t>
  </si>
  <si>
    <t xml:space="preserve">layer3.2.conv2.weight[18932] FP32 bit 13: 0.3764 → 0.3762  ⚡ feeds Stage 3</t>
  </si>
  <si>
    <t xml:space="preserve">layer3.2.conv2.weight[18746] FP32 bit 9: 0.05451 → 0.05451  ⚡ feeds Stage 3</t>
  </si>
  <si>
    <t xml:space="preserve">layer3.1.conv2.weight[26166] FP32 bit 3: -0.08715 → -0.08715  ⚡ feeds Stage 3</t>
  </si>
  <si>
    <t xml:space="preserve">layer3.2.conv1.weight[4743] FP32 bit 8: -0.02115 → -0.02115  ⚡ feeds Stage 3</t>
  </si>
  <si>
    <t xml:space="preserve">layer3.0.conv1.weight[16271] FP32 bit 5: -0.002319 → -0.002319  ⚡ feeds Stage 3</t>
  </si>
  <si>
    <t xml:space="preserve">layer3.1.conv1.weight[7511] FP32 bit 13: -0.02936 → -0.02938  ⚡ feeds Stage 3</t>
  </si>
  <si>
    <t xml:space="preserve">layer3.0.conv2.weight[4161] FP32 bit 8: -0.03244 → -0.03243  ⚡ feeds Stage 3</t>
  </si>
  <si>
    <t xml:space="preserve">layer3.0.conv2.weight[6157] FP32 bit 7: -0.0007197 → -0.0007197  ⚡ feeds Stage 3</t>
  </si>
  <si>
    <t xml:space="preserve">layer3.2.conv1.weight[12742] FP32 bit 11: -0.002318 → -0.002318  ⚡ feeds Stage 3</t>
  </si>
  <si>
    <t xml:space="preserve">layer3.2.conv2.weight[6536] FP32 bit 1: 0.03115 → 0.03115  ⚡ feeds Stage 3</t>
  </si>
  <si>
    <t xml:space="preserve">layer3.1.conv2.weight[13034] FP32 bit 1: 0.03081 → 0.03081  ⚡ feeds Stage 3</t>
  </si>
  <si>
    <t xml:space="preserve">layer3.1.conv2.weight[3789] FP32 bit 13: -0.09430 → -0.09424  ⚡ feeds Stage 3</t>
  </si>
  <si>
    <t xml:space="preserve">layer3.0.conv1.weight[14754] FP32 bit 12: -0.03253 → -0.03251  ⚡ feeds Stage 3</t>
  </si>
  <si>
    <t xml:space="preserve">layer3.0.conv2.weight[1521] FP32 bit 9: -0.09095 → -0.09095  ⚡ feeds Stage 3</t>
  </si>
  <si>
    <t xml:space="preserve">layer3.1.conv2.weight[31603] FP32 bit 12: -0.09593 → -0.09590  ⚡ feeds Stage 3</t>
  </si>
  <si>
    <t xml:space="preserve">layer3.0.conv1.weight[11420] FP32 bit 4: 0.007834 → 0.007834  ⚡ feeds Stage 3</t>
  </si>
  <si>
    <t xml:space="preserve">layer3.0.conv1.weight[7209] FP32 bit 0: -0.03032 → -0.03032  ⚡ feeds Stage 3</t>
  </si>
  <si>
    <t xml:space="preserve">layer3.2.conv2.weight[19686] FP32 bit 13: -0.1920 → -0.1919  ⚡ feeds Stage 3</t>
  </si>
  <si>
    <t xml:space="preserve">layer3.1.conv2.weight[8339] FP32 bit 12: -0.1773 → -0.1773  ⚡ feeds Stage 3</t>
  </si>
  <si>
    <t xml:space="preserve">layer3.1.conv2.weight[27866] FP32 bit 14: 0.1354 → 0.1356  ⚡ feeds Stage 3</t>
  </si>
  <si>
    <t xml:space="preserve">layer3.2.conv2.weight[20870] FP32 bit 1: -0.1159 → -0.1159  ⚡ feeds Stage 3</t>
  </si>
  <si>
    <t xml:space="preserve">layer3.1.conv2.weight[34151] FP32 bit 2: 0.09900 → 0.09900  ⚡ feeds Stage 3</t>
  </si>
  <si>
    <t xml:space="preserve">layer3.2.conv2.weight[9152] FP32 bit 13: -0.1652 → -0.1651  ⚡ feeds Stage 3</t>
  </si>
  <si>
    <t xml:space="preserve">layer3.1.conv1.weight[2275] FP32 bit 1: -0.02210 → -0.02210  ⚡ feeds Stage 3</t>
  </si>
  <si>
    <t xml:space="preserve">layer3.0.conv2.weight[15327] FP32 bit 8: -0.03408 → -0.03408  ⚡ feeds Stage 3</t>
  </si>
  <si>
    <t xml:space="preserve">layer3.2.conv2.weight[4824] FP32 bit 3: 0.04694 → 0.04694  ⚡ feeds Stage 3</t>
  </si>
  <si>
    <t xml:space="preserve">layer3.1.conv1.weight[33594] FP32 bit 11: -0.01762 → -0.01763  ⚡ feeds Stage 3</t>
  </si>
  <si>
    <t xml:space="preserve">layer3.1.conv2.weight[27520] FP32 bit 6: -0.1791 → -0.1791  ⚡ feeds Stage 3</t>
  </si>
  <si>
    <t xml:space="preserve">layer3.1.conv1.weight[29743] FP32 bit 14: 0.0007062 → 0.0007072  ⚡ feeds Stage 3</t>
  </si>
  <si>
    <t xml:space="preserve">layer3.0.conv2.weight[28159] FP32 bit 15: 0.04084 → 0.04096  ⚡ feeds Stage 3</t>
  </si>
  <si>
    <t xml:space="preserve">layer3.2.conv2.weight[6284] FP32 bit 1: 0.2639 → 0.2639  ⚡ feeds Stage 3</t>
  </si>
  <si>
    <t xml:space="preserve">layer3.1.conv2.weight[24355] FP32 bit 4: 0.03230 → 0.03230  ⚡ feeds Stage 3</t>
  </si>
  <si>
    <t xml:space="preserve">layer3.0.conv1.weight[11889] FP32 bit 12: -0.00008446 → -0.00008443  ⚡ feeds Stage 3</t>
  </si>
  <si>
    <t xml:space="preserve">layer3.0.conv1.weight[12459] FP32 bit 14: -0.07686 → -0.07674  ⚡ feeds Stage 3</t>
  </si>
  <si>
    <t xml:space="preserve">layer3.2.conv2.weight[14094] FP32 bit 6: -0.07252 → -0.07252  ⚡ feeds Stage 3</t>
  </si>
  <si>
    <t xml:space="preserve">layer3.1.conv1.weight[33223] FP32 bit 11: -0.006706 → -0.006705  ⚡ feeds Stage 3</t>
  </si>
  <si>
    <t xml:space="preserve">layer3.0.conv2.weight[17832] FP32 bit 9: 0.004790 → 0.004790  ⚡ feeds Stage 3</t>
  </si>
  <si>
    <t xml:space="preserve">layer3.1.conv1.weight[12092] FP32 bit 8: -0.01831 → -0.01832  ⚡ feeds Stage 3</t>
  </si>
  <si>
    <t xml:space="preserve">layer3.0.conv2.weight[30241] FP32 bit 15: 0.02474 → 0.02467  ⚡ feeds Stage 3</t>
  </si>
  <si>
    <t xml:space="preserve">layer3.2.conv2.weight[11127] FP32 bit 8: -0.05569 → -0.05569  ⚡ feeds Stage 3</t>
  </si>
  <si>
    <t xml:space="preserve">layer3.1.conv2.weight[35282] FP32 bit 8: -0.02365 → -0.02365  ⚡ feeds Stage 3</t>
  </si>
  <si>
    <t xml:space="preserve">layer3.0.conv2.weight[32953] FP32 bit 2: -0.03680 → -0.03680  ⚡ feeds Stage 3</t>
  </si>
  <si>
    <t xml:space="preserve">layer3.1.conv1.weight[31425] FP32 bit 7: -0.05149 → -0.05149  ⚡ feeds Stage 3</t>
  </si>
  <si>
    <t xml:space="preserve">layer3.0.conv2.weight[3169] FP32 bit 12: -0.005031 → -0.005029  ⚡ feeds Stage 3</t>
  </si>
  <si>
    <t xml:space="preserve">layer3.0.conv2.weight[19289] FP32 bit 15: -0.03918 → -0.03930  ⚡ feeds Stage 3</t>
  </si>
  <si>
    <t xml:space="preserve">layer3.2.conv2.weight[12226] FP32 bit 11: 0.1521 → 0.1521  ⚡ feeds Stage 3</t>
  </si>
  <si>
    <t xml:space="preserve">layer3.0.conv1.weight[18371] FP32 bit 13: -0.007946 → -0.007938  ⚡ feeds Stage 3</t>
  </si>
  <si>
    <t xml:space="preserve">layer3.2.conv2.weight[31508] FP32 bit 3: 0.1657 → 0.1657  ⚡ feeds Stage 3</t>
  </si>
  <si>
    <t xml:space="preserve">layer3.2.conv2.weight[10747] FP32 bit 1: -0.0009552 → -0.0009552  ⚡ feeds Stage 3</t>
  </si>
  <si>
    <t xml:space="preserve">layer3.2.conv2.weight[13622] FP32 bit 15: -0.05043 → -0.05031  ⚡ feeds Stage 3</t>
  </si>
  <si>
    <t xml:space="preserve">layer3.2.conv1.weight[27153] FP32 bit 2: -0.01041 → -0.01041  ⚡ feeds Stage 3</t>
  </si>
  <si>
    <t xml:space="preserve">layer3.2.conv2.weight[33956] FP32 bit 14: -0.05153 → -0.05159  ⚡ feeds Stage 3</t>
  </si>
  <si>
    <t xml:space="preserve">layer3.2.conv1.weight[12768] FP32 bit 0: -0.0008221 → -0.0008221  ⚡ feeds Stage 3</t>
  </si>
  <si>
    <t xml:space="preserve">layer3.1.conv1.weight[8543] FP32 bit 4: 0.04249 → 0.04249  ⚡ feeds Stage 3</t>
  </si>
  <si>
    <t xml:space="preserve">layer3.1.conv1.weight[17709] FP32 bit 8: 0.02409 → 0.02409  ⚡ feeds Stage 3</t>
  </si>
  <si>
    <t xml:space="preserve">layer3.1.conv1.weight[4828] FP32 bit 5: -0.02200 → -0.02200  ⚡ feeds Stage 3</t>
  </si>
  <si>
    <t xml:space="preserve">layer3.0.conv2.weight[14865] FP32 bit 2: -0.05517 → -0.05517  ⚡ feeds Stage 3</t>
  </si>
  <si>
    <t xml:space="preserve">layer3.0.conv2.weight[24058] FP32 bit 8: -0.02919 → -0.02919  ⚡ feeds Stage 3</t>
  </si>
  <si>
    <t xml:space="preserve">layer3.2.conv2.weight[31884] FP32 bit 14: -0.2378 → -0.2375  ⚡ feeds Stage 3</t>
  </si>
  <si>
    <t xml:space="preserve">layer3.0.conv2.weight[16136] FP32 bit 6: -0.09137 → -0.09137  ⚡ feeds Stage 3</t>
  </si>
  <si>
    <t xml:space="preserve">layer3.2.conv2.weight[34795] FP32 bit 6: 0.1772 → 0.1772  ⚡ feeds Stage 3</t>
  </si>
  <si>
    <t xml:space="preserve">layer3.1.conv2.weight[728] FP32 bit 5: -0.07321 → -0.07321  ⚡ feeds Stage 3</t>
  </si>
  <si>
    <t xml:space="preserve">layer3.2.conv2.weight[35830] FP32 bit 6: -0.08813 → -0.08814  ⚡ feeds Stage 3</t>
  </si>
  <si>
    <t xml:space="preserve">layer3.1.conv2.weight[6668] FP32 bit 5: 0.01994 → 0.01994  ⚡ feeds Stage 3</t>
  </si>
  <si>
    <t xml:space="preserve">layer3.0.conv1.weight[15138] FP32 bit 10: 0.001046 → 0.001047  ⚡ feeds Stage 3</t>
  </si>
  <si>
    <t xml:space="preserve">layer3.2.conv1.weight[33654] FP32 bit 10: -0.03677 → -0.03678  ⚡ feeds Stage 3</t>
  </si>
  <si>
    <t xml:space="preserve">layer3.1.conv1.weight[14506] FP32 bit 9: 0.01047 → 0.01047  ⚡ feeds Stage 3</t>
  </si>
  <si>
    <t xml:space="preserve">layer3.2.conv2.weight[23007] FP32 bit 1: 0.004979 → 0.004979  ⚡ feeds Stage 3</t>
  </si>
  <si>
    <t xml:space="preserve">layer3.0.conv2.weight[34057] FP32 bit 13: -0.03746 → -0.03743  ⚡ feeds Stage 3</t>
  </si>
  <si>
    <t xml:space="preserve">layer3.1.conv2.weight[28988] FP32 bit 6: -0.08689 → -0.08689  ⚡ feeds Stage 3</t>
  </si>
  <si>
    <t xml:space="preserve">layer3.1.conv1.weight[14702] FP32 bit 11: -0.06705 → -0.06703  ⚡ feeds Stage 3</t>
  </si>
  <si>
    <t xml:space="preserve">layer3.1.conv1.weight[15731] FP32 bit 11: -0.04222 → -0.04221  ⚡ feeds Stage 3</t>
  </si>
  <si>
    <t xml:space="preserve">layer3.0.conv1.weight[769] FP32 bit 9: -0.03051 → -0.03051  ⚡ feeds Stage 3</t>
  </si>
  <si>
    <t xml:space="preserve">layer3.1.conv2.weight[18336] FP32 bit 8: -0.1281 → -0.1281  ⚡ feeds Stage 3</t>
  </si>
  <si>
    <t xml:space="preserve">layer3.2.conv2.weight[20427] FP32 bit 0: 0.2393 → 0.2393  ⚡ feeds Stage 3</t>
  </si>
  <si>
    <t xml:space="preserve">layer3.1.conv2.weight[13950] FP32 bit 7: 0.02233 → 0.02233  ⚡ feeds Stage 3</t>
  </si>
  <si>
    <t xml:space="preserve">layer3.0.conv1.weight[1680] FP32 bit 12: -0.02513 → -0.02512  ⚡ feeds Stage 3</t>
  </si>
  <si>
    <t xml:space="preserve">layer3.0.conv2.weight[16835] FP32 bit 2: 0.006538 → 0.006538  ⚡ feeds Stage 3</t>
  </si>
  <si>
    <t xml:space="preserve">layer3.2.conv2.weight[34919] FP32 bit 12: 0.0008364 → 0.0008367  ⚡ feeds Stage 3</t>
  </si>
  <si>
    <t xml:space="preserve">layer3.2.conv2.weight[24482] FP32 bit 4: 0.1969 → 0.1969  ⚡ feeds Stage 3</t>
  </si>
  <si>
    <t xml:space="preserve">layer3.0.conv1.weight[9561] FP32 bit 3: -0.02569 → -0.02569  ⚡ feeds Stage 3</t>
  </si>
  <si>
    <t xml:space="preserve">layer3.2.conv2.weight[10102] FP32 bit 9: 0.05205 → 0.05205  ⚡ feeds Stage 3</t>
  </si>
  <si>
    <t xml:space="preserve">layer3.1.conv1.weight[30657] FP32 bit 10: -0.01453 → -0.01453  ⚡ feeds Stage 3</t>
  </si>
  <si>
    <t xml:space="preserve">layer3.0.conv2.weight[14906] FP32 bit 12: 0.03796 → 0.03794  ⚡ feeds Stage 3</t>
  </si>
  <si>
    <t xml:space="preserve">layer3.0.conv2.weight[16464] FP32 bit 4: -0.08105 → -0.08105  ⚡ feeds Stage 3</t>
  </si>
  <si>
    <t xml:space="preserve">layer3.1.conv1.weight[19475] FP32 bit 9: -0.04758 → -0.04758  ⚡ feeds Stage 3</t>
  </si>
  <si>
    <t xml:space="preserve">layer3.2.conv1.weight[15575] FP32 bit 14: -0.006222 → -0.006215  ⚡ feeds Stage 3</t>
  </si>
  <si>
    <t xml:space="preserve">layer3.1.conv1.weight[35074] FP32 bit 7: 0.03252 → 0.03252  ⚡ feeds Stage 3</t>
  </si>
  <si>
    <t xml:space="preserve">layer3.1.conv1.weight[23507] FP32 bit 2: -0.02440 → -0.02440  ⚡ feeds Stage 3</t>
  </si>
  <si>
    <t xml:space="preserve">layer3.2.conv1.weight[24603] FP32 bit 12: -0.005828 → -0.005826  ⚡ feeds Stage 3</t>
  </si>
  <si>
    <t xml:space="preserve">layer3.1.conv2.weight[34994] FP32 bit 10: -0.05905 → -0.05906  ⚡ feeds Stage 3</t>
  </si>
  <si>
    <t xml:space="preserve">layer3.2.conv2.weight[30336] FP32 bit 6: -0.1480 → -0.1480  ⚡ feeds Stage 3</t>
  </si>
  <si>
    <t xml:space="preserve">layer3.1.conv1.weight[31066] FP32 bit 1: 0.01611 → 0.01611  ⚡ feeds Stage 3</t>
  </si>
  <si>
    <t xml:space="preserve">layer3.2.conv1.weight[8818] FP32 bit 4: -0.02561 → -0.02561  ⚡ feeds Stage 3</t>
  </si>
  <si>
    <t xml:space="preserve">layer3.1.conv1.weight[32757] FP32 bit 3: -0.03104 → -0.03104  ⚡ feeds Stage 3</t>
  </si>
  <si>
    <t xml:space="preserve">layer3.2.conv1.weight[1076] FP32 bit 0: -0.01114 → -0.01114  ⚡ feeds Stage 3</t>
  </si>
  <si>
    <t xml:space="preserve">layer3.2.conv2.weight[33887] FP32 bit 1: 0.1086 → 0.1086  ⚡ feeds Stage 3</t>
  </si>
  <si>
    <t xml:space="preserve">layer3.0.conv2.weight[3446] FP32 bit 0: -0.1214 → -0.1214  ⚡ feeds Stage 3</t>
  </si>
  <si>
    <t xml:space="preserve">layer3.2.conv1.weight[25280] FP32 bit 2: 0.03763 → 0.03763  ⚡ feeds Stage 3</t>
  </si>
  <si>
    <t xml:space="preserve">layer3.1.conv1.weight[6926] FP32 bit 7: -0.02699 → -0.02699  ⚡ feeds Stage 3</t>
  </si>
  <si>
    <t xml:space="preserve">layer3.2.conv2.weight[27128] FP32 bit 8: 0.05294 → 0.05294  ⚡ feeds Stage 3</t>
  </si>
  <si>
    <t xml:space="preserve">layer3.1.conv1.weight[27565] FP32 bit 8: -0.02576 → -0.02576  ⚡ feeds Stage 3</t>
  </si>
  <si>
    <t xml:space="preserve">layer3.1.conv1.weight[2895] FP32 bit 13: 0.02398 → 0.02397  ⚡ feeds Stage 3</t>
  </si>
  <si>
    <t xml:space="preserve">layer3.2.conv2.weight[7299] FP32 bit 6: -0.03290 → -0.03290  ⚡ feeds Stage 3</t>
  </si>
  <si>
    <t xml:space="preserve">layer3.1.conv1.weight[12636] FP32 bit 1: 0.04598 → 0.04598  ⚡ feeds Stage 3</t>
  </si>
  <si>
    <t xml:space="preserve">layer3.2.conv1.weight[29280] FP32 bit 12: -0.01045 → -0.01045  ⚡ feeds Stage 3</t>
  </si>
  <si>
    <t xml:space="preserve">layer3.2.conv1.weight[10643] FP32 bit 9: -0.02281 → -0.02281  ⚡ feeds Stage 3</t>
  </si>
  <si>
    <t xml:space="preserve">layer3.0.conv2.weight[19875] FP32 bit 10: -0.05989 → -0.05988  ⚡ feeds Stage 3</t>
  </si>
  <si>
    <t xml:space="preserve">layer3.1.conv2.weight[26245] FP32 bit 8: 0.05231 → 0.05231  ⚡ feeds Stage 3</t>
  </si>
  <si>
    <t xml:space="preserve">layer3.1.conv2.weight[7676] FP32 bit 15: 0.03903 → 0.03891  ⚡ feeds Stage 3</t>
  </si>
  <si>
    <t xml:space="preserve">layer3.1.conv2.weight[2835] FP32 bit 1: -0.03435 → -0.03435  ⚡ feeds Stage 3</t>
  </si>
  <si>
    <t xml:space="preserve">layer3.2.conv2.weight[24278] FP32 bit 14: -0.2604 → -0.2599  ⚡ feeds Stage 3</t>
  </si>
  <si>
    <t xml:space="preserve">layer3.1.conv1.weight[30924] FP32 bit 1: -0.03684 → -0.03684  ⚡ feeds Stage 3</t>
  </si>
  <si>
    <t xml:space="preserve">layer3.2.conv1.weight[17692] FP32 bit 11: -0.006382 → -0.006383  ⚡ feeds Stage 3</t>
  </si>
  <si>
    <t xml:space="preserve">layer3.1.conv2.weight[9275] FP32 bit 12: 0.1723 → 0.1723  ⚡ feeds Stage 3</t>
  </si>
  <si>
    <t xml:space="preserve">layer3.1.conv1.weight[21257] FP32 bit 8: 0.006882 → 0.006882  ⚡ feeds Stage 3</t>
  </si>
  <si>
    <t xml:space="preserve">layer3.0.conv2.weight[29404] FP32 bit 2: -0.02941 → -0.02941  ⚡ feeds Stage 3</t>
  </si>
  <si>
    <t xml:space="preserve">layer3.1.conv2.weight[20264] FP32 bit 9: 0.04697 → 0.04697  ⚡ feeds Stage 3</t>
  </si>
  <si>
    <t xml:space="preserve">layer3.2.conv1.weight[26580] FP32 bit 10: -0.01251 → -0.01251  ⚡ feeds Stage 3</t>
  </si>
  <si>
    <t xml:space="preserve">layer3.0.conv2.weight[8238] FP32 bit 8: 0.01311 → 0.01311  ⚡ feeds Stage 3</t>
  </si>
  <si>
    <t xml:space="preserve">layer3.0.conv2.weight[16618] FP32 bit 7: -0.1417 → -0.1417  ⚡ feeds Stage 3</t>
  </si>
  <si>
    <t xml:space="preserve">layer3.1.conv1.weight[4088] FP32 bit 8: -0.01246 → -0.01246  ⚡ feeds Stage 3</t>
  </si>
  <si>
    <t xml:space="preserve">layer3.2.conv1.weight[34042] FP32 bit 10: -0.02947 → -0.02947  ⚡ feeds Stage 3</t>
  </si>
  <si>
    <t xml:space="preserve">layer1.2.conv1.weight[108] INT8 bit 7: 0.01323 → -0.1749 (code 9 → -119)  ⚡ feeds Stage 1</t>
  </si>
  <si>
    <t xml:space="preserve">layer1.2.conv1.weight[1629] INT8 bit 7: 0.02286 → -0.2022 (code 13 → -115)  ⚡ feeds Stage 1</t>
  </si>
  <si>
    <t xml:space="preserve">layer1.0.conv1.weight[1827] INT8 bit 7: -0.02787 → 0.08361 (code -32 → 96)  ⚡ feeds Stage 1</t>
  </si>
  <si>
    <t xml:space="preserve">layer1.0.conv2.weight[426] INT8 bit 7: -0.02069 → 0.06473 (code -31 → 97)  ⚡ feeds Stage 1</t>
  </si>
  <si>
    <t xml:space="preserve">layer1.1.conv2.weight[1070] INT8 bit 7: 0.002518 → -0.1586 (code 2 → -126)  ⚡ feeds Stage 1</t>
  </si>
  <si>
    <t xml:space="preserve">layer1.1.conv2.weight[2191] INT8 bit 7: -0.1459 → 0.02702 (code -108 → 20)  ⚡ feeds Stage 1</t>
  </si>
  <si>
    <t xml:space="preserve">layer1.2.conv2.weight[1678] INT8 bit 7: -0.01610 → 0.3961 (code -5 → 123)  ⚡ feeds Stage 1</t>
  </si>
  <si>
    <t xml:space="preserve">layer1.0.conv1.weight[2142] INT8 bit 7: -0.08495 → 0.2446 (code -33 → 95)  ⚡ feeds Stage 1</t>
  </si>
  <si>
    <t xml:space="preserve">layer1.2.conv1.weight[2242] INT8 bit 7: -0.05868 → 0.1622 (code -34 → 94)  ⚡ feeds Stage 1</t>
  </si>
  <si>
    <t xml:space="preserve">layer1.0.conv2.weight[817] INT8 bit 7: -0.06031 → 0.1280 (code -41 → 87)  ⚡ feeds Stage 1</t>
  </si>
  <si>
    <t xml:space="preserve">layer1.1.conv1.weight[891] INT8 bit 7: -0.02307 → 0.1878 (code -14 → 114)  ⚡ feeds Stage 1</t>
  </si>
  <si>
    <t xml:space="preserve">layer1.1.conv1.weight[1130] INT8 bit 7: 0.01148 → -0.1518 (code 9 → -119)  ⚡ feeds Stage 1</t>
  </si>
  <si>
    <t xml:space="preserve">conv1.weight[126] INT8 bit 7: -0.008084 → 0.08598 (code -11 → 117)  ⚡ feeds Stem</t>
  </si>
  <si>
    <t xml:space="preserve">layer1.0.conv1.weight[586] INT8 bit 7: 0.009907 → -0.2437 (code 5 → -123)  ⚡ feeds Stage 1</t>
  </si>
  <si>
    <t xml:space="preserve">layer1.1.conv1.weight[1801] INT8 bit 7: 0.009648 → -0.2373 (code 5 → -123)  ⚡ feeds Stage 1</t>
  </si>
  <si>
    <t xml:space="preserve">layer1.0.conv1.weight[364] INT8 bit 7: 0.3744 → -0.2030 (code 83 → -45)  ⚡ feeds Stage 1</t>
  </si>
  <si>
    <t xml:space="preserve">layer1.1.conv2.weight[270] INT8 bit 7: -0.1831 → 0.5981 (code -30 → 98)  ⚡ feeds Stage 1</t>
  </si>
  <si>
    <t xml:space="preserve">layer1.0.conv1.weight[1763] INT8 bit 7: 0.05487 → -0.05661 (code 63 → -65)  ⚡ feeds Stage 1</t>
  </si>
  <si>
    <t xml:space="preserve">layer1.0.conv1.weight[826] INT8 bit 7: -0.004061 → 0.1692 (code -3 → 125)  ⚡ feeds Stage 1</t>
  </si>
  <si>
    <t xml:space="preserve">layer1.1.conv2.weight[451] INT8 bit 7: 0.1121 → -0.2654 (code 38 → -90)  ⚡ feeds Stage 1</t>
  </si>
  <si>
    <t xml:space="preserve">layer1.0.conv1.weight[2020] INT8 bit 7: -0.1622 → 0.1673 (code -63 → 65)  ⚡ feeds Stage 1</t>
  </si>
  <si>
    <t xml:space="preserve">layer1.2.conv1.weight[1655] INT8 bit 7: -0.008793 → 0.2163 (code -5 → 123)  ⚡ feeds Stage 1</t>
  </si>
  <si>
    <t xml:space="preserve">layer1.1.conv1.weight[739] INT8 bit 7: -0.04749 → 0.1486 (code -31 → 97)  ⚡ feeds Stage 1</t>
  </si>
  <si>
    <t xml:space="preserve">layer1.0.conv1.weight[1467] INT8 bit 7: -0.1388 → 0.08609 (code -79 → 49)  ⚡ feeds Stage 1</t>
  </si>
  <si>
    <t xml:space="preserve">layer1.2.conv1.weight[1348] INT8 bit 7: -0.001913 → 0.2430 (code -1 → 127)  ⚡ feeds Stage 1</t>
  </si>
  <si>
    <t xml:space="preserve">layer1.0.conv1.weight[1866] INT8 bit 7: 0.02874 → -0.08273 (code 33 → -95)  ⚡ feeds Stage 1</t>
  </si>
  <si>
    <t xml:space="preserve">layer1.0.conv1.weight[619] INT8 bit 7: 0.007926 → -0.2457 (code 4 → -124)  ⚡ feeds Stage 1</t>
  </si>
  <si>
    <t xml:space="preserve">layer1.1.conv1.weight[1664] INT8 bit 7: -0.04119 → 0.1541 (code -27 → 101)  ⚡ feeds Stage 1</t>
  </si>
  <si>
    <t xml:space="preserve">layer1.2.conv1.weight[1263] INT8 bit 7: 0.01439 → -0.1903 (code 9 → -119)  ⚡ feeds Stage 1</t>
  </si>
  <si>
    <t xml:space="preserve">layer1.2.conv2.weight[1631] INT8 bit 7: -0.03542 → 0.3768 (code -11 → 117)  ⚡ feeds Stage 1</t>
  </si>
  <si>
    <t xml:space="preserve">layer1.0.conv1.weight[679] INT8 bit 7: -0.02972 → 0.2239 (code -15 → 113)  ⚡ feeds Stage 1</t>
  </si>
  <si>
    <t xml:space="preserve">layer1.2.conv1.weight[1668] INT8 bit 7: -0.05979 → 0.1653 (code -34 → 94)  ⚡ feeds Stage 1</t>
  </si>
  <si>
    <t xml:space="preserve">layer1.2.conv1.weight[799] INT8 bit 7: -0.007977 → 0.1379 (code -7 → 121)  ⚡ feeds Stage 1</t>
  </si>
  <si>
    <t xml:space="preserve">layer1.0.conv2.weight[1999] INT8 bit 7: 0.007967 → -0.1960 (code 5 → -123)  ⚡ feeds Stage 1</t>
  </si>
  <si>
    <t xml:space="preserve">layer1.1.conv2.weight[2245] INT8 bit 7: -0.05808 → 0.1148 (code -43 → 85)  ⚡ feeds Stage 1</t>
  </si>
  <si>
    <t xml:space="preserve">layer1.0.conv1.weight[290] INT8 bit 7: -0.02256 → 0.5549 (code -5 → 123)  ⚡ feeds Stage 1</t>
  </si>
  <si>
    <t xml:space="preserve">layer1.0.conv2.weight[1340] INT8 bit 7: 0.006553 → -0.1133 (code 7 → -121)  ⚡ feeds Stage 1</t>
  </si>
  <si>
    <t xml:space="preserve">layer1.1.conv1.weight[204] INT8 bit 7: -0.09766 → 0.03971 (code -91 → 37)  ⚡ feeds Stage 1</t>
  </si>
  <si>
    <t xml:space="preserve">layer1.1.conv1.weight[314] INT8 bit 7: -0.09431 → 0.1625 (code -47 → 81)  ⚡ feeds Stage 1</t>
  </si>
  <si>
    <t xml:space="preserve">layer1.2.conv1.weight[91] INT8 bit 7: -0.06760 → 0.1205 (code -46 → 82)  ⚡ feeds Stage 1</t>
  </si>
  <si>
    <t xml:space="preserve">layer3.0.conv1.weight[3120] INT8 bit 6: 0.001041 → 0.06764 (code 1 → 65)  ⚡ feeds Stage 3</t>
  </si>
  <si>
    <t xml:space="preserve">layer3.1.conv2.weight[28433] INT8 bit 6: -0.1713 → -0.3637 (code -57 → -121)  ⚡ feeds Stage 3</t>
  </si>
  <si>
    <t xml:space="preserve">layer3.2.conv1.weight[25862] INT8 bit 6: -0.009486 → -0.04144 (code -19 → -83)  ⚡ feeds Stage 3</t>
  </si>
  <si>
    <t xml:space="preserve">layer3.0.conv2.weight[16482] INT8 bit 6: -0.1619 → -0.3612 (code -52 → -116)  ⚡ feeds Stage 3</t>
  </si>
  <si>
    <t xml:space="preserve">layer3.0.conv1.weight[872] INT8 bit 6: -0.03937 → -0.09415 (code -46 → -110)  ⚡ feeds Stage 3</t>
  </si>
  <si>
    <t xml:space="preserve">layer3.1.conv2.weight[32511] INT8 bit 6: -0.07585 → -0.2965 (code -22 → -86)  ⚡ feeds Stage 3</t>
  </si>
  <si>
    <t xml:space="preserve">layer3.1.conv1.weight[10904] INT8 bit 6: 0.02462 → 0.07238 (code 33 → 97)  ⚡ feeds Stage 3</t>
  </si>
  <si>
    <t xml:space="preserve">layer3.0.conv1.weight[6931] INT8 bit 6: 0.02860 → 0.08579 (code 32 → 96)  ⚡ feeds Stage 3</t>
  </si>
  <si>
    <t xml:space="preserve">layer3.1.conv2.weight[33155] INT8 bit 6: 0.07131 → 0.2615 (code 24 → 88)  ⚡ feeds Stage 3</t>
  </si>
  <si>
    <t xml:space="preserve">layer3.1.conv1.weight[23881] INT8 bit 6: 0.01777 → 0.06327 (code 25 → 89)  ⚡ feeds Stage 3</t>
  </si>
  <si>
    <t xml:space="preserve">layer3.1.conv1.weight[31439] INT8 bit 6: 0.005149 → 0.05222 (code 7 → 71)  ⚡ feeds Stage 3</t>
  </si>
  <si>
    <t xml:space="preserve">layer3.2.conv2.weight[30342] INT8 bit 6: 0.1005 → 0.3802 (code 23 → 87)  ⚡ feeds Stage 3</t>
  </si>
  <si>
    <t xml:space="preserve">layer3.1.conv2.weight[36285] INT8 bit 6: -0.05491 → -0.2616 (code -17 → -81)  ⚡ feeds Stage 3</t>
  </si>
  <si>
    <t xml:space="preserve">layer3.2.conv1.weight[31712] INT8 bit 6: -0.02593 → -0.06124 (code -47 → -111)  ⚡ feeds Stage 3</t>
  </si>
  <si>
    <t xml:space="preserve">fc.weight[198] INT8 bit 6: 0.6012 → 1.288 (code 56 → 120)  ⚡ feeds Output (logits)</t>
  </si>
  <si>
    <t xml:space="preserve">layer3.1.conv2.weight[6327] INT8 bit 6: -0.1617 → -0.3499 (code -55 → -119)  ⚡ feeds Stage 3</t>
  </si>
  <si>
    <t xml:space="preserve">layer3.2.conv2.weight[10521] INT8 bit 6: 0.2637 → 0.004057 (code 65 → 1)  ⚡ feeds Stage 3</t>
  </si>
  <si>
    <t xml:space="preserve">layer3.1.conv1.weight[30668] INT8 bit 6: -0.01564 → -0.06330 (code -21 → -85)  ⚡ feeds Stage 3</t>
  </si>
  <si>
    <t xml:space="preserve">layer3.1.conv2.weight[15480] INT8 bit 6: -0.03787 → -0.2243 (code -13 → -77)  ⚡ feeds Stage 3</t>
  </si>
  <si>
    <t xml:space="preserve">layer3.1.conv1.weight[26471] INT8 bit 6: -0.01727 → -0.06991 (code -21 → -85)  ⚡ feeds Stage 3</t>
  </si>
  <si>
    <t xml:space="preserve">layer3.0.conv1.weight[15252] INT8 bit 6: -0.04163 → -0.09601 (code -49 → -113)  ⚡ feeds Stage 3</t>
  </si>
  <si>
    <t xml:space="preserve">layer3.1.conv1.weight[22069] INT8 bit 6: -0.04183 → -0.08721 (code -59 → -123)  ⚡ feeds Stage 3</t>
  </si>
  <si>
    <t xml:space="preserve">layer3.1.conv1.weight[24066] INT8 bit 6: 0.03697 → 0.08246 (code 52 → 116)  ⚡ feeds Stage 3</t>
  </si>
  <si>
    <t xml:space="preserve">layer3.0.conv2.weight[15515] INT8 bit 6: -0.01622 → -0.1200 (code -10 → -74)  ⚡ feeds Stage 3</t>
  </si>
  <si>
    <t xml:space="preserve">layer3.1.conv2.weight[6418] INT8 bit 6: 0.04178 → 0.2646 (code 12 → 76)  ⚡ feeds Stage 3</t>
  </si>
  <si>
    <t xml:space="preserve">layer3.2.conv2.weight[14854] INT8 bit 6: 0.06201 → 0.3927 (code 12 → 76)  ⚡ feeds Stage 3</t>
  </si>
  <si>
    <t xml:space="preserve">layer3.1.conv1.weight[4004] INT8 bit 6: -0.08425 → -0.03894 (code -119 → -55)  ⚡ feeds Stage 3</t>
  </si>
  <si>
    <t xml:space="preserve">layer3.2.conv1.weight[24247] INT8 bit 6: -0.02017 → -0.07397 (code -24 → -88)  ⚡ feeds Stage 3</t>
  </si>
  <si>
    <t xml:space="preserve">layer3.1.conv2.weight[29182] INT8 bit 6: -0.1231 → -0.3359 (code -37 → -101)  ⚡ feeds Stage 3</t>
  </si>
  <si>
    <t xml:space="preserve">layer3.0.conv2.weight[13495] INT8 bit 6: -0.02252 → -0.1254 (code -14 → -78)  ⚡ feeds Stage 3</t>
  </si>
  <si>
    <t xml:space="preserve">layer3.0.conv2.weight[8923] INT8 bit 6: -0.1528 → -0.01310 (code -70 → -6)  ⚡ feeds Stage 3</t>
  </si>
  <si>
    <t xml:space="preserve">layer3.2.conv1.weight[34316] INT8 bit 6: -0.02152 → -0.06743 (code -30 → -94)  ⚡ feeds Stage 3</t>
  </si>
  <si>
    <t xml:space="preserve">layer3.2.conv1.weight[19442] INT8 bit 6: 0.0008884 → 0.05775 (code 1 → 65)  ⚡ feeds Stage 3</t>
  </si>
  <si>
    <t xml:space="preserve">layer3.2.conv2.weight[23491] INT8 bit 6: 0.09279 → 0.3127 (code 27 → 91)  ⚡ feeds Stage 3</t>
  </si>
  <si>
    <t xml:space="preserve">layer3.2.conv1.weight[23811] INT8 bit 6: 0.007283 → 0.07387 (code 7 → 71)  ⚡ feeds Stage 3</t>
  </si>
  <si>
    <t xml:space="preserve">layer3.1.conv2.weight[27167] INT8 bit 6: 0.04351 → 0.2176 (code 16 → 80)  ⚡ feeds Stage 3</t>
  </si>
  <si>
    <t xml:space="preserve">layer3.2.conv2.weight[35264] INT8 bit 6: 0.01429 → 0.2429 (code 4 → 68)  ⚡ feeds Stage 3</t>
  </si>
  <si>
    <t xml:space="preserve">layer3.1.conv1.weight[24734] INT8 bit 6: -0.01355 → -0.06172 (code -18 → -82)  ⚡ feeds Stage 3</t>
  </si>
  <si>
    <t xml:space="preserve">layer3.2.conv2.weight[32454] INT8 bit 6: 0.2542 → 0.02506 (code 71 → 7)  ⚡ feeds Stage 3</t>
  </si>
  <si>
    <t xml:space="preserve">layer3.0.conv2.weight[33474] INT8 bit 6: -0.05892 → -0.1732 (code -33 → -97)  ⚡ feeds Stage 3</t>
  </si>
  <si>
    <t xml:space="preserve">layer3.2.conv2.weight[8667] INT8 bit 6: 0.1544 → 0.3954 (code 41 → 105)  ⚡ feeds Stage 3</t>
  </si>
  <si>
    <t xml:space="preserve">layer3.1.conv1.weight[29691] INT8 bit 6: -0.01520 → -0.05943 (code -22 → -86)  ⚡ feeds Stage 3</t>
  </si>
  <si>
    <t xml:space="preserve">layer3.1.conv1.weight[15392] INT8 bit 6: 0.006033 → 0.05430 (code 8 → 72)  ⚡ feeds Stage 3</t>
  </si>
  <si>
    <t xml:space="preserve">layer3.2.conv2.weight[6206] INT8 bit 6: -0.1857 → -0.4983 (code -38 → -102)  ⚡ feeds Stage 3</t>
  </si>
  <si>
    <t xml:space="preserve">layer3.1.conv1.weight[28580] INT8 bit 6: 0.002843 → 0.04834 (code 4 → 68)  ⚡ feeds Stage 3</t>
  </si>
  <si>
    <t xml:space="preserve">layer3.0.conv2.weight[17677] INT8 bit 6: 0.007619 → 0.1295 (code 4 → 68)  ⚡ feeds Stage 3</t>
  </si>
  <si>
    <t xml:space="preserve">layer3.1.conv2.weight[8917] INT8 bit 6: -0.007885 → -0.1761 (code -3 → -67)  ⚡ feeds Stage 3</t>
  </si>
  <si>
    <t xml:space="preserve">layer3.1.conv2.weight[32881] INT8 bit 6: 0.000 → 0.1902 (code 0 → 64)  ⚡ feeds Stage 3</t>
  </si>
  <si>
    <t xml:space="preserve">layer3.2.conv2.weight[13713] INT8 bit 6: -0.05120 → -0.2333 (code -18 → -82)  ⚡ feeds Stage 3</t>
  </si>
  <si>
    <t xml:space="preserve">layer3.0.conv2.weight[14301] INT8 bit 6: 0.07302 → 0.1928 (code 39 → 103)  ⚡ feeds Stage 3</t>
  </si>
  <si>
    <t xml:space="preserve">layer3.2.conv1.weight[26342] INT8 bit 6: 0.04504 → 0.09389 (code 59 → 123)  ⚡ feeds Stage 3</t>
  </si>
  <si>
    <t xml:space="preserve">layer3.1.conv1.weight[30316] INT8 bit 6: 0.002458 → 0.05490 (code 3 → 67)  ⚡ feeds Stage 3</t>
  </si>
  <si>
    <t xml:space="preserve">layer3.0.conv2.weight[18359] INT8 bit 6: -0.07542 → -0.1932 (code -41 → -105)  ⚡ feeds Stage 3</t>
  </si>
  <si>
    <t xml:space="preserve">layer3.1.conv2.weight[16104] INT8 bit 6: -0.06162 → -0.3081 (code -16 → -80)  ⚡ feeds Stage 3</t>
  </si>
  <si>
    <t xml:space="preserve">layer3.2.conv1.weight[16956] INT8 bit 6: -0.006011 → -0.06097 (code -7 → -71)  ⚡ feeds Stage 3</t>
  </si>
  <si>
    <t xml:space="preserve">layer3.0.conv2.weight[22821] INT8 bit 6: -0.1192 → -0.2816 (code -47 → -111)  ⚡ feeds Stage 3</t>
  </si>
  <si>
    <t xml:space="preserve">layer3.2.conv1.weight[31053] INT8 bit 6: 0.01424 → 0.06488 (code 18 → 82)  ⚡ feeds Stage 3</t>
  </si>
  <si>
    <t xml:space="preserve">layer3.1.conv1.weight[7552] INT8 bit 6: -0.008825 → -0.05589 (code -12 → -76)  ⚡ feeds Stage 3</t>
  </si>
  <si>
    <t xml:space="preserve">layer3.2.conv1.weight[29415] INT8 bit 6: 0.003057 → 0.05196 (code 4 → 68)  ⚡ feeds Stage 3</t>
  </si>
  <si>
    <t xml:space="preserve">layer3.0.conv2.weight[23669] INT8 bit 6: -0.1024 → -0.2417 (code -47 → -111)  ⚡ feeds Stage 3</t>
  </si>
  <si>
    <t xml:space="preserve">layer3.0.conv2.weight[22840] INT8 bit 6: 0.02283 → 0.1852 (code 9 → 73)  ⚡ feeds Stage 3</t>
  </si>
  <si>
    <t xml:space="preserve">layer3.0.conv2.weight[21762] INT8 bit 6: 0.02260 → 0.1259 (code 14 → 78)  ⚡ feeds Stage 3</t>
  </si>
  <si>
    <t xml:space="preserve">layer3.0.conv1.weight[7430] INT8 bit 6: -0.02006 → -0.09136 (code -18 → -82)  ⚡ feeds Stage 3</t>
  </si>
  <si>
    <t xml:space="preserve">layer3.0.conv2.weight[1242] INT8 bit 6: -0.06451 → -0.1896 (code -33 → -97)  ⚡ feeds Stage 3</t>
  </si>
  <si>
    <t xml:space="preserve">layer3.1.conv1.weight[29134] INT8 bit 6: -0.004115 → -0.04801 (code -6 → -70)  ⚡ feeds Stage 3</t>
  </si>
  <si>
    <t xml:space="preserve">layer3.2.conv1.weight[16303] INT8 bit 6: -0.02724 → -0.08173 (code -32 → -96)  ⚡ feeds Stage 3</t>
  </si>
  <si>
    <t xml:space="preserve">layer3.2.conv2.weight[5729] INT8 bit 6: 0.1750 → 0.4239 (code 45 → 109)  ⚡ feeds Stage 3</t>
  </si>
  <si>
    <t xml:space="preserve">layer3.0.conv2.weight[35739] INT8 bit 6: -0.05632 → -0.2202 (code -22 → -86)  ⚡ feeds Stage 3</t>
  </si>
  <si>
    <t xml:space="preserve">layer3.2.conv2.weight[16229] INT8 bit 6: 0.1826 → 0.3913 (code 56 → 120)  ⚡ feeds Stage 3</t>
  </si>
  <si>
    <t xml:space="preserve">layer3.1.conv2.weight[31201] INT8 bit 6: -0.07089 → -0.2524 (code -25 → -89)  ⚡ feeds Stage 3</t>
  </si>
  <si>
    <t xml:space="preserve">layer3.0.conv1.weight[3357] INT8 bit 6: -0.04981 → -0.1038 (code -59 → -123)  ⚡ feeds Stage 3</t>
  </si>
  <si>
    <t xml:space="preserve">layer3.2.conv2.weight[10480] INT8 bit 6: 0.04462 → 0.3042 (code 11 → 75)  ⚡ feeds Stage 3</t>
  </si>
  <si>
    <t xml:space="preserve">layer3.1.conv2.weight[14598] INT8 bit 6: -0.01781 → -0.2078 (code -6 → -70)  ⚡ feeds Stage 3</t>
  </si>
  <si>
    <t xml:space="preserve">layer3.2.conv1.weight[33049] INT8 bit 6: -0.006232 → -0.06321 (code -7 → -71)  ⚡ feeds Stage 3</t>
  </si>
  <si>
    <t xml:space="preserve">layer3.1.conv1.weight[343] INT8 bit 6: -0.02018 → -0.08168 (code -21 → -85)  ⚡ feeds Stage 3</t>
  </si>
  <si>
    <t xml:space="preserve">layer3.1.conv2.weight[13007] INT8 bit 6: 0.000 → 0.1317 (code 0 → 64)  ⚡ feeds Stage 3</t>
  </si>
  <si>
    <t xml:space="preserve">layer3.0.conv2.weight[32778] INT8 bit 6: -0.03842 → -0.1921 (code -16 → -80)  ⚡ feeds Stage 3</t>
  </si>
  <si>
    <t xml:space="preserve">layer3.1.conv2.weight[23735] INT8 bit 6: -0.1644 → -0.3706 (code -51 → -115)  ⚡ feeds Stage 3</t>
  </si>
  <si>
    <t xml:space="preserve">layer3.1.conv2.weight[16499] INT8 bit 6: 0.09090 → 0.2848 (code 30 → 94)  ⚡ feeds Stage 3</t>
  </si>
  <si>
    <t xml:space="preserve">layer3.2.conv2.weight[24879] INT8 bit 6: -0.3130 → -0.6468 (code -60 → -124)  ⚡ feeds Stage 3</t>
  </si>
  <si>
    <t xml:space="preserve">layer3.2.conv1.weight[28592] INT8 bit 6: -0.01540 → -0.08579 (code -14 → -78)  ⚡ feeds Stage 3</t>
  </si>
  <si>
    <t xml:space="preserve">layer3.0.conv2.weight[6585] INT8 bit 6: 0.1283 → 0.2607 (code 62 → 126)  ⚡ feeds Stage 3</t>
  </si>
  <si>
    <t xml:space="preserve">layer3.2.conv2.weight[12347] INT8 bit 6: 0.006940 → 0.4511 (code 1 → 65)  ⚡ feeds Stage 3</t>
  </si>
  <si>
    <t xml:space="preserve">layer3.1.conv1.weight[30130] INT8 bit 6: 0.009014 → 0.06146 (code 11 → 75)  ⚡ feeds Stage 3</t>
  </si>
  <si>
    <t xml:space="preserve">layer3.2.conv2.weight[24355] INT8 bit 6: -0.07977 → -0.3485 (code -19 → -83)  ⚡ feeds Stage 3</t>
  </si>
  <si>
    <t xml:space="preserve">layer3.2.conv2.weight[3606] INT8 bit 6: -0.02263 → -0.2641 (code -6 → -70)  ⚡ feeds Stage 3</t>
  </si>
  <si>
    <t xml:space="preserve">layer3.1.conv1.weight[7773] INT8 bit 6: -0.007355 → -0.05442 (code -10 → -74)  ⚡ feeds Stage 3</t>
  </si>
  <si>
    <t xml:space="preserve">layer3.1.conv2.weight[33970] INT8 bit 6: 0.01048 → 0.2341 (code 3 → 67)  ⚡ feeds Stage 3</t>
  </si>
  <si>
    <t xml:space="preserve">layer3.2.conv1.weight[15641] INT8 bit 6: 0.01901 → 0.07430 (code 22 → 86)  ⚡ feeds Stage 3</t>
  </si>
  <si>
    <t xml:space="preserve">layer3.1.conv1.weight[28351] INT8 bit 6: -0.005687 → -0.05118 (code -8 → -72)  ⚡ feeds Stage 3</t>
  </si>
  <si>
    <t xml:space="preserve">layer3.0.conv2.weight[28148] INT8 bit 6: -0.01886 → -0.1913 (code -7 → -71)  ⚡ feeds Stage 3</t>
  </si>
  <si>
    <t xml:space="preserve">layer3.1.conv2.weight[22371] INT8 bit 6: 0.008724 → 0.1948 (code 3 → 67)  ⚡ feeds Stage 3</t>
  </si>
  <si>
    <t xml:space="preserve">layer3.1.conv1.weight[23884] INT8 bit 6: 0.01777 → 0.06327 (code 25 → 89)  ⚡ feeds Stage 3</t>
  </si>
  <si>
    <t xml:space="preserve">layer3.1.conv2.weight[29599] INT8 bit 6: -0.1389 → -0.3727 (code -38 → -102)  ⚡ feeds Stage 3</t>
  </si>
  <si>
    <t xml:space="preserve">layer3.0.conv1.weight[16856] INT8 bit 6: -0.03080 → -0.08133 (code -39 → -103)  ⚡ feeds Stage 3</t>
  </si>
  <si>
    <t xml:space="preserve">layer3.1.conv1.weight[15645] INT8 bit 6: 0.002115 → 0.04723 (code 3 → 67)  ⚡ feeds Stage 3</t>
  </si>
  <si>
    <t xml:space="preserve">layer3.0.conv2.weight[14849] INT8 bit 6: -0.05848 → -0.2664 (code -18 → -82)  ⚡ feeds Stage 3</t>
  </si>
  <si>
    <t xml:space="preserve">layer3.2.conv1.weight[6899] INT8 bit 6: 0.01521 → 0.09634 (code 12 → 76)  ⚡ feeds Stage 3</t>
  </si>
  <si>
    <t xml:space="preserve">layer3.1.conv1.weight[7185] INT8 bit 6: -0.02516 → -0.07712 (code -31 → -95)  ⚡ feeds Stage 3</t>
  </si>
  <si>
    <t xml:space="preserve">layer3.2.conv1.weight[27750] INT8 bit 6: 0.003878 → 0.03934 (code 7 → 71)  ⚡ feeds Stage 3</t>
  </si>
  <si>
    <t xml:space="preserve">layer3.2.conv1.weight[5078] INT8 bit 6: -0.02548 → -0.06955 (code -37 → -101)  ⚡ feeds Stage 3</t>
  </si>
  <si>
    <t xml:space="preserve">layer3.1.conv1.weight[28633] INT8 bit 6: 0.000 → 0.04549 (code 0 → 64)  ⚡ feeds Stage 3</t>
  </si>
  <si>
    <t xml:space="preserve">layer3.0.conv2.weight[36227] INT8 bit 6: -0.03840 → -0.2022 (code -15 → -79)  ⚡ feeds Stage 3</t>
  </si>
  <si>
    <t xml:space="preserve">layer3.1.conv2.weight[4292] INT8 bit 6: -0.04154 → -0.2188 (code -15 → -79)  ⚡ feeds Stage 3</t>
  </si>
  <si>
    <t xml:space="preserve">layer3.1.conv2.weight[27372] INT8 bit 6: 0.03807 → 0.2121 (code 14 → 78)  ⚡ feeds Stage 3</t>
  </si>
  <si>
    <t xml:space="preserve">layer3.0.conv2.weight[24802] INT8 bit 6: -0.01338 → -0.1085 (code -9 → -73)  ⚡ feeds Stage 3</t>
  </si>
  <si>
    <t xml:space="preserve">layer3.2.conv1.weight[36521] INT8 bit 6: 0.04936 → 0.1038 (code 58 → 122)  ⚡ feeds Stage 3</t>
  </si>
  <si>
    <t xml:space="preserve">layer3.1.conv1.weight[26200] INT8 bit 6: -0.02714 → -0.07978 (code -33 → -97)  ⚡ feeds Stage 3</t>
  </si>
  <si>
    <t xml:space="preserve">layer3.2.conv2.weight[32746] INT8 bit 6: -0.2292 → -0.4583 (code -64 → -128)  ⚡ feeds Stage 3</t>
  </si>
  <si>
    <t xml:space="preserve">layer3.0.conv2.weight[26332] INT8 bit 6: 0.01875 → 0.1278 (code 11 → 75)  ⚡ feeds Stage 3</t>
  </si>
  <si>
    <t xml:space="preserve">layer3.2.conv1.weight[7788] INT8 bit 6: 0.1004 → 0.03740 (code 102 → 38)  ⚡ feeds Stage 3</t>
  </si>
  <si>
    <t xml:space="preserve">layer3.2.conv2.weight[24732] INT8 bit 6: -0.01679 → -0.2855 (code -4 → -68)  ⚡ feeds Stage 3</t>
  </si>
  <si>
    <t xml:space="preserve">layer3.0.conv2.weight[33405] INT8 bit 6: 0.05908 → 0.1894 (code 29 → 93)  ⚡ feeds Stage 3</t>
  </si>
  <si>
    <t xml:space="preserve">layer3.1.conv2.weight[31388] INT8 bit 6: -0.1049 → -0.2864 (code -37 → -101)  ⚡ feeds Stage 3</t>
  </si>
  <si>
    <t xml:space="preserve">layer3.2.conv2.weight[5594] INT8 bit 6: -0.2255 → -0.4744 (code -58 → -122)  ⚡ feeds Stage 3</t>
  </si>
  <si>
    <t xml:space="preserve">layer3.1.conv2.weight[34752] INT8 bit 6: -0.09352 → -0.2930 (code -30 → -94)  ⚡ feeds Stage 3</t>
  </si>
  <si>
    <t xml:space="preserve">layer3.1.conv1.weight[32628] INT8 bit 6: -0.04758 → -0.09750 (code -61 → -125)  ⚡ feeds Stage 3</t>
  </si>
  <si>
    <t xml:space="preserve">layer3.2.conv2.weight[91] INT8 bit 6: 0.1158 → 0.3904 (code 27 → 91)  ⚡ feeds Stage 3</t>
  </si>
  <si>
    <t xml:space="preserve">layer3.1.conv2.weight[15672] INT8 bit 6: -0.2542 → -0.007702 (code -66 → -2)  ⚡ feeds Stage 3</t>
  </si>
  <si>
    <t xml:space="preserve">layer3.0.conv2.weight[24236] INT8 bit 6: 0.05265 → 0.1462 (code 36 → 100)  ⚡ feeds Stage 3</t>
  </si>
  <si>
    <t xml:space="preserve">layer3.1.conv2.weight[30615] INT8 bit 6: 0.008865 → 0.1507 (code 4 → 68)  ⚡ feeds Stage 3</t>
  </si>
  <si>
    <t xml:space="preserve">layer3.2.conv1.weight[21889] INT8 bit 6: 0.02316 → 0.06806 (code 33 → 97)  ⚡ feeds Stage 3</t>
  </si>
  <si>
    <t xml:space="preserve">layer3.0.conv1.weight[6446] INT8 bit 6: 0.003481 → 0.04804 (code 5 → 69)  ⚡ feeds Stage 3</t>
  </si>
  <si>
    <t xml:space="preserve">layer3.1.conv2.weight[35905] INT8 bit 6: 0.1001 → 0.3068 (code 31 → 95)  ⚡ feeds Stage 3</t>
  </si>
  <si>
    <t xml:space="preserve">layer3.0.conv2.weight[18631] INT8 bit 6: 0.03411 → 0.1901 (code 14 → 78)  ⚡ feeds Stage 3</t>
  </si>
  <si>
    <t xml:space="preserve">layer3.0.conv2.weight[11107] INT8 bit 6: -0.06384 → -0.1635 (code -41 → -105)  ⚡ feeds Stage 3</t>
  </si>
  <si>
    <t xml:space="preserve">layer3.2.conv1.weight[8118] INT8 bit 6: -0.01769 → -0.06915 (code -22 → -86)  ⚡ feeds Stage 3</t>
  </si>
  <si>
    <t xml:space="preserve">layer3.0.conv2.weight[2802] INT8 bit 6: -0.05290 → -0.2001 (code -23 → -87)  ⚡ feeds Stage 3</t>
  </si>
  <si>
    <t xml:space="preserve">layer3.2.conv2.weight[28803] INT8 bit 6: 0.1916 → 0.4031 (code 58 → 122)  ⚡ feeds Stage 3</t>
  </si>
  <si>
    <t xml:space="preserve">layer3.0.conv1.weight[4254] INT8 bit 6: 0.001999 → 0.06596 (code 2 → 66)  ⚡ feeds Stage 3</t>
  </si>
  <si>
    <t xml:space="preserve">layer3.1.conv1.weight[12234] INT8 bit 6: -0.03109 → -0.06600 (code -57 → -121)  ⚡ feeds Stage 3</t>
  </si>
  <si>
    <t xml:space="preserve">layer3.0.conv1.weight[18162] INT8 bit 6: 0.04306 → 0.09818 (code 50 → 114)  ⚡ feeds Stage 3</t>
  </si>
  <si>
    <t xml:space="preserve">layer3.2.conv2.weight[17076] INT8 bit 6: -0.03289 → -0.2434 (code -10 → -74)  ⚡ feeds Stage 3</t>
  </si>
  <si>
    <t xml:space="preserve">layer3.2.conv1.weight[26479] INT8 bit 6: -0.04504 → -0.09389 (code -59 → -123)  ⚡ feeds Stage 3</t>
  </si>
  <si>
    <t xml:space="preserve">layer3.2.conv2.weight[4923] INT8 bit 6: -0.3044 → -0.08048 (code -87 → -23)  ⚡ feeds Stage 3</t>
  </si>
  <si>
    <t xml:space="preserve">layer3.1.conv1.weight[22974] INT8 bit 6: -0.03035 → -0.07891 (code -40 → -104)  ⚡ feeds Stage 3</t>
  </si>
  <si>
    <t xml:space="preserve">layer3.0.conv2.weight[11600] INT8 bit 6: 0.07353 → 0.2043 (code 36 → 100)  ⚡ feeds Stage 3</t>
  </si>
  <si>
    <t xml:space="preserve">layer3.2.conv2.weight[24191] INT8 bit 6: -0.04002 → -0.3602 (code -8 → -72)  ⚡ feeds Stage 3</t>
  </si>
  <si>
    <t xml:space="preserve">layer3.1.conv2.weight[11907] INT8 bit 6: 0.1447 → 0.3229 (code 52 → 116)  ⚡ feeds Stage 3</t>
  </si>
  <si>
    <t xml:space="preserve">layer3.1.conv2.weight[9390] INT8 bit 6: -0.05679 → -0.2385 (code -20 → -84)  ⚡ feeds Stage 3</t>
  </si>
  <si>
    <t xml:space="preserve">layer3.1.conv1.weight[18143] INT8 bit 6: 0.000 → 0.03996 (code 0 → 64)  ⚡ feeds Stage 3</t>
  </si>
  <si>
    <t xml:space="preserve">layer3.1.conv1.weight[36046] INT8 bit 6: -0.02126 → -0.06515 (code -31 → -95)  ⚡ feeds Stage 3</t>
  </si>
  <si>
    <t xml:space="preserve">layer3.2.conv2.weight[25034] INT8 bit 6: 0.1617 → 0.4955 (code 31 → 95)  ⚡ feeds Stage 3</t>
  </si>
  <si>
    <t xml:space="preserve">layer3.1.conv1.weight[7596] INT8 bit 6: 0.03677 → 0.08384 (code 50 → 114)  ⚡ feeds Stage 3</t>
  </si>
  <si>
    <t xml:space="preserve">layer3.1.conv1.weight[10655] INT8 bit 6: -0.03134 → -0.07909 (code -42 → -106)  ⚡ feeds Stage 3</t>
  </si>
  <si>
    <t xml:space="preserve">layer3.0.conv2.weight[21838] INT8 bit 6: -0.05489 → -0.1582 (code -34 → -98)  ⚡ feeds Stage 3</t>
  </si>
  <si>
    <t xml:space="preserve">layer3.2.conv2.weight[27239] INT8 bit 6: 0.2528 → 0.05057 (code 80 → 16)  ⚡ feeds Stage 3</t>
  </si>
  <si>
    <t xml:space="preserve">layer3.0.conv1.weight[417] INT8 bit 6: 0.01046 → 0.07134 (code 11 → 75)  ⚡ feeds Stage 3</t>
  </si>
  <si>
    <t xml:space="preserve">layer3.2.conv1.weight[15513] INT8 bit 6: -0.05619 → -0.007593 (code -74 → -10)  ⚡ feeds Stage 3</t>
  </si>
  <si>
    <t xml:space="preserve">layer3.2.conv1.weight[12214] INT8 bit 6: 0.02718 → 0.09408 (code 26 → 90)  ⚡ feeds Stage 3</t>
  </si>
  <si>
    <t xml:space="preserve">layer3.2.conv1.weight[36605] INT8 bit 6: 0.000 → 0.05447 (code 0 → 64)  ⚡ feeds Stage 3</t>
  </si>
  <si>
    <t xml:space="preserve">layer3.0.conv1.weight[10724] INT8 bit 6: 0.01563 → 0.05911 (code 23 → 87)  ⚡ feeds Stage 3</t>
  </si>
  <si>
    <t xml:space="preserve">layer3.2.conv1.weight[24184] INT8 bit 6: 0.05410 → 0.1207 (code 52 → 116)  ⚡ feeds Stage 3</t>
  </si>
  <si>
    <t xml:space="preserve">layer3.0.conv2.weight[345] INT8 bit 6: -0.1201 → -0.2421 (code -63 → -127)  ⚡ feeds Stage 3</t>
  </si>
  <si>
    <t xml:space="preserve">layer3.0.conv2.weight[31313] INT8 bit 6: 0.07920 → 0.1848 (code 48 → 112)  ⚡ feeds Stage 3</t>
  </si>
  <si>
    <t xml:space="preserve">layer3.0.conv2.weight[10947] INT8 bit 6: 0.01868 → 0.1183 (code 12 → 76)  ⚡ feeds Stage 3</t>
  </si>
  <si>
    <t xml:space="preserve">layer3.2.conv1.weight[22315] INT8 bit 6: -0.02105 → -0.06596 (code -30 → -94)  ⚡ feeds Stage 3</t>
  </si>
  <si>
    <t xml:space="preserve">layer3.1.conv2.weight[33053] INT8 bit 6: 0.02674 → 0.2169 (code 9 → 73)  ⚡ feeds Stage 3</t>
  </si>
  <si>
    <t xml:space="preserve">layer3.2.conv1.weight[26615] INT8 bit 6: -0.02042 → -0.06257 (code -31 → -95)  ⚡ feeds Stage 3</t>
  </si>
  <si>
    <t xml:space="preserve">layer3.2.conv2.weight[26904] INT8 bit 6: 0.07929 → 0.3464 (code 19 → 83)  ⚡ feeds Stage 3</t>
  </si>
  <si>
    <t xml:space="preserve">layer1.1.conv1.weight[2023] FP16 bit 15: -0.02626 → 0.02626  ⚡ feeds Stage 1</t>
  </si>
  <si>
    <t xml:space="preserve">layer1.1.conv1.weight[70] FP16 bit 15: -0.01991 → 0.01991  ⚡ feeds Stage 1</t>
  </si>
  <si>
    <t xml:space="preserve">layer1.1.conv1.weight[546] FP16 bit 15: -0.02605 → 0.02605  ⚡ feeds Stage 1</t>
  </si>
  <si>
    <t xml:space="preserve">layer1.1.conv1.weight[93] FP16 bit 15: 0.009796 → -0.009796  ⚡ feeds Stage 1</t>
  </si>
  <si>
    <t xml:space="preserve">layer1.0.conv2.weight[1112] FP16 bit 15: 0.02739 → -0.02739  ⚡ feeds Stage 1</t>
  </si>
  <si>
    <t xml:space="preserve">layer1.0.conv2.weight[1606] FP16 bit 15: -0.03421 → 0.03421  ⚡ feeds Stage 1</t>
  </si>
  <si>
    <t xml:space="preserve">layer1.0.conv2.weight[517] FP16 bit 15: 0.06622 → -0.06622  ⚡ feeds Stage 1</t>
  </si>
  <si>
    <t xml:space="preserve">layer1.1.conv2.weight[1962] FP16 bit 15: 0.01157 → -0.01157  ⚡ feeds Stage 1</t>
  </si>
  <si>
    <t xml:space="preserve">layer1.1.conv2.weight[1115] FP16 bit 15: -0.005596 → 0.005596  ⚡ feeds Stage 1</t>
  </si>
  <si>
    <t xml:space="preserve">layer1.1.conv2.weight[628] FP16 bit 15: -0.03555 → 0.03555  ⚡ feeds Stage 1</t>
  </si>
  <si>
    <t xml:space="preserve">layer1.0.conv1.weight[1037] FP16 bit 15: -0.08459 → 0.08459  ⚡ feeds Stage 1</t>
  </si>
  <si>
    <t xml:space="preserve">layer1.2.conv2.weight[135] FP16 bit 15: 0.03044 → -0.03044  ⚡ feeds Stage 1</t>
  </si>
  <si>
    <t xml:space="preserve">conv1.weight[341] FP16 bit 15: 0.2666 → -0.2666  ⚡ feeds Stem</t>
  </si>
  <si>
    <t xml:space="preserve">layer1.0.conv1.weight[1435] FP16 bit 15: -0.1371 → 0.1371  ⚡ feeds Stage 1</t>
  </si>
  <si>
    <t xml:space="preserve">layer1.1.conv2.weight[1656] FP16 bit 15: -0.1119 → 0.1119  ⚡ feeds Stage 1</t>
  </si>
  <si>
    <t xml:space="preserve">layer1.0.conv2.weight[1628] FP16 bit 15: 0.001229 → -0.001229  ⚡ feeds Stage 1</t>
  </si>
  <si>
    <t xml:space="preserve">layer1.2.conv2.weight[1332] FP16 bit 15: 0.008865 → -0.008865  ⚡ feeds Stage 1</t>
  </si>
  <si>
    <t xml:space="preserve">layer1.1.conv1.weight[999] FP16 bit 15: 0.001966 → -0.001966  ⚡ feeds Stage 1</t>
  </si>
  <si>
    <t xml:space="preserve">layer1.1.conv1.weight[1884] FP16 bit 15: -0.006901 → 0.006901  ⚡ feeds Stage 1</t>
  </si>
  <si>
    <t xml:space="preserve">layer1.2.conv2.weight[1936] FP16 bit 15: -0.05048 → 0.05048  ⚡ feeds Stage 1</t>
  </si>
  <si>
    <t xml:space="preserve">layer1.2.conv2.weight[662] FP16 bit 15: -0.04840 → 0.04840  ⚡ feeds Stage 1</t>
  </si>
  <si>
    <t xml:space="preserve">layer1.1.conv2.weight[1095] FP16 bit 15: -0.02873 → 0.02873  ⚡ feeds Stage 1</t>
  </si>
  <si>
    <t xml:space="preserve">layer1.0.conv1.weight[87] FP16 bit 15: -0.02892 → 0.02892  ⚡ feeds Stage 1</t>
  </si>
  <si>
    <t xml:space="preserve">layer1.2.conv1.weight[1975] FP16 bit 15: -0.002750 → 0.002750  ⚡ feeds Stage 1</t>
  </si>
  <si>
    <t xml:space="preserve">layer1.2.conv2.weight[214] FP16 bit 15: -0.1304 → 0.1304  ⚡ feeds Stage 1</t>
  </si>
  <si>
    <t xml:space="preserve">layer1.2.conv1.weight[891] FP16 bit 15: -0.07654 → 0.07654  ⚡ feeds Stage 1</t>
  </si>
  <si>
    <t xml:space="preserve">layer1.0.conv2.weight[1347] FP16 bit 15: 0.03214 → -0.03214  ⚡ feeds Stage 1</t>
  </si>
  <si>
    <t xml:space="preserve">layer1.0.conv1.weight[1770] FP16 bit 15: 0.01094 → -0.01094  ⚡ feeds Stage 1</t>
  </si>
  <si>
    <t xml:space="preserve">layer1.1.conv2.weight[483] FP16 bit 15: 0.1124 → -0.1124  ⚡ feeds Stage 1</t>
  </si>
  <si>
    <t xml:space="preserve">layer1.2.conv2.weight[2274] FP16 bit 15: -0.07898 → 0.07898  ⚡ feeds Stage 1</t>
  </si>
  <si>
    <t xml:space="preserve">layer1.1.conv2.weight[158] FP16 bit 15: 0.04245 → -0.04245  ⚡ feeds Stage 1</t>
  </si>
  <si>
    <t xml:space="preserve">layer1.0.conv2.weight[960] FP16 bit 15: 0.04099 → -0.04099  ⚡ feeds Stage 1</t>
  </si>
  <si>
    <t xml:space="preserve">layer1.0.conv1.weight[1651] FP16 bit 15: 0.009117 → -0.009117  ⚡ feeds Stage 1</t>
  </si>
  <si>
    <t xml:space="preserve">layer1.2.conv2.weight[1507] FP16 bit 15: 0.006355 → -0.006355  ⚡ feeds Stage 1</t>
  </si>
  <si>
    <t xml:space="preserve">layer1.1.conv1.weight[1277] FP16 bit 15: 0.04202 → -0.04202  ⚡ feeds Stage 1</t>
  </si>
  <si>
    <t xml:space="preserve">layer1.0.conv1.weight[1308] FP16 bit 15: 0.01293 → -0.01293  ⚡ feeds Stage 1</t>
  </si>
  <si>
    <t xml:space="preserve">layer1.1.conv1.weight[697] FP16 bit 15: -0.04453 → 0.04453  ⚡ feeds Stage 1</t>
  </si>
  <si>
    <t xml:space="preserve">layer1.0.conv1.weight[30] FP16 bit 15: -0.1105 → 0.1105  ⚡ feeds Stage 1</t>
  </si>
  <si>
    <t xml:space="preserve">layer1.0.conv2.weight[1296] FP16 bit 15: 0.05771 → -0.05771  ⚡ feeds Stage 1</t>
  </si>
  <si>
    <t xml:space="preserve">layer1.0.conv2.weight[2061] FP16 bit 15: 0.03967 → -0.03967  ⚡ feeds Stage 1</t>
  </si>
  <si>
    <t xml:space="preserve">layer1.2.conv2.weight[1586] FP16 bit 15: 0.1047 → -0.1047  ⚡ feeds Stage 1</t>
  </si>
  <si>
    <t xml:space="preserve">layer1.2.conv2.weight[1886] FP16 bit 15: -0.03760 → 0.03760  ⚡ feeds Stage 1</t>
  </si>
  <si>
    <t xml:space="preserve">layer1.1.conv2.weight[1064] FP16 bit 15: 0.02232 → -0.02232  ⚡ feeds Stage 1</t>
  </si>
  <si>
    <t xml:space="preserve">layer1.0.conv1.weight[2073] FP16 bit 15: 0.004078 → -0.004078  ⚡ feeds Stage 1</t>
  </si>
  <si>
    <t xml:space="preserve">layer1.2.conv1.weight[1640] FP16 bit 15: 0.2205 → -0.2205  ⚡ feeds Stage 1</t>
  </si>
  <si>
    <t xml:space="preserve">layer1.2.conv2.weight[1757] FP16 bit 15: 0.007050 → -0.007050  ⚡ feeds Stage 1</t>
  </si>
  <si>
    <t xml:space="preserve">layer1.2.conv2.weight[852] FP16 bit 15: -0.05124 → 0.05124  ⚡ feeds Stage 1</t>
  </si>
  <si>
    <t xml:space="preserve">layer1.0.conv2.weight[1125] FP16 bit 15: 0.03769 → -0.03769  ⚡ feeds Stage 1</t>
  </si>
  <si>
    <t xml:space="preserve">layer1.2.conv2.weight[2058] FP16 bit 15: 0.006569 → -0.006569  ⚡ feeds Stage 1</t>
  </si>
  <si>
    <t xml:space="preserve">layer1.2.conv1.weight[2292] FP16 bit 15: 0.006977 → -0.006977  ⚡ feeds Stage 1</t>
  </si>
  <si>
    <t xml:space="preserve">layer1.1.conv1.weight[1160] FP16 bit 15: -0.02478 → 0.02478  ⚡ feeds Stage 1</t>
  </si>
  <si>
    <t xml:space="preserve">layer1.1.conv1.weight[1717] FP16 bit 15: -0.07819 → 0.07819  ⚡ feeds Stage 1</t>
  </si>
  <si>
    <t xml:space="preserve">layer1.1.conv2.weight[1544] FP16 bit 15: 0.04361 → -0.04361  ⚡ feeds Stage 1</t>
  </si>
  <si>
    <t xml:space="preserve">layer1.2.conv1.weight[2203] FP16 bit 15: -0.01462 → 0.01462  ⚡ feeds Stage 1</t>
  </si>
  <si>
    <t xml:space="preserve">layer1.1.conv2.weight[1239] FP16 bit 15: -0.06104 → 0.06104  ⚡ feeds Stage 1</t>
  </si>
  <si>
    <t xml:space="preserve">layer1.1.conv2.weight[1594] FP16 bit 15: 0.02321 → -0.02321  ⚡ feeds Stage 1</t>
  </si>
  <si>
    <t xml:space="preserve">layer1.1.conv2.weight[627] FP16 bit 15: -0.03162 → 0.03162  ⚡ feeds Stage 1</t>
  </si>
  <si>
    <t xml:space="preserve">layer1.0.conv2.weight[1823] FP16 bit 15: -0.03934 → 0.03934  ⚡ feeds Stage 1</t>
  </si>
  <si>
    <t xml:space="preserve">layer1.2.conv1.weight[2300] FP16 bit 15: -0.02936 → 0.02936  ⚡ feeds Stage 1</t>
  </si>
  <si>
    <t xml:space="preserve">layer1.0.conv1.weight[1729] FP16 bit 15: -0.06665 → 0.06665  ⚡ feeds Stage 1</t>
  </si>
  <si>
    <t xml:space="preserve">layer1.1.conv2.weight[108] FP16 bit 15: -0.08948 → 0.08948  ⚡ feeds Stage 1</t>
  </si>
  <si>
    <t xml:space="preserve">layer1.2.conv2.weight[1909] FP16 bit 15: -0.03824 → 0.03824  ⚡ feeds Stage 1</t>
  </si>
  <si>
    <t xml:space="preserve">layer1.2.conv2.weight[2064] FP16 bit 15: 0.005478 → -0.005478  ⚡ feeds Stage 1</t>
  </si>
  <si>
    <t xml:space="preserve">layer1.2.conv1.weight[834] FP16 bit 15: 0.01018 → -0.01018  ⚡ feeds Stage 1</t>
  </si>
  <si>
    <t xml:space="preserve">layer1.0.conv2.weight[1914] FP16 bit 15: -0.01854 → 0.01854  ⚡ feeds Stage 1</t>
  </si>
  <si>
    <t xml:space="preserve">layer1.0.conv1.weight[1933] FP16 bit 15: 0.001756 → -0.001756  ⚡ feeds Stage 1</t>
  </si>
  <si>
    <t xml:space="preserve">layer1.0.conv2.weight[1844] FP16 bit 15: 0.01697 → -0.01697  ⚡ feeds Stage 1</t>
  </si>
  <si>
    <t xml:space="preserve">layer1.0.conv2.weight[1041] FP16 bit 15: 0.02011 → -0.02011  ⚡ feeds Stage 1</t>
  </si>
  <si>
    <t xml:space="preserve">layer1.2.conv1.weight[133] FP16 bit 15: 0.05783 → -0.05783  ⚡ feeds Stage 1</t>
  </si>
  <si>
    <t xml:space="preserve">layer1.2.conv2.weight[1135] FP16 bit 15: -0.03195 → 0.03195  ⚡ feeds Stage 1</t>
  </si>
  <si>
    <t xml:space="preserve">layer1.1.conv1.weight[1852] FP16 bit 15: -0.04504 → 0.04504  ⚡ feeds Stage 1</t>
  </si>
  <si>
    <t xml:space="preserve">layer1.2.conv1.weight[1919] FP16 bit 15: -0.02365 → 0.02365  ⚡ feeds Stage 1</t>
  </si>
  <si>
    <t xml:space="preserve">layer1.1.conv2.weight[456] FP16 bit 15: 0.06250 → -0.06250  ⚡ feeds Stage 1</t>
  </si>
  <si>
    <t xml:space="preserve">layer1.1.conv1.weight[1660] FP16 bit 15: 0.08691 → -0.08691  ⚡ feeds Stage 1</t>
  </si>
  <si>
    <t xml:space="preserve">layer1.1.conv1.weight[2182] FP16 bit 15: 0.05029 → -0.05029  ⚡ feeds Stage 1</t>
  </si>
  <si>
    <t xml:space="preserve">layer1.0.conv1.weight[473] FP16 bit 15: -0.01619 → 0.01619  ⚡ feeds Stage 1</t>
  </si>
  <si>
    <t xml:space="preserve">layer1.1.conv2.weight[584] FP16 bit 15: 0.08636 → -0.08636  ⚡ feeds Stage 1</t>
  </si>
  <si>
    <t xml:space="preserve">layer1.1.conv2.weight[1238] FP16 bit 15: 0.08752 → -0.08752  ⚡ feeds Stage 1</t>
  </si>
  <si>
    <t xml:space="preserve">layer1.0.conv1.weight[1975] FP16 bit 15: -0.002193 → 0.002193  ⚡ feeds Stage 1</t>
  </si>
  <si>
    <t xml:space="preserve">layer1.2.conv2.weight[1747] FP16 bit 15: -0.01694 → 0.01694  ⚡ feeds Stage 1</t>
  </si>
  <si>
    <t xml:space="preserve">layer1.1.conv1.weight[2004] FP16 bit 15: -0.04245 → 0.04245  ⚡ feeds Stage 1</t>
  </si>
  <si>
    <t xml:space="preserve">layer1.1.conv2.weight[35] FP16 bit 15: -0.07013 → 0.07013  ⚡ feeds Stage 1</t>
  </si>
  <si>
    <t xml:space="preserve">layer1.1.conv2.weight[1979] FP16 bit 15: -0.005157 → 0.005157  ⚡ feeds Stage 1</t>
  </si>
  <si>
    <t xml:space="preserve">layer1.1.conv2.weight[464] FP16 bit 15: -0.1038 → 0.1038  ⚡ feeds Stage 1</t>
  </si>
  <si>
    <t xml:space="preserve">layer1.2.conv1.weight[736] FP16 bit 15: -0.08765 → 0.08765  ⚡ feeds Stage 1</t>
  </si>
  <si>
    <t xml:space="preserve">layer1.1.conv1.weight[2046] FP16 bit 15: -0.01938 → 0.01938  ⚡ feeds Stage 1</t>
  </si>
  <si>
    <t xml:space="preserve">layer1.1.conv2.weight[1070] FP16 bit 15: 0.001989 → -0.001989  ⚡ feeds Stage 1</t>
  </si>
  <si>
    <t xml:space="preserve">layer1.2.conv2.weight[1642] FP16 bit 15: -0.06055 → 0.06055  ⚡ feeds Stage 1</t>
  </si>
  <si>
    <t xml:space="preserve">layer1.0.conv2.weight[1481] FP16 bit 15: -0.004234 → 0.004234  ⚡ feeds Stage 1</t>
  </si>
  <si>
    <t xml:space="preserve">layer1.1.conv1.weight[1458] FP16 bit 15: -0.01237 → 0.01237  ⚡ feeds Stage 1</t>
  </si>
  <si>
    <t xml:space="preserve">layer1.2.conv1.weight[1589] FP16 bit 15: 0.005726 → -0.005726  ⚡ feeds Stage 1</t>
  </si>
  <si>
    <t xml:space="preserve">layer1.2.conv2.weight[1701] FP16 bit 15: -0.1866 → 0.1866  ⚡ feeds Stage 1</t>
  </si>
  <si>
    <t xml:space="preserve">layer1.0.conv2.weight[2102] FP16 bit 15: -0.02594 → 0.02594  ⚡ feeds Stage 1</t>
  </si>
  <si>
    <t xml:space="preserve">layer1.0.conv2.weight[963] FP16 bit 15: -0.03284 → 0.03284  ⚡ feeds Stage 1</t>
  </si>
  <si>
    <t xml:space="preserve">layer1.0.conv1.weight[1704] FP16 bit 15: 0.003317 → -0.003317  ⚡ feeds Stage 1</t>
  </si>
  <si>
    <t xml:space="preserve">layer1.2.conv2.weight[349] FP16 bit 15: 0.01539 → -0.01539  ⚡ feeds Stage 1</t>
  </si>
  <si>
    <t xml:space="preserve">layer1.0.conv1.weight[1789] FP16 bit 15: 0.0004215 → -0.0004215  ⚡ feeds Stage 1</t>
  </si>
  <si>
    <t xml:space="preserve">layer1.2.conv1.weight[995] FP16 bit 15: -0.001946 → 0.001946  ⚡ feeds Stage 1</t>
  </si>
  <si>
    <t xml:space="preserve">layer1.2.conv1.weight[745] FP16 bit 15: 0.0009718 → -0.0009718  ⚡ feeds Stage 1</t>
  </si>
  <si>
    <t xml:space="preserve">layer1.1.conv2.weight[778] FP16 bit 15: -0.008484 → 0.008484  ⚡ feeds Stage 1</t>
  </si>
  <si>
    <t xml:space="preserve">layer1.1.conv1.weight[1109] FP16 bit 15: -0.04684 → 0.04684  ⚡ feeds Stage 1</t>
  </si>
  <si>
    <t xml:space="preserve">layer1.0.conv2.weight[1930] FP16 bit 15: 0.07416 → -0.07416  ⚡ feeds Stage 1</t>
  </si>
  <si>
    <t xml:space="preserve">layer1.2.conv1.weight[1648] FP16 bit 15: -0.05627 → 0.05627  ⚡ feeds Stage 1</t>
  </si>
  <si>
    <t xml:space="preserve">layer1.1.conv2.weight[472] FP16 bit 15: -0.1317 → 0.1317  ⚡ feeds Stage 1</t>
  </si>
  <si>
    <t xml:space="preserve">layer1.0.conv2.weight[578] FP16 bit 15: -0.03214 → 0.03214  ⚡ feeds Stage 1</t>
  </si>
  <si>
    <t xml:space="preserve">layer1.1.conv1.weight[1240] FP16 bit 15: -0.09247 → 0.09247  ⚡ feeds Stage 1</t>
  </si>
  <si>
    <t xml:space="preserve">layer1.2.conv2.weight[302] FP16 bit 15: -0.001824 → 0.001824  ⚡ feeds Stage 1</t>
  </si>
  <si>
    <t xml:space="preserve">layer1.2.conv1.weight[1685] FP16 bit 15: 0.01639 → -0.01639  ⚡ feeds Stage 1</t>
  </si>
  <si>
    <t xml:space="preserve">layer1.2.conv2.weight[2259] FP16 bit 15: 0.004604 → -0.004604  ⚡ feeds Stage 1</t>
  </si>
  <si>
    <t xml:space="preserve">layer1.1.conv2.weight[1353] FP16 bit 15: 0.02017 → -0.02017  ⚡ feeds Stage 1</t>
  </si>
  <si>
    <t xml:space="preserve">layer1.1.conv1.weight[740] FP16 bit 15: -0.01837 → 0.01837  ⚡ feeds Stage 1</t>
  </si>
  <si>
    <t xml:space="preserve">layer1.2.conv1.weight[984] FP16 bit 15: -0.02347 → 0.02347  ⚡ feeds Stage 1</t>
  </si>
  <si>
    <t xml:space="preserve">layer1.1.conv2.weight[397] FP16 bit 15: -0.04379 → 0.04379  ⚡ feeds Stage 1</t>
  </si>
  <si>
    <t xml:space="preserve">layer1.1.conv1.weight[1550] FP16 bit 15: -0.02083 → 0.02083  ⚡ feeds Stage 1</t>
  </si>
  <si>
    <t xml:space="preserve">layer1.1.conv1.weight[2271] FP16 bit 15: -0.009102 → 0.009102  ⚡ feeds Stage 1</t>
  </si>
  <si>
    <t xml:space="preserve">layer1.1.conv1.weight[624] FP16 bit 15: -0.004963 → 0.004963  ⚡ feeds Stage 1</t>
  </si>
  <si>
    <t xml:space="preserve">layer1.0.conv1.weight[115] FP16 bit 15: -0.1219 → 0.1219  ⚡ feeds Stage 1</t>
  </si>
  <si>
    <t xml:space="preserve">layer1.1.conv2.weight[233] FP16 bit 15: -0.0006514 → 0.0006514  ⚡ feeds Stage 1</t>
  </si>
  <si>
    <t xml:space="preserve">layer1.0.conv2.weight[1389] FP16 bit 15: 0.04352 → -0.04352  ⚡ feeds Stage 1</t>
  </si>
  <si>
    <t xml:space="preserve">layer1.2.conv2.weight[2296] FP16 bit 15: 0.1416 → -0.1416  ⚡ feeds Stage 1</t>
  </si>
  <si>
    <t xml:space="preserve">layer1.2.conv1.weight[1007] FP16 bit 15: -0.03062 → 0.03062  ⚡ feeds Stage 1</t>
  </si>
  <si>
    <t xml:space="preserve">layer1.0.conv2.weight[1586] FP16 bit 15: -0.1689 → 0.1689  ⚡ feeds Stage 1</t>
  </si>
  <si>
    <t xml:space="preserve">layer1.2.conv1.weight[450] FP16 bit 15: -0.04849 → 0.04849  ⚡ feeds Stage 1</t>
  </si>
  <si>
    <t xml:space="preserve">layer1.1.conv1.weight[1480] FP16 bit 15: 0.02673 → -0.02673  ⚡ feeds Stage 1</t>
  </si>
  <si>
    <t xml:space="preserve">layer1.1.conv2.weight[998] FP16 bit 15: -0.01115 → 0.01115  ⚡ feeds Stage 1</t>
  </si>
  <si>
    <t xml:space="preserve">layer1.0.conv2.weight[336] FP16 bit 15: -0.02628 → 0.02628  ⚡ feeds Stage 1</t>
  </si>
  <si>
    <t xml:space="preserve">layer1.2.conv2.weight[1726] FP16 bit 15: -0.07294 → 0.07294  ⚡ feeds Stage 1</t>
  </si>
  <si>
    <t xml:space="preserve">layer1.0.conv2.weight[691] FP16 bit 15: -0.02539 → 0.02539  ⚡ feeds Stage 1</t>
  </si>
  <si>
    <t xml:space="preserve">layer1.1.conv2.weight[555] FP16 bit 15: -0.05557 → 0.05557  ⚡ feeds Stage 1</t>
  </si>
  <si>
    <t xml:space="preserve">layer1.0.conv1.weight[2216] FP16 bit 15: 0.002766 → -0.002766  ⚡ feeds Stage 1</t>
  </si>
  <si>
    <t xml:space="preserve">layer1.1.conv2.weight[363] FP16 bit 15: 0.0003324 → -0.0003324  ⚡ feeds Stage 1</t>
  </si>
  <si>
    <t xml:space="preserve">layer1.0.conv2.weight[524] FP16 bit 15: 0.02824 → -0.02824  ⚡ feeds Stage 1</t>
  </si>
  <si>
    <t xml:space="preserve">layer1.0.conv2.weight[1307] FP16 bit 15: -0.01790 → 0.01790  ⚡ feeds Stage 1</t>
  </si>
  <si>
    <t xml:space="preserve">layer1.1.conv1.weight[1516] FP16 bit 15: -0.005798 → 0.005798  ⚡ feeds Stage 1</t>
  </si>
  <si>
    <t xml:space="preserve">layer1.0.conv2.weight[2193] FP16 bit 15: 0.07562 → -0.07562  ⚡ feeds Stage 1</t>
  </si>
  <si>
    <t xml:space="preserve">layer1.0.conv1.weight[480] FP16 bit 15: 0.01310 → -0.01310  ⚡ feeds Stage 1</t>
  </si>
  <si>
    <t xml:space="preserve">layer1.2.conv2.weight[16] FP16 bit 15: -0.08722 → 0.08722  ⚡ feeds Stage 1</t>
  </si>
  <si>
    <t xml:space="preserve">layer1.2.conv2.weight[191] FP16 bit 15: -0.005661 → 0.005661  ⚡ feeds Stage 1</t>
  </si>
  <si>
    <t xml:space="preserve">layer1.0.conv1.weight[2134] FP16 bit 15: -0.01759 → 0.01759  ⚡ feeds Stage 1</t>
  </si>
  <si>
    <t xml:space="preserve">layer1.1.conv1.weight[1293] FP16 bit 15: 0.02470 → -0.02470  ⚡ feeds Stage 1</t>
  </si>
  <si>
    <t xml:space="preserve">layer1.2.conv2.weight[1871] FP16 bit 15: -0.05331 → 0.05331  ⚡ feeds Stage 1</t>
  </si>
  <si>
    <t xml:space="preserve">layer1.1.conv1.weight[310] FP16 bit 15: 0.09253 → -0.09253  ⚡ feeds Stage 1</t>
  </si>
  <si>
    <t xml:space="preserve">layer1.0.conv1.weight[1322] FP16 bit 15: 0.01067 → -0.01067  ⚡ feeds Stage 1</t>
  </si>
  <si>
    <t xml:space="preserve">layer1.2.conv1.weight[463] FP16 bit 15: -0.01126 → 0.01126  ⚡ feeds Stage 1</t>
  </si>
  <si>
    <t xml:space="preserve">layer1.1.conv1.weight[130] FP16 bit 15: -0.07990 → 0.07990  ⚡ feeds Stage 1</t>
  </si>
  <si>
    <t xml:space="preserve">layer1.2.conv1.weight[2147] FP16 bit 15: -0.02048 → 0.02048  ⚡ feeds Stage 1</t>
  </si>
  <si>
    <t xml:space="preserve">layer1.0.conv1.weight[1378] FP16 bit 15: -0.04016 → 0.04016  ⚡ feeds Stage 1</t>
  </si>
  <si>
    <t xml:space="preserve">layer1.0.conv1.weight[1201] FP16 bit 15: 0.02962 → -0.02962  ⚡ feeds Stage 1</t>
  </si>
  <si>
    <t xml:space="preserve">conv1.weight[277] FP16 bit 15: -0.0007925 → 0.0007925  ⚡ feeds Stem</t>
  </si>
  <si>
    <t xml:space="preserve">layer1.1.conv2.weight[159] FP16 bit 15: 0.01077 → -0.01077  ⚡ feeds Stage 1</t>
  </si>
  <si>
    <t xml:space="preserve">layer1.1.conv1.weight[1415] FP16 bit 15: 0.03680 → -0.03680  ⚡ feeds Stage 1</t>
  </si>
  <si>
    <t xml:space="preserve">layer1.2.conv1.weight[392] FP16 bit 15: 0.003925 → -0.003925  ⚡ feeds Stage 1</t>
  </si>
  <si>
    <t xml:space="preserve">layer1.0.conv1.weight[801] FP16 bit 15: 0.01480 → -0.01480  ⚡ feeds Stage 1</t>
  </si>
  <si>
    <t xml:space="preserve">layer1.1.conv1.weight[263] FP16 bit 15: -0.01781 → 0.01781  ⚡ feeds Stage 1</t>
  </si>
  <si>
    <t xml:space="preserve">layer1.2.conv1.weight[1716] FP16 bit 15: -0.07355 → 0.07355  ⚡ feeds Stage 1</t>
  </si>
  <si>
    <t xml:space="preserve">layer1.1.conv2.weight[1855] FP16 bit 15: -0.08472 → 0.08472  ⚡ feeds Stage 1</t>
  </si>
  <si>
    <t xml:space="preserve">layer1.0.conv1.weight[1992] FP16 bit 15: 0.03421 → -0.03421  ⚡ feeds Stage 1</t>
  </si>
  <si>
    <t xml:space="preserve">layer1.0.conv2.weight[938] FP16 bit 15: 0.02139 → -0.02139  ⚡ feeds Stage 1</t>
  </si>
  <si>
    <t xml:space="preserve">layer1.0.conv1.weight[420] FP16 bit 15: 0.01250 → -0.01250  ⚡ feeds Stage 1</t>
  </si>
  <si>
    <t xml:space="preserve">conv1.weight[247] FP16 bit 15: 0.06250 → -0.06250  ⚡ feeds Stem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</si>
</sst>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"/>
    <numFmt numFmtId="167" formatCode="0.0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23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23.8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4" min="13" style="0" width="12"/>
    <col collapsed="false" customWidth="true" hidden="false" outlineLevel="0" max="17" min="15" style="0" width="14"/>
    <col collapsed="false" customWidth="true" hidden="false" outlineLevel="0" max="19" min="18" style="0" width="12"/>
  </cols>
  <sheetData>
    <row r="1" customFormat="false" ht="17.35" hidden="false" customHeight="false" outlineLevel="0" collapsed="false">
      <c r="A1" s="4" t="s">
        <v>22</v>
      </c>
    </row>
    <row r="3" customFormat="false" ht="30" hidden="false" customHeight="tru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45</v>
      </c>
      <c r="E4" s="6" t="n">
        <v>16</v>
      </c>
      <c r="F4" s="7" t="n">
        <f aca="false">Recall!Q12</f>
        <v>0.0055</v>
      </c>
      <c r="G4" s="8" t="n">
        <f aca="false">Recall!R12</f>
        <v>0.00283823106098773</v>
      </c>
      <c r="H4" s="8" t="n">
        <f aca="false">Precision!Q12</f>
        <v>0.483333333333333</v>
      </c>
      <c r="I4" s="8" t="n">
        <f aca="false">Precision!R12</f>
        <v>0.183417489102435</v>
      </c>
      <c r="J4" s="9" t="n">
        <f aca="false">Precision!S12</f>
        <v>10</v>
      </c>
      <c r="K4" s="7" t="n">
        <f aca="false">F1!Q12</f>
        <v>0.0108715797688143</v>
      </c>
      <c r="L4" s="8" t="n">
        <f aca="false">F1!R12</f>
        <v>0.00558593637634957</v>
      </c>
      <c r="M4" s="7" t="n">
        <f aca="false">'False alarms'!Q12</f>
        <v>0.005</v>
      </c>
      <c r="N4" s="8" t="n">
        <f aca="false">'False alarms'!R12</f>
        <v>0</v>
      </c>
      <c r="O4" s="10" t="n">
        <f aca="false">AVERAGEIFS(Runs!$R$2:$R$3301,Runs!$A$2:$A$3301,"C01",Runs!$G$2:$G$3301,"ALL",Runs!$H$2:$H$3301,0.01)</f>
        <v>6.8</v>
      </c>
      <c r="P4" s="11" t="n">
        <f aca="false">IFERROR(AVERAGEIFS(Runs!$S$2:$S$3301,Runs!$A$2:$A$3301,"C01",Runs!$G$2:$G$3301,"ALL",Runs!$H$2:$H$3301,0.01),"")</f>
        <v>0</v>
      </c>
      <c r="Q4" s="11" t="n">
        <f aca="false">IFERROR(AVERAGEIFS(Runs!$T$2:$T$3301,Runs!$A$2:$A$3301,"C01",Runs!$G$2:$G$3301,"ALL",Runs!$H$2:$H$3301,0.01),"")</f>
        <v>0.00569470166108822</v>
      </c>
      <c r="R4" s="11" t="n">
        <f aca="false">AVERAGEIFS(Runs!$V$2:$V$3301,Runs!$A$2:$A$3301,"C01",Runs!$G$2:$G$3301,"ALL",Runs!$H$2:$H$3301,0.01)</f>
        <v>0.884</v>
      </c>
      <c r="S4" s="12" t="n">
        <f aca="false">COUNTIF(Recall!G12:P12,"&gt;=0.5")</f>
        <v>0</v>
      </c>
    </row>
    <row r="5" customFormat="false" ht="15" hidden="false" customHeight="false" outlineLevel="0" collapsed="false">
      <c r="A5" s="6" t="s">
        <v>46</v>
      </c>
      <c r="B5" s="6" t="s">
        <v>43</v>
      </c>
      <c r="C5" s="6" t="s">
        <v>44</v>
      </c>
      <c r="D5" s="6" t="s">
        <v>47</v>
      </c>
      <c r="E5" s="6" t="n">
        <v>1</v>
      </c>
      <c r="F5" s="7" t="n">
        <f aca="false">Recall!Q23</f>
        <v>0.204</v>
      </c>
      <c r="G5" s="8" t="n">
        <f aca="false">Recall!R23</f>
        <v>0.419528836249005</v>
      </c>
      <c r="H5" s="8" t="n">
        <f aca="false">Precision!Q23</f>
        <v>0.599004975124378</v>
      </c>
      <c r="I5" s="8" t="n">
        <f aca="false">Precision!R23</f>
        <v>0.208720814054231</v>
      </c>
      <c r="J5" s="9" t="n">
        <f aca="false">Precision!S23</f>
        <v>10</v>
      </c>
      <c r="K5" s="7" t="n">
        <f aca="false">F1!Q23</f>
        <v>0.207422038962001</v>
      </c>
      <c r="L5" s="8" t="n">
        <f aca="false">F1!R23</f>
        <v>0.416410933488309</v>
      </c>
      <c r="M5" s="7" t="n">
        <f aca="false">'False alarms'!Q23</f>
        <v>0.005</v>
      </c>
      <c r="N5" s="8" t="n">
        <f aca="false">'False alarms'!R23</f>
        <v>0</v>
      </c>
      <c r="O5" s="10" t="n">
        <f aca="false">AVERAGEIFS(Runs!$R$2:$R$3301,Runs!$A$2:$A$3301,"C02",Runs!$G$2:$G$3301,"ALL",Runs!$H$2:$H$3301,0.01)</f>
        <v>36.5</v>
      </c>
      <c r="P5" s="11" t="n">
        <f aca="false">IFERROR(AVERAGEIFS(Runs!$S$2:$S$3301,Runs!$A$2:$A$3301,"C02",Runs!$G$2:$G$3301,"ALL",Runs!$H$2:$H$3301,0.01),"")</f>
        <v>0.4</v>
      </c>
      <c r="Q5" s="11" t="n">
        <f aca="false">IFERROR(AVERAGEIFS(Runs!$T$2:$T$3301,Runs!$A$2:$A$3301,"C02",Runs!$G$2:$G$3301,"ALL",Runs!$H$2:$H$3301,0.01),"")</f>
        <v>0.204022921522922</v>
      </c>
      <c r="R5" s="11" t="n">
        <f aca="false">AVERAGEIFS(Runs!$V$2:$V$3301,Runs!$A$2:$A$3301,"C02",Runs!$G$2:$G$3301,"ALL",Runs!$H$2:$H$3301,0.01)</f>
        <v>0.723</v>
      </c>
      <c r="S5" s="12" t="n">
        <f aca="false">COUNTIF(Recall!G23:P23,"&gt;=0.5")</f>
        <v>2</v>
      </c>
    </row>
    <row r="6" customFormat="false" ht="15" hidden="false" customHeight="false" outlineLevel="0" collapsed="false">
      <c r="A6" s="6" t="s">
        <v>48</v>
      </c>
      <c r="B6" s="6" t="s">
        <v>43</v>
      </c>
      <c r="C6" s="6" t="s">
        <v>49</v>
      </c>
      <c r="D6" s="6" t="s">
        <v>47</v>
      </c>
      <c r="E6" s="6" t="n">
        <v>4</v>
      </c>
      <c r="F6" s="7" t="n">
        <f aca="false">Recall!Q34</f>
        <v>0.5025</v>
      </c>
      <c r="G6" s="8" t="n">
        <f aca="false">Recall!R34</f>
        <v>0.524411045311256</v>
      </c>
      <c r="H6" s="8" t="n">
        <f aca="false">Precision!Q34</f>
        <v>0.747512437810945</v>
      </c>
      <c r="I6" s="8" t="n">
        <f aca="false">Precision!R34</f>
        <v>0.260901017567789</v>
      </c>
      <c r="J6" s="9" t="n">
        <f aca="false">Precision!S34</f>
        <v>10</v>
      </c>
      <c r="K6" s="7" t="n">
        <f aca="false">F1!Q34</f>
        <v>0.503703612256488</v>
      </c>
      <c r="L6" s="8" t="n">
        <f aca="false">F1!R34</f>
        <v>0.520513666860386</v>
      </c>
      <c r="M6" s="7" t="n">
        <f aca="false">'False alarms'!Q34</f>
        <v>0.005</v>
      </c>
      <c r="N6" s="8" t="n">
        <f aca="false">'False alarms'!R34</f>
        <v>0</v>
      </c>
      <c r="O6" s="10" t="n">
        <f aca="false">AVERAGEIFS(Runs!$R$2:$R$3301,Runs!$A$2:$A$3301,"C03",Runs!$G$2:$G$3301,"ALL",Runs!$H$2:$H$3301,0.01)</f>
        <v>89.5</v>
      </c>
      <c r="P6" s="11" t="n">
        <f aca="false">IFERROR(AVERAGEIFS(Runs!$S$2:$S$3301,Runs!$A$2:$A$3301,"C03",Runs!$G$2:$G$3301,"ALL",Runs!$H$2:$H$3301,0.01),"")</f>
        <v>0.625</v>
      </c>
      <c r="Q6" s="11" t="n">
        <f aca="false">IFERROR(AVERAGEIFS(Runs!$T$2:$T$3301,Runs!$A$2:$A$3301,"C03",Runs!$G$2:$G$3301,"ALL",Runs!$H$2:$H$3301,0.01),"")</f>
        <v>0.502528022376463</v>
      </c>
      <c r="R6" s="11" t="n">
        <f aca="false">AVERAGEIFS(Runs!$V$2:$V$3301,Runs!$A$2:$A$3301,"C03",Runs!$G$2:$G$3301,"ALL",Runs!$H$2:$H$3301,0.01)</f>
        <v>0.4935</v>
      </c>
      <c r="S6" s="12" t="n">
        <f aca="false">COUNTIF(Recall!G34:P34,"&gt;=0.5")</f>
        <v>5</v>
      </c>
    </row>
    <row r="7" customFormat="false" ht="15" hidden="false" customHeight="false" outlineLevel="0" collapsed="false">
      <c r="A7" s="6" t="s">
        <v>50</v>
      </c>
      <c r="B7" s="6" t="s">
        <v>43</v>
      </c>
      <c r="C7" s="6" t="s">
        <v>51</v>
      </c>
      <c r="D7" s="6" t="s">
        <v>47</v>
      </c>
      <c r="E7" s="6" t="n">
        <v>1</v>
      </c>
      <c r="F7" s="7" t="n">
        <f aca="false">Recall!Q45</f>
        <v>0.2</v>
      </c>
      <c r="G7" s="8" t="n">
        <f aca="false">Recall!R45</f>
        <v>0.411204193666467</v>
      </c>
      <c r="H7" s="8" t="n">
        <f aca="false">Precision!Q45</f>
        <v>0.598984352847163</v>
      </c>
      <c r="I7" s="8" t="n">
        <f aca="false">Precision!R45</f>
        <v>0.208677344137569</v>
      </c>
      <c r="J7" s="9" t="n">
        <f aca="false">Precision!S45</f>
        <v>10</v>
      </c>
      <c r="K7" s="7" t="n">
        <f aca="false">F1!Q45</f>
        <v>0.205381339184727</v>
      </c>
      <c r="L7" s="8" t="n">
        <f aca="false">F1!R45</f>
        <v>0.412136829749807</v>
      </c>
      <c r="M7" s="7" t="n">
        <f aca="false">'False alarms'!Q45</f>
        <v>0.005</v>
      </c>
      <c r="N7" s="8" t="n">
        <f aca="false">'False alarms'!R45</f>
        <v>0</v>
      </c>
      <c r="O7" s="10" t="n">
        <f aca="false">AVERAGEIFS(Runs!$R$2:$R$3301,Runs!$A$2:$A$3301,"C04",Runs!$G$2:$G$3301,"ALL",Runs!$H$2:$H$3301,0.01)</f>
        <v>35.6</v>
      </c>
      <c r="P7" s="11" t="n">
        <f aca="false">IFERROR(AVERAGEIFS(Runs!$S$2:$S$3301,Runs!$A$2:$A$3301,"C04",Runs!$G$2:$G$3301,"ALL",Runs!$H$2:$H$3301,0.01),"")</f>
        <v>1</v>
      </c>
      <c r="Q7" s="11" t="n">
        <f aca="false">IFERROR(AVERAGEIFS(Runs!$T$2:$T$3301,Runs!$A$2:$A$3301,"C04",Runs!$G$2:$G$3301,"ALL",Runs!$H$2:$H$3301,0.01),"")</f>
        <v>0.169217391304348</v>
      </c>
      <c r="R7" s="11" t="n">
        <f aca="false">AVERAGEIFS(Runs!$V$2:$V$3301,Runs!$A$2:$A$3301,"C04",Runs!$G$2:$G$3301,"ALL",Runs!$H$2:$H$3301,0.01)</f>
        <v>0.726</v>
      </c>
      <c r="S7" s="12" t="n">
        <f aca="false">COUNTIF(Recall!G45:P45,"&gt;=0.5")</f>
        <v>2</v>
      </c>
    </row>
    <row r="8" customFormat="false" ht="15" hidden="false" customHeight="false" outlineLevel="0" collapsed="false">
      <c r="A8" s="6" t="s">
        <v>52</v>
      </c>
      <c r="B8" s="6" t="s">
        <v>43</v>
      </c>
      <c r="C8" s="6" t="s">
        <v>51</v>
      </c>
      <c r="D8" s="6" t="s">
        <v>53</v>
      </c>
      <c r="E8" s="6" t="n">
        <v>16</v>
      </c>
      <c r="F8" s="7" t="n">
        <f aca="false">Recall!Q56</f>
        <v>0.017</v>
      </c>
      <c r="G8" s="8" t="n">
        <f aca="false">Recall!R56</f>
        <v>0.022876479915698</v>
      </c>
      <c r="H8" s="8" t="n">
        <f aca="false">Precision!Q56</f>
        <v>0.617857142857143</v>
      </c>
      <c r="I8" s="8" t="n">
        <f aca="false">Precision!R56</f>
        <v>0.174463327833907</v>
      </c>
      <c r="J8" s="9" t="n">
        <f aca="false">Precision!S56</f>
        <v>10</v>
      </c>
      <c r="K8" s="7" t="n">
        <f aca="false">F1!Q56</f>
        <v>0.0324083719597597</v>
      </c>
      <c r="L8" s="8" t="n">
        <f aca="false">F1!R56</f>
        <v>0.042676760172943</v>
      </c>
      <c r="M8" s="7" t="n">
        <f aca="false">'False alarms'!Q56</f>
        <v>0.005</v>
      </c>
      <c r="N8" s="8" t="n">
        <f aca="false">'False alarms'!R56</f>
        <v>0</v>
      </c>
      <c r="O8" s="10" t="n">
        <f aca="false">AVERAGEIFS(Runs!$R$2:$R$3301,Runs!$A$2:$A$3301,"C05",Runs!$G$2:$G$3301,"ALL",Runs!$H$2:$H$3301,0.01)</f>
        <v>6.3</v>
      </c>
      <c r="P8" s="11" t="n">
        <f aca="false">IFERROR(AVERAGEIFS(Runs!$S$2:$S$3301,Runs!$A$2:$A$3301,"C05",Runs!$G$2:$G$3301,"ALL",Runs!$H$2:$H$3301,0.01),"")</f>
        <v>0.0154589371980676</v>
      </c>
      <c r="Q8" s="11" t="n">
        <f aca="false">IFERROR(AVERAGEIFS(Runs!$T$2:$T$3301,Runs!$A$2:$A$3301,"C05",Runs!$G$2:$G$3301,"ALL",Runs!$H$2:$H$3301,0.01),"")</f>
        <v>0.0170823553174259</v>
      </c>
      <c r="R8" s="11" t="n">
        <f aca="false">AVERAGEIFS(Runs!$V$2:$V$3301,Runs!$A$2:$A$3301,"C05",Runs!$G$2:$G$3301,"ALL",Runs!$H$2:$H$3301,0.01)</f>
        <v>0.8745</v>
      </c>
      <c r="S8" s="12" t="n">
        <f aca="false">COUNTIF(Recall!G56:P56,"&gt;=0.5")</f>
        <v>0</v>
      </c>
    </row>
    <row r="9" customFormat="false" ht="15" hidden="false" customHeight="false" outlineLevel="0" collapsed="false">
      <c r="A9" s="6" t="s">
        <v>54</v>
      </c>
      <c r="B9" s="6" t="s">
        <v>43</v>
      </c>
      <c r="C9" s="6" t="s">
        <v>49</v>
      </c>
      <c r="D9" s="6" t="s">
        <v>55</v>
      </c>
      <c r="E9" s="6" t="n">
        <v>16</v>
      </c>
      <c r="F9" s="7" t="n">
        <f aca="false">Recall!Q67</f>
        <v>0.005</v>
      </c>
      <c r="G9" s="8" t="n">
        <f aca="false">Recall!R67</f>
        <v>0</v>
      </c>
      <c r="H9" s="8" t="n">
        <f aca="false">Precision!Q67</f>
        <v>0.5</v>
      </c>
      <c r="I9" s="8" t="n">
        <f aca="false">Precision!R67</f>
        <v>0</v>
      </c>
      <c r="J9" s="9" t="n">
        <f aca="false">Precision!S67</f>
        <v>10</v>
      </c>
      <c r="K9" s="7" t="n">
        <f aca="false">F1!Q67</f>
        <v>0.0099009900990099</v>
      </c>
      <c r="L9" s="8" t="n">
        <f aca="false">F1!R67</f>
        <v>0</v>
      </c>
      <c r="M9" s="7" t="n">
        <f aca="false">'False alarms'!Q67</f>
        <v>0.005</v>
      </c>
      <c r="N9" s="8" t="n">
        <f aca="false">'False alarms'!R67</f>
        <v>0</v>
      </c>
      <c r="O9" s="10" t="n">
        <f aca="false">AVERAGEIFS(Runs!$R$2:$R$3301,Runs!$A$2:$A$3301,"C06",Runs!$G$2:$G$3301,"ALL",Runs!$H$2:$H$3301,0.01)</f>
        <v>0.2</v>
      </c>
      <c r="P9" s="11" t="n">
        <f aca="false">IFERROR(AVERAGEIFS(Runs!$S$2:$S$3301,Runs!$A$2:$A$3301,"C06",Runs!$G$2:$G$3301,"ALL",Runs!$H$2:$H$3301,0.01),"")</f>
        <v>0</v>
      </c>
      <c r="Q9" s="11" t="n">
        <f aca="false">IFERROR(AVERAGEIFS(Runs!$T$2:$T$3301,Runs!$A$2:$A$3301,"C06",Runs!$G$2:$G$3301,"ALL",Runs!$H$2:$H$3301,0.01),"")</f>
        <v>0.00500502512562814</v>
      </c>
      <c r="R9" s="11" t="n">
        <f aca="false">AVERAGEIFS(Runs!$V$2:$V$3301,Runs!$A$2:$A$3301,"C06",Runs!$G$2:$G$3301,"ALL",Runs!$H$2:$H$3301,0.01)</f>
        <v>0.8805</v>
      </c>
      <c r="S9" s="12" t="n">
        <f aca="false">COUNTIF(Recall!G67:P67,"&gt;=0.5")</f>
        <v>0</v>
      </c>
    </row>
    <row r="10" customFormat="false" ht="15" hidden="false" customHeight="false" outlineLevel="0" collapsed="false">
      <c r="A10" s="6" t="s">
        <v>56</v>
      </c>
      <c r="B10" s="6" t="s">
        <v>43</v>
      </c>
      <c r="C10" s="6" t="s">
        <v>51</v>
      </c>
      <c r="D10" s="6" t="s">
        <v>57</v>
      </c>
      <c r="E10" s="6" t="n">
        <v>16</v>
      </c>
      <c r="F10" s="7" t="n">
        <f aca="false">Recall!Q78</f>
        <v>0.005</v>
      </c>
      <c r="G10" s="8" t="n">
        <f aca="false">Recall!R78</f>
        <v>0</v>
      </c>
      <c r="H10" s="8" t="n">
        <f aca="false">Precision!Q78</f>
        <v>0.5</v>
      </c>
      <c r="I10" s="8" t="n">
        <f aca="false">Precision!R78</f>
        <v>0</v>
      </c>
      <c r="J10" s="9" t="n">
        <f aca="false">Precision!S78</f>
        <v>10</v>
      </c>
      <c r="K10" s="7" t="n">
        <f aca="false">F1!Q78</f>
        <v>0.0099009900990099</v>
      </c>
      <c r="L10" s="8" t="n">
        <f aca="false">F1!R78</f>
        <v>0</v>
      </c>
      <c r="M10" s="7" t="n">
        <f aca="false">'False alarms'!Q78</f>
        <v>0.005</v>
      </c>
      <c r="N10" s="8" t="n">
        <f aca="false">'False alarms'!R78</f>
        <v>0</v>
      </c>
      <c r="O10" s="10" t="n">
        <f aca="false">AVERAGEIFS(Runs!$R$2:$R$3301,Runs!$A$2:$A$3301,"C07",Runs!$G$2:$G$3301,"ALL",Runs!$H$2:$H$3301,0.01)</f>
        <v>0</v>
      </c>
      <c r="P10" s="11" t="str">
        <f aca="false">IFERROR(AVERAGEIFS(Runs!$S$2:$S$3301,Runs!$A$2:$A$3301,"C07",Runs!$G$2:$G$3301,"ALL",Runs!$H$2:$H$3301,0.01),"")</f>
        <v/>
      </c>
      <c r="Q10" s="11" t="n">
        <f aca="false">IFERROR(AVERAGEIFS(Runs!$T$2:$T$3301,Runs!$A$2:$A$3301,"C07",Runs!$G$2:$G$3301,"ALL",Runs!$H$2:$H$3301,0.01),"")</f>
        <v>0.005</v>
      </c>
      <c r="R10" s="11" t="n">
        <f aca="false">AVERAGEIFS(Runs!$V$2:$V$3301,Runs!$A$2:$A$3301,"C07",Runs!$G$2:$G$3301,"ALL",Runs!$H$2:$H$3301,0.01)</f>
        <v>0.88</v>
      </c>
      <c r="S10" s="12" t="n">
        <f aca="false">COUNTIF(Recall!G78:P78,"&gt;=0.5")</f>
        <v>0</v>
      </c>
    </row>
    <row r="11" customFormat="false" ht="15" hidden="false" customHeight="false" outlineLevel="0" collapsed="false">
      <c r="A11" s="6" t="s">
        <v>58</v>
      </c>
      <c r="B11" s="6" t="s">
        <v>59</v>
      </c>
      <c r="C11" s="6" t="s">
        <v>44</v>
      </c>
      <c r="D11" s="6" t="s">
        <v>45</v>
      </c>
      <c r="E11" s="6" t="n">
        <v>4</v>
      </c>
      <c r="F11" s="7" t="n">
        <f aca="false">Recall!Q89</f>
        <v>0.0055</v>
      </c>
      <c r="G11" s="8" t="n">
        <f aca="false">Recall!R89</f>
        <v>0.00283823106098773</v>
      </c>
      <c r="H11" s="8" t="n">
        <f aca="false">Precision!Q89</f>
        <v>0.483333333333333</v>
      </c>
      <c r="I11" s="8" t="n">
        <f aca="false">Precision!R89</f>
        <v>0.183417489102435</v>
      </c>
      <c r="J11" s="9" t="n">
        <f aca="false">Precision!S89</f>
        <v>10</v>
      </c>
      <c r="K11" s="7" t="n">
        <f aca="false">F1!Q89</f>
        <v>0.0108715797688143</v>
      </c>
      <c r="L11" s="8" t="n">
        <f aca="false">F1!R89</f>
        <v>0.00558593637634957</v>
      </c>
      <c r="M11" s="7" t="n">
        <f aca="false">'False alarms'!Q89</f>
        <v>0.005</v>
      </c>
      <c r="N11" s="8" t="n">
        <f aca="false">'False alarms'!R89</f>
        <v>0</v>
      </c>
      <c r="O11" s="10" t="n">
        <f aca="false">AVERAGEIFS(Runs!$R$2:$R$3301,Runs!$A$2:$A$3301,"C08",Runs!$G$2:$G$3301,"ALL",Runs!$H$2:$H$3301,0.01)</f>
        <v>5.8</v>
      </c>
      <c r="P11" s="11" t="n">
        <f aca="false">IFERROR(AVERAGEIFS(Runs!$S$2:$S$3301,Runs!$A$2:$A$3301,"C08",Runs!$G$2:$G$3301,"ALL",Runs!$H$2:$H$3301,0.01),"")</f>
        <v>0.0166666666666667</v>
      </c>
      <c r="Q11" s="11" t="n">
        <f aca="false">IFERROR(AVERAGEIFS(Runs!$T$2:$T$3301,Runs!$A$2:$A$3301,"C08",Runs!$G$2:$G$3301,"ALL",Runs!$H$2:$H$3301,0.01),"")</f>
        <v>0.00511012839442309</v>
      </c>
      <c r="R11" s="11" t="n">
        <f aca="false">AVERAGEIFS(Runs!$V$2:$V$3301,Runs!$A$2:$A$3301,"C08",Runs!$G$2:$G$3301,"ALL",Runs!$H$2:$H$3301,0.01)</f>
        <v>0.874</v>
      </c>
      <c r="S11" s="12" t="n">
        <f aca="false">COUNTIF(Recall!G89:P89,"&gt;=0.5")</f>
        <v>0</v>
      </c>
    </row>
    <row r="12" customFormat="false" ht="15" hidden="false" customHeight="false" outlineLevel="0" collapsed="false">
      <c r="A12" s="6" t="s">
        <v>60</v>
      </c>
      <c r="B12" s="6" t="s">
        <v>59</v>
      </c>
      <c r="C12" s="6" t="s">
        <v>51</v>
      </c>
      <c r="D12" s="6" t="s">
        <v>61</v>
      </c>
      <c r="E12" s="6" t="n">
        <v>16</v>
      </c>
      <c r="F12" s="7" t="n">
        <f aca="false">Recall!Q100</f>
        <v>0.007</v>
      </c>
      <c r="G12" s="8" t="n">
        <f aca="false">Recall!R100</f>
        <v>0.00632455532033676</v>
      </c>
      <c r="H12" s="8" t="n">
        <f aca="false">Precision!Q100</f>
        <v>0.533333333333333</v>
      </c>
      <c r="I12" s="8" t="n">
        <f aca="false">Precision!R100</f>
        <v>0.105409255338946</v>
      </c>
      <c r="J12" s="9" t="n">
        <f aca="false">Precision!S100</f>
        <v>10</v>
      </c>
      <c r="K12" s="7" t="n">
        <f aca="false">F1!Q100</f>
        <v>0.0137652600211477</v>
      </c>
      <c r="L12" s="8" t="n">
        <f aca="false">F1!R100</f>
        <v>0.0122198944476371</v>
      </c>
      <c r="M12" s="7" t="n">
        <f aca="false">'False alarms'!Q100</f>
        <v>0.005</v>
      </c>
      <c r="N12" s="8" t="n">
        <f aca="false">'False alarms'!R100</f>
        <v>0</v>
      </c>
      <c r="O12" s="10" t="n">
        <f aca="false">AVERAGEIFS(Runs!$R$2:$R$3301,Runs!$A$2:$A$3301,"C09",Runs!$G$2:$G$3301,"ALL",Runs!$H$2:$H$3301,0.01)</f>
        <v>2</v>
      </c>
      <c r="P12" s="11" t="n">
        <f aca="false">IFERROR(AVERAGEIFS(Runs!$S$2:$S$3301,Runs!$A$2:$A$3301,"C09",Runs!$G$2:$G$3301,"ALL",Runs!$H$2:$H$3301,0.01),"")</f>
        <v>0</v>
      </c>
      <c r="Q12" s="11" t="n">
        <f aca="false">IFERROR(AVERAGEIFS(Runs!$T$2:$T$3301,Runs!$A$2:$A$3301,"C09",Runs!$G$2:$G$3301,"ALL",Runs!$H$2:$H$3301,0.01),"")</f>
        <v>0.00709155328600998</v>
      </c>
      <c r="R12" s="11" t="n">
        <f aca="false">AVERAGEIFS(Runs!$V$2:$V$3301,Runs!$A$2:$A$3301,"C09",Runs!$G$2:$G$3301,"ALL",Runs!$H$2:$H$3301,0.01)</f>
        <v>0.884</v>
      </c>
      <c r="S12" s="12" t="n">
        <f aca="false">COUNTIF(Recall!G100:P100,"&gt;=0.5")</f>
        <v>0</v>
      </c>
    </row>
    <row r="13" customFormat="false" ht="15" hidden="false" customHeight="false" outlineLevel="0" collapsed="false">
      <c r="A13" s="6" t="s">
        <v>62</v>
      </c>
      <c r="B13" s="6" t="s">
        <v>63</v>
      </c>
      <c r="C13" s="6" t="s">
        <v>44</v>
      </c>
      <c r="D13" s="6" t="s">
        <v>45</v>
      </c>
      <c r="E13" s="6" t="n">
        <v>16</v>
      </c>
      <c r="F13" s="7" t="n">
        <f aca="false">Recall!Q111</f>
        <v>0.0055</v>
      </c>
      <c r="G13" s="8" t="n">
        <f aca="false">Recall!R111</f>
        <v>0.00283823106098773</v>
      </c>
      <c r="H13" s="8" t="n">
        <f aca="false">Precision!Q111</f>
        <v>0.483333333333333</v>
      </c>
      <c r="I13" s="8" t="n">
        <f aca="false">Precision!R111</f>
        <v>0.183417489102435</v>
      </c>
      <c r="J13" s="9" t="n">
        <f aca="false">Precision!S111</f>
        <v>10</v>
      </c>
      <c r="K13" s="7" t="n">
        <f aca="false">F1!Q111</f>
        <v>0.0108715797688143</v>
      </c>
      <c r="L13" s="8" t="n">
        <f aca="false">F1!R111</f>
        <v>0.00558593637634957</v>
      </c>
      <c r="M13" s="7" t="n">
        <f aca="false">'False alarms'!Q111</f>
        <v>0.005</v>
      </c>
      <c r="N13" s="8" t="n">
        <f aca="false">'False alarms'!R111</f>
        <v>0</v>
      </c>
      <c r="O13" s="10" t="n">
        <f aca="false">AVERAGEIFS(Runs!$R$2:$R$3301,Runs!$A$2:$A$3301,"C10",Runs!$G$2:$G$3301,"ALL",Runs!$H$2:$H$3301,0.01)</f>
        <v>4.1</v>
      </c>
      <c r="P13" s="11" t="n">
        <f aca="false">IFERROR(AVERAGEIFS(Runs!$S$2:$S$3301,Runs!$A$2:$A$3301,"C10",Runs!$G$2:$G$3301,"ALL",Runs!$H$2:$H$3301,0.01),"")</f>
        <v>0</v>
      </c>
      <c r="Q13" s="11" t="n">
        <f aca="false">IFERROR(AVERAGEIFS(Runs!$T$2:$T$3301,Runs!$A$2:$A$3301,"C10",Runs!$G$2:$G$3301,"ALL",Runs!$H$2:$H$3301,0.01),"")</f>
        <v>0.00562578692156285</v>
      </c>
      <c r="R13" s="11" t="n">
        <f aca="false">AVERAGEIFS(Runs!$V$2:$V$3301,Runs!$A$2:$A$3301,"C10",Runs!$G$2:$G$3301,"ALL",Runs!$H$2:$H$3301,0.01)</f>
        <v>0.8825</v>
      </c>
      <c r="S13" s="12" t="n">
        <f aca="false">COUNTIF(Recall!G111:P111,"&gt;=0.5")</f>
        <v>0</v>
      </c>
    </row>
    <row r="15" customFormat="false" ht="15" hidden="false" customHeight="false" outlineLevel="0" collapsed="false">
      <c r="A15" s="13" t="s">
        <v>64</v>
      </c>
    </row>
    <row r="16" customFormat="false" ht="15" hidden="false" customHeight="false" outlineLevel="0" collapsed="false">
      <c r="A16" s="13" t="s">
        <v>65</v>
      </c>
    </row>
    <row r="17" customFormat="false" ht="15" hidden="false" customHeight="false" outlineLevel="0" collapsed="false">
      <c r="A17" s="1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16" min="6" style="0" width="10"/>
  </cols>
  <sheetData>
    <row r="1" customFormat="false" ht="17.35" hidden="false" customHeight="false" outlineLevel="0" collapsed="false">
      <c r="A1" s="4" t="s">
        <v>67</v>
      </c>
    </row>
    <row r="3" customFormat="false" ht="30" hidden="false" customHeight="tru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68</v>
      </c>
      <c r="G3" s="5" t="s">
        <v>69</v>
      </c>
      <c r="H3" s="5" t="s">
        <v>70</v>
      </c>
      <c r="I3" s="5" t="s">
        <v>71</v>
      </c>
      <c r="J3" s="5" t="s">
        <v>72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P3" s="5" t="s">
        <v>78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45</v>
      </c>
      <c r="E4" s="6" t="n">
        <v>16</v>
      </c>
      <c r="F4" s="8" t="n">
        <f aca="false">Recall!Q2</f>
        <v>0</v>
      </c>
      <c r="G4" s="8" t="n">
        <f aca="false">Recall!Q3</f>
        <v>0.005</v>
      </c>
      <c r="H4" s="8" t="n">
        <f aca="false">Recall!Q4</f>
        <v>0</v>
      </c>
      <c r="I4" s="8" t="n">
        <f aca="false">Recall!Q5</f>
        <v>0</v>
      </c>
      <c r="J4" s="8" t="n">
        <f aca="false">Recall!Q6</f>
        <v>0</v>
      </c>
      <c r="K4" s="8" t="n">
        <f aca="false">Recall!Q7</f>
        <v>0</v>
      </c>
      <c r="L4" s="8" t="n">
        <f aca="false">Recall!Q8</f>
        <v>0.015</v>
      </c>
      <c r="M4" s="8" t="n">
        <f aca="false">Recall!Q9</f>
        <v>0</v>
      </c>
      <c r="N4" s="8" t="n">
        <f aca="false">Recall!Q10</f>
        <v>0</v>
      </c>
      <c r="O4" s="8" t="n">
        <f aca="false">Recall!Q11</f>
        <v>0.035</v>
      </c>
      <c r="P4" s="14" t="n">
        <f aca="false">Recall!Q12</f>
        <v>0.0055</v>
      </c>
    </row>
    <row r="5" customFormat="false" ht="15" hidden="false" customHeight="false" outlineLevel="0" collapsed="false">
      <c r="A5" s="6" t="s">
        <v>46</v>
      </c>
      <c r="B5" s="6" t="s">
        <v>43</v>
      </c>
      <c r="C5" s="6" t="s">
        <v>44</v>
      </c>
      <c r="D5" s="6" t="s">
        <v>47</v>
      </c>
      <c r="E5" s="6" t="n">
        <v>1</v>
      </c>
      <c r="F5" s="8" t="n">
        <f aca="false">Recall!Q13</f>
        <v>0.2</v>
      </c>
      <c r="G5" s="8" t="n">
        <f aca="false">Recall!Q14</f>
        <v>0.2</v>
      </c>
      <c r="H5" s="8" t="n">
        <f aca="false">Recall!Q15</f>
        <v>0.2</v>
      </c>
      <c r="I5" s="8" t="n">
        <f aca="false">Recall!Q16</f>
        <v>0.2</v>
      </c>
      <c r="J5" s="8" t="n">
        <f aca="false">Recall!Q17</f>
        <v>0.2</v>
      </c>
      <c r="K5" s="8" t="n">
        <f aca="false">Recall!Q18</f>
        <v>0.2</v>
      </c>
      <c r="L5" s="8" t="n">
        <f aca="false">Recall!Q19</f>
        <v>0.2</v>
      </c>
      <c r="M5" s="8" t="n">
        <f aca="false">Recall!Q20</f>
        <v>0.2</v>
      </c>
      <c r="N5" s="8" t="n">
        <f aca="false">Recall!Q21</f>
        <v>0.2</v>
      </c>
      <c r="O5" s="8" t="n">
        <f aca="false">Recall!Q22</f>
        <v>0.24</v>
      </c>
      <c r="P5" s="14" t="n">
        <f aca="false">Recall!Q23</f>
        <v>0.204</v>
      </c>
    </row>
    <row r="6" customFormat="false" ht="15" hidden="false" customHeight="false" outlineLevel="0" collapsed="false">
      <c r="A6" s="6" t="s">
        <v>48</v>
      </c>
      <c r="B6" s="6" t="s">
        <v>43</v>
      </c>
      <c r="C6" s="6" t="s">
        <v>49</v>
      </c>
      <c r="D6" s="6" t="s">
        <v>47</v>
      </c>
      <c r="E6" s="6" t="n">
        <v>4</v>
      </c>
      <c r="F6" s="8" t="n">
        <f aca="false">Recall!Q24</f>
        <v>0.5</v>
      </c>
      <c r="G6" s="8" t="n">
        <f aca="false">Recall!Q25</f>
        <v>0.5</v>
      </c>
      <c r="H6" s="8" t="n">
        <f aca="false">Recall!Q26</f>
        <v>0.5</v>
      </c>
      <c r="I6" s="8" t="n">
        <f aca="false">Recall!Q27</f>
        <v>0.5</v>
      </c>
      <c r="J6" s="8" t="n">
        <f aca="false">Recall!Q28</f>
        <v>0.5</v>
      </c>
      <c r="K6" s="8" t="n">
        <f aca="false">Recall!Q29</f>
        <v>0.5</v>
      </c>
      <c r="L6" s="8" t="n">
        <f aca="false">Recall!Q30</f>
        <v>0.5</v>
      </c>
      <c r="M6" s="8" t="n">
        <f aca="false">Recall!Q31</f>
        <v>0.5</v>
      </c>
      <c r="N6" s="8" t="n">
        <f aca="false">Recall!Q32</f>
        <v>0.5</v>
      </c>
      <c r="O6" s="8" t="n">
        <f aca="false">Recall!Q33</f>
        <v>0.525</v>
      </c>
      <c r="P6" s="14" t="n">
        <f aca="false">Recall!Q34</f>
        <v>0.5025</v>
      </c>
    </row>
    <row r="7" customFormat="false" ht="15" hidden="false" customHeight="false" outlineLevel="0" collapsed="false">
      <c r="A7" s="6" t="s">
        <v>50</v>
      </c>
      <c r="B7" s="6" t="s">
        <v>43</v>
      </c>
      <c r="C7" s="6" t="s">
        <v>51</v>
      </c>
      <c r="D7" s="6" t="s">
        <v>47</v>
      </c>
      <c r="E7" s="6" t="n">
        <v>1</v>
      </c>
      <c r="F7" s="8" t="n">
        <f aca="false">Recall!Q35</f>
        <v>0.2</v>
      </c>
      <c r="G7" s="8" t="n">
        <f aca="false">Recall!Q36</f>
        <v>0.2</v>
      </c>
      <c r="H7" s="8" t="n">
        <f aca="false">Recall!Q37</f>
        <v>0.2</v>
      </c>
      <c r="I7" s="8" t="n">
        <f aca="false">Recall!Q38</f>
        <v>0.2</v>
      </c>
      <c r="J7" s="8" t="n">
        <f aca="false">Recall!Q39</f>
        <v>0.19</v>
      </c>
      <c r="K7" s="8" t="n">
        <f aca="false">Recall!Q40</f>
        <v>0.195</v>
      </c>
      <c r="L7" s="8" t="n">
        <f aca="false">Recall!Q41</f>
        <v>0.19</v>
      </c>
      <c r="M7" s="8" t="n">
        <f aca="false">Recall!Q42</f>
        <v>0.2</v>
      </c>
      <c r="N7" s="8" t="n">
        <f aca="false">Recall!Q43</f>
        <v>0.19</v>
      </c>
      <c r="O7" s="8" t="n">
        <f aca="false">Recall!Q44</f>
        <v>0.235</v>
      </c>
      <c r="P7" s="14" t="n">
        <f aca="false">Recall!Q45</f>
        <v>0.2</v>
      </c>
    </row>
    <row r="8" customFormat="false" ht="15" hidden="false" customHeight="false" outlineLevel="0" collapsed="false">
      <c r="A8" s="6" t="s">
        <v>52</v>
      </c>
      <c r="B8" s="6" t="s">
        <v>43</v>
      </c>
      <c r="C8" s="6" t="s">
        <v>51</v>
      </c>
      <c r="D8" s="6" t="s">
        <v>53</v>
      </c>
      <c r="E8" s="6" t="n">
        <v>16</v>
      </c>
      <c r="F8" s="8" t="n">
        <f aca="false">Recall!Q46</f>
        <v>0</v>
      </c>
      <c r="G8" s="8" t="n">
        <f aca="false">Recall!Q47</f>
        <v>0.05</v>
      </c>
      <c r="H8" s="8" t="n">
        <f aca="false">Recall!Q48</f>
        <v>0.005</v>
      </c>
      <c r="I8" s="8" t="n">
        <f aca="false">Recall!Q49</f>
        <v>0.03</v>
      </c>
      <c r="J8" s="8" t="n">
        <f aca="false">Recall!Q50</f>
        <v>0.005</v>
      </c>
      <c r="K8" s="8" t="n">
        <f aca="false">Recall!Q51</f>
        <v>0.015</v>
      </c>
      <c r="L8" s="8" t="n">
        <f aca="false">Recall!Q52</f>
        <v>0.01</v>
      </c>
      <c r="M8" s="8" t="n">
        <f aca="false">Recall!Q53</f>
        <v>0</v>
      </c>
      <c r="N8" s="8" t="n">
        <f aca="false">Recall!Q54</f>
        <v>0.005</v>
      </c>
      <c r="O8" s="8" t="n">
        <f aca="false">Recall!Q55</f>
        <v>0.05</v>
      </c>
      <c r="P8" s="14" t="n">
        <f aca="false">Recall!Q56</f>
        <v>0.017</v>
      </c>
    </row>
    <row r="9" customFormat="false" ht="15" hidden="false" customHeight="false" outlineLevel="0" collapsed="false">
      <c r="A9" s="6" t="s">
        <v>54</v>
      </c>
      <c r="B9" s="6" t="s">
        <v>43</v>
      </c>
      <c r="C9" s="6" t="s">
        <v>49</v>
      </c>
      <c r="D9" s="6" t="s">
        <v>55</v>
      </c>
      <c r="E9" s="6" t="n">
        <v>16</v>
      </c>
      <c r="F9" s="8" t="n">
        <f aca="false">Recall!Q57</f>
        <v>0</v>
      </c>
      <c r="G9" s="8" t="n">
        <f aca="false">Recall!Q58</f>
        <v>0</v>
      </c>
      <c r="H9" s="8" t="n">
        <f aca="false">Recall!Q59</f>
        <v>0</v>
      </c>
      <c r="I9" s="8" t="n">
        <f aca="false">Recall!Q60</f>
        <v>0</v>
      </c>
      <c r="J9" s="8" t="n">
        <f aca="false">Recall!Q61</f>
        <v>0</v>
      </c>
      <c r="K9" s="8" t="n">
        <f aca="false">Recall!Q62</f>
        <v>0</v>
      </c>
      <c r="L9" s="8" t="n">
        <f aca="false">Recall!Q63</f>
        <v>0</v>
      </c>
      <c r="M9" s="8" t="n">
        <f aca="false">Recall!Q64</f>
        <v>0</v>
      </c>
      <c r="N9" s="8" t="n">
        <f aca="false">Recall!Q65</f>
        <v>0</v>
      </c>
      <c r="O9" s="8" t="n">
        <f aca="false">Recall!Q66</f>
        <v>0.05</v>
      </c>
      <c r="P9" s="14" t="n">
        <f aca="false">Recall!Q67</f>
        <v>0.005</v>
      </c>
    </row>
    <row r="10" customFormat="false" ht="15" hidden="false" customHeight="false" outlineLevel="0" collapsed="false">
      <c r="A10" s="6" t="s">
        <v>56</v>
      </c>
      <c r="B10" s="6" t="s">
        <v>43</v>
      </c>
      <c r="C10" s="6" t="s">
        <v>51</v>
      </c>
      <c r="D10" s="6" t="s">
        <v>57</v>
      </c>
      <c r="E10" s="6" t="n">
        <v>16</v>
      </c>
      <c r="F10" s="8" t="n">
        <f aca="false">Recall!Q68</f>
        <v>0</v>
      </c>
      <c r="G10" s="8" t="n">
        <f aca="false">Recall!Q69</f>
        <v>0</v>
      </c>
      <c r="H10" s="8" t="n">
        <f aca="false">Recall!Q70</f>
        <v>0</v>
      </c>
      <c r="I10" s="8" t="n">
        <f aca="false">Recall!Q71</f>
        <v>0</v>
      </c>
      <c r="J10" s="8" t="n">
        <f aca="false">Recall!Q72</f>
        <v>0</v>
      </c>
      <c r="K10" s="8" t="n">
        <f aca="false">Recall!Q73</f>
        <v>0</v>
      </c>
      <c r="L10" s="8" t="n">
        <f aca="false">Recall!Q74</f>
        <v>0</v>
      </c>
      <c r="M10" s="8" t="n">
        <f aca="false">Recall!Q75</f>
        <v>0</v>
      </c>
      <c r="N10" s="8" t="n">
        <f aca="false">Recall!Q76</f>
        <v>0</v>
      </c>
      <c r="O10" s="8" t="n">
        <f aca="false">Recall!Q77</f>
        <v>0.05</v>
      </c>
      <c r="P10" s="14" t="n">
        <f aca="false">Recall!Q78</f>
        <v>0.005</v>
      </c>
    </row>
    <row r="11" customFormat="false" ht="15" hidden="false" customHeight="false" outlineLevel="0" collapsed="false">
      <c r="A11" s="6" t="s">
        <v>58</v>
      </c>
      <c r="B11" s="6" t="s">
        <v>59</v>
      </c>
      <c r="C11" s="6" t="s">
        <v>44</v>
      </c>
      <c r="D11" s="6" t="s">
        <v>45</v>
      </c>
      <c r="E11" s="6" t="n">
        <v>4</v>
      </c>
      <c r="F11" s="8" t="n">
        <f aca="false">Recall!Q79</f>
        <v>0</v>
      </c>
      <c r="G11" s="8" t="n">
        <f aca="false">Recall!Q80</f>
        <v>0</v>
      </c>
      <c r="H11" s="8" t="n">
        <f aca="false">Recall!Q81</f>
        <v>0.005</v>
      </c>
      <c r="I11" s="8" t="n">
        <f aca="false">Recall!Q82</f>
        <v>0</v>
      </c>
      <c r="J11" s="8" t="n">
        <f aca="false">Recall!Q83</f>
        <v>0</v>
      </c>
      <c r="K11" s="8" t="n">
        <f aca="false">Recall!Q84</f>
        <v>0.005</v>
      </c>
      <c r="L11" s="8" t="n">
        <f aca="false">Recall!Q85</f>
        <v>0.005</v>
      </c>
      <c r="M11" s="8" t="n">
        <f aca="false">Recall!Q86</f>
        <v>0</v>
      </c>
      <c r="N11" s="8" t="n">
        <f aca="false">Recall!Q87</f>
        <v>0</v>
      </c>
      <c r="O11" s="8" t="n">
        <f aca="false">Recall!Q88</f>
        <v>0.04</v>
      </c>
      <c r="P11" s="14" t="n">
        <f aca="false">Recall!Q89</f>
        <v>0.0055</v>
      </c>
    </row>
    <row r="12" customFormat="false" ht="15" hidden="false" customHeight="false" outlineLevel="0" collapsed="false">
      <c r="A12" s="6" t="s">
        <v>60</v>
      </c>
      <c r="B12" s="6" t="s">
        <v>59</v>
      </c>
      <c r="C12" s="6" t="s">
        <v>51</v>
      </c>
      <c r="D12" s="6" t="s">
        <v>61</v>
      </c>
      <c r="E12" s="6" t="n">
        <v>16</v>
      </c>
      <c r="F12" s="8" t="n">
        <f aca="false">Recall!Q90</f>
        <v>0</v>
      </c>
      <c r="G12" s="8" t="n">
        <f aca="false">Recall!Q91</f>
        <v>0</v>
      </c>
      <c r="H12" s="8" t="n">
        <f aca="false">Recall!Q92</f>
        <v>0</v>
      </c>
      <c r="I12" s="8" t="n">
        <f aca="false">Recall!Q93</f>
        <v>0.01</v>
      </c>
      <c r="J12" s="8" t="n">
        <f aca="false">Recall!Q94</f>
        <v>0.005</v>
      </c>
      <c r="K12" s="8" t="n">
        <f aca="false">Recall!Q95</f>
        <v>0</v>
      </c>
      <c r="L12" s="8" t="n">
        <f aca="false">Recall!Q96</f>
        <v>0</v>
      </c>
      <c r="M12" s="8" t="n">
        <f aca="false">Recall!Q97</f>
        <v>0.005</v>
      </c>
      <c r="N12" s="8" t="n">
        <f aca="false">Recall!Q98</f>
        <v>0</v>
      </c>
      <c r="O12" s="8" t="n">
        <f aca="false">Recall!Q99</f>
        <v>0.05</v>
      </c>
      <c r="P12" s="14" t="n">
        <f aca="false">Recall!Q100</f>
        <v>0.007</v>
      </c>
    </row>
    <row r="13" customFormat="false" ht="15" hidden="false" customHeight="false" outlineLevel="0" collapsed="false">
      <c r="A13" s="6" t="s">
        <v>62</v>
      </c>
      <c r="B13" s="6" t="s">
        <v>63</v>
      </c>
      <c r="C13" s="6" t="s">
        <v>44</v>
      </c>
      <c r="D13" s="6" t="s">
        <v>45</v>
      </c>
      <c r="E13" s="6" t="n">
        <v>16</v>
      </c>
      <c r="F13" s="8" t="n">
        <f aca="false">Recall!Q101</f>
        <v>0</v>
      </c>
      <c r="G13" s="8" t="n">
        <f aca="false">Recall!Q102</f>
        <v>0</v>
      </c>
      <c r="H13" s="8" t="n">
        <f aca="false">Recall!Q103</f>
        <v>0</v>
      </c>
      <c r="I13" s="8" t="n">
        <f aca="false">Recall!Q104</f>
        <v>0</v>
      </c>
      <c r="J13" s="8" t="n">
        <f aca="false">Recall!Q105</f>
        <v>0</v>
      </c>
      <c r="K13" s="8" t="n">
        <f aca="false">Recall!Q106</f>
        <v>0</v>
      </c>
      <c r="L13" s="8" t="n">
        <f aca="false">Recall!Q107</f>
        <v>0.01</v>
      </c>
      <c r="M13" s="8" t="n">
        <f aca="false">Recall!Q108</f>
        <v>0</v>
      </c>
      <c r="N13" s="8" t="n">
        <f aca="false">Recall!Q109</f>
        <v>0</v>
      </c>
      <c r="O13" s="8" t="n">
        <f aca="false">Recall!Q110</f>
        <v>0.045</v>
      </c>
      <c r="P13" s="14" t="n">
        <f aca="false">Recall!Q111</f>
        <v>0.0055</v>
      </c>
    </row>
    <row r="15" customFormat="false" ht="15" hidden="false" customHeight="false" outlineLevel="0" collapsed="false">
      <c r="A15" s="1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15"/>
  </cols>
  <sheetData>
    <row r="1" customFormat="false" ht="30" hidden="false" customHeight="true" outlineLevel="0" collapsed="false">
      <c r="A1" s="5" t="s">
        <v>23</v>
      </c>
      <c r="B1" s="5" t="s">
        <v>80</v>
      </c>
      <c r="C1" s="5" t="s">
        <v>25</v>
      </c>
      <c r="D1" s="5" t="s">
        <v>26</v>
      </c>
      <c r="E1" s="5" t="s">
        <v>81</v>
      </c>
      <c r="F1" s="5" t="s">
        <v>82</v>
      </c>
      <c r="G1" s="5" t="s">
        <v>83</v>
      </c>
      <c r="H1" s="5" t="s">
        <v>84</v>
      </c>
    </row>
    <row r="2" customFormat="false" ht="15" hidden="false" customHeight="false" outlineLevel="0" collapsed="false">
      <c r="A2" s="6" t="s">
        <v>42</v>
      </c>
      <c r="B2" s="6" t="s">
        <v>43</v>
      </c>
      <c r="C2" s="6" t="s">
        <v>85</v>
      </c>
      <c r="D2" s="6" t="s">
        <v>45</v>
      </c>
      <c r="E2" s="6" t="s">
        <v>86</v>
      </c>
      <c r="F2" s="15" t="n">
        <v>16</v>
      </c>
      <c r="G2" s="15" t="n">
        <v>10</v>
      </c>
      <c r="H2" s="15" t="n">
        <v>200</v>
      </c>
    </row>
    <row r="3" customFormat="false" ht="15" hidden="false" customHeight="false" outlineLevel="0" collapsed="false">
      <c r="A3" s="6" t="s">
        <v>46</v>
      </c>
      <c r="B3" s="6" t="s">
        <v>43</v>
      </c>
      <c r="C3" s="6" t="s">
        <v>85</v>
      </c>
      <c r="D3" s="6" t="s">
        <v>47</v>
      </c>
      <c r="E3" s="6" t="s">
        <v>87</v>
      </c>
      <c r="F3" s="15" t="n">
        <v>1</v>
      </c>
      <c r="G3" s="15" t="n">
        <v>10</v>
      </c>
      <c r="H3" s="15" t="n">
        <v>200</v>
      </c>
    </row>
    <row r="4" customFormat="false" ht="15" hidden="false" customHeight="false" outlineLevel="0" collapsed="false">
      <c r="A4" s="6" t="s">
        <v>48</v>
      </c>
      <c r="B4" s="6" t="s">
        <v>43</v>
      </c>
      <c r="C4" s="6" t="s">
        <v>88</v>
      </c>
      <c r="D4" s="6" t="s">
        <v>47</v>
      </c>
      <c r="E4" s="6" t="s">
        <v>87</v>
      </c>
      <c r="F4" s="15" t="n">
        <v>4</v>
      </c>
      <c r="G4" s="15" t="n">
        <v>10</v>
      </c>
      <c r="H4" s="15" t="n">
        <v>200</v>
      </c>
    </row>
    <row r="5" customFormat="false" ht="15" hidden="false" customHeight="false" outlineLevel="0" collapsed="false">
      <c r="A5" s="6" t="s">
        <v>50</v>
      </c>
      <c r="B5" s="6" t="s">
        <v>43</v>
      </c>
      <c r="C5" s="6" t="s">
        <v>89</v>
      </c>
      <c r="D5" s="6" t="s">
        <v>47</v>
      </c>
      <c r="E5" s="6" t="s">
        <v>87</v>
      </c>
      <c r="F5" s="15" t="n">
        <v>1</v>
      </c>
      <c r="G5" s="15" t="n">
        <v>10</v>
      </c>
      <c r="H5" s="15" t="n">
        <v>200</v>
      </c>
    </row>
    <row r="6" customFormat="false" ht="15" hidden="false" customHeight="false" outlineLevel="0" collapsed="false">
      <c r="A6" s="6" t="s">
        <v>52</v>
      </c>
      <c r="B6" s="6" t="s">
        <v>43</v>
      </c>
      <c r="C6" s="6" t="s">
        <v>89</v>
      </c>
      <c r="D6" s="6" t="s">
        <v>53</v>
      </c>
      <c r="E6" s="6" t="s">
        <v>90</v>
      </c>
      <c r="F6" s="15" t="n">
        <v>16</v>
      </c>
      <c r="G6" s="15" t="n">
        <v>10</v>
      </c>
      <c r="H6" s="15" t="n">
        <v>200</v>
      </c>
    </row>
    <row r="7" customFormat="false" ht="15" hidden="false" customHeight="false" outlineLevel="0" collapsed="false">
      <c r="A7" s="6" t="s">
        <v>54</v>
      </c>
      <c r="B7" s="6" t="s">
        <v>43</v>
      </c>
      <c r="C7" s="6" t="s">
        <v>88</v>
      </c>
      <c r="D7" s="6" t="s">
        <v>55</v>
      </c>
      <c r="E7" s="6" t="s">
        <v>91</v>
      </c>
      <c r="F7" s="15" t="n">
        <v>16</v>
      </c>
      <c r="G7" s="15" t="n">
        <v>10</v>
      </c>
      <c r="H7" s="15" t="n">
        <v>200</v>
      </c>
    </row>
    <row r="8" customFormat="false" ht="15" hidden="false" customHeight="false" outlineLevel="0" collapsed="false">
      <c r="A8" s="6" t="s">
        <v>56</v>
      </c>
      <c r="B8" s="6" t="s">
        <v>43</v>
      </c>
      <c r="C8" s="6" t="s">
        <v>89</v>
      </c>
      <c r="D8" s="6" t="s">
        <v>57</v>
      </c>
      <c r="E8" s="6" t="s">
        <v>92</v>
      </c>
      <c r="F8" s="15" t="n">
        <v>16</v>
      </c>
      <c r="G8" s="15" t="n">
        <v>10</v>
      </c>
      <c r="H8" s="15" t="n">
        <v>200</v>
      </c>
    </row>
    <row r="9" customFormat="false" ht="15" hidden="false" customHeight="false" outlineLevel="0" collapsed="false">
      <c r="A9" s="6" t="s">
        <v>58</v>
      </c>
      <c r="B9" s="6" t="s">
        <v>59</v>
      </c>
      <c r="C9" s="6" t="s">
        <v>85</v>
      </c>
      <c r="D9" s="6" t="s">
        <v>45</v>
      </c>
      <c r="E9" s="6" t="s">
        <v>93</v>
      </c>
      <c r="F9" s="15" t="n">
        <v>4</v>
      </c>
      <c r="G9" s="15" t="n">
        <v>10</v>
      </c>
      <c r="H9" s="15" t="n">
        <v>200</v>
      </c>
    </row>
    <row r="10" customFormat="false" ht="15" hidden="false" customHeight="false" outlineLevel="0" collapsed="false">
      <c r="A10" s="6" t="s">
        <v>60</v>
      </c>
      <c r="B10" s="6" t="s">
        <v>59</v>
      </c>
      <c r="C10" s="6" t="s">
        <v>89</v>
      </c>
      <c r="D10" s="6" t="s">
        <v>61</v>
      </c>
      <c r="E10" s="6" t="s">
        <v>94</v>
      </c>
      <c r="F10" s="15" t="n">
        <v>16</v>
      </c>
      <c r="G10" s="15" t="n">
        <v>10</v>
      </c>
      <c r="H10" s="15" t="n">
        <v>200</v>
      </c>
    </row>
    <row r="11" customFormat="false" ht="15" hidden="false" customHeight="false" outlineLevel="0" collapsed="false">
      <c r="A11" s="6" t="s">
        <v>62</v>
      </c>
      <c r="B11" s="6" t="s">
        <v>63</v>
      </c>
      <c r="C11" s="6" t="s">
        <v>85</v>
      </c>
      <c r="D11" s="6" t="s">
        <v>45</v>
      </c>
      <c r="E11" s="6" t="s">
        <v>95</v>
      </c>
      <c r="F11" s="15" t="n">
        <v>16</v>
      </c>
      <c r="G11" s="15" t="n">
        <v>10</v>
      </c>
      <c r="H11" s="15" t="n">
        <v>200</v>
      </c>
    </row>
    <row r="13" customFormat="false" ht="15" hidden="false" customHeight="false" outlineLevel="0" collapsed="false">
      <c r="A13" s="13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3" min="10" style="0" width="6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8" min="17" style="0" width="11"/>
    <col collapsed="false" customWidth="true" hidden="false" outlineLevel="0" max="20" min="19" style="0" width="13"/>
    <col collapsed="false" customWidth="true" hidden="false" outlineLevel="0" max="22" min="21" style="0" width="11"/>
  </cols>
  <sheetData>
    <row r="1" customFormat="false" ht="30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  <c r="L1" s="5" t="s">
        <v>103</v>
      </c>
      <c r="M1" s="5" t="s">
        <v>104</v>
      </c>
      <c r="N1" s="5" t="s">
        <v>105</v>
      </c>
      <c r="O1" s="5" t="s">
        <v>106</v>
      </c>
      <c r="P1" s="5" t="s">
        <v>107</v>
      </c>
      <c r="Q1" s="5" t="s">
        <v>108</v>
      </c>
      <c r="R1" s="5" t="s">
        <v>109</v>
      </c>
      <c r="S1" s="5" t="s">
        <v>110</v>
      </c>
      <c r="T1" s="5" t="s">
        <v>111</v>
      </c>
      <c r="U1" s="5" t="s">
        <v>112</v>
      </c>
      <c r="V1" s="5" t="s">
        <v>113</v>
      </c>
    </row>
    <row r="2" customFormat="false" ht="15" hidden="false" customHeight="false" outlineLevel="0" collapsed="false">
      <c r="A2" s="6" t="s">
        <v>42</v>
      </c>
      <c r="B2" s="6" t="s">
        <v>43</v>
      </c>
      <c r="C2" s="6" t="s">
        <v>44</v>
      </c>
      <c r="D2" s="6" t="s">
        <v>114</v>
      </c>
      <c r="E2" s="6" t="n">
        <v>16</v>
      </c>
      <c r="F2" s="6" t="n">
        <v>1</v>
      </c>
      <c r="G2" s="6" t="s">
        <v>68</v>
      </c>
      <c r="H2" s="11" t="n">
        <v>0.05</v>
      </c>
      <c r="I2" s="6" t="n">
        <v>20</v>
      </c>
      <c r="J2" s="6" t="n">
        <v>2</v>
      </c>
      <c r="K2" s="6" t="n">
        <v>18</v>
      </c>
      <c r="L2" s="6" t="n">
        <v>2</v>
      </c>
      <c r="M2" s="6" t="n">
        <v>18</v>
      </c>
      <c r="N2" s="11" t="n">
        <f aca="false">J2/(J2+K2)</f>
        <v>0.1</v>
      </c>
      <c r="O2" s="11" t="n">
        <f aca="false">IF(J2+L2=0,"",J2/(J2+L2))</f>
        <v>0.5</v>
      </c>
      <c r="P2" s="11" t="n">
        <f aca="false">2*J2/(2*J2+L2+K2)</f>
        <v>0.166666666666667</v>
      </c>
      <c r="Q2" s="11" t="n">
        <f aca="false">L2/(L2+M2)</f>
        <v>0.1</v>
      </c>
      <c r="R2" s="6" t="n">
        <v>2</v>
      </c>
      <c r="S2" s="11" t="n">
        <v>0</v>
      </c>
      <c r="T2" s="11" t="n">
        <v>0.111111111111111</v>
      </c>
      <c r="U2" s="11" t="n">
        <v>0.85</v>
      </c>
      <c r="V2" s="11" t="n">
        <v>0.8</v>
      </c>
    </row>
    <row r="3" customFormat="false" ht="15" hidden="false" customHeight="false" outlineLevel="0" collapsed="false">
      <c r="A3" s="6" t="s">
        <v>42</v>
      </c>
      <c r="B3" s="6" t="s">
        <v>43</v>
      </c>
      <c r="C3" s="6" t="s">
        <v>44</v>
      </c>
      <c r="D3" s="6" t="s">
        <v>114</v>
      </c>
      <c r="E3" s="6" t="n">
        <v>16</v>
      </c>
      <c r="F3" s="6" t="n">
        <v>1</v>
      </c>
      <c r="G3" s="6" t="s">
        <v>69</v>
      </c>
      <c r="H3" s="11" t="n">
        <v>0.05</v>
      </c>
      <c r="I3" s="6" t="n">
        <v>20</v>
      </c>
      <c r="J3" s="6" t="n">
        <v>2</v>
      </c>
      <c r="K3" s="6" t="n">
        <v>18</v>
      </c>
      <c r="L3" s="6" t="n">
        <v>1</v>
      </c>
      <c r="M3" s="6" t="n">
        <v>19</v>
      </c>
      <c r="N3" s="11" t="n">
        <f aca="false">J3/(J3+K3)</f>
        <v>0.1</v>
      </c>
      <c r="O3" s="11" t="n">
        <f aca="false">IF(J3+L3=0,"",J3/(J3+L3))</f>
        <v>0.666666666666667</v>
      </c>
      <c r="P3" s="11" t="n">
        <f aca="false">2*J3/(2*J3+L3+K3)</f>
        <v>0.173913043478261</v>
      </c>
      <c r="Q3" s="11" t="n">
        <f aca="false">L3/(L3+M3)</f>
        <v>0.05</v>
      </c>
      <c r="R3" s="6" t="n">
        <v>0</v>
      </c>
      <c r="S3" s="11"/>
      <c r="T3" s="11" t="n">
        <v>0.1</v>
      </c>
      <c r="U3" s="11" t="n">
        <v>1</v>
      </c>
      <c r="V3" s="11" t="n">
        <v>1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114</v>
      </c>
      <c r="E4" s="6" t="n">
        <v>16</v>
      </c>
      <c r="F4" s="6" t="n">
        <v>1</v>
      </c>
      <c r="G4" s="6" t="s">
        <v>70</v>
      </c>
      <c r="H4" s="11" t="n">
        <v>0.05</v>
      </c>
      <c r="I4" s="6" t="n">
        <v>20</v>
      </c>
      <c r="J4" s="6" t="n">
        <v>0</v>
      </c>
      <c r="K4" s="6" t="n">
        <v>20</v>
      </c>
      <c r="L4" s="6" t="n">
        <v>0</v>
      </c>
      <c r="M4" s="6" t="n">
        <v>20</v>
      </c>
      <c r="N4" s="11" t="n">
        <f aca="false">J4/(J4+K4)</f>
        <v>0</v>
      </c>
      <c r="O4" s="11" t="str">
        <f aca="false">IF(J4+L4=0,"",J4/(J4+L4))</f>
        <v/>
      </c>
      <c r="P4" s="11" t="n">
        <f aca="false">2*J4/(2*J4+L4+K4)</f>
        <v>0</v>
      </c>
      <c r="Q4" s="11" t="n">
        <f aca="false">L4/(L4+M4)</f>
        <v>0</v>
      </c>
      <c r="R4" s="6" t="n">
        <v>2</v>
      </c>
      <c r="S4" s="11" t="n">
        <v>0</v>
      </c>
      <c r="T4" s="11" t="n">
        <v>0</v>
      </c>
      <c r="U4" s="11" t="n">
        <v>0.9</v>
      </c>
      <c r="V4" s="11" t="n">
        <v>1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44</v>
      </c>
      <c r="D5" s="6" t="s">
        <v>114</v>
      </c>
      <c r="E5" s="6" t="n">
        <v>16</v>
      </c>
      <c r="F5" s="6" t="n">
        <v>1</v>
      </c>
      <c r="G5" s="6" t="s">
        <v>71</v>
      </c>
      <c r="H5" s="11" t="n">
        <v>0.05</v>
      </c>
      <c r="I5" s="6" t="n">
        <v>20</v>
      </c>
      <c r="J5" s="6" t="n">
        <v>0</v>
      </c>
      <c r="K5" s="6" t="n">
        <v>20</v>
      </c>
      <c r="L5" s="6" t="n">
        <v>0</v>
      </c>
      <c r="M5" s="6" t="n">
        <v>20</v>
      </c>
      <c r="N5" s="11" t="n">
        <f aca="false">J5/(J5+K5)</f>
        <v>0</v>
      </c>
      <c r="O5" s="11" t="str">
        <f aca="false">IF(J5+L5=0,"",J5/(J5+L5))</f>
        <v/>
      </c>
      <c r="P5" s="11" t="n">
        <f aca="false">2*J5/(2*J5+L5+K5)</f>
        <v>0</v>
      </c>
      <c r="Q5" s="11" t="n">
        <f aca="false">L5/(L5+M5)</f>
        <v>0</v>
      </c>
      <c r="R5" s="6" t="n">
        <v>1</v>
      </c>
      <c r="S5" s="11" t="n">
        <v>0</v>
      </c>
      <c r="T5" s="11" t="n">
        <v>0</v>
      </c>
      <c r="U5" s="11" t="n">
        <v>0.8</v>
      </c>
      <c r="V5" s="11" t="n">
        <v>0.75</v>
      </c>
    </row>
    <row r="6" customFormat="false" ht="15" hidden="false" customHeight="false" outlineLevel="0" collapsed="false">
      <c r="A6" s="6" t="s">
        <v>42</v>
      </c>
      <c r="B6" s="6" t="s">
        <v>43</v>
      </c>
      <c r="C6" s="6" t="s">
        <v>44</v>
      </c>
      <c r="D6" s="6" t="s">
        <v>114</v>
      </c>
      <c r="E6" s="6" t="n">
        <v>16</v>
      </c>
      <c r="F6" s="6" t="n">
        <v>1</v>
      </c>
      <c r="G6" s="6" t="s">
        <v>72</v>
      </c>
      <c r="H6" s="11" t="n">
        <v>0.05</v>
      </c>
      <c r="I6" s="6" t="n">
        <v>20</v>
      </c>
      <c r="J6" s="6" t="n">
        <v>0</v>
      </c>
      <c r="K6" s="6" t="n">
        <v>20</v>
      </c>
      <c r="L6" s="6" t="n">
        <v>1</v>
      </c>
      <c r="M6" s="6" t="n">
        <v>19</v>
      </c>
      <c r="N6" s="11" t="n">
        <f aca="false">J6/(J6+K6)</f>
        <v>0</v>
      </c>
      <c r="O6" s="11" t="n">
        <f aca="false">IF(J6+L6=0,"",J6/(J6+L6))</f>
        <v>0</v>
      </c>
      <c r="P6" s="11" t="n">
        <f aca="false">2*J6/(2*J6+L6+K6)</f>
        <v>0</v>
      </c>
      <c r="Q6" s="11" t="n">
        <f aca="false">L6/(L6+M6)</f>
        <v>0.05</v>
      </c>
      <c r="R6" s="6" t="n">
        <v>1</v>
      </c>
      <c r="S6" s="11" t="n">
        <v>0</v>
      </c>
      <c r="T6" s="11" t="n">
        <v>0</v>
      </c>
      <c r="U6" s="11" t="n">
        <v>0.9</v>
      </c>
      <c r="V6" s="11" t="n">
        <v>0.85</v>
      </c>
    </row>
    <row r="7" customFormat="false" ht="15" hidden="false" customHeight="false" outlineLevel="0" collapsed="false">
      <c r="A7" s="6" t="s">
        <v>42</v>
      </c>
      <c r="B7" s="6" t="s">
        <v>43</v>
      </c>
      <c r="C7" s="6" t="s">
        <v>44</v>
      </c>
      <c r="D7" s="6" t="s">
        <v>114</v>
      </c>
      <c r="E7" s="6" t="n">
        <v>16</v>
      </c>
      <c r="F7" s="6" t="n">
        <v>1</v>
      </c>
      <c r="G7" s="6" t="s">
        <v>73</v>
      </c>
      <c r="H7" s="11" t="n">
        <v>0.05</v>
      </c>
      <c r="I7" s="6" t="n">
        <v>20</v>
      </c>
      <c r="J7" s="6" t="n">
        <v>0</v>
      </c>
      <c r="K7" s="6" t="n">
        <v>20</v>
      </c>
      <c r="L7" s="6" t="n">
        <v>0</v>
      </c>
      <c r="M7" s="6" t="n">
        <v>20</v>
      </c>
      <c r="N7" s="11" t="n">
        <f aca="false">J7/(J7+K7)</f>
        <v>0</v>
      </c>
      <c r="O7" s="11" t="str">
        <f aca="false">IF(J7+L7=0,"",J7/(J7+L7))</f>
        <v/>
      </c>
      <c r="P7" s="11" t="n">
        <f aca="false">2*J7/(2*J7+L7+K7)</f>
        <v>0</v>
      </c>
      <c r="Q7" s="11" t="n">
        <f aca="false">L7/(L7+M7)</f>
        <v>0</v>
      </c>
      <c r="R7" s="6" t="n">
        <v>1</v>
      </c>
      <c r="S7" s="11" t="n">
        <v>0</v>
      </c>
      <c r="T7" s="11" t="n">
        <v>0</v>
      </c>
      <c r="U7" s="11" t="n">
        <v>0.65</v>
      </c>
      <c r="V7" s="11" t="n">
        <v>0.65</v>
      </c>
    </row>
    <row r="8" customFormat="false" ht="1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114</v>
      </c>
      <c r="E8" s="6" t="n">
        <v>16</v>
      </c>
      <c r="F8" s="6" t="n">
        <v>1</v>
      </c>
      <c r="G8" s="6" t="s">
        <v>74</v>
      </c>
      <c r="H8" s="11" t="n">
        <v>0.05</v>
      </c>
      <c r="I8" s="6" t="n">
        <v>20</v>
      </c>
      <c r="J8" s="6" t="n">
        <v>1</v>
      </c>
      <c r="K8" s="6" t="n">
        <v>19</v>
      </c>
      <c r="L8" s="6" t="n">
        <v>1</v>
      </c>
      <c r="M8" s="6" t="n">
        <v>19</v>
      </c>
      <c r="N8" s="11" t="n">
        <f aca="false">J8/(J8+K8)</f>
        <v>0.05</v>
      </c>
      <c r="O8" s="11" t="n">
        <f aca="false">IF(J8+L8=0,"",J8/(J8+L8))</f>
        <v>0.5</v>
      </c>
      <c r="P8" s="11" t="n">
        <f aca="false">2*J8/(2*J8+L8+K8)</f>
        <v>0.0909090909090909</v>
      </c>
      <c r="Q8" s="11" t="n">
        <f aca="false">L8/(L8+M8)</f>
        <v>0.05</v>
      </c>
      <c r="R8" s="6" t="n">
        <v>4</v>
      </c>
      <c r="S8" s="11" t="n">
        <v>0.25</v>
      </c>
      <c r="T8" s="11" t="n">
        <v>0</v>
      </c>
      <c r="U8" s="11" t="n">
        <v>0.85</v>
      </c>
      <c r="V8" s="11" t="n">
        <v>0.8</v>
      </c>
    </row>
    <row r="9" customFormat="false" ht="15" hidden="false" customHeight="false" outlineLevel="0" collapsed="false">
      <c r="A9" s="6" t="s">
        <v>42</v>
      </c>
      <c r="B9" s="6" t="s">
        <v>43</v>
      </c>
      <c r="C9" s="6" t="s">
        <v>44</v>
      </c>
      <c r="D9" s="6" t="s">
        <v>114</v>
      </c>
      <c r="E9" s="6" t="n">
        <v>16</v>
      </c>
      <c r="F9" s="6" t="n">
        <v>1</v>
      </c>
      <c r="G9" s="6" t="s">
        <v>75</v>
      </c>
      <c r="H9" s="11" t="n">
        <v>0.05</v>
      </c>
      <c r="I9" s="6" t="n">
        <v>20</v>
      </c>
      <c r="J9" s="6" t="n">
        <v>0</v>
      </c>
      <c r="K9" s="6" t="n">
        <v>20</v>
      </c>
      <c r="L9" s="6" t="n">
        <v>0</v>
      </c>
      <c r="M9" s="6" t="n">
        <v>20</v>
      </c>
      <c r="N9" s="11" t="n">
        <f aca="false">J9/(J9+K9)</f>
        <v>0</v>
      </c>
      <c r="O9" s="11" t="str">
        <f aca="false">IF(J9+L9=0,"",J9/(J9+L9))</f>
        <v/>
      </c>
      <c r="P9" s="11" t="n">
        <f aca="false">2*J9/(2*J9+L9+K9)</f>
        <v>0</v>
      </c>
      <c r="Q9" s="11" t="n">
        <f aca="false">L9/(L9+M9)</f>
        <v>0</v>
      </c>
      <c r="R9" s="6" t="n">
        <v>2</v>
      </c>
      <c r="S9" s="11" t="n">
        <v>0</v>
      </c>
      <c r="T9" s="11" t="n">
        <v>0</v>
      </c>
      <c r="U9" s="11" t="n">
        <v>0.9</v>
      </c>
      <c r="V9" s="11" t="n">
        <v>0.9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s">
        <v>44</v>
      </c>
      <c r="D10" s="6" t="s">
        <v>114</v>
      </c>
      <c r="E10" s="6" t="n">
        <v>16</v>
      </c>
      <c r="F10" s="6" t="n">
        <v>1</v>
      </c>
      <c r="G10" s="6" t="s">
        <v>76</v>
      </c>
      <c r="H10" s="11" t="n">
        <v>0.05</v>
      </c>
      <c r="I10" s="6" t="n">
        <v>20</v>
      </c>
      <c r="J10" s="6" t="n">
        <v>0</v>
      </c>
      <c r="K10" s="6" t="n">
        <v>20</v>
      </c>
      <c r="L10" s="6" t="n">
        <v>0</v>
      </c>
      <c r="M10" s="6" t="n">
        <v>20</v>
      </c>
      <c r="N10" s="11" t="n">
        <f aca="false">J10/(J10+K10)</f>
        <v>0</v>
      </c>
      <c r="O10" s="11" t="str">
        <f aca="false">IF(J10+L10=0,"",J10/(J10+L10))</f>
        <v/>
      </c>
      <c r="P10" s="11" t="n">
        <f aca="false">2*J10/(2*J10+L10+K10)</f>
        <v>0</v>
      </c>
      <c r="Q10" s="11" t="n">
        <f aca="false">L10/(L10+M10)</f>
        <v>0</v>
      </c>
      <c r="R10" s="6" t="n">
        <v>0</v>
      </c>
      <c r="S10" s="11"/>
      <c r="T10" s="11" t="n">
        <v>0</v>
      </c>
      <c r="U10" s="11" t="n">
        <v>0.95</v>
      </c>
      <c r="V10" s="11" t="n">
        <v>0.95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44</v>
      </c>
      <c r="D11" s="6" t="s">
        <v>114</v>
      </c>
      <c r="E11" s="6" t="n">
        <v>16</v>
      </c>
      <c r="F11" s="6" t="n">
        <v>1</v>
      </c>
      <c r="G11" s="6" t="s">
        <v>77</v>
      </c>
      <c r="H11" s="11" t="n">
        <v>0.05</v>
      </c>
      <c r="I11" s="6" t="n">
        <v>20</v>
      </c>
      <c r="J11" s="6" t="n">
        <v>0</v>
      </c>
      <c r="K11" s="6" t="n">
        <v>20</v>
      </c>
      <c r="L11" s="6" t="n">
        <v>1</v>
      </c>
      <c r="M11" s="6" t="n">
        <v>19</v>
      </c>
      <c r="N11" s="11" t="n">
        <f aca="false">J11/(J11+K11)</f>
        <v>0</v>
      </c>
      <c r="O11" s="11" t="n">
        <f aca="false">IF(J11+L11=0,"",J11/(J11+L11))</f>
        <v>0</v>
      </c>
      <c r="P11" s="11" t="n">
        <f aca="false">2*J11/(2*J11+L11+K11)</f>
        <v>0</v>
      </c>
      <c r="Q11" s="11" t="n">
        <f aca="false">L11/(L11+M11)</f>
        <v>0.05</v>
      </c>
      <c r="R11" s="6" t="n">
        <v>0</v>
      </c>
      <c r="S11" s="11"/>
      <c r="T11" s="11" t="n">
        <v>0</v>
      </c>
      <c r="U11" s="11" t="n">
        <v>1</v>
      </c>
      <c r="V11" s="11" t="n">
        <v>1</v>
      </c>
    </row>
    <row r="12" customFormat="false" ht="15" hidden="false" customHeight="false" outlineLevel="0" collapsed="false">
      <c r="A12" s="6" t="s">
        <v>42</v>
      </c>
      <c r="B12" s="6" t="s">
        <v>43</v>
      </c>
      <c r="C12" s="6" t="s">
        <v>44</v>
      </c>
      <c r="D12" s="6" t="s">
        <v>114</v>
      </c>
      <c r="E12" s="6" t="n">
        <v>16</v>
      </c>
      <c r="F12" s="6" t="n">
        <v>1</v>
      </c>
      <c r="G12" s="6" t="s">
        <v>78</v>
      </c>
      <c r="H12" s="11" t="n">
        <v>0.05</v>
      </c>
      <c r="I12" s="6" t="n">
        <v>200</v>
      </c>
      <c r="J12" s="6" t="n">
        <v>5</v>
      </c>
      <c r="K12" s="6" t="n">
        <v>195</v>
      </c>
      <c r="L12" s="6" t="n">
        <v>6</v>
      </c>
      <c r="M12" s="6" t="n">
        <v>194</v>
      </c>
      <c r="N12" s="11" t="n">
        <f aca="false">J12/(J12+K12)</f>
        <v>0.025</v>
      </c>
      <c r="O12" s="11" t="n">
        <f aca="false">IF(J12+L12=0,"",J12/(J12+L12))</f>
        <v>0.454545454545455</v>
      </c>
      <c r="P12" s="11" t="n">
        <f aca="false">2*J12/(2*J12+L12+K12)</f>
        <v>0.04739336492891</v>
      </c>
      <c r="Q12" s="11" t="n">
        <f aca="false">L12/(L12+M12)</f>
        <v>0.03</v>
      </c>
      <c r="R12" s="6" t="n">
        <v>13</v>
      </c>
      <c r="S12" s="11" t="n">
        <v>0.0769230769230769</v>
      </c>
      <c r="T12" s="11" t="n">
        <v>0.0213903743315508</v>
      </c>
      <c r="U12" s="11" t="n">
        <v>0.88</v>
      </c>
      <c r="V12" s="11" t="n">
        <v>0.87</v>
      </c>
    </row>
    <row r="13" customFormat="false" ht="15" hidden="false" customHeight="false" outlineLevel="0" collapsed="false">
      <c r="A13" s="6" t="s">
        <v>42</v>
      </c>
      <c r="B13" s="6" t="s">
        <v>43</v>
      </c>
      <c r="C13" s="6" t="s">
        <v>44</v>
      </c>
      <c r="D13" s="6" t="s">
        <v>114</v>
      </c>
      <c r="E13" s="6" t="n">
        <v>16</v>
      </c>
      <c r="F13" s="6" t="n">
        <v>2</v>
      </c>
      <c r="G13" s="6" t="s">
        <v>68</v>
      </c>
      <c r="H13" s="11" t="n">
        <v>0.05</v>
      </c>
      <c r="I13" s="6" t="n">
        <v>20</v>
      </c>
      <c r="J13" s="6" t="n">
        <v>1</v>
      </c>
      <c r="K13" s="6" t="n">
        <v>19</v>
      </c>
      <c r="L13" s="6" t="n">
        <v>2</v>
      </c>
      <c r="M13" s="6" t="n">
        <v>18</v>
      </c>
      <c r="N13" s="11" t="n">
        <f aca="false">J13/(J13+K13)</f>
        <v>0.05</v>
      </c>
      <c r="O13" s="11" t="n">
        <f aca="false">IF(J13+L13=0,"",J13/(J13+L13))</f>
        <v>0.333333333333333</v>
      </c>
      <c r="P13" s="11" t="n">
        <f aca="false">2*J13/(2*J13+L13+K13)</f>
        <v>0.0869565217391304</v>
      </c>
      <c r="Q13" s="11" t="n">
        <f aca="false">L13/(L13+M13)</f>
        <v>0.1</v>
      </c>
      <c r="R13" s="6" t="n">
        <v>0</v>
      </c>
      <c r="S13" s="11"/>
      <c r="T13" s="11" t="n">
        <v>0.05</v>
      </c>
      <c r="U13" s="11" t="n">
        <v>0.85</v>
      </c>
      <c r="V13" s="11" t="n">
        <v>0.85</v>
      </c>
    </row>
    <row r="14" customFormat="false" ht="15" hidden="false" customHeight="false" outlineLevel="0" collapsed="false">
      <c r="A14" s="6" t="s">
        <v>42</v>
      </c>
      <c r="B14" s="6" t="s">
        <v>43</v>
      </c>
      <c r="C14" s="6" t="s">
        <v>44</v>
      </c>
      <c r="D14" s="6" t="s">
        <v>114</v>
      </c>
      <c r="E14" s="6" t="n">
        <v>16</v>
      </c>
      <c r="F14" s="6" t="n">
        <v>2</v>
      </c>
      <c r="G14" s="6" t="s">
        <v>69</v>
      </c>
      <c r="H14" s="11" t="n">
        <v>0.05</v>
      </c>
      <c r="I14" s="6" t="n">
        <v>20</v>
      </c>
      <c r="J14" s="6" t="n">
        <v>1</v>
      </c>
      <c r="K14" s="6" t="n">
        <v>19</v>
      </c>
      <c r="L14" s="6" t="n">
        <v>1</v>
      </c>
      <c r="M14" s="6" t="n">
        <v>19</v>
      </c>
      <c r="N14" s="11" t="n">
        <f aca="false">J14/(J14+K14)</f>
        <v>0.05</v>
      </c>
      <c r="O14" s="11" t="n">
        <f aca="false">IF(J14+L14=0,"",J14/(J14+L14))</f>
        <v>0.5</v>
      </c>
      <c r="P14" s="11" t="n">
        <f aca="false">2*J14/(2*J14+L14+K14)</f>
        <v>0.0909090909090909</v>
      </c>
      <c r="Q14" s="11" t="n">
        <f aca="false">L14/(L14+M14)</f>
        <v>0.05</v>
      </c>
      <c r="R14" s="6" t="n">
        <v>0</v>
      </c>
      <c r="S14" s="11"/>
      <c r="T14" s="11" t="n">
        <v>0.05</v>
      </c>
      <c r="U14" s="11" t="n">
        <v>1</v>
      </c>
      <c r="V14" s="11" t="n">
        <v>1</v>
      </c>
    </row>
    <row r="15" customFormat="false" ht="15" hidden="false" customHeight="false" outlineLevel="0" collapsed="false">
      <c r="A15" s="6" t="s">
        <v>42</v>
      </c>
      <c r="B15" s="6" t="s">
        <v>43</v>
      </c>
      <c r="C15" s="6" t="s">
        <v>44</v>
      </c>
      <c r="D15" s="6" t="s">
        <v>114</v>
      </c>
      <c r="E15" s="6" t="n">
        <v>16</v>
      </c>
      <c r="F15" s="6" t="n">
        <v>2</v>
      </c>
      <c r="G15" s="6" t="s">
        <v>70</v>
      </c>
      <c r="H15" s="11" t="n">
        <v>0.05</v>
      </c>
      <c r="I15" s="6" t="n">
        <v>20</v>
      </c>
      <c r="J15" s="6" t="n">
        <v>0</v>
      </c>
      <c r="K15" s="6" t="n">
        <v>20</v>
      </c>
      <c r="L15" s="6" t="n">
        <v>0</v>
      </c>
      <c r="M15" s="6" t="n">
        <v>20</v>
      </c>
      <c r="N15" s="11" t="n">
        <f aca="false">J15/(J15+K15)</f>
        <v>0</v>
      </c>
      <c r="O15" s="11" t="str">
        <f aca="false">IF(J15+L15=0,"",J15/(J15+L15))</f>
        <v/>
      </c>
      <c r="P15" s="11" t="n">
        <f aca="false">2*J15/(2*J15+L15+K15)</f>
        <v>0</v>
      </c>
      <c r="Q15" s="11" t="n">
        <f aca="false">L15/(L15+M15)</f>
        <v>0</v>
      </c>
      <c r="R15" s="6" t="n">
        <v>0</v>
      </c>
      <c r="S15" s="11"/>
      <c r="T15" s="11" t="n">
        <v>0</v>
      </c>
      <c r="U15" s="11" t="n">
        <v>0.9</v>
      </c>
      <c r="V15" s="11" t="n">
        <v>0.9</v>
      </c>
    </row>
    <row r="16" customFormat="false" ht="15" hidden="false" customHeight="false" outlineLevel="0" collapsed="false">
      <c r="A16" s="6" t="s">
        <v>42</v>
      </c>
      <c r="B16" s="6" t="s">
        <v>43</v>
      </c>
      <c r="C16" s="6" t="s">
        <v>44</v>
      </c>
      <c r="D16" s="6" t="s">
        <v>114</v>
      </c>
      <c r="E16" s="6" t="n">
        <v>16</v>
      </c>
      <c r="F16" s="6" t="n">
        <v>2</v>
      </c>
      <c r="G16" s="6" t="s">
        <v>71</v>
      </c>
      <c r="H16" s="11" t="n">
        <v>0.05</v>
      </c>
      <c r="I16" s="6" t="n">
        <v>20</v>
      </c>
      <c r="J16" s="6" t="n">
        <v>0</v>
      </c>
      <c r="K16" s="6" t="n">
        <v>20</v>
      </c>
      <c r="L16" s="6" t="n">
        <v>0</v>
      </c>
      <c r="M16" s="6" t="n">
        <v>20</v>
      </c>
      <c r="N16" s="11" t="n">
        <f aca="false">J16/(J16+K16)</f>
        <v>0</v>
      </c>
      <c r="O16" s="11" t="str">
        <f aca="false">IF(J16+L16=0,"",J16/(J16+L16))</f>
        <v/>
      </c>
      <c r="P16" s="11" t="n">
        <f aca="false">2*J16/(2*J16+L16+K16)</f>
        <v>0</v>
      </c>
      <c r="Q16" s="11" t="n">
        <f aca="false">L16/(L16+M16)</f>
        <v>0</v>
      </c>
      <c r="R16" s="6" t="n">
        <v>0</v>
      </c>
      <c r="S16" s="11"/>
      <c r="T16" s="11" t="n">
        <v>0</v>
      </c>
      <c r="U16" s="11" t="n">
        <v>0.8</v>
      </c>
      <c r="V16" s="11" t="n">
        <v>0.8</v>
      </c>
    </row>
    <row r="17" customFormat="false" ht="15" hidden="false" customHeight="false" outlineLevel="0" collapsed="false">
      <c r="A17" s="6" t="s">
        <v>42</v>
      </c>
      <c r="B17" s="6" t="s">
        <v>43</v>
      </c>
      <c r="C17" s="6" t="s">
        <v>44</v>
      </c>
      <c r="D17" s="6" t="s">
        <v>114</v>
      </c>
      <c r="E17" s="6" t="n">
        <v>16</v>
      </c>
      <c r="F17" s="6" t="n">
        <v>2</v>
      </c>
      <c r="G17" s="6" t="s">
        <v>72</v>
      </c>
      <c r="H17" s="11" t="n">
        <v>0.05</v>
      </c>
      <c r="I17" s="6" t="n">
        <v>20</v>
      </c>
      <c r="J17" s="6" t="n">
        <v>0</v>
      </c>
      <c r="K17" s="6" t="n">
        <v>20</v>
      </c>
      <c r="L17" s="6" t="n">
        <v>1</v>
      </c>
      <c r="M17" s="6" t="n">
        <v>19</v>
      </c>
      <c r="N17" s="11" t="n">
        <f aca="false">J17/(J17+K17)</f>
        <v>0</v>
      </c>
      <c r="O17" s="11" t="n">
        <f aca="false">IF(J17+L17=0,"",J17/(J17+L17))</f>
        <v>0</v>
      </c>
      <c r="P17" s="11" t="n">
        <f aca="false">2*J17/(2*J17+L17+K17)</f>
        <v>0</v>
      </c>
      <c r="Q17" s="11" t="n">
        <f aca="false">L17/(L17+M17)</f>
        <v>0.05</v>
      </c>
      <c r="R17" s="6" t="n">
        <v>0</v>
      </c>
      <c r="S17" s="11"/>
      <c r="T17" s="11" t="n">
        <v>0</v>
      </c>
      <c r="U17" s="11" t="n">
        <v>0.9</v>
      </c>
      <c r="V17" s="11" t="n">
        <v>0.9</v>
      </c>
    </row>
    <row r="18" customFormat="false" ht="15" hidden="false" customHeight="false" outlineLevel="0" collapsed="false">
      <c r="A18" s="6" t="s">
        <v>42</v>
      </c>
      <c r="B18" s="6" t="s">
        <v>43</v>
      </c>
      <c r="C18" s="6" t="s">
        <v>44</v>
      </c>
      <c r="D18" s="6" t="s">
        <v>114</v>
      </c>
      <c r="E18" s="6" t="n">
        <v>16</v>
      </c>
      <c r="F18" s="6" t="n">
        <v>2</v>
      </c>
      <c r="G18" s="6" t="s">
        <v>73</v>
      </c>
      <c r="H18" s="11" t="n">
        <v>0.05</v>
      </c>
      <c r="I18" s="6" t="n">
        <v>20</v>
      </c>
      <c r="J18" s="6" t="n">
        <v>0</v>
      </c>
      <c r="K18" s="6" t="n">
        <v>20</v>
      </c>
      <c r="L18" s="6" t="n">
        <v>0</v>
      </c>
      <c r="M18" s="6" t="n">
        <v>20</v>
      </c>
      <c r="N18" s="11" t="n">
        <f aca="false">J18/(J18+K18)</f>
        <v>0</v>
      </c>
      <c r="O18" s="11" t="str">
        <f aca="false">IF(J18+L18=0,"",J18/(J18+L18))</f>
        <v/>
      </c>
      <c r="P18" s="11" t="n">
        <f aca="false">2*J18/(2*J18+L18+K18)</f>
        <v>0</v>
      </c>
      <c r="Q18" s="11" t="n">
        <f aca="false">L18/(L18+M18)</f>
        <v>0</v>
      </c>
      <c r="R18" s="6" t="n">
        <v>1</v>
      </c>
      <c r="S18" s="11" t="n">
        <v>0</v>
      </c>
      <c r="T18" s="11" t="n">
        <v>0</v>
      </c>
      <c r="U18" s="11" t="n">
        <v>0.65</v>
      </c>
      <c r="V18" s="11" t="n">
        <v>0.65</v>
      </c>
    </row>
    <row r="19" customFormat="false" ht="15" hidden="false" customHeight="false" outlineLevel="0" collapsed="false">
      <c r="A19" s="6" t="s">
        <v>42</v>
      </c>
      <c r="B19" s="6" t="s">
        <v>43</v>
      </c>
      <c r="C19" s="6" t="s">
        <v>44</v>
      </c>
      <c r="D19" s="6" t="s">
        <v>114</v>
      </c>
      <c r="E19" s="6" t="n">
        <v>16</v>
      </c>
      <c r="F19" s="6" t="n">
        <v>2</v>
      </c>
      <c r="G19" s="6" t="s">
        <v>74</v>
      </c>
      <c r="H19" s="11" t="n">
        <v>0.05</v>
      </c>
      <c r="I19" s="6" t="n">
        <v>20</v>
      </c>
      <c r="J19" s="6" t="n">
        <v>1</v>
      </c>
      <c r="K19" s="6" t="n">
        <v>19</v>
      </c>
      <c r="L19" s="6" t="n">
        <v>1</v>
      </c>
      <c r="M19" s="6" t="n">
        <v>19</v>
      </c>
      <c r="N19" s="11" t="n">
        <f aca="false">J19/(J19+K19)</f>
        <v>0.05</v>
      </c>
      <c r="O19" s="11" t="n">
        <f aca="false">IF(J19+L19=0,"",J19/(J19+L19))</f>
        <v>0.5</v>
      </c>
      <c r="P19" s="11" t="n">
        <f aca="false">2*J19/(2*J19+L19+K19)</f>
        <v>0.0909090909090909</v>
      </c>
      <c r="Q19" s="11" t="n">
        <f aca="false">L19/(L19+M19)</f>
        <v>0.05</v>
      </c>
      <c r="R19" s="6" t="n">
        <v>1</v>
      </c>
      <c r="S19" s="11" t="n">
        <v>0</v>
      </c>
      <c r="T19" s="11" t="n">
        <v>0.0526315789473684</v>
      </c>
      <c r="U19" s="11" t="n">
        <v>0.85</v>
      </c>
      <c r="V19" s="11" t="n">
        <v>0.9</v>
      </c>
    </row>
    <row r="20" customFormat="false" ht="15" hidden="false" customHeight="false" outlineLevel="0" collapsed="false">
      <c r="A20" s="6" t="s">
        <v>42</v>
      </c>
      <c r="B20" s="6" t="s">
        <v>43</v>
      </c>
      <c r="C20" s="6" t="s">
        <v>44</v>
      </c>
      <c r="D20" s="6" t="s">
        <v>114</v>
      </c>
      <c r="E20" s="6" t="n">
        <v>16</v>
      </c>
      <c r="F20" s="6" t="n">
        <v>2</v>
      </c>
      <c r="G20" s="6" t="s">
        <v>75</v>
      </c>
      <c r="H20" s="11" t="n">
        <v>0.05</v>
      </c>
      <c r="I20" s="6" t="n">
        <v>20</v>
      </c>
      <c r="J20" s="6" t="n">
        <v>0</v>
      </c>
      <c r="K20" s="6" t="n">
        <v>20</v>
      </c>
      <c r="L20" s="6" t="n">
        <v>0</v>
      </c>
      <c r="M20" s="6" t="n">
        <v>20</v>
      </c>
      <c r="N20" s="11" t="n">
        <f aca="false">J20/(J20+K20)</f>
        <v>0</v>
      </c>
      <c r="O20" s="11" t="str">
        <f aca="false">IF(J20+L20=0,"",J20/(J20+L20))</f>
        <v/>
      </c>
      <c r="P20" s="11" t="n">
        <f aca="false">2*J20/(2*J20+L20+K20)</f>
        <v>0</v>
      </c>
      <c r="Q20" s="11" t="n">
        <f aca="false">L20/(L20+M20)</f>
        <v>0</v>
      </c>
      <c r="R20" s="6" t="n">
        <v>0</v>
      </c>
      <c r="S20" s="11"/>
      <c r="T20" s="11" t="n">
        <v>0</v>
      </c>
      <c r="U20" s="11" t="n">
        <v>0.9</v>
      </c>
      <c r="V20" s="11" t="n">
        <v>0.9</v>
      </c>
    </row>
    <row r="21" customFormat="false" ht="15" hidden="false" customHeight="false" outlineLevel="0" collapsed="false">
      <c r="A21" s="6" t="s">
        <v>42</v>
      </c>
      <c r="B21" s="6" t="s">
        <v>43</v>
      </c>
      <c r="C21" s="6" t="s">
        <v>44</v>
      </c>
      <c r="D21" s="6" t="s">
        <v>114</v>
      </c>
      <c r="E21" s="6" t="n">
        <v>16</v>
      </c>
      <c r="F21" s="6" t="n">
        <v>2</v>
      </c>
      <c r="G21" s="6" t="s">
        <v>76</v>
      </c>
      <c r="H21" s="11" t="n">
        <v>0.05</v>
      </c>
      <c r="I21" s="6" t="n">
        <v>20</v>
      </c>
      <c r="J21" s="6" t="n">
        <v>0</v>
      </c>
      <c r="K21" s="6" t="n">
        <v>20</v>
      </c>
      <c r="L21" s="6" t="n">
        <v>0</v>
      </c>
      <c r="M21" s="6" t="n">
        <v>20</v>
      </c>
      <c r="N21" s="11" t="n">
        <f aca="false">J21/(J21+K21)</f>
        <v>0</v>
      </c>
      <c r="O21" s="11" t="str">
        <f aca="false">IF(J21+L21=0,"",J21/(J21+L21))</f>
        <v/>
      </c>
      <c r="P21" s="11" t="n">
        <f aca="false">2*J21/(2*J21+L21+K21)</f>
        <v>0</v>
      </c>
      <c r="Q21" s="11" t="n">
        <f aca="false">L21/(L21+M21)</f>
        <v>0</v>
      </c>
      <c r="R21" s="6" t="n">
        <v>0</v>
      </c>
      <c r="S21" s="11"/>
      <c r="T21" s="11" t="n">
        <v>0</v>
      </c>
      <c r="U21" s="11" t="n">
        <v>0.95</v>
      </c>
      <c r="V21" s="11" t="n">
        <v>0.95</v>
      </c>
    </row>
    <row r="22" customFormat="false" ht="15" hidden="false" customHeight="false" outlineLevel="0" collapsed="false">
      <c r="A22" s="6" t="s">
        <v>42</v>
      </c>
      <c r="B22" s="6" t="s">
        <v>43</v>
      </c>
      <c r="C22" s="6" t="s">
        <v>44</v>
      </c>
      <c r="D22" s="6" t="s">
        <v>114</v>
      </c>
      <c r="E22" s="6" t="n">
        <v>16</v>
      </c>
      <c r="F22" s="6" t="n">
        <v>2</v>
      </c>
      <c r="G22" s="6" t="s">
        <v>77</v>
      </c>
      <c r="H22" s="11" t="n">
        <v>0.05</v>
      </c>
      <c r="I22" s="6" t="n">
        <v>20</v>
      </c>
      <c r="J22" s="6" t="n">
        <v>1</v>
      </c>
      <c r="K22" s="6" t="n">
        <v>19</v>
      </c>
      <c r="L22" s="6" t="n">
        <v>1</v>
      </c>
      <c r="M22" s="6" t="n">
        <v>19</v>
      </c>
      <c r="N22" s="11" t="n">
        <f aca="false">J22/(J22+K22)</f>
        <v>0.05</v>
      </c>
      <c r="O22" s="11" t="n">
        <f aca="false">IF(J22+L22=0,"",J22/(J22+L22))</f>
        <v>0.5</v>
      </c>
      <c r="P22" s="11" t="n">
        <f aca="false">2*J22/(2*J22+L22+K22)</f>
        <v>0.0909090909090909</v>
      </c>
      <c r="Q22" s="11" t="n">
        <f aca="false">L22/(L22+M22)</f>
        <v>0.05</v>
      </c>
      <c r="R22" s="6" t="n">
        <v>0</v>
      </c>
      <c r="S22" s="11"/>
      <c r="T22" s="11" t="n">
        <v>0.05</v>
      </c>
      <c r="U22" s="11" t="n">
        <v>1</v>
      </c>
      <c r="V22" s="11" t="n">
        <v>1</v>
      </c>
    </row>
    <row r="23" customFormat="false" ht="15" hidden="false" customHeight="false" outlineLevel="0" collapsed="false">
      <c r="A23" s="6" t="s">
        <v>42</v>
      </c>
      <c r="B23" s="6" t="s">
        <v>43</v>
      </c>
      <c r="C23" s="6" t="s">
        <v>44</v>
      </c>
      <c r="D23" s="6" t="s">
        <v>114</v>
      </c>
      <c r="E23" s="6" t="n">
        <v>16</v>
      </c>
      <c r="F23" s="6" t="n">
        <v>2</v>
      </c>
      <c r="G23" s="6" t="s">
        <v>78</v>
      </c>
      <c r="H23" s="11" t="n">
        <v>0.05</v>
      </c>
      <c r="I23" s="6" t="n">
        <v>200</v>
      </c>
      <c r="J23" s="6" t="n">
        <v>4</v>
      </c>
      <c r="K23" s="6" t="n">
        <v>196</v>
      </c>
      <c r="L23" s="6" t="n">
        <v>6</v>
      </c>
      <c r="M23" s="6" t="n">
        <v>194</v>
      </c>
      <c r="N23" s="11" t="n">
        <f aca="false">J23/(J23+K23)</f>
        <v>0.02</v>
      </c>
      <c r="O23" s="11" t="n">
        <f aca="false">IF(J23+L23=0,"",J23/(J23+L23))</f>
        <v>0.4</v>
      </c>
      <c r="P23" s="11" t="n">
        <f aca="false">2*J23/(2*J23+L23+K23)</f>
        <v>0.0380952380952381</v>
      </c>
      <c r="Q23" s="11" t="n">
        <f aca="false">L23/(L23+M23)</f>
        <v>0.03</v>
      </c>
      <c r="R23" s="6" t="n">
        <v>2</v>
      </c>
      <c r="S23" s="11" t="n">
        <v>0</v>
      </c>
      <c r="T23" s="11" t="n">
        <v>0.0202020202020202</v>
      </c>
      <c r="U23" s="11" t="n">
        <v>0.88</v>
      </c>
      <c r="V23" s="11" t="n">
        <v>0.885</v>
      </c>
    </row>
    <row r="24" customFormat="false" ht="15" hidden="false" customHeight="false" outlineLevel="0" collapsed="false">
      <c r="A24" s="6" t="s">
        <v>42</v>
      </c>
      <c r="B24" s="6" t="s">
        <v>43</v>
      </c>
      <c r="C24" s="6" t="s">
        <v>44</v>
      </c>
      <c r="D24" s="6" t="s">
        <v>114</v>
      </c>
      <c r="E24" s="6" t="n">
        <v>16</v>
      </c>
      <c r="F24" s="6" t="n">
        <v>3</v>
      </c>
      <c r="G24" s="6" t="s">
        <v>68</v>
      </c>
      <c r="H24" s="11" t="n">
        <v>0.05</v>
      </c>
      <c r="I24" s="6" t="n">
        <v>20</v>
      </c>
      <c r="J24" s="6" t="n">
        <v>2</v>
      </c>
      <c r="K24" s="6" t="n">
        <v>18</v>
      </c>
      <c r="L24" s="6" t="n">
        <v>2</v>
      </c>
      <c r="M24" s="6" t="n">
        <v>18</v>
      </c>
      <c r="N24" s="11" t="n">
        <f aca="false">J24/(J24+K24)</f>
        <v>0.1</v>
      </c>
      <c r="O24" s="11" t="n">
        <f aca="false">IF(J24+L24=0,"",J24/(J24+L24))</f>
        <v>0.5</v>
      </c>
      <c r="P24" s="11" t="n">
        <f aca="false">2*J24/(2*J24+L24+K24)</f>
        <v>0.166666666666667</v>
      </c>
      <c r="Q24" s="11" t="n">
        <f aca="false">L24/(L24+M24)</f>
        <v>0.1</v>
      </c>
      <c r="R24" s="6" t="n">
        <v>1</v>
      </c>
      <c r="S24" s="11" t="n">
        <v>0</v>
      </c>
      <c r="T24" s="11" t="n">
        <v>0.105263157894737</v>
      </c>
      <c r="U24" s="11" t="n">
        <v>0.85</v>
      </c>
      <c r="V24" s="11" t="n">
        <v>0.85</v>
      </c>
    </row>
    <row r="25" customFormat="false" ht="15" hidden="false" customHeight="false" outlineLevel="0" collapsed="false">
      <c r="A25" s="6" t="s">
        <v>42</v>
      </c>
      <c r="B25" s="6" t="s">
        <v>43</v>
      </c>
      <c r="C25" s="6" t="s">
        <v>44</v>
      </c>
      <c r="D25" s="6" t="s">
        <v>114</v>
      </c>
      <c r="E25" s="6" t="n">
        <v>16</v>
      </c>
      <c r="F25" s="6" t="n">
        <v>3</v>
      </c>
      <c r="G25" s="6" t="s">
        <v>69</v>
      </c>
      <c r="H25" s="11" t="n">
        <v>0.05</v>
      </c>
      <c r="I25" s="6" t="n">
        <v>20</v>
      </c>
      <c r="J25" s="6" t="n">
        <v>1</v>
      </c>
      <c r="K25" s="6" t="n">
        <v>19</v>
      </c>
      <c r="L25" s="6" t="n">
        <v>1</v>
      </c>
      <c r="M25" s="6" t="n">
        <v>19</v>
      </c>
      <c r="N25" s="11" t="n">
        <f aca="false">J25/(J25+K25)</f>
        <v>0.05</v>
      </c>
      <c r="O25" s="11" t="n">
        <f aca="false">IF(J25+L25=0,"",J25/(J25+L25))</f>
        <v>0.5</v>
      </c>
      <c r="P25" s="11" t="n">
        <f aca="false">2*J25/(2*J25+L25+K25)</f>
        <v>0.0909090909090909</v>
      </c>
      <c r="Q25" s="11" t="n">
        <f aca="false">L25/(L25+M25)</f>
        <v>0.05</v>
      </c>
      <c r="R25" s="6" t="n">
        <v>0</v>
      </c>
      <c r="S25" s="11"/>
      <c r="T25" s="11" t="n">
        <v>0.05</v>
      </c>
      <c r="U25" s="11" t="n">
        <v>1</v>
      </c>
      <c r="V25" s="11" t="n">
        <v>1</v>
      </c>
    </row>
    <row r="26" customFormat="false" ht="15" hidden="false" customHeight="false" outlineLevel="0" collapsed="false">
      <c r="A26" s="6" t="s">
        <v>42</v>
      </c>
      <c r="B26" s="6" t="s">
        <v>43</v>
      </c>
      <c r="C26" s="6" t="s">
        <v>44</v>
      </c>
      <c r="D26" s="6" t="s">
        <v>114</v>
      </c>
      <c r="E26" s="6" t="n">
        <v>16</v>
      </c>
      <c r="F26" s="6" t="n">
        <v>3</v>
      </c>
      <c r="G26" s="6" t="s">
        <v>70</v>
      </c>
      <c r="H26" s="11" t="n">
        <v>0.05</v>
      </c>
      <c r="I26" s="6" t="n">
        <v>20</v>
      </c>
      <c r="J26" s="6" t="n">
        <v>0</v>
      </c>
      <c r="K26" s="6" t="n">
        <v>20</v>
      </c>
      <c r="L26" s="6" t="n">
        <v>0</v>
      </c>
      <c r="M26" s="6" t="n">
        <v>20</v>
      </c>
      <c r="N26" s="11" t="n">
        <f aca="false">J26/(J26+K26)</f>
        <v>0</v>
      </c>
      <c r="O26" s="11" t="str">
        <f aca="false">IF(J26+L26=0,"",J26/(J26+L26))</f>
        <v/>
      </c>
      <c r="P26" s="11" t="n">
        <f aca="false">2*J26/(2*J26+L26+K26)</f>
        <v>0</v>
      </c>
      <c r="Q26" s="11" t="n">
        <f aca="false">L26/(L26+M26)</f>
        <v>0</v>
      </c>
      <c r="R26" s="6" t="n">
        <v>0</v>
      </c>
      <c r="S26" s="11"/>
      <c r="T26" s="11" t="n">
        <v>0</v>
      </c>
      <c r="U26" s="11" t="n">
        <v>0.9</v>
      </c>
      <c r="V26" s="11" t="n">
        <v>0.9</v>
      </c>
    </row>
    <row r="27" customFormat="false" ht="15" hidden="false" customHeight="false" outlineLevel="0" collapsed="false">
      <c r="A27" s="6" t="s">
        <v>42</v>
      </c>
      <c r="B27" s="6" t="s">
        <v>43</v>
      </c>
      <c r="C27" s="6" t="s">
        <v>44</v>
      </c>
      <c r="D27" s="6" t="s">
        <v>114</v>
      </c>
      <c r="E27" s="6" t="n">
        <v>16</v>
      </c>
      <c r="F27" s="6" t="n">
        <v>3</v>
      </c>
      <c r="G27" s="6" t="s">
        <v>71</v>
      </c>
      <c r="H27" s="11" t="n">
        <v>0.05</v>
      </c>
      <c r="I27" s="6" t="n">
        <v>20</v>
      </c>
      <c r="J27" s="6" t="n">
        <v>0</v>
      </c>
      <c r="K27" s="6" t="n">
        <v>20</v>
      </c>
      <c r="L27" s="6" t="n">
        <v>0</v>
      </c>
      <c r="M27" s="6" t="n">
        <v>20</v>
      </c>
      <c r="N27" s="11" t="n">
        <f aca="false">J27/(J27+K27)</f>
        <v>0</v>
      </c>
      <c r="O27" s="11" t="str">
        <f aca="false">IF(J27+L27=0,"",J27/(J27+L27))</f>
        <v/>
      </c>
      <c r="P27" s="11" t="n">
        <f aca="false">2*J27/(2*J27+L27+K27)</f>
        <v>0</v>
      </c>
      <c r="Q27" s="11" t="n">
        <f aca="false">L27/(L27+M27)</f>
        <v>0</v>
      </c>
      <c r="R27" s="6" t="n">
        <v>0</v>
      </c>
      <c r="S27" s="11"/>
      <c r="T27" s="11" t="n">
        <v>0</v>
      </c>
      <c r="U27" s="11" t="n">
        <v>0.8</v>
      </c>
      <c r="V27" s="11" t="n">
        <v>0.8</v>
      </c>
    </row>
    <row r="28" customFormat="false" ht="15" hidden="false" customHeight="false" outlineLevel="0" collapsed="false">
      <c r="A28" s="6" t="s">
        <v>42</v>
      </c>
      <c r="B28" s="6" t="s">
        <v>43</v>
      </c>
      <c r="C28" s="6" t="s">
        <v>44</v>
      </c>
      <c r="D28" s="6" t="s">
        <v>114</v>
      </c>
      <c r="E28" s="6" t="n">
        <v>16</v>
      </c>
      <c r="F28" s="6" t="n">
        <v>3</v>
      </c>
      <c r="G28" s="6" t="s">
        <v>72</v>
      </c>
      <c r="H28" s="11" t="n">
        <v>0.05</v>
      </c>
      <c r="I28" s="6" t="n">
        <v>20</v>
      </c>
      <c r="J28" s="6" t="n">
        <v>1</v>
      </c>
      <c r="K28" s="6" t="n">
        <v>19</v>
      </c>
      <c r="L28" s="6" t="n">
        <v>1</v>
      </c>
      <c r="M28" s="6" t="n">
        <v>19</v>
      </c>
      <c r="N28" s="11" t="n">
        <f aca="false">J28/(J28+K28)</f>
        <v>0.05</v>
      </c>
      <c r="O28" s="11" t="n">
        <f aca="false">IF(J28+L28=0,"",J28/(J28+L28))</f>
        <v>0.5</v>
      </c>
      <c r="P28" s="11" t="n">
        <f aca="false">2*J28/(2*J28+L28+K28)</f>
        <v>0.0909090909090909</v>
      </c>
      <c r="Q28" s="11" t="n">
        <f aca="false">L28/(L28+M28)</f>
        <v>0.05</v>
      </c>
      <c r="R28" s="6" t="n">
        <v>0</v>
      </c>
      <c r="S28" s="11"/>
      <c r="T28" s="11" t="n">
        <v>0.05</v>
      </c>
      <c r="U28" s="11" t="n">
        <v>0.9</v>
      </c>
      <c r="V28" s="11" t="n">
        <v>0.9</v>
      </c>
    </row>
    <row r="29" customFormat="false" ht="15" hidden="false" customHeight="false" outlineLevel="0" collapsed="false">
      <c r="A29" s="6" t="s">
        <v>42</v>
      </c>
      <c r="B29" s="6" t="s">
        <v>43</v>
      </c>
      <c r="C29" s="6" t="s">
        <v>44</v>
      </c>
      <c r="D29" s="6" t="s">
        <v>114</v>
      </c>
      <c r="E29" s="6" t="n">
        <v>16</v>
      </c>
      <c r="F29" s="6" t="n">
        <v>3</v>
      </c>
      <c r="G29" s="6" t="s">
        <v>73</v>
      </c>
      <c r="H29" s="11" t="n">
        <v>0.05</v>
      </c>
      <c r="I29" s="6" t="n">
        <v>20</v>
      </c>
      <c r="J29" s="6" t="n">
        <v>0</v>
      </c>
      <c r="K29" s="6" t="n">
        <v>20</v>
      </c>
      <c r="L29" s="6" t="n">
        <v>0</v>
      </c>
      <c r="M29" s="6" t="n">
        <v>20</v>
      </c>
      <c r="N29" s="11" t="n">
        <f aca="false">J29/(J29+K29)</f>
        <v>0</v>
      </c>
      <c r="O29" s="11" t="str">
        <f aca="false">IF(J29+L29=0,"",J29/(J29+L29))</f>
        <v/>
      </c>
      <c r="P29" s="11" t="n">
        <f aca="false">2*J29/(2*J29+L29+K29)</f>
        <v>0</v>
      </c>
      <c r="Q29" s="11" t="n">
        <f aca="false">L29/(L29+M29)</f>
        <v>0</v>
      </c>
      <c r="R29" s="6" t="n">
        <v>0</v>
      </c>
      <c r="S29" s="11"/>
      <c r="T29" s="11" t="n">
        <v>0</v>
      </c>
      <c r="U29" s="11" t="n">
        <v>0.65</v>
      </c>
      <c r="V29" s="11" t="n">
        <v>0.65</v>
      </c>
    </row>
    <row r="30" customFormat="false" ht="15" hidden="false" customHeight="false" outlineLevel="0" collapsed="false">
      <c r="A30" s="6" t="s">
        <v>42</v>
      </c>
      <c r="B30" s="6" t="s">
        <v>43</v>
      </c>
      <c r="C30" s="6" t="s">
        <v>44</v>
      </c>
      <c r="D30" s="6" t="s">
        <v>114</v>
      </c>
      <c r="E30" s="6" t="n">
        <v>16</v>
      </c>
      <c r="F30" s="6" t="n">
        <v>3</v>
      </c>
      <c r="G30" s="6" t="s">
        <v>74</v>
      </c>
      <c r="H30" s="11" t="n">
        <v>0.05</v>
      </c>
      <c r="I30" s="6" t="n">
        <v>20</v>
      </c>
      <c r="J30" s="6" t="n">
        <v>1</v>
      </c>
      <c r="K30" s="6" t="n">
        <v>19</v>
      </c>
      <c r="L30" s="6" t="n">
        <v>1</v>
      </c>
      <c r="M30" s="6" t="n">
        <v>19</v>
      </c>
      <c r="N30" s="11" t="n">
        <f aca="false">J30/(J30+K30)</f>
        <v>0.05</v>
      </c>
      <c r="O30" s="11" t="n">
        <f aca="false">IF(J30+L30=0,"",J30/(J30+L30))</f>
        <v>0.5</v>
      </c>
      <c r="P30" s="11" t="n">
        <f aca="false">2*J30/(2*J30+L30+K30)</f>
        <v>0.0909090909090909</v>
      </c>
      <c r="Q30" s="11" t="n">
        <f aca="false">L30/(L30+M30)</f>
        <v>0.05</v>
      </c>
      <c r="R30" s="6" t="n">
        <v>2</v>
      </c>
      <c r="S30" s="11" t="n">
        <v>0</v>
      </c>
      <c r="T30" s="11" t="n">
        <v>0.0555555555555556</v>
      </c>
      <c r="U30" s="11" t="n">
        <v>0.85</v>
      </c>
      <c r="V30" s="11" t="n">
        <v>0.9</v>
      </c>
    </row>
    <row r="31" customFormat="false" ht="15" hidden="false" customHeight="false" outlineLevel="0" collapsed="false">
      <c r="A31" s="6" t="s">
        <v>42</v>
      </c>
      <c r="B31" s="6" t="s">
        <v>43</v>
      </c>
      <c r="C31" s="6" t="s">
        <v>44</v>
      </c>
      <c r="D31" s="6" t="s">
        <v>114</v>
      </c>
      <c r="E31" s="6" t="n">
        <v>16</v>
      </c>
      <c r="F31" s="6" t="n">
        <v>3</v>
      </c>
      <c r="G31" s="6" t="s">
        <v>75</v>
      </c>
      <c r="H31" s="11" t="n">
        <v>0.05</v>
      </c>
      <c r="I31" s="6" t="n">
        <v>20</v>
      </c>
      <c r="J31" s="6" t="n">
        <v>0</v>
      </c>
      <c r="K31" s="6" t="n">
        <v>20</v>
      </c>
      <c r="L31" s="6" t="n">
        <v>0</v>
      </c>
      <c r="M31" s="6" t="n">
        <v>20</v>
      </c>
      <c r="N31" s="11" t="n">
        <f aca="false">J31/(J31+K31)</f>
        <v>0</v>
      </c>
      <c r="O31" s="11" t="str">
        <f aca="false">IF(J31+L31=0,"",J31/(J31+L31))</f>
        <v/>
      </c>
      <c r="P31" s="11" t="n">
        <f aca="false">2*J31/(2*J31+L31+K31)</f>
        <v>0</v>
      </c>
      <c r="Q31" s="11" t="n">
        <f aca="false">L31/(L31+M31)</f>
        <v>0</v>
      </c>
      <c r="R31" s="6" t="n">
        <v>1</v>
      </c>
      <c r="S31" s="11" t="n">
        <v>0</v>
      </c>
      <c r="T31" s="11" t="n">
        <v>0</v>
      </c>
      <c r="U31" s="11" t="n">
        <v>0.9</v>
      </c>
      <c r="V31" s="11" t="n">
        <v>0.95</v>
      </c>
    </row>
    <row r="32" customFormat="false" ht="15" hidden="false" customHeight="false" outlineLevel="0" collapsed="false">
      <c r="A32" s="6" t="s">
        <v>42</v>
      </c>
      <c r="B32" s="6" t="s">
        <v>43</v>
      </c>
      <c r="C32" s="6" t="s">
        <v>44</v>
      </c>
      <c r="D32" s="6" t="s">
        <v>114</v>
      </c>
      <c r="E32" s="6" t="n">
        <v>16</v>
      </c>
      <c r="F32" s="6" t="n">
        <v>3</v>
      </c>
      <c r="G32" s="6" t="s">
        <v>76</v>
      </c>
      <c r="H32" s="11" t="n">
        <v>0.05</v>
      </c>
      <c r="I32" s="6" t="n">
        <v>20</v>
      </c>
      <c r="J32" s="6" t="n">
        <v>0</v>
      </c>
      <c r="K32" s="6" t="n">
        <v>20</v>
      </c>
      <c r="L32" s="6" t="n">
        <v>0</v>
      </c>
      <c r="M32" s="6" t="n">
        <v>20</v>
      </c>
      <c r="N32" s="11" t="n">
        <f aca="false">J32/(J32+K32)</f>
        <v>0</v>
      </c>
      <c r="O32" s="11" t="str">
        <f aca="false">IF(J32+L32=0,"",J32/(J32+L32))</f>
        <v/>
      </c>
      <c r="P32" s="11" t="n">
        <f aca="false">2*J32/(2*J32+L32+K32)</f>
        <v>0</v>
      </c>
      <c r="Q32" s="11" t="n">
        <f aca="false">L32/(L32+M32)</f>
        <v>0</v>
      </c>
      <c r="R32" s="6" t="n">
        <v>0</v>
      </c>
      <c r="S32" s="11"/>
      <c r="T32" s="11" t="n">
        <v>0</v>
      </c>
      <c r="U32" s="11" t="n">
        <v>0.95</v>
      </c>
      <c r="V32" s="11" t="n">
        <v>0.95</v>
      </c>
    </row>
    <row r="33" customFormat="false" ht="15" hidden="false" customHeight="false" outlineLevel="0" collapsed="false">
      <c r="A33" s="6" t="s">
        <v>42</v>
      </c>
      <c r="B33" s="6" t="s">
        <v>43</v>
      </c>
      <c r="C33" s="6" t="s">
        <v>44</v>
      </c>
      <c r="D33" s="6" t="s">
        <v>114</v>
      </c>
      <c r="E33" s="6" t="n">
        <v>16</v>
      </c>
      <c r="F33" s="6" t="n">
        <v>3</v>
      </c>
      <c r="G33" s="6" t="s">
        <v>77</v>
      </c>
      <c r="H33" s="11" t="n">
        <v>0.05</v>
      </c>
      <c r="I33" s="6" t="n">
        <v>20</v>
      </c>
      <c r="J33" s="6" t="n">
        <v>1</v>
      </c>
      <c r="K33" s="6" t="n">
        <v>19</v>
      </c>
      <c r="L33" s="6" t="n">
        <v>1</v>
      </c>
      <c r="M33" s="6" t="n">
        <v>19</v>
      </c>
      <c r="N33" s="11" t="n">
        <f aca="false">J33/(J33+K33)</f>
        <v>0.05</v>
      </c>
      <c r="O33" s="11" t="n">
        <f aca="false">IF(J33+L33=0,"",J33/(J33+L33))</f>
        <v>0.5</v>
      </c>
      <c r="P33" s="11" t="n">
        <f aca="false">2*J33/(2*J33+L33+K33)</f>
        <v>0.0909090909090909</v>
      </c>
      <c r="Q33" s="11" t="n">
        <f aca="false">L33/(L33+M33)</f>
        <v>0.05</v>
      </c>
      <c r="R33" s="6" t="n">
        <v>0</v>
      </c>
      <c r="S33" s="11"/>
      <c r="T33" s="11" t="n">
        <v>0.05</v>
      </c>
      <c r="U33" s="11" t="n">
        <v>1</v>
      </c>
      <c r="V33" s="11" t="n">
        <v>1</v>
      </c>
    </row>
    <row r="34" customFormat="false" ht="15" hidden="false" customHeight="false" outlineLevel="0" collapsed="false">
      <c r="A34" s="6" t="s">
        <v>42</v>
      </c>
      <c r="B34" s="6" t="s">
        <v>43</v>
      </c>
      <c r="C34" s="6" t="s">
        <v>44</v>
      </c>
      <c r="D34" s="6" t="s">
        <v>114</v>
      </c>
      <c r="E34" s="6" t="n">
        <v>16</v>
      </c>
      <c r="F34" s="6" t="n">
        <v>3</v>
      </c>
      <c r="G34" s="6" t="s">
        <v>78</v>
      </c>
      <c r="H34" s="11" t="n">
        <v>0.05</v>
      </c>
      <c r="I34" s="6" t="n">
        <v>200</v>
      </c>
      <c r="J34" s="6" t="n">
        <v>6</v>
      </c>
      <c r="K34" s="6" t="n">
        <v>194</v>
      </c>
      <c r="L34" s="6" t="n">
        <v>6</v>
      </c>
      <c r="M34" s="6" t="n">
        <v>194</v>
      </c>
      <c r="N34" s="11" t="n">
        <f aca="false">J34/(J34+K34)</f>
        <v>0.03</v>
      </c>
      <c r="O34" s="11" t="n">
        <f aca="false">IF(J34+L34=0,"",J34/(J34+L34))</f>
        <v>0.5</v>
      </c>
      <c r="P34" s="11" t="n">
        <f aca="false">2*J34/(2*J34+L34+K34)</f>
        <v>0.0566037735849057</v>
      </c>
      <c r="Q34" s="11" t="n">
        <f aca="false">L34/(L34+M34)</f>
        <v>0.03</v>
      </c>
      <c r="R34" s="6" t="n">
        <v>4</v>
      </c>
      <c r="S34" s="11" t="n">
        <v>0</v>
      </c>
      <c r="T34" s="11" t="n">
        <v>0.0306122448979592</v>
      </c>
      <c r="U34" s="11" t="n">
        <v>0.88</v>
      </c>
      <c r="V34" s="11" t="n">
        <v>0.89</v>
      </c>
    </row>
    <row r="35" customFormat="false" ht="15" hidden="false" customHeight="false" outlineLevel="0" collapsed="false">
      <c r="A35" s="6" t="s">
        <v>42</v>
      </c>
      <c r="B35" s="6" t="s">
        <v>43</v>
      </c>
      <c r="C35" s="6" t="s">
        <v>44</v>
      </c>
      <c r="D35" s="6" t="s">
        <v>114</v>
      </c>
      <c r="E35" s="6" t="n">
        <v>16</v>
      </c>
      <c r="F35" s="6" t="n">
        <v>4</v>
      </c>
      <c r="G35" s="6" t="s">
        <v>68</v>
      </c>
      <c r="H35" s="11" t="n">
        <v>0.05</v>
      </c>
      <c r="I35" s="6" t="n">
        <v>20</v>
      </c>
      <c r="J35" s="6" t="n">
        <v>2</v>
      </c>
      <c r="K35" s="6" t="n">
        <v>18</v>
      </c>
      <c r="L35" s="6" t="n">
        <v>2</v>
      </c>
      <c r="M35" s="6" t="n">
        <v>18</v>
      </c>
      <c r="N35" s="11" t="n">
        <f aca="false">J35/(J35+K35)</f>
        <v>0.1</v>
      </c>
      <c r="O35" s="11" t="n">
        <f aca="false">IF(J35+L35=0,"",J35/(J35+L35))</f>
        <v>0.5</v>
      </c>
      <c r="P35" s="11" t="n">
        <f aca="false">2*J35/(2*J35+L35+K35)</f>
        <v>0.166666666666667</v>
      </c>
      <c r="Q35" s="11" t="n">
        <f aca="false">L35/(L35+M35)</f>
        <v>0.1</v>
      </c>
      <c r="R35" s="6" t="n">
        <v>0</v>
      </c>
      <c r="S35" s="11"/>
      <c r="T35" s="11" t="n">
        <v>0.1</v>
      </c>
      <c r="U35" s="11" t="n">
        <v>0.85</v>
      </c>
      <c r="V35" s="11" t="n">
        <v>0.85</v>
      </c>
    </row>
    <row r="36" customFormat="false" ht="15" hidden="false" customHeight="false" outlineLevel="0" collapsed="false">
      <c r="A36" s="6" t="s">
        <v>42</v>
      </c>
      <c r="B36" s="6" t="s">
        <v>43</v>
      </c>
      <c r="C36" s="6" t="s">
        <v>44</v>
      </c>
      <c r="D36" s="6" t="s">
        <v>114</v>
      </c>
      <c r="E36" s="6" t="n">
        <v>16</v>
      </c>
      <c r="F36" s="6" t="n">
        <v>4</v>
      </c>
      <c r="G36" s="6" t="s">
        <v>69</v>
      </c>
      <c r="H36" s="11" t="n">
        <v>0.05</v>
      </c>
      <c r="I36" s="6" t="n">
        <v>20</v>
      </c>
      <c r="J36" s="6" t="n">
        <v>1</v>
      </c>
      <c r="K36" s="6" t="n">
        <v>19</v>
      </c>
      <c r="L36" s="6" t="n">
        <v>1</v>
      </c>
      <c r="M36" s="6" t="n">
        <v>19</v>
      </c>
      <c r="N36" s="11" t="n">
        <f aca="false">J36/(J36+K36)</f>
        <v>0.05</v>
      </c>
      <c r="O36" s="11" t="n">
        <f aca="false">IF(J36+L36=0,"",J36/(J36+L36))</f>
        <v>0.5</v>
      </c>
      <c r="P36" s="11" t="n">
        <f aca="false">2*J36/(2*J36+L36+K36)</f>
        <v>0.0909090909090909</v>
      </c>
      <c r="Q36" s="11" t="n">
        <f aca="false">L36/(L36+M36)</f>
        <v>0.05</v>
      </c>
      <c r="R36" s="6" t="n">
        <v>0</v>
      </c>
      <c r="S36" s="11"/>
      <c r="T36" s="11" t="n">
        <v>0.05</v>
      </c>
      <c r="U36" s="11" t="n">
        <v>1</v>
      </c>
      <c r="V36" s="11" t="n">
        <v>1</v>
      </c>
    </row>
    <row r="37" customFormat="false" ht="15" hidden="false" customHeight="false" outlineLevel="0" collapsed="false">
      <c r="A37" s="6" t="s">
        <v>42</v>
      </c>
      <c r="B37" s="6" t="s">
        <v>43</v>
      </c>
      <c r="C37" s="6" t="s">
        <v>44</v>
      </c>
      <c r="D37" s="6" t="s">
        <v>114</v>
      </c>
      <c r="E37" s="6" t="n">
        <v>16</v>
      </c>
      <c r="F37" s="6" t="n">
        <v>4</v>
      </c>
      <c r="G37" s="6" t="s">
        <v>70</v>
      </c>
      <c r="H37" s="11" t="n">
        <v>0.05</v>
      </c>
      <c r="I37" s="6" t="n">
        <v>20</v>
      </c>
      <c r="J37" s="6" t="n">
        <v>0</v>
      </c>
      <c r="K37" s="6" t="n">
        <v>20</v>
      </c>
      <c r="L37" s="6" t="n">
        <v>0</v>
      </c>
      <c r="M37" s="6" t="n">
        <v>20</v>
      </c>
      <c r="N37" s="11" t="n">
        <f aca="false">J37/(J37+K37)</f>
        <v>0</v>
      </c>
      <c r="O37" s="11" t="str">
        <f aca="false">IF(J37+L37=0,"",J37/(J37+L37))</f>
        <v/>
      </c>
      <c r="P37" s="11" t="n">
        <f aca="false">2*J37/(2*J37+L37+K37)</f>
        <v>0</v>
      </c>
      <c r="Q37" s="11" t="n">
        <f aca="false">L37/(L37+M37)</f>
        <v>0</v>
      </c>
      <c r="R37" s="6" t="n">
        <v>0</v>
      </c>
      <c r="S37" s="11"/>
      <c r="T37" s="11" t="n">
        <v>0</v>
      </c>
      <c r="U37" s="11" t="n">
        <v>0.9</v>
      </c>
      <c r="V37" s="11" t="n">
        <v>0.9</v>
      </c>
    </row>
    <row r="38" customFormat="false" ht="15" hidden="false" customHeight="false" outlineLevel="0" collapsed="false">
      <c r="A38" s="6" t="s">
        <v>42</v>
      </c>
      <c r="B38" s="6" t="s">
        <v>43</v>
      </c>
      <c r="C38" s="6" t="s">
        <v>44</v>
      </c>
      <c r="D38" s="6" t="s">
        <v>114</v>
      </c>
      <c r="E38" s="6" t="n">
        <v>16</v>
      </c>
      <c r="F38" s="6" t="n">
        <v>4</v>
      </c>
      <c r="G38" s="6" t="s">
        <v>71</v>
      </c>
      <c r="H38" s="11" t="n">
        <v>0.05</v>
      </c>
      <c r="I38" s="6" t="n">
        <v>20</v>
      </c>
      <c r="J38" s="6" t="n">
        <v>0</v>
      </c>
      <c r="K38" s="6" t="n">
        <v>20</v>
      </c>
      <c r="L38" s="6" t="n">
        <v>0</v>
      </c>
      <c r="M38" s="6" t="n">
        <v>20</v>
      </c>
      <c r="N38" s="11" t="n">
        <f aca="false">J38/(J38+K38)</f>
        <v>0</v>
      </c>
      <c r="O38" s="11" t="str">
        <f aca="false">IF(J38+L38=0,"",J38/(J38+L38))</f>
        <v/>
      </c>
      <c r="P38" s="11" t="n">
        <f aca="false">2*J38/(2*J38+L38+K38)</f>
        <v>0</v>
      </c>
      <c r="Q38" s="11" t="n">
        <f aca="false">L38/(L38+M38)</f>
        <v>0</v>
      </c>
      <c r="R38" s="6" t="n">
        <v>0</v>
      </c>
      <c r="S38" s="11"/>
      <c r="T38" s="11" t="n">
        <v>0</v>
      </c>
      <c r="U38" s="11" t="n">
        <v>0.8</v>
      </c>
      <c r="V38" s="11" t="n">
        <v>0.8</v>
      </c>
    </row>
    <row r="39" customFormat="false" ht="15" hidden="false" customHeight="false" outlineLevel="0" collapsed="false">
      <c r="A39" s="6" t="s">
        <v>42</v>
      </c>
      <c r="B39" s="6" t="s">
        <v>43</v>
      </c>
      <c r="C39" s="6" t="s">
        <v>44</v>
      </c>
      <c r="D39" s="6" t="s">
        <v>114</v>
      </c>
      <c r="E39" s="6" t="n">
        <v>16</v>
      </c>
      <c r="F39" s="6" t="n">
        <v>4</v>
      </c>
      <c r="G39" s="6" t="s">
        <v>72</v>
      </c>
      <c r="H39" s="11" t="n">
        <v>0.05</v>
      </c>
      <c r="I39" s="6" t="n">
        <v>20</v>
      </c>
      <c r="J39" s="6" t="n">
        <v>1</v>
      </c>
      <c r="K39" s="6" t="n">
        <v>19</v>
      </c>
      <c r="L39" s="6" t="n">
        <v>1</v>
      </c>
      <c r="M39" s="6" t="n">
        <v>19</v>
      </c>
      <c r="N39" s="11" t="n">
        <f aca="false">J39/(J39+K39)</f>
        <v>0.05</v>
      </c>
      <c r="O39" s="11" t="n">
        <f aca="false">IF(J39+L39=0,"",J39/(J39+L39))</f>
        <v>0.5</v>
      </c>
      <c r="P39" s="11" t="n">
        <f aca="false">2*J39/(2*J39+L39+K39)</f>
        <v>0.0909090909090909</v>
      </c>
      <c r="Q39" s="11" t="n">
        <f aca="false">L39/(L39+M39)</f>
        <v>0.05</v>
      </c>
      <c r="R39" s="6" t="n">
        <v>0</v>
      </c>
      <c r="S39" s="11"/>
      <c r="T39" s="11" t="n">
        <v>0.05</v>
      </c>
      <c r="U39" s="11" t="n">
        <v>0.9</v>
      </c>
      <c r="V39" s="11" t="n">
        <v>0.9</v>
      </c>
    </row>
    <row r="40" customFormat="false" ht="15" hidden="false" customHeight="false" outlineLevel="0" collapsed="false">
      <c r="A40" s="6" t="s">
        <v>42</v>
      </c>
      <c r="B40" s="6" t="s">
        <v>43</v>
      </c>
      <c r="C40" s="6" t="s">
        <v>44</v>
      </c>
      <c r="D40" s="6" t="s">
        <v>114</v>
      </c>
      <c r="E40" s="6" t="n">
        <v>16</v>
      </c>
      <c r="F40" s="6" t="n">
        <v>4</v>
      </c>
      <c r="G40" s="6" t="s">
        <v>73</v>
      </c>
      <c r="H40" s="11" t="n">
        <v>0.05</v>
      </c>
      <c r="I40" s="6" t="n">
        <v>20</v>
      </c>
      <c r="J40" s="6" t="n">
        <v>0</v>
      </c>
      <c r="K40" s="6" t="n">
        <v>20</v>
      </c>
      <c r="L40" s="6" t="n">
        <v>0</v>
      </c>
      <c r="M40" s="6" t="n">
        <v>20</v>
      </c>
      <c r="N40" s="11" t="n">
        <f aca="false">J40/(J40+K40)</f>
        <v>0</v>
      </c>
      <c r="O40" s="11" t="str">
        <f aca="false">IF(J40+L40=0,"",J40/(J40+L40))</f>
        <v/>
      </c>
      <c r="P40" s="11" t="n">
        <f aca="false">2*J40/(2*J40+L40+K40)</f>
        <v>0</v>
      </c>
      <c r="Q40" s="11" t="n">
        <f aca="false">L40/(L40+M40)</f>
        <v>0</v>
      </c>
      <c r="R40" s="6" t="n">
        <v>2</v>
      </c>
      <c r="S40" s="11" t="n">
        <v>0</v>
      </c>
      <c r="T40" s="11" t="n">
        <v>0</v>
      </c>
      <c r="U40" s="11" t="n">
        <v>0.65</v>
      </c>
      <c r="V40" s="11" t="n">
        <v>0.65</v>
      </c>
    </row>
    <row r="41" customFormat="false" ht="15" hidden="false" customHeight="false" outlineLevel="0" collapsed="false">
      <c r="A41" s="6" t="s">
        <v>42</v>
      </c>
      <c r="B41" s="6" t="s">
        <v>43</v>
      </c>
      <c r="C41" s="6" t="s">
        <v>44</v>
      </c>
      <c r="D41" s="6" t="s">
        <v>114</v>
      </c>
      <c r="E41" s="6" t="n">
        <v>16</v>
      </c>
      <c r="F41" s="6" t="n">
        <v>4</v>
      </c>
      <c r="G41" s="6" t="s">
        <v>74</v>
      </c>
      <c r="H41" s="11" t="n">
        <v>0.05</v>
      </c>
      <c r="I41" s="6" t="n">
        <v>20</v>
      </c>
      <c r="J41" s="6" t="n">
        <v>1</v>
      </c>
      <c r="K41" s="6" t="n">
        <v>19</v>
      </c>
      <c r="L41" s="6" t="n">
        <v>1</v>
      </c>
      <c r="M41" s="6" t="n">
        <v>19</v>
      </c>
      <c r="N41" s="11" t="n">
        <f aca="false">J41/(J41+K41)</f>
        <v>0.05</v>
      </c>
      <c r="O41" s="11" t="n">
        <f aca="false">IF(J41+L41=0,"",J41/(J41+L41))</f>
        <v>0.5</v>
      </c>
      <c r="P41" s="11" t="n">
        <f aca="false">2*J41/(2*J41+L41+K41)</f>
        <v>0.0909090909090909</v>
      </c>
      <c r="Q41" s="11" t="n">
        <f aca="false">L41/(L41+M41)</f>
        <v>0.05</v>
      </c>
      <c r="R41" s="6" t="n">
        <v>2</v>
      </c>
      <c r="S41" s="11" t="n">
        <v>0.5</v>
      </c>
      <c r="T41" s="11" t="n">
        <v>0</v>
      </c>
      <c r="U41" s="11" t="n">
        <v>0.85</v>
      </c>
      <c r="V41" s="11" t="n">
        <v>0.75</v>
      </c>
    </row>
    <row r="42" customFormat="false" ht="15" hidden="false" customHeight="false" outlineLevel="0" collapsed="false">
      <c r="A42" s="6" t="s">
        <v>42</v>
      </c>
      <c r="B42" s="6" t="s">
        <v>43</v>
      </c>
      <c r="C42" s="6" t="s">
        <v>44</v>
      </c>
      <c r="D42" s="6" t="s">
        <v>114</v>
      </c>
      <c r="E42" s="6" t="n">
        <v>16</v>
      </c>
      <c r="F42" s="6" t="n">
        <v>4</v>
      </c>
      <c r="G42" s="6" t="s">
        <v>75</v>
      </c>
      <c r="H42" s="11" t="n">
        <v>0.05</v>
      </c>
      <c r="I42" s="6" t="n">
        <v>20</v>
      </c>
      <c r="J42" s="6" t="n">
        <v>0</v>
      </c>
      <c r="K42" s="6" t="n">
        <v>20</v>
      </c>
      <c r="L42" s="6" t="n">
        <v>0</v>
      </c>
      <c r="M42" s="6" t="n">
        <v>20</v>
      </c>
      <c r="N42" s="11" t="n">
        <f aca="false">J42/(J42+K42)</f>
        <v>0</v>
      </c>
      <c r="O42" s="11" t="str">
        <f aca="false">IF(J42+L42=0,"",J42/(J42+L42))</f>
        <v/>
      </c>
      <c r="P42" s="11" t="n">
        <f aca="false">2*J42/(2*J42+L42+K42)</f>
        <v>0</v>
      </c>
      <c r="Q42" s="11" t="n">
        <f aca="false">L42/(L42+M42)</f>
        <v>0</v>
      </c>
      <c r="R42" s="6" t="n">
        <v>0</v>
      </c>
      <c r="S42" s="11"/>
      <c r="T42" s="11" t="n">
        <v>0</v>
      </c>
      <c r="U42" s="11" t="n">
        <v>0.9</v>
      </c>
      <c r="V42" s="11" t="n">
        <v>0.9</v>
      </c>
    </row>
    <row r="43" customFormat="false" ht="15" hidden="false" customHeight="false" outlineLevel="0" collapsed="false">
      <c r="A43" s="6" t="s">
        <v>42</v>
      </c>
      <c r="B43" s="6" t="s">
        <v>43</v>
      </c>
      <c r="C43" s="6" t="s">
        <v>44</v>
      </c>
      <c r="D43" s="6" t="s">
        <v>114</v>
      </c>
      <c r="E43" s="6" t="n">
        <v>16</v>
      </c>
      <c r="F43" s="6" t="n">
        <v>4</v>
      </c>
      <c r="G43" s="6" t="s">
        <v>76</v>
      </c>
      <c r="H43" s="11" t="n">
        <v>0.05</v>
      </c>
      <c r="I43" s="6" t="n">
        <v>20</v>
      </c>
      <c r="J43" s="6" t="n">
        <v>0</v>
      </c>
      <c r="K43" s="6" t="n">
        <v>20</v>
      </c>
      <c r="L43" s="6" t="n">
        <v>0</v>
      </c>
      <c r="M43" s="6" t="n">
        <v>20</v>
      </c>
      <c r="N43" s="11" t="n">
        <f aca="false">J43/(J43+K43)</f>
        <v>0</v>
      </c>
      <c r="O43" s="11" t="str">
        <f aca="false">IF(J43+L43=0,"",J43/(J43+L43))</f>
        <v/>
      </c>
      <c r="P43" s="11" t="n">
        <f aca="false">2*J43/(2*J43+L43+K43)</f>
        <v>0</v>
      </c>
      <c r="Q43" s="11" t="n">
        <f aca="false">L43/(L43+M43)</f>
        <v>0</v>
      </c>
      <c r="R43" s="6" t="n">
        <v>0</v>
      </c>
      <c r="S43" s="11"/>
      <c r="T43" s="11" t="n">
        <v>0</v>
      </c>
      <c r="U43" s="11" t="n">
        <v>0.95</v>
      </c>
      <c r="V43" s="11" t="n">
        <v>0.95</v>
      </c>
    </row>
    <row r="44" customFormat="false" ht="15" hidden="false" customHeight="false" outlineLevel="0" collapsed="false">
      <c r="A44" s="6" t="s">
        <v>42</v>
      </c>
      <c r="B44" s="6" t="s">
        <v>43</v>
      </c>
      <c r="C44" s="6" t="s">
        <v>44</v>
      </c>
      <c r="D44" s="6" t="s">
        <v>114</v>
      </c>
      <c r="E44" s="6" t="n">
        <v>16</v>
      </c>
      <c r="F44" s="6" t="n">
        <v>4</v>
      </c>
      <c r="G44" s="6" t="s">
        <v>77</v>
      </c>
      <c r="H44" s="11" t="n">
        <v>0.05</v>
      </c>
      <c r="I44" s="6" t="n">
        <v>20</v>
      </c>
      <c r="J44" s="6" t="n">
        <v>1</v>
      </c>
      <c r="K44" s="6" t="n">
        <v>19</v>
      </c>
      <c r="L44" s="6" t="n">
        <v>1</v>
      </c>
      <c r="M44" s="6" t="n">
        <v>19</v>
      </c>
      <c r="N44" s="11" t="n">
        <f aca="false">J44/(J44+K44)</f>
        <v>0.05</v>
      </c>
      <c r="O44" s="11" t="n">
        <f aca="false">IF(J44+L44=0,"",J44/(J44+L44))</f>
        <v>0.5</v>
      </c>
      <c r="P44" s="11" t="n">
        <f aca="false">2*J44/(2*J44+L44+K44)</f>
        <v>0.0909090909090909</v>
      </c>
      <c r="Q44" s="11" t="n">
        <f aca="false">L44/(L44+M44)</f>
        <v>0.05</v>
      </c>
      <c r="R44" s="6" t="n">
        <v>0</v>
      </c>
      <c r="S44" s="11"/>
      <c r="T44" s="11" t="n">
        <v>0.05</v>
      </c>
      <c r="U44" s="11" t="n">
        <v>1</v>
      </c>
      <c r="V44" s="11" t="n">
        <v>1</v>
      </c>
    </row>
    <row r="45" customFormat="false" ht="15" hidden="false" customHeight="false" outlineLevel="0" collapsed="false">
      <c r="A45" s="6" t="s">
        <v>42</v>
      </c>
      <c r="B45" s="6" t="s">
        <v>43</v>
      </c>
      <c r="C45" s="6" t="s">
        <v>44</v>
      </c>
      <c r="D45" s="6" t="s">
        <v>114</v>
      </c>
      <c r="E45" s="6" t="n">
        <v>16</v>
      </c>
      <c r="F45" s="6" t="n">
        <v>4</v>
      </c>
      <c r="G45" s="6" t="s">
        <v>78</v>
      </c>
      <c r="H45" s="11" t="n">
        <v>0.05</v>
      </c>
      <c r="I45" s="6" t="n">
        <v>200</v>
      </c>
      <c r="J45" s="6" t="n">
        <v>6</v>
      </c>
      <c r="K45" s="6" t="n">
        <v>194</v>
      </c>
      <c r="L45" s="6" t="n">
        <v>6</v>
      </c>
      <c r="M45" s="6" t="n">
        <v>194</v>
      </c>
      <c r="N45" s="11" t="n">
        <f aca="false">J45/(J45+K45)</f>
        <v>0.03</v>
      </c>
      <c r="O45" s="11" t="n">
        <f aca="false">IF(J45+L45=0,"",J45/(J45+L45))</f>
        <v>0.5</v>
      </c>
      <c r="P45" s="11" t="n">
        <f aca="false">2*J45/(2*J45+L45+K45)</f>
        <v>0.0566037735849057</v>
      </c>
      <c r="Q45" s="11" t="n">
        <f aca="false">L45/(L45+M45)</f>
        <v>0.03</v>
      </c>
      <c r="R45" s="6" t="n">
        <v>4</v>
      </c>
      <c r="S45" s="11" t="n">
        <v>0.25</v>
      </c>
      <c r="T45" s="11" t="n">
        <v>0.0255102040816327</v>
      </c>
      <c r="U45" s="11" t="n">
        <v>0.88</v>
      </c>
      <c r="V45" s="11" t="n">
        <v>0.87</v>
      </c>
    </row>
    <row r="46" customFormat="false" ht="15" hidden="false" customHeight="false" outlineLevel="0" collapsed="false">
      <c r="A46" s="6" t="s">
        <v>42</v>
      </c>
      <c r="B46" s="6" t="s">
        <v>43</v>
      </c>
      <c r="C46" s="6" t="s">
        <v>44</v>
      </c>
      <c r="D46" s="6" t="s">
        <v>114</v>
      </c>
      <c r="E46" s="6" t="n">
        <v>16</v>
      </c>
      <c r="F46" s="6" t="n">
        <v>5</v>
      </c>
      <c r="G46" s="6" t="s">
        <v>68</v>
      </c>
      <c r="H46" s="11" t="n">
        <v>0.05</v>
      </c>
      <c r="I46" s="6" t="n">
        <v>20</v>
      </c>
      <c r="J46" s="6" t="n">
        <v>2</v>
      </c>
      <c r="K46" s="6" t="n">
        <v>18</v>
      </c>
      <c r="L46" s="6" t="n">
        <v>2</v>
      </c>
      <c r="M46" s="6" t="n">
        <v>18</v>
      </c>
      <c r="N46" s="11" t="n">
        <f aca="false">J46/(J46+K46)</f>
        <v>0.1</v>
      </c>
      <c r="O46" s="11" t="n">
        <f aca="false">IF(J46+L46=0,"",J46/(J46+L46))</f>
        <v>0.5</v>
      </c>
      <c r="P46" s="11" t="n">
        <f aca="false">2*J46/(2*J46+L46+K46)</f>
        <v>0.166666666666667</v>
      </c>
      <c r="Q46" s="11" t="n">
        <f aca="false">L46/(L46+M46)</f>
        <v>0.1</v>
      </c>
      <c r="R46" s="6" t="n">
        <v>2</v>
      </c>
      <c r="S46" s="11" t="n">
        <v>0</v>
      </c>
      <c r="T46" s="11" t="n">
        <v>0.111111111111111</v>
      </c>
      <c r="U46" s="11" t="n">
        <v>0.85</v>
      </c>
      <c r="V46" s="11" t="n">
        <v>0.85</v>
      </c>
    </row>
    <row r="47" customFormat="false" ht="15" hidden="false" customHeight="false" outlineLevel="0" collapsed="false">
      <c r="A47" s="6" t="s">
        <v>42</v>
      </c>
      <c r="B47" s="6" t="s">
        <v>43</v>
      </c>
      <c r="C47" s="6" t="s">
        <v>44</v>
      </c>
      <c r="D47" s="6" t="s">
        <v>114</v>
      </c>
      <c r="E47" s="6" t="n">
        <v>16</v>
      </c>
      <c r="F47" s="6" t="n">
        <v>5</v>
      </c>
      <c r="G47" s="6" t="s">
        <v>69</v>
      </c>
      <c r="H47" s="11" t="n">
        <v>0.05</v>
      </c>
      <c r="I47" s="6" t="n">
        <v>20</v>
      </c>
      <c r="J47" s="6" t="n">
        <v>2</v>
      </c>
      <c r="K47" s="6" t="n">
        <v>18</v>
      </c>
      <c r="L47" s="6" t="n">
        <v>1</v>
      </c>
      <c r="M47" s="6" t="n">
        <v>19</v>
      </c>
      <c r="N47" s="11" t="n">
        <f aca="false">J47/(J47+K47)</f>
        <v>0.1</v>
      </c>
      <c r="O47" s="11" t="n">
        <f aca="false">IF(J47+L47=0,"",J47/(J47+L47))</f>
        <v>0.666666666666667</v>
      </c>
      <c r="P47" s="11" t="n">
        <f aca="false">2*J47/(2*J47+L47+K47)</f>
        <v>0.173913043478261</v>
      </c>
      <c r="Q47" s="11" t="n">
        <f aca="false">L47/(L47+M47)</f>
        <v>0.05</v>
      </c>
      <c r="R47" s="6" t="n">
        <v>0</v>
      </c>
      <c r="S47" s="11"/>
      <c r="T47" s="11" t="n">
        <v>0.1</v>
      </c>
      <c r="U47" s="11" t="n">
        <v>1</v>
      </c>
      <c r="V47" s="11" t="n">
        <v>1</v>
      </c>
    </row>
    <row r="48" customFormat="false" ht="15" hidden="false" customHeight="false" outlineLevel="0" collapsed="false">
      <c r="A48" s="6" t="s">
        <v>42</v>
      </c>
      <c r="B48" s="6" t="s">
        <v>43</v>
      </c>
      <c r="C48" s="6" t="s">
        <v>44</v>
      </c>
      <c r="D48" s="6" t="s">
        <v>114</v>
      </c>
      <c r="E48" s="6" t="n">
        <v>16</v>
      </c>
      <c r="F48" s="6" t="n">
        <v>5</v>
      </c>
      <c r="G48" s="6" t="s">
        <v>70</v>
      </c>
      <c r="H48" s="11" t="n">
        <v>0.05</v>
      </c>
      <c r="I48" s="6" t="n">
        <v>20</v>
      </c>
      <c r="J48" s="6" t="n">
        <v>0</v>
      </c>
      <c r="K48" s="6" t="n">
        <v>20</v>
      </c>
      <c r="L48" s="6" t="n">
        <v>0</v>
      </c>
      <c r="M48" s="6" t="n">
        <v>20</v>
      </c>
      <c r="N48" s="11" t="n">
        <f aca="false">J48/(J48+K48)</f>
        <v>0</v>
      </c>
      <c r="O48" s="11" t="str">
        <f aca="false">IF(J48+L48=0,"",J48/(J48+L48))</f>
        <v/>
      </c>
      <c r="P48" s="11" t="n">
        <f aca="false">2*J48/(2*J48+L48+K48)</f>
        <v>0</v>
      </c>
      <c r="Q48" s="11" t="n">
        <f aca="false">L48/(L48+M48)</f>
        <v>0</v>
      </c>
      <c r="R48" s="6" t="n">
        <v>0</v>
      </c>
      <c r="S48" s="11"/>
      <c r="T48" s="11" t="n">
        <v>0</v>
      </c>
      <c r="U48" s="11" t="n">
        <v>0.9</v>
      </c>
      <c r="V48" s="11" t="n">
        <v>0.9</v>
      </c>
    </row>
    <row r="49" customFormat="false" ht="15" hidden="false" customHeight="false" outlineLevel="0" collapsed="false">
      <c r="A49" s="6" t="s">
        <v>42</v>
      </c>
      <c r="B49" s="6" t="s">
        <v>43</v>
      </c>
      <c r="C49" s="6" t="s">
        <v>44</v>
      </c>
      <c r="D49" s="6" t="s">
        <v>114</v>
      </c>
      <c r="E49" s="6" t="n">
        <v>16</v>
      </c>
      <c r="F49" s="6" t="n">
        <v>5</v>
      </c>
      <c r="G49" s="6" t="s">
        <v>71</v>
      </c>
      <c r="H49" s="11" t="n">
        <v>0.05</v>
      </c>
      <c r="I49" s="6" t="n">
        <v>20</v>
      </c>
      <c r="J49" s="6" t="n">
        <v>0</v>
      </c>
      <c r="K49" s="6" t="n">
        <v>20</v>
      </c>
      <c r="L49" s="6" t="n">
        <v>0</v>
      </c>
      <c r="M49" s="6" t="n">
        <v>20</v>
      </c>
      <c r="N49" s="11" t="n">
        <f aca="false">J49/(J49+K49)</f>
        <v>0</v>
      </c>
      <c r="O49" s="11" t="str">
        <f aca="false">IF(J49+L49=0,"",J49/(J49+L49))</f>
        <v/>
      </c>
      <c r="P49" s="11" t="n">
        <f aca="false">2*J49/(2*J49+L49+K49)</f>
        <v>0</v>
      </c>
      <c r="Q49" s="11" t="n">
        <f aca="false">L49/(L49+M49)</f>
        <v>0</v>
      </c>
      <c r="R49" s="6" t="n">
        <v>0</v>
      </c>
      <c r="S49" s="11"/>
      <c r="T49" s="11" t="n">
        <v>0</v>
      </c>
      <c r="U49" s="11" t="n">
        <v>0.8</v>
      </c>
      <c r="V49" s="11" t="n">
        <v>0.8</v>
      </c>
    </row>
    <row r="50" customFormat="false" ht="15" hidden="false" customHeight="false" outlineLevel="0" collapsed="false">
      <c r="A50" s="6" t="s">
        <v>42</v>
      </c>
      <c r="B50" s="6" t="s">
        <v>43</v>
      </c>
      <c r="C50" s="6" t="s">
        <v>44</v>
      </c>
      <c r="D50" s="6" t="s">
        <v>114</v>
      </c>
      <c r="E50" s="6" t="n">
        <v>16</v>
      </c>
      <c r="F50" s="6" t="n">
        <v>5</v>
      </c>
      <c r="G50" s="6" t="s">
        <v>72</v>
      </c>
      <c r="H50" s="11" t="n">
        <v>0.05</v>
      </c>
      <c r="I50" s="6" t="n">
        <v>20</v>
      </c>
      <c r="J50" s="6" t="n">
        <v>0</v>
      </c>
      <c r="K50" s="6" t="n">
        <v>20</v>
      </c>
      <c r="L50" s="6" t="n">
        <v>1</v>
      </c>
      <c r="M50" s="6" t="n">
        <v>19</v>
      </c>
      <c r="N50" s="11" t="n">
        <f aca="false">J50/(J50+K50)</f>
        <v>0</v>
      </c>
      <c r="O50" s="11" t="n">
        <f aca="false">IF(J50+L50=0,"",J50/(J50+L50))</f>
        <v>0</v>
      </c>
      <c r="P50" s="11" t="n">
        <f aca="false">2*J50/(2*J50+L50+K50)</f>
        <v>0</v>
      </c>
      <c r="Q50" s="11" t="n">
        <f aca="false">L50/(L50+M50)</f>
        <v>0.05</v>
      </c>
      <c r="R50" s="6" t="n">
        <v>1</v>
      </c>
      <c r="S50" s="11" t="n">
        <v>0</v>
      </c>
      <c r="T50" s="11" t="n">
        <v>0</v>
      </c>
      <c r="U50" s="11" t="n">
        <v>0.9</v>
      </c>
      <c r="V50" s="11" t="n">
        <v>0.9</v>
      </c>
    </row>
    <row r="51" customFormat="false" ht="15" hidden="false" customHeight="false" outlineLevel="0" collapsed="false">
      <c r="A51" s="6" t="s">
        <v>42</v>
      </c>
      <c r="B51" s="6" t="s">
        <v>43</v>
      </c>
      <c r="C51" s="6" t="s">
        <v>44</v>
      </c>
      <c r="D51" s="6" t="s">
        <v>114</v>
      </c>
      <c r="E51" s="6" t="n">
        <v>16</v>
      </c>
      <c r="F51" s="6" t="n">
        <v>5</v>
      </c>
      <c r="G51" s="6" t="s">
        <v>73</v>
      </c>
      <c r="H51" s="11" t="n">
        <v>0.05</v>
      </c>
      <c r="I51" s="6" t="n">
        <v>20</v>
      </c>
      <c r="J51" s="6" t="n">
        <v>0</v>
      </c>
      <c r="K51" s="6" t="n">
        <v>20</v>
      </c>
      <c r="L51" s="6" t="n">
        <v>0</v>
      </c>
      <c r="M51" s="6" t="n">
        <v>20</v>
      </c>
      <c r="N51" s="11" t="n">
        <f aca="false">J51/(J51+K51)</f>
        <v>0</v>
      </c>
      <c r="O51" s="11" t="str">
        <f aca="false">IF(J51+L51=0,"",J51/(J51+L51))</f>
        <v/>
      </c>
      <c r="P51" s="11" t="n">
        <f aca="false">2*J51/(2*J51+L51+K51)</f>
        <v>0</v>
      </c>
      <c r="Q51" s="11" t="n">
        <f aca="false">L51/(L51+M51)</f>
        <v>0</v>
      </c>
      <c r="R51" s="6" t="n">
        <v>0</v>
      </c>
      <c r="S51" s="11"/>
      <c r="T51" s="11" t="n">
        <v>0</v>
      </c>
      <c r="U51" s="11" t="n">
        <v>0.65</v>
      </c>
      <c r="V51" s="11" t="n">
        <v>0.65</v>
      </c>
    </row>
    <row r="52" customFormat="false" ht="15" hidden="false" customHeight="false" outlineLevel="0" collapsed="false">
      <c r="A52" s="6" t="s">
        <v>42</v>
      </c>
      <c r="B52" s="6" t="s">
        <v>43</v>
      </c>
      <c r="C52" s="6" t="s">
        <v>44</v>
      </c>
      <c r="D52" s="6" t="s">
        <v>114</v>
      </c>
      <c r="E52" s="6" t="n">
        <v>16</v>
      </c>
      <c r="F52" s="6" t="n">
        <v>5</v>
      </c>
      <c r="G52" s="6" t="s">
        <v>74</v>
      </c>
      <c r="H52" s="11" t="n">
        <v>0.05</v>
      </c>
      <c r="I52" s="6" t="n">
        <v>20</v>
      </c>
      <c r="J52" s="6" t="n">
        <v>1</v>
      </c>
      <c r="K52" s="6" t="n">
        <v>19</v>
      </c>
      <c r="L52" s="6" t="n">
        <v>1</v>
      </c>
      <c r="M52" s="6" t="n">
        <v>19</v>
      </c>
      <c r="N52" s="11" t="n">
        <f aca="false">J52/(J52+K52)</f>
        <v>0.05</v>
      </c>
      <c r="O52" s="11" t="n">
        <f aca="false">IF(J52+L52=0,"",J52/(J52+L52))</f>
        <v>0.5</v>
      </c>
      <c r="P52" s="11" t="n">
        <f aca="false">2*J52/(2*J52+L52+K52)</f>
        <v>0.0909090909090909</v>
      </c>
      <c r="Q52" s="11" t="n">
        <f aca="false">L52/(L52+M52)</f>
        <v>0.05</v>
      </c>
      <c r="R52" s="6" t="n">
        <v>2</v>
      </c>
      <c r="S52" s="11" t="n">
        <v>0</v>
      </c>
      <c r="T52" s="11" t="n">
        <v>0.0555555555555556</v>
      </c>
      <c r="U52" s="11" t="n">
        <v>0.85</v>
      </c>
      <c r="V52" s="11" t="n">
        <v>0.95</v>
      </c>
    </row>
    <row r="53" customFormat="false" ht="15" hidden="false" customHeight="false" outlineLevel="0" collapsed="false">
      <c r="A53" s="6" t="s">
        <v>42</v>
      </c>
      <c r="B53" s="6" t="s">
        <v>43</v>
      </c>
      <c r="C53" s="6" t="s">
        <v>44</v>
      </c>
      <c r="D53" s="6" t="s">
        <v>114</v>
      </c>
      <c r="E53" s="6" t="n">
        <v>16</v>
      </c>
      <c r="F53" s="6" t="n">
        <v>5</v>
      </c>
      <c r="G53" s="6" t="s">
        <v>75</v>
      </c>
      <c r="H53" s="11" t="n">
        <v>0.05</v>
      </c>
      <c r="I53" s="6" t="n">
        <v>20</v>
      </c>
      <c r="J53" s="6" t="n">
        <v>0</v>
      </c>
      <c r="K53" s="6" t="n">
        <v>20</v>
      </c>
      <c r="L53" s="6" t="n">
        <v>0</v>
      </c>
      <c r="M53" s="6" t="n">
        <v>20</v>
      </c>
      <c r="N53" s="11" t="n">
        <f aca="false">J53/(J53+K53)</f>
        <v>0</v>
      </c>
      <c r="O53" s="11" t="str">
        <f aca="false">IF(J53+L53=0,"",J53/(J53+L53))</f>
        <v/>
      </c>
      <c r="P53" s="11" t="n">
        <f aca="false">2*J53/(2*J53+L53+K53)</f>
        <v>0</v>
      </c>
      <c r="Q53" s="11" t="n">
        <f aca="false">L53/(L53+M53)</f>
        <v>0</v>
      </c>
      <c r="R53" s="6" t="n">
        <v>0</v>
      </c>
      <c r="S53" s="11"/>
      <c r="T53" s="11" t="n">
        <v>0</v>
      </c>
      <c r="U53" s="11" t="n">
        <v>0.9</v>
      </c>
      <c r="V53" s="11" t="n">
        <v>0.9</v>
      </c>
    </row>
    <row r="54" customFormat="false" ht="15" hidden="false" customHeight="false" outlineLevel="0" collapsed="false">
      <c r="A54" s="6" t="s">
        <v>42</v>
      </c>
      <c r="B54" s="6" t="s">
        <v>43</v>
      </c>
      <c r="C54" s="6" t="s">
        <v>44</v>
      </c>
      <c r="D54" s="6" t="s">
        <v>114</v>
      </c>
      <c r="E54" s="6" t="n">
        <v>16</v>
      </c>
      <c r="F54" s="6" t="n">
        <v>5</v>
      </c>
      <c r="G54" s="6" t="s">
        <v>76</v>
      </c>
      <c r="H54" s="11" t="n">
        <v>0.05</v>
      </c>
      <c r="I54" s="6" t="n">
        <v>20</v>
      </c>
      <c r="J54" s="6" t="n">
        <v>0</v>
      </c>
      <c r="K54" s="6" t="n">
        <v>20</v>
      </c>
      <c r="L54" s="6" t="n">
        <v>0</v>
      </c>
      <c r="M54" s="6" t="n">
        <v>20</v>
      </c>
      <c r="N54" s="11" t="n">
        <f aca="false">J54/(J54+K54)</f>
        <v>0</v>
      </c>
      <c r="O54" s="11" t="str">
        <f aca="false">IF(J54+L54=0,"",J54/(J54+L54))</f>
        <v/>
      </c>
      <c r="P54" s="11" t="n">
        <f aca="false">2*J54/(2*J54+L54+K54)</f>
        <v>0</v>
      </c>
      <c r="Q54" s="11" t="n">
        <f aca="false">L54/(L54+M54)</f>
        <v>0</v>
      </c>
      <c r="R54" s="6" t="n">
        <v>0</v>
      </c>
      <c r="S54" s="11"/>
      <c r="T54" s="11" t="n">
        <v>0</v>
      </c>
      <c r="U54" s="11" t="n">
        <v>0.95</v>
      </c>
      <c r="V54" s="11" t="n">
        <v>0.95</v>
      </c>
    </row>
    <row r="55" customFormat="false" ht="15" hidden="false" customHeight="false" outlineLevel="0" collapsed="false">
      <c r="A55" s="6" t="s">
        <v>42</v>
      </c>
      <c r="B55" s="6" t="s">
        <v>43</v>
      </c>
      <c r="C55" s="6" t="s">
        <v>44</v>
      </c>
      <c r="D55" s="6" t="s">
        <v>114</v>
      </c>
      <c r="E55" s="6" t="n">
        <v>16</v>
      </c>
      <c r="F55" s="6" t="n">
        <v>5</v>
      </c>
      <c r="G55" s="6" t="s">
        <v>77</v>
      </c>
      <c r="H55" s="11" t="n">
        <v>0.05</v>
      </c>
      <c r="I55" s="6" t="n">
        <v>20</v>
      </c>
      <c r="J55" s="6" t="n">
        <v>1</v>
      </c>
      <c r="K55" s="6" t="n">
        <v>19</v>
      </c>
      <c r="L55" s="6" t="n">
        <v>1</v>
      </c>
      <c r="M55" s="6" t="n">
        <v>19</v>
      </c>
      <c r="N55" s="11" t="n">
        <f aca="false">J55/(J55+K55)</f>
        <v>0.05</v>
      </c>
      <c r="O55" s="11" t="n">
        <f aca="false">IF(J55+L55=0,"",J55/(J55+L55))</f>
        <v>0.5</v>
      </c>
      <c r="P55" s="11" t="n">
        <f aca="false">2*J55/(2*J55+L55+K55)</f>
        <v>0.0909090909090909</v>
      </c>
      <c r="Q55" s="11" t="n">
        <f aca="false">L55/(L55+M55)</f>
        <v>0.05</v>
      </c>
      <c r="R55" s="6" t="n">
        <v>0</v>
      </c>
      <c r="S55" s="11"/>
      <c r="T55" s="11" t="n">
        <v>0.05</v>
      </c>
      <c r="U55" s="11" t="n">
        <v>1</v>
      </c>
      <c r="V55" s="11" t="n">
        <v>1</v>
      </c>
    </row>
    <row r="56" customFormat="false" ht="15" hidden="false" customHeight="false" outlineLevel="0" collapsed="false">
      <c r="A56" s="6" t="s">
        <v>42</v>
      </c>
      <c r="B56" s="6" t="s">
        <v>43</v>
      </c>
      <c r="C56" s="6" t="s">
        <v>44</v>
      </c>
      <c r="D56" s="6" t="s">
        <v>114</v>
      </c>
      <c r="E56" s="6" t="n">
        <v>16</v>
      </c>
      <c r="F56" s="6" t="n">
        <v>5</v>
      </c>
      <c r="G56" s="6" t="s">
        <v>78</v>
      </c>
      <c r="H56" s="11" t="n">
        <v>0.05</v>
      </c>
      <c r="I56" s="6" t="n">
        <v>200</v>
      </c>
      <c r="J56" s="6" t="n">
        <v>6</v>
      </c>
      <c r="K56" s="6" t="n">
        <v>194</v>
      </c>
      <c r="L56" s="6" t="n">
        <v>6</v>
      </c>
      <c r="M56" s="6" t="n">
        <v>194</v>
      </c>
      <c r="N56" s="11" t="n">
        <f aca="false">J56/(J56+K56)</f>
        <v>0.03</v>
      </c>
      <c r="O56" s="11" t="n">
        <f aca="false">IF(J56+L56=0,"",J56/(J56+L56))</f>
        <v>0.5</v>
      </c>
      <c r="P56" s="11" t="n">
        <f aca="false">2*J56/(2*J56+L56+K56)</f>
        <v>0.0566037735849057</v>
      </c>
      <c r="Q56" s="11" t="n">
        <f aca="false">L56/(L56+M56)</f>
        <v>0.03</v>
      </c>
      <c r="R56" s="6" t="n">
        <v>5</v>
      </c>
      <c r="S56" s="11" t="n">
        <v>0</v>
      </c>
      <c r="T56" s="11" t="n">
        <v>0.0307692307692308</v>
      </c>
      <c r="U56" s="11" t="n">
        <v>0.88</v>
      </c>
      <c r="V56" s="11" t="n">
        <v>0.89</v>
      </c>
    </row>
    <row r="57" customFormat="false" ht="15" hidden="false" customHeight="false" outlineLevel="0" collapsed="false">
      <c r="A57" s="6" t="s">
        <v>42</v>
      </c>
      <c r="B57" s="6" t="s">
        <v>43</v>
      </c>
      <c r="C57" s="6" t="s">
        <v>44</v>
      </c>
      <c r="D57" s="6" t="s">
        <v>114</v>
      </c>
      <c r="E57" s="6" t="n">
        <v>16</v>
      </c>
      <c r="F57" s="6" t="n">
        <v>6</v>
      </c>
      <c r="G57" s="6" t="s">
        <v>68</v>
      </c>
      <c r="H57" s="11" t="n">
        <v>0.05</v>
      </c>
      <c r="I57" s="6" t="n">
        <v>20</v>
      </c>
      <c r="J57" s="6" t="n">
        <v>3</v>
      </c>
      <c r="K57" s="6" t="n">
        <v>17</v>
      </c>
      <c r="L57" s="6" t="n">
        <v>2</v>
      </c>
      <c r="M57" s="6" t="n">
        <v>18</v>
      </c>
      <c r="N57" s="11" t="n">
        <f aca="false">J57/(J57+K57)</f>
        <v>0.15</v>
      </c>
      <c r="O57" s="11" t="n">
        <f aca="false">IF(J57+L57=0,"",J57/(J57+L57))</f>
        <v>0.6</v>
      </c>
      <c r="P57" s="11" t="n">
        <f aca="false">2*J57/(2*J57+L57+K57)</f>
        <v>0.24</v>
      </c>
      <c r="Q57" s="11" t="n">
        <f aca="false">L57/(L57+M57)</f>
        <v>0.1</v>
      </c>
      <c r="R57" s="6" t="n">
        <v>1</v>
      </c>
      <c r="S57" s="11" t="n">
        <v>1</v>
      </c>
      <c r="T57" s="11" t="n">
        <v>0.105263157894737</v>
      </c>
      <c r="U57" s="11" t="n">
        <v>0.85</v>
      </c>
      <c r="V57" s="11" t="n">
        <v>0.9</v>
      </c>
    </row>
    <row r="58" customFormat="false" ht="15" hidden="false" customHeight="false" outlineLevel="0" collapsed="false">
      <c r="A58" s="6" t="s">
        <v>42</v>
      </c>
      <c r="B58" s="6" t="s">
        <v>43</v>
      </c>
      <c r="C58" s="6" t="s">
        <v>44</v>
      </c>
      <c r="D58" s="6" t="s">
        <v>114</v>
      </c>
      <c r="E58" s="6" t="n">
        <v>16</v>
      </c>
      <c r="F58" s="6" t="n">
        <v>6</v>
      </c>
      <c r="G58" s="6" t="s">
        <v>69</v>
      </c>
      <c r="H58" s="11" t="n">
        <v>0.05</v>
      </c>
      <c r="I58" s="6" t="n">
        <v>20</v>
      </c>
      <c r="J58" s="6" t="n">
        <v>2</v>
      </c>
      <c r="K58" s="6" t="n">
        <v>18</v>
      </c>
      <c r="L58" s="6" t="n">
        <v>1</v>
      </c>
      <c r="M58" s="6" t="n">
        <v>19</v>
      </c>
      <c r="N58" s="11" t="n">
        <f aca="false">J58/(J58+K58)</f>
        <v>0.1</v>
      </c>
      <c r="O58" s="11" t="n">
        <f aca="false">IF(J58+L58=0,"",J58/(J58+L58))</f>
        <v>0.666666666666667</v>
      </c>
      <c r="P58" s="11" t="n">
        <f aca="false">2*J58/(2*J58+L58+K58)</f>
        <v>0.173913043478261</v>
      </c>
      <c r="Q58" s="11" t="n">
        <f aca="false">L58/(L58+M58)</f>
        <v>0.05</v>
      </c>
      <c r="R58" s="6" t="n">
        <v>0</v>
      </c>
      <c r="S58" s="11"/>
      <c r="T58" s="11" t="n">
        <v>0.1</v>
      </c>
      <c r="U58" s="11" t="n">
        <v>1</v>
      </c>
      <c r="V58" s="11" t="n">
        <v>1</v>
      </c>
    </row>
    <row r="59" customFormat="false" ht="15" hidden="false" customHeight="false" outlineLevel="0" collapsed="false">
      <c r="A59" s="6" t="s">
        <v>42</v>
      </c>
      <c r="B59" s="6" t="s">
        <v>43</v>
      </c>
      <c r="C59" s="6" t="s">
        <v>44</v>
      </c>
      <c r="D59" s="6" t="s">
        <v>114</v>
      </c>
      <c r="E59" s="6" t="n">
        <v>16</v>
      </c>
      <c r="F59" s="6" t="n">
        <v>6</v>
      </c>
      <c r="G59" s="6" t="s">
        <v>70</v>
      </c>
      <c r="H59" s="11" t="n">
        <v>0.05</v>
      </c>
      <c r="I59" s="6" t="n">
        <v>20</v>
      </c>
      <c r="J59" s="6" t="n">
        <v>1</v>
      </c>
      <c r="K59" s="6" t="n">
        <v>19</v>
      </c>
      <c r="L59" s="6" t="n">
        <v>0</v>
      </c>
      <c r="M59" s="6" t="n">
        <v>20</v>
      </c>
      <c r="N59" s="11" t="n">
        <f aca="false">J59/(J59+K59)</f>
        <v>0.05</v>
      </c>
      <c r="O59" s="11" t="n">
        <f aca="false">IF(J59+L59=0,"",J59/(J59+L59))</f>
        <v>1</v>
      </c>
      <c r="P59" s="11" t="n">
        <f aca="false">2*J59/(2*J59+L59+K59)</f>
        <v>0.0952380952380952</v>
      </c>
      <c r="Q59" s="11" t="n">
        <f aca="false">L59/(L59+M59)</f>
        <v>0</v>
      </c>
      <c r="R59" s="6" t="n">
        <v>1</v>
      </c>
      <c r="S59" s="11" t="n">
        <v>0</v>
      </c>
      <c r="T59" s="11" t="n">
        <v>0.0526315789473684</v>
      </c>
      <c r="U59" s="11" t="n">
        <v>0.9</v>
      </c>
      <c r="V59" s="11" t="n">
        <v>0.95</v>
      </c>
    </row>
    <row r="60" customFormat="false" ht="15" hidden="false" customHeight="false" outlineLevel="0" collapsed="false">
      <c r="A60" s="6" t="s">
        <v>42</v>
      </c>
      <c r="B60" s="6" t="s">
        <v>43</v>
      </c>
      <c r="C60" s="6" t="s">
        <v>44</v>
      </c>
      <c r="D60" s="6" t="s">
        <v>114</v>
      </c>
      <c r="E60" s="6" t="n">
        <v>16</v>
      </c>
      <c r="F60" s="6" t="n">
        <v>6</v>
      </c>
      <c r="G60" s="6" t="s">
        <v>71</v>
      </c>
      <c r="H60" s="11" t="n">
        <v>0.05</v>
      </c>
      <c r="I60" s="6" t="n">
        <v>20</v>
      </c>
      <c r="J60" s="6" t="n">
        <v>0</v>
      </c>
      <c r="K60" s="6" t="n">
        <v>20</v>
      </c>
      <c r="L60" s="6" t="n">
        <v>0</v>
      </c>
      <c r="M60" s="6" t="n">
        <v>20</v>
      </c>
      <c r="N60" s="11" t="n">
        <f aca="false">J60/(J60+K60)</f>
        <v>0</v>
      </c>
      <c r="O60" s="11" t="str">
        <f aca="false">IF(J60+L60=0,"",J60/(J60+L60))</f>
        <v/>
      </c>
      <c r="P60" s="11" t="n">
        <f aca="false">2*J60/(2*J60+L60+K60)</f>
        <v>0</v>
      </c>
      <c r="Q60" s="11" t="n">
        <f aca="false">L60/(L60+M60)</f>
        <v>0</v>
      </c>
      <c r="R60" s="6" t="n">
        <v>2</v>
      </c>
      <c r="S60" s="11" t="n">
        <v>0</v>
      </c>
      <c r="T60" s="11" t="n">
        <v>0</v>
      </c>
      <c r="U60" s="11" t="n">
        <v>0.8</v>
      </c>
      <c r="V60" s="11" t="n">
        <v>0.8</v>
      </c>
    </row>
    <row r="61" customFormat="false" ht="15" hidden="false" customHeight="false" outlineLevel="0" collapsed="false">
      <c r="A61" s="6" t="s">
        <v>42</v>
      </c>
      <c r="B61" s="6" t="s">
        <v>43</v>
      </c>
      <c r="C61" s="6" t="s">
        <v>44</v>
      </c>
      <c r="D61" s="6" t="s">
        <v>114</v>
      </c>
      <c r="E61" s="6" t="n">
        <v>16</v>
      </c>
      <c r="F61" s="6" t="n">
        <v>6</v>
      </c>
      <c r="G61" s="6" t="s">
        <v>72</v>
      </c>
      <c r="H61" s="11" t="n">
        <v>0.05</v>
      </c>
      <c r="I61" s="6" t="n">
        <v>20</v>
      </c>
      <c r="J61" s="6" t="n">
        <v>1</v>
      </c>
      <c r="K61" s="6" t="n">
        <v>19</v>
      </c>
      <c r="L61" s="6" t="n">
        <v>1</v>
      </c>
      <c r="M61" s="6" t="n">
        <v>19</v>
      </c>
      <c r="N61" s="11" t="n">
        <f aca="false">J61/(J61+K61)</f>
        <v>0.05</v>
      </c>
      <c r="O61" s="11" t="n">
        <f aca="false">IF(J61+L61=0,"",J61/(J61+L61))</f>
        <v>0.5</v>
      </c>
      <c r="P61" s="11" t="n">
        <f aca="false">2*J61/(2*J61+L61+K61)</f>
        <v>0.0909090909090909</v>
      </c>
      <c r="Q61" s="11" t="n">
        <f aca="false">L61/(L61+M61)</f>
        <v>0.05</v>
      </c>
      <c r="R61" s="6" t="n">
        <v>0</v>
      </c>
      <c r="S61" s="11"/>
      <c r="T61" s="11" t="n">
        <v>0.05</v>
      </c>
      <c r="U61" s="11" t="n">
        <v>0.9</v>
      </c>
      <c r="V61" s="11" t="n">
        <v>0.9</v>
      </c>
    </row>
    <row r="62" customFormat="false" ht="15" hidden="false" customHeight="false" outlineLevel="0" collapsed="false">
      <c r="A62" s="6" t="s">
        <v>42</v>
      </c>
      <c r="B62" s="6" t="s">
        <v>43</v>
      </c>
      <c r="C62" s="6" t="s">
        <v>44</v>
      </c>
      <c r="D62" s="6" t="s">
        <v>114</v>
      </c>
      <c r="E62" s="6" t="n">
        <v>16</v>
      </c>
      <c r="F62" s="6" t="n">
        <v>6</v>
      </c>
      <c r="G62" s="6" t="s">
        <v>73</v>
      </c>
      <c r="H62" s="11" t="n">
        <v>0.05</v>
      </c>
      <c r="I62" s="6" t="n">
        <v>20</v>
      </c>
      <c r="J62" s="6" t="n">
        <v>0</v>
      </c>
      <c r="K62" s="6" t="n">
        <v>20</v>
      </c>
      <c r="L62" s="6" t="n">
        <v>0</v>
      </c>
      <c r="M62" s="6" t="n">
        <v>20</v>
      </c>
      <c r="N62" s="11" t="n">
        <f aca="false">J62/(J62+K62)</f>
        <v>0</v>
      </c>
      <c r="O62" s="11" t="str">
        <f aca="false">IF(J62+L62=0,"",J62/(J62+L62))</f>
        <v/>
      </c>
      <c r="P62" s="11" t="n">
        <f aca="false">2*J62/(2*J62+L62+K62)</f>
        <v>0</v>
      </c>
      <c r="Q62" s="11" t="n">
        <f aca="false">L62/(L62+M62)</f>
        <v>0</v>
      </c>
      <c r="R62" s="6" t="n">
        <v>1</v>
      </c>
      <c r="S62" s="11" t="n">
        <v>0</v>
      </c>
      <c r="T62" s="11" t="n">
        <v>0</v>
      </c>
      <c r="U62" s="11" t="n">
        <v>0.65</v>
      </c>
      <c r="V62" s="11" t="n">
        <v>0.65</v>
      </c>
    </row>
    <row r="63" customFormat="false" ht="15" hidden="false" customHeight="false" outlineLevel="0" collapsed="false">
      <c r="A63" s="6" t="s">
        <v>42</v>
      </c>
      <c r="B63" s="6" t="s">
        <v>43</v>
      </c>
      <c r="C63" s="6" t="s">
        <v>44</v>
      </c>
      <c r="D63" s="6" t="s">
        <v>114</v>
      </c>
      <c r="E63" s="6" t="n">
        <v>16</v>
      </c>
      <c r="F63" s="6" t="n">
        <v>6</v>
      </c>
      <c r="G63" s="6" t="s">
        <v>74</v>
      </c>
      <c r="H63" s="11" t="n">
        <v>0.05</v>
      </c>
      <c r="I63" s="6" t="n">
        <v>20</v>
      </c>
      <c r="J63" s="6" t="n">
        <v>2</v>
      </c>
      <c r="K63" s="6" t="n">
        <v>18</v>
      </c>
      <c r="L63" s="6" t="n">
        <v>1</v>
      </c>
      <c r="M63" s="6" t="n">
        <v>19</v>
      </c>
      <c r="N63" s="11" t="n">
        <f aca="false">J63/(J63+K63)</f>
        <v>0.1</v>
      </c>
      <c r="O63" s="11" t="n">
        <f aca="false">IF(J63+L63=0,"",J63/(J63+L63))</f>
        <v>0.666666666666667</v>
      </c>
      <c r="P63" s="11" t="n">
        <f aca="false">2*J63/(2*J63+L63+K63)</f>
        <v>0.173913043478261</v>
      </c>
      <c r="Q63" s="11" t="n">
        <f aca="false">L63/(L63+M63)</f>
        <v>0.05</v>
      </c>
      <c r="R63" s="6" t="n">
        <v>3</v>
      </c>
      <c r="S63" s="11" t="n">
        <v>0</v>
      </c>
      <c r="T63" s="11" t="n">
        <v>0.117647058823529</v>
      </c>
      <c r="U63" s="11" t="n">
        <v>0.85</v>
      </c>
      <c r="V63" s="11" t="n">
        <v>0.95</v>
      </c>
    </row>
    <row r="64" customFormat="false" ht="15" hidden="false" customHeight="false" outlineLevel="0" collapsed="false">
      <c r="A64" s="6" t="s">
        <v>42</v>
      </c>
      <c r="B64" s="6" t="s">
        <v>43</v>
      </c>
      <c r="C64" s="6" t="s">
        <v>44</v>
      </c>
      <c r="D64" s="6" t="s">
        <v>114</v>
      </c>
      <c r="E64" s="6" t="n">
        <v>16</v>
      </c>
      <c r="F64" s="6" t="n">
        <v>6</v>
      </c>
      <c r="G64" s="6" t="s">
        <v>75</v>
      </c>
      <c r="H64" s="11" t="n">
        <v>0.05</v>
      </c>
      <c r="I64" s="6" t="n">
        <v>20</v>
      </c>
      <c r="J64" s="6" t="n">
        <v>0</v>
      </c>
      <c r="K64" s="6" t="n">
        <v>20</v>
      </c>
      <c r="L64" s="6" t="n">
        <v>0</v>
      </c>
      <c r="M64" s="6" t="n">
        <v>20</v>
      </c>
      <c r="N64" s="11" t="n">
        <f aca="false">J64/(J64+K64)</f>
        <v>0</v>
      </c>
      <c r="O64" s="11" t="str">
        <f aca="false">IF(J64+L64=0,"",J64/(J64+L64))</f>
        <v/>
      </c>
      <c r="P64" s="11" t="n">
        <f aca="false">2*J64/(2*J64+L64+K64)</f>
        <v>0</v>
      </c>
      <c r="Q64" s="11" t="n">
        <f aca="false">L64/(L64+M64)</f>
        <v>0</v>
      </c>
      <c r="R64" s="6" t="n">
        <v>2</v>
      </c>
      <c r="S64" s="11" t="n">
        <v>0</v>
      </c>
      <c r="T64" s="11" t="n">
        <v>0</v>
      </c>
      <c r="U64" s="11" t="n">
        <v>0.9</v>
      </c>
      <c r="V64" s="11" t="n">
        <v>0.85</v>
      </c>
    </row>
    <row r="65" customFormat="false" ht="15" hidden="false" customHeight="false" outlineLevel="0" collapsed="false">
      <c r="A65" s="6" t="s">
        <v>42</v>
      </c>
      <c r="B65" s="6" t="s">
        <v>43</v>
      </c>
      <c r="C65" s="6" t="s">
        <v>44</v>
      </c>
      <c r="D65" s="6" t="s">
        <v>114</v>
      </c>
      <c r="E65" s="6" t="n">
        <v>16</v>
      </c>
      <c r="F65" s="6" t="n">
        <v>6</v>
      </c>
      <c r="G65" s="6" t="s">
        <v>76</v>
      </c>
      <c r="H65" s="11" t="n">
        <v>0.05</v>
      </c>
      <c r="I65" s="6" t="n">
        <v>20</v>
      </c>
      <c r="J65" s="6" t="n">
        <v>1</v>
      </c>
      <c r="K65" s="6" t="n">
        <v>19</v>
      </c>
      <c r="L65" s="6" t="n">
        <v>0</v>
      </c>
      <c r="M65" s="6" t="n">
        <v>20</v>
      </c>
      <c r="N65" s="11" t="n">
        <f aca="false">J65/(J65+K65)</f>
        <v>0.05</v>
      </c>
      <c r="O65" s="11" t="n">
        <f aca="false">IF(J65+L65=0,"",J65/(J65+L65))</f>
        <v>1</v>
      </c>
      <c r="P65" s="11" t="n">
        <f aca="false">2*J65/(2*J65+L65+K65)</f>
        <v>0.0952380952380952</v>
      </c>
      <c r="Q65" s="11" t="n">
        <f aca="false">L65/(L65+M65)</f>
        <v>0</v>
      </c>
      <c r="R65" s="6" t="n">
        <v>0</v>
      </c>
      <c r="S65" s="11"/>
      <c r="T65" s="11" t="n">
        <v>0.05</v>
      </c>
      <c r="U65" s="11" t="n">
        <v>0.95</v>
      </c>
      <c r="V65" s="11" t="n">
        <v>0.95</v>
      </c>
    </row>
    <row r="66" customFormat="false" ht="15" hidden="false" customHeight="false" outlineLevel="0" collapsed="false">
      <c r="A66" s="6" t="s">
        <v>42</v>
      </c>
      <c r="B66" s="6" t="s">
        <v>43</v>
      </c>
      <c r="C66" s="6" t="s">
        <v>44</v>
      </c>
      <c r="D66" s="6" t="s">
        <v>114</v>
      </c>
      <c r="E66" s="6" t="n">
        <v>16</v>
      </c>
      <c r="F66" s="6" t="n">
        <v>6</v>
      </c>
      <c r="G66" s="6" t="s">
        <v>77</v>
      </c>
      <c r="H66" s="11" t="n">
        <v>0.05</v>
      </c>
      <c r="I66" s="6" t="n">
        <v>20</v>
      </c>
      <c r="J66" s="6" t="n">
        <v>0</v>
      </c>
      <c r="K66" s="6" t="n">
        <v>20</v>
      </c>
      <c r="L66" s="6" t="n">
        <v>1</v>
      </c>
      <c r="M66" s="6" t="n">
        <v>19</v>
      </c>
      <c r="N66" s="11" t="n">
        <f aca="false">J66/(J66+K66)</f>
        <v>0</v>
      </c>
      <c r="O66" s="11" t="n">
        <f aca="false">IF(J66+L66=0,"",J66/(J66+L66))</f>
        <v>0</v>
      </c>
      <c r="P66" s="11" t="n">
        <f aca="false">2*J66/(2*J66+L66+K66)</f>
        <v>0</v>
      </c>
      <c r="Q66" s="11" t="n">
        <f aca="false">L66/(L66+M66)</f>
        <v>0.05</v>
      </c>
      <c r="R66" s="6" t="n">
        <v>0</v>
      </c>
      <c r="S66" s="11"/>
      <c r="T66" s="11" t="n">
        <v>0</v>
      </c>
      <c r="U66" s="11" t="n">
        <v>1</v>
      </c>
      <c r="V66" s="11" t="n">
        <v>1</v>
      </c>
    </row>
    <row r="67" customFormat="false" ht="15" hidden="false" customHeight="false" outlineLevel="0" collapsed="false">
      <c r="A67" s="6" t="s">
        <v>42</v>
      </c>
      <c r="B67" s="6" t="s">
        <v>43</v>
      </c>
      <c r="C67" s="6" t="s">
        <v>44</v>
      </c>
      <c r="D67" s="6" t="s">
        <v>114</v>
      </c>
      <c r="E67" s="6" t="n">
        <v>16</v>
      </c>
      <c r="F67" s="6" t="n">
        <v>6</v>
      </c>
      <c r="G67" s="6" t="s">
        <v>78</v>
      </c>
      <c r="H67" s="11" t="n">
        <v>0.05</v>
      </c>
      <c r="I67" s="6" t="n">
        <v>200</v>
      </c>
      <c r="J67" s="6" t="n">
        <v>10</v>
      </c>
      <c r="K67" s="6" t="n">
        <v>190</v>
      </c>
      <c r="L67" s="6" t="n">
        <v>6</v>
      </c>
      <c r="M67" s="6" t="n">
        <v>194</v>
      </c>
      <c r="N67" s="11" t="n">
        <f aca="false">J67/(J67+K67)</f>
        <v>0.05</v>
      </c>
      <c r="O67" s="11" t="n">
        <f aca="false">IF(J67+L67=0,"",J67/(J67+L67))</f>
        <v>0.625</v>
      </c>
      <c r="P67" s="11" t="n">
        <f aca="false">2*J67/(2*J67+L67+K67)</f>
        <v>0.0925925925925926</v>
      </c>
      <c r="Q67" s="11" t="n">
        <f aca="false">L67/(L67+M67)</f>
        <v>0.03</v>
      </c>
      <c r="R67" s="6" t="n">
        <v>10</v>
      </c>
      <c r="S67" s="11" t="n">
        <v>0.1</v>
      </c>
      <c r="T67" s="11" t="n">
        <v>0.0473684210526316</v>
      </c>
      <c r="U67" s="11" t="n">
        <v>0.88</v>
      </c>
      <c r="V67" s="11" t="n">
        <v>0.895</v>
      </c>
    </row>
    <row r="68" customFormat="false" ht="15" hidden="false" customHeight="false" outlineLevel="0" collapsed="false">
      <c r="A68" s="6" t="s">
        <v>42</v>
      </c>
      <c r="B68" s="6" t="s">
        <v>43</v>
      </c>
      <c r="C68" s="6" t="s">
        <v>44</v>
      </c>
      <c r="D68" s="6" t="s">
        <v>114</v>
      </c>
      <c r="E68" s="6" t="n">
        <v>16</v>
      </c>
      <c r="F68" s="6" t="n">
        <v>7</v>
      </c>
      <c r="G68" s="6" t="s">
        <v>68</v>
      </c>
      <c r="H68" s="11" t="n">
        <v>0.05</v>
      </c>
      <c r="I68" s="6" t="n">
        <v>20</v>
      </c>
      <c r="J68" s="6" t="n">
        <v>3</v>
      </c>
      <c r="K68" s="6" t="n">
        <v>17</v>
      </c>
      <c r="L68" s="6" t="n">
        <v>2</v>
      </c>
      <c r="M68" s="6" t="n">
        <v>18</v>
      </c>
      <c r="N68" s="11" t="n">
        <f aca="false">J68/(J68+K68)</f>
        <v>0.15</v>
      </c>
      <c r="O68" s="11" t="n">
        <f aca="false">IF(J68+L68=0,"",J68/(J68+L68))</f>
        <v>0.6</v>
      </c>
      <c r="P68" s="11" t="n">
        <f aca="false">2*J68/(2*J68+L68+K68)</f>
        <v>0.24</v>
      </c>
      <c r="Q68" s="11" t="n">
        <f aca="false">L68/(L68+M68)</f>
        <v>0.1</v>
      </c>
      <c r="R68" s="6" t="n">
        <v>1</v>
      </c>
      <c r="S68" s="11" t="n">
        <v>0</v>
      </c>
      <c r="T68" s="11" t="n">
        <v>0.157894736842105</v>
      </c>
      <c r="U68" s="11" t="n">
        <v>0.85</v>
      </c>
      <c r="V68" s="11" t="n">
        <v>0.9</v>
      </c>
    </row>
    <row r="69" customFormat="false" ht="15" hidden="false" customHeight="false" outlineLevel="0" collapsed="false">
      <c r="A69" s="6" t="s">
        <v>42</v>
      </c>
      <c r="B69" s="6" t="s">
        <v>43</v>
      </c>
      <c r="C69" s="6" t="s">
        <v>44</v>
      </c>
      <c r="D69" s="6" t="s">
        <v>114</v>
      </c>
      <c r="E69" s="6" t="n">
        <v>16</v>
      </c>
      <c r="F69" s="6" t="n">
        <v>7</v>
      </c>
      <c r="G69" s="6" t="s">
        <v>69</v>
      </c>
      <c r="H69" s="11" t="n">
        <v>0.05</v>
      </c>
      <c r="I69" s="6" t="n">
        <v>20</v>
      </c>
      <c r="J69" s="6" t="n">
        <v>2</v>
      </c>
      <c r="K69" s="6" t="n">
        <v>18</v>
      </c>
      <c r="L69" s="6" t="n">
        <v>1</v>
      </c>
      <c r="M69" s="6" t="n">
        <v>19</v>
      </c>
      <c r="N69" s="11" t="n">
        <f aca="false">J69/(J69+K69)</f>
        <v>0.1</v>
      </c>
      <c r="O69" s="11" t="n">
        <f aca="false">IF(J69+L69=0,"",J69/(J69+L69))</f>
        <v>0.666666666666667</v>
      </c>
      <c r="P69" s="11" t="n">
        <f aca="false">2*J69/(2*J69+L69+K69)</f>
        <v>0.173913043478261</v>
      </c>
      <c r="Q69" s="11" t="n">
        <f aca="false">L69/(L69+M69)</f>
        <v>0.05</v>
      </c>
      <c r="R69" s="6" t="n">
        <v>0</v>
      </c>
      <c r="S69" s="11"/>
      <c r="T69" s="11" t="n">
        <v>0.1</v>
      </c>
      <c r="U69" s="11" t="n">
        <v>1</v>
      </c>
      <c r="V69" s="11" t="n">
        <v>1</v>
      </c>
    </row>
    <row r="70" customFormat="false" ht="15" hidden="false" customHeight="false" outlineLevel="0" collapsed="false">
      <c r="A70" s="6" t="s">
        <v>42</v>
      </c>
      <c r="B70" s="6" t="s">
        <v>43</v>
      </c>
      <c r="C70" s="6" t="s">
        <v>44</v>
      </c>
      <c r="D70" s="6" t="s">
        <v>114</v>
      </c>
      <c r="E70" s="6" t="n">
        <v>16</v>
      </c>
      <c r="F70" s="6" t="n">
        <v>7</v>
      </c>
      <c r="G70" s="6" t="s">
        <v>70</v>
      </c>
      <c r="H70" s="11" t="n">
        <v>0.05</v>
      </c>
      <c r="I70" s="6" t="n">
        <v>20</v>
      </c>
      <c r="J70" s="6" t="n">
        <v>0</v>
      </c>
      <c r="K70" s="6" t="n">
        <v>20</v>
      </c>
      <c r="L70" s="6" t="n">
        <v>0</v>
      </c>
      <c r="M70" s="6" t="n">
        <v>20</v>
      </c>
      <c r="N70" s="11" t="n">
        <f aca="false">J70/(J70+K70)</f>
        <v>0</v>
      </c>
      <c r="O70" s="11" t="str">
        <f aca="false">IF(J70+L70=0,"",J70/(J70+L70))</f>
        <v/>
      </c>
      <c r="P70" s="11" t="n">
        <f aca="false">2*J70/(2*J70+L70+K70)</f>
        <v>0</v>
      </c>
      <c r="Q70" s="11" t="n">
        <f aca="false">L70/(L70+M70)</f>
        <v>0</v>
      </c>
      <c r="R70" s="6" t="n">
        <v>0</v>
      </c>
      <c r="S70" s="11"/>
      <c r="T70" s="11" t="n">
        <v>0</v>
      </c>
      <c r="U70" s="11" t="n">
        <v>0.9</v>
      </c>
      <c r="V70" s="11" t="n">
        <v>0.9</v>
      </c>
    </row>
    <row r="71" customFormat="false" ht="15" hidden="false" customHeight="false" outlineLevel="0" collapsed="false">
      <c r="A71" s="6" t="s">
        <v>42</v>
      </c>
      <c r="B71" s="6" t="s">
        <v>43</v>
      </c>
      <c r="C71" s="6" t="s">
        <v>44</v>
      </c>
      <c r="D71" s="6" t="s">
        <v>114</v>
      </c>
      <c r="E71" s="6" t="n">
        <v>16</v>
      </c>
      <c r="F71" s="6" t="n">
        <v>7</v>
      </c>
      <c r="G71" s="6" t="s">
        <v>71</v>
      </c>
      <c r="H71" s="11" t="n">
        <v>0.05</v>
      </c>
      <c r="I71" s="6" t="n">
        <v>20</v>
      </c>
      <c r="J71" s="6" t="n">
        <v>0</v>
      </c>
      <c r="K71" s="6" t="n">
        <v>20</v>
      </c>
      <c r="L71" s="6" t="n">
        <v>0</v>
      </c>
      <c r="M71" s="6" t="n">
        <v>20</v>
      </c>
      <c r="N71" s="11" t="n">
        <f aca="false">J71/(J71+K71)</f>
        <v>0</v>
      </c>
      <c r="O71" s="11" t="str">
        <f aca="false">IF(J71+L71=0,"",J71/(J71+L71))</f>
        <v/>
      </c>
      <c r="P71" s="11" t="n">
        <f aca="false">2*J71/(2*J71+L71+K71)</f>
        <v>0</v>
      </c>
      <c r="Q71" s="11" t="n">
        <f aca="false">L71/(L71+M71)</f>
        <v>0</v>
      </c>
      <c r="R71" s="6" t="n">
        <v>0</v>
      </c>
      <c r="S71" s="11"/>
      <c r="T71" s="11" t="n">
        <v>0</v>
      </c>
      <c r="U71" s="11" t="n">
        <v>0.8</v>
      </c>
      <c r="V71" s="11" t="n">
        <v>0.8</v>
      </c>
    </row>
    <row r="72" customFormat="false" ht="15" hidden="false" customHeight="false" outlineLevel="0" collapsed="false">
      <c r="A72" s="6" t="s">
        <v>42</v>
      </c>
      <c r="B72" s="6" t="s">
        <v>43</v>
      </c>
      <c r="C72" s="6" t="s">
        <v>44</v>
      </c>
      <c r="D72" s="6" t="s">
        <v>114</v>
      </c>
      <c r="E72" s="6" t="n">
        <v>16</v>
      </c>
      <c r="F72" s="6" t="n">
        <v>7</v>
      </c>
      <c r="G72" s="6" t="s">
        <v>72</v>
      </c>
      <c r="H72" s="11" t="n">
        <v>0.05</v>
      </c>
      <c r="I72" s="6" t="n">
        <v>20</v>
      </c>
      <c r="J72" s="6" t="n">
        <v>1</v>
      </c>
      <c r="K72" s="6" t="n">
        <v>19</v>
      </c>
      <c r="L72" s="6" t="n">
        <v>1</v>
      </c>
      <c r="M72" s="6" t="n">
        <v>19</v>
      </c>
      <c r="N72" s="11" t="n">
        <f aca="false">J72/(J72+K72)</f>
        <v>0.05</v>
      </c>
      <c r="O72" s="11" t="n">
        <f aca="false">IF(J72+L72=0,"",J72/(J72+L72))</f>
        <v>0.5</v>
      </c>
      <c r="P72" s="11" t="n">
        <f aca="false">2*J72/(2*J72+L72+K72)</f>
        <v>0.0909090909090909</v>
      </c>
      <c r="Q72" s="11" t="n">
        <f aca="false">L72/(L72+M72)</f>
        <v>0.05</v>
      </c>
      <c r="R72" s="6" t="n">
        <v>0</v>
      </c>
      <c r="S72" s="11"/>
      <c r="T72" s="11" t="n">
        <v>0.05</v>
      </c>
      <c r="U72" s="11" t="n">
        <v>0.9</v>
      </c>
      <c r="V72" s="11" t="n">
        <v>0.9</v>
      </c>
    </row>
    <row r="73" customFormat="false" ht="15" hidden="false" customHeight="false" outlineLevel="0" collapsed="false">
      <c r="A73" s="6" t="s">
        <v>42</v>
      </c>
      <c r="B73" s="6" t="s">
        <v>43</v>
      </c>
      <c r="C73" s="6" t="s">
        <v>44</v>
      </c>
      <c r="D73" s="6" t="s">
        <v>114</v>
      </c>
      <c r="E73" s="6" t="n">
        <v>16</v>
      </c>
      <c r="F73" s="6" t="n">
        <v>7</v>
      </c>
      <c r="G73" s="6" t="s">
        <v>73</v>
      </c>
      <c r="H73" s="11" t="n">
        <v>0.05</v>
      </c>
      <c r="I73" s="6" t="n">
        <v>20</v>
      </c>
      <c r="J73" s="6" t="n">
        <v>0</v>
      </c>
      <c r="K73" s="6" t="n">
        <v>20</v>
      </c>
      <c r="L73" s="6" t="n">
        <v>0</v>
      </c>
      <c r="M73" s="6" t="n">
        <v>20</v>
      </c>
      <c r="N73" s="11" t="n">
        <f aca="false">J73/(J73+K73)</f>
        <v>0</v>
      </c>
      <c r="O73" s="11" t="str">
        <f aca="false">IF(J73+L73=0,"",J73/(J73+L73))</f>
        <v/>
      </c>
      <c r="P73" s="11" t="n">
        <f aca="false">2*J73/(2*J73+L73+K73)</f>
        <v>0</v>
      </c>
      <c r="Q73" s="11" t="n">
        <f aca="false">L73/(L73+M73)</f>
        <v>0</v>
      </c>
      <c r="R73" s="6" t="n">
        <v>0</v>
      </c>
      <c r="S73" s="11"/>
      <c r="T73" s="11" t="n">
        <v>0</v>
      </c>
      <c r="U73" s="11" t="n">
        <v>0.65</v>
      </c>
      <c r="V73" s="11" t="n">
        <v>0.65</v>
      </c>
    </row>
    <row r="74" customFormat="false" ht="15" hidden="false" customHeight="false" outlineLevel="0" collapsed="false">
      <c r="A74" s="6" t="s">
        <v>42</v>
      </c>
      <c r="B74" s="6" t="s">
        <v>43</v>
      </c>
      <c r="C74" s="6" t="s">
        <v>44</v>
      </c>
      <c r="D74" s="6" t="s">
        <v>114</v>
      </c>
      <c r="E74" s="6" t="n">
        <v>16</v>
      </c>
      <c r="F74" s="6" t="n">
        <v>7</v>
      </c>
      <c r="G74" s="6" t="s">
        <v>74</v>
      </c>
      <c r="H74" s="11" t="n">
        <v>0.05</v>
      </c>
      <c r="I74" s="6" t="n">
        <v>20</v>
      </c>
      <c r="J74" s="6" t="n">
        <v>1</v>
      </c>
      <c r="K74" s="6" t="n">
        <v>19</v>
      </c>
      <c r="L74" s="6" t="n">
        <v>1</v>
      </c>
      <c r="M74" s="6" t="n">
        <v>19</v>
      </c>
      <c r="N74" s="11" t="n">
        <f aca="false">J74/(J74+K74)</f>
        <v>0.05</v>
      </c>
      <c r="O74" s="11" t="n">
        <f aca="false">IF(J74+L74=0,"",J74/(J74+L74))</f>
        <v>0.5</v>
      </c>
      <c r="P74" s="11" t="n">
        <f aca="false">2*J74/(2*J74+L74+K74)</f>
        <v>0.0909090909090909</v>
      </c>
      <c r="Q74" s="11" t="n">
        <f aca="false">L74/(L74+M74)</f>
        <v>0.05</v>
      </c>
      <c r="R74" s="6" t="n">
        <v>0</v>
      </c>
      <c r="S74" s="11"/>
      <c r="T74" s="11" t="n">
        <v>0.05</v>
      </c>
      <c r="U74" s="11" t="n">
        <v>0.85</v>
      </c>
      <c r="V74" s="11" t="n">
        <v>0.85</v>
      </c>
    </row>
    <row r="75" customFormat="false" ht="15" hidden="false" customHeight="false" outlineLevel="0" collapsed="false">
      <c r="A75" s="6" t="s">
        <v>42</v>
      </c>
      <c r="B75" s="6" t="s">
        <v>43</v>
      </c>
      <c r="C75" s="6" t="s">
        <v>44</v>
      </c>
      <c r="D75" s="6" t="s">
        <v>114</v>
      </c>
      <c r="E75" s="6" t="n">
        <v>16</v>
      </c>
      <c r="F75" s="6" t="n">
        <v>7</v>
      </c>
      <c r="G75" s="6" t="s">
        <v>75</v>
      </c>
      <c r="H75" s="11" t="n">
        <v>0.05</v>
      </c>
      <c r="I75" s="6" t="n">
        <v>20</v>
      </c>
      <c r="J75" s="6" t="n">
        <v>0</v>
      </c>
      <c r="K75" s="6" t="n">
        <v>20</v>
      </c>
      <c r="L75" s="6" t="n">
        <v>0</v>
      </c>
      <c r="M75" s="6" t="n">
        <v>20</v>
      </c>
      <c r="N75" s="11" t="n">
        <f aca="false">J75/(J75+K75)</f>
        <v>0</v>
      </c>
      <c r="O75" s="11" t="str">
        <f aca="false">IF(J75+L75=0,"",J75/(J75+L75))</f>
        <v/>
      </c>
      <c r="P75" s="11" t="n">
        <f aca="false">2*J75/(2*J75+L75+K75)</f>
        <v>0</v>
      </c>
      <c r="Q75" s="11" t="n">
        <f aca="false">L75/(L75+M75)</f>
        <v>0</v>
      </c>
      <c r="R75" s="6" t="n">
        <v>1</v>
      </c>
      <c r="S75" s="11" t="n">
        <v>0</v>
      </c>
      <c r="T75" s="11" t="n">
        <v>0</v>
      </c>
      <c r="U75" s="11" t="n">
        <v>0.9</v>
      </c>
      <c r="V75" s="11" t="n">
        <v>0.9</v>
      </c>
    </row>
    <row r="76" customFormat="false" ht="15" hidden="false" customHeight="false" outlineLevel="0" collapsed="false">
      <c r="A76" s="6" t="s">
        <v>42</v>
      </c>
      <c r="B76" s="6" t="s">
        <v>43</v>
      </c>
      <c r="C76" s="6" t="s">
        <v>44</v>
      </c>
      <c r="D76" s="6" t="s">
        <v>114</v>
      </c>
      <c r="E76" s="6" t="n">
        <v>16</v>
      </c>
      <c r="F76" s="6" t="n">
        <v>7</v>
      </c>
      <c r="G76" s="6" t="s">
        <v>76</v>
      </c>
      <c r="H76" s="11" t="n">
        <v>0.05</v>
      </c>
      <c r="I76" s="6" t="n">
        <v>20</v>
      </c>
      <c r="J76" s="6" t="n">
        <v>0</v>
      </c>
      <c r="K76" s="6" t="n">
        <v>20</v>
      </c>
      <c r="L76" s="6" t="n">
        <v>0</v>
      </c>
      <c r="M76" s="6" t="n">
        <v>20</v>
      </c>
      <c r="N76" s="11" t="n">
        <f aca="false">J76/(J76+K76)</f>
        <v>0</v>
      </c>
      <c r="O76" s="11" t="str">
        <f aca="false">IF(J76+L76=0,"",J76/(J76+L76))</f>
        <v/>
      </c>
      <c r="P76" s="11" t="n">
        <f aca="false">2*J76/(2*J76+L76+K76)</f>
        <v>0</v>
      </c>
      <c r="Q76" s="11" t="n">
        <f aca="false">L76/(L76+M76)</f>
        <v>0</v>
      </c>
      <c r="R76" s="6" t="n">
        <v>0</v>
      </c>
      <c r="S76" s="11"/>
      <c r="T76" s="11" t="n">
        <v>0</v>
      </c>
      <c r="U76" s="11" t="n">
        <v>0.95</v>
      </c>
      <c r="V76" s="11" t="n">
        <v>0.95</v>
      </c>
    </row>
    <row r="77" customFormat="false" ht="15" hidden="false" customHeight="false" outlineLevel="0" collapsed="false">
      <c r="A77" s="6" t="s">
        <v>42</v>
      </c>
      <c r="B77" s="6" t="s">
        <v>43</v>
      </c>
      <c r="C77" s="6" t="s">
        <v>44</v>
      </c>
      <c r="D77" s="6" t="s">
        <v>114</v>
      </c>
      <c r="E77" s="6" t="n">
        <v>16</v>
      </c>
      <c r="F77" s="6" t="n">
        <v>7</v>
      </c>
      <c r="G77" s="6" t="s">
        <v>77</v>
      </c>
      <c r="H77" s="11" t="n">
        <v>0.05</v>
      </c>
      <c r="I77" s="6" t="n">
        <v>20</v>
      </c>
      <c r="J77" s="6" t="n">
        <v>1</v>
      </c>
      <c r="K77" s="6" t="n">
        <v>19</v>
      </c>
      <c r="L77" s="6" t="n">
        <v>1</v>
      </c>
      <c r="M77" s="6" t="n">
        <v>19</v>
      </c>
      <c r="N77" s="11" t="n">
        <f aca="false">J77/(J77+K77)</f>
        <v>0.05</v>
      </c>
      <c r="O77" s="11" t="n">
        <f aca="false">IF(J77+L77=0,"",J77/(J77+L77))</f>
        <v>0.5</v>
      </c>
      <c r="P77" s="11" t="n">
        <f aca="false">2*J77/(2*J77+L77+K77)</f>
        <v>0.0909090909090909</v>
      </c>
      <c r="Q77" s="11" t="n">
        <f aca="false">L77/(L77+M77)</f>
        <v>0.05</v>
      </c>
      <c r="R77" s="6" t="n">
        <v>0</v>
      </c>
      <c r="S77" s="11"/>
      <c r="T77" s="11" t="n">
        <v>0.05</v>
      </c>
      <c r="U77" s="11" t="n">
        <v>1</v>
      </c>
      <c r="V77" s="11" t="n">
        <v>1</v>
      </c>
    </row>
    <row r="78" customFormat="false" ht="15" hidden="false" customHeight="false" outlineLevel="0" collapsed="false">
      <c r="A78" s="6" t="s">
        <v>42</v>
      </c>
      <c r="B78" s="6" t="s">
        <v>43</v>
      </c>
      <c r="C78" s="6" t="s">
        <v>44</v>
      </c>
      <c r="D78" s="6" t="s">
        <v>114</v>
      </c>
      <c r="E78" s="6" t="n">
        <v>16</v>
      </c>
      <c r="F78" s="6" t="n">
        <v>7</v>
      </c>
      <c r="G78" s="6" t="s">
        <v>78</v>
      </c>
      <c r="H78" s="11" t="n">
        <v>0.05</v>
      </c>
      <c r="I78" s="6" t="n">
        <v>200</v>
      </c>
      <c r="J78" s="6" t="n">
        <v>8</v>
      </c>
      <c r="K78" s="6" t="n">
        <v>192</v>
      </c>
      <c r="L78" s="6" t="n">
        <v>6</v>
      </c>
      <c r="M78" s="6" t="n">
        <v>194</v>
      </c>
      <c r="N78" s="11" t="n">
        <f aca="false">J78/(J78+K78)</f>
        <v>0.04</v>
      </c>
      <c r="O78" s="11" t="n">
        <f aca="false">IF(J78+L78=0,"",J78/(J78+L78))</f>
        <v>0.571428571428571</v>
      </c>
      <c r="P78" s="11" t="n">
        <f aca="false">2*J78/(2*J78+L78+K78)</f>
        <v>0.0747663551401869</v>
      </c>
      <c r="Q78" s="11" t="n">
        <f aca="false">L78/(L78+M78)</f>
        <v>0.03</v>
      </c>
      <c r="R78" s="6" t="n">
        <v>2</v>
      </c>
      <c r="S78" s="11" t="n">
        <v>0</v>
      </c>
      <c r="T78" s="11" t="n">
        <v>0.0404040404040404</v>
      </c>
      <c r="U78" s="11" t="n">
        <v>0.88</v>
      </c>
      <c r="V78" s="11" t="n">
        <v>0.885</v>
      </c>
    </row>
    <row r="79" customFormat="false" ht="15" hidden="false" customHeight="false" outlineLevel="0" collapsed="false">
      <c r="A79" s="6" t="s">
        <v>42</v>
      </c>
      <c r="B79" s="6" t="s">
        <v>43</v>
      </c>
      <c r="C79" s="6" t="s">
        <v>44</v>
      </c>
      <c r="D79" s="6" t="s">
        <v>114</v>
      </c>
      <c r="E79" s="6" t="n">
        <v>16</v>
      </c>
      <c r="F79" s="6" t="n">
        <v>8</v>
      </c>
      <c r="G79" s="6" t="s">
        <v>68</v>
      </c>
      <c r="H79" s="11" t="n">
        <v>0.05</v>
      </c>
      <c r="I79" s="6" t="n">
        <v>20</v>
      </c>
      <c r="J79" s="6" t="n">
        <v>0</v>
      </c>
      <c r="K79" s="6" t="n">
        <v>20</v>
      </c>
      <c r="L79" s="6" t="n">
        <v>2</v>
      </c>
      <c r="M79" s="6" t="n">
        <v>18</v>
      </c>
      <c r="N79" s="11" t="n">
        <f aca="false">J79/(J79+K79)</f>
        <v>0</v>
      </c>
      <c r="O79" s="11" t="n">
        <f aca="false">IF(J79+L79=0,"",J79/(J79+L79))</f>
        <v>0</v>
      </c>
      <c r="P79" s="11" t="n">
        <f aca="false">2*J79/(2*J79+L79+K79)</f>
        <v>0</v>
      </c>
      <c r="Q79" s="11" t="n">
        <f aca="false">L79/(L79+M79)</f>
        <v>0.1</v>
      </c>
      <c r="R79" s="6" t="n">
        <v>2</v>
      </c>
      <c r="S79" s="11" t="n">
        <v>0</v>
      </c>
      <c r="T79" s="11" t="n">
        <v>0</v>
      </c>
      <c r="U79" s="11" t="n">
        <v>0.85</v>
      </c>
      <c r="V79" s="11" t="n">
        <v>0.75</v>
      </c>
    </row>
    <row r="80" customFormat="false" ht="15" hidden="false" customHeight="false" outlineLevel="0" collapsed="false">
      <c r="A80" s="6" t="s">
        <v>42</v>
      </c>
      <c r="B80" s="6" t="s">
        <v>43</v>
      </c>
      <c r="C80" s="6" t="s">
        <v>44</v>
      </c>
      <c r="D80" s="6" t="s">
        <v>114</v>
      </c>
      <c r="E80" s="6" t="n">
        <v>16</v>
      </c>
      <c r="F80" s="6" t="n">
        <v>8</v>
      </c>
      <c r="G80" s="6" t="s">
        <v>69</v>
      </c>
      <c r="H80" s="11" t="n">
        <v>0.05</v>
      </c>
      <c r="I80" s="6" t="n">
        <v>20</v>
      </c>
      <c r="J80" s="6" t="n">
        <v>1</v>
      </c>
      <c r="K80" s="6" t="n">
        <v>19</v>
      </c>
      <c r="L80" s="6" t="n">
        <v>1</v>
      </c>
      <c r="M80" s="6" t="n">
        <v>19</v>
      </c>
      <c r="N80" s="11" t="n">
        <f aca="false">J80/(J80+K80)</f>
        <v>0.05</v>
      </c>
      <c r="O80" s="11" t="n">
        <f aca="false">IF(J80+L80=0,"",J80/(J80+L80))</f>
        <v>0.5</v>
      </c>
      <c r="P80" s="11" t="n">
        <f aca="false">2*J80/(2*J80+L80+K80)</f>
        <v>0.0909090909090909</v>
      </c>
      <c r="Q80" s="11" t="n">
        <f aca="false">L80/(L80+M80)</f>
        <v>0.05</v>
      </c>
      <c r="R80" s="6" t="n">
        <v>1</v>
      </c>
      <c r="S80" s="11" t="n">
        <v>1</v>
      </c>
      <c r="T80" s="11" t="n">
        <v>0</v>
      </c>
      <c r="U80" s="11" t="n">
        <v>1</v>
      </c>
      <c r="V80" s="11" t="n">
        <v>0.95</v>
      </c>
    </row>
    <row r="81" customFormat="false" ht="15" hidden="false" customHeight="false" outlineLevel="0" collapsed="false">
      <c r="A81" s="6" t="s">
        <v>42</v>
      </c>
      <c r="B81" s="6" t="s">
        <v>43</v>
      </c>
      <c r="C81" s="6" t="s">
        <v>44</v>
      </c>
      <c r="D81" s="6" t="s">
        <v>114</v>
      </c>
      <c r="E81" s="6" t="n">
        <v>16</v>
      </c>
      <c r="F81" s="6" t="n">
        <v>8</v>
      </c>
      <c r="G81" s="6" t="s">
        <v>70</v>
      </c>
      <c r="H81" s="11" t="n">
        <v>0.05</v>
      </c>
      <c r="I81" s="6" t="n">
        <v>20</v>
      </c>
      <c r="J81" s="6" t="n">
        <v>0</v>
      </c>
      <c r="K81" s="6" t="n">
        <v>20</v>
      </c>
      <c r="L81" s="6" t="n">
        <v>0</v>
      </c>
      <c r="M81" s="6" t="n">
        <v>20</v>
      </c>
      <c r="N81" s="11" t="n">
        <f aca="false">J81/(J81+K81)</f>
        <v>0</v>
      </c>
      <c r="O81" s="11" t="str">
        <f aca="false">IF(J81+L81=0,"",J81/(J81+L81))</f>
        <v/>
      </c>
      <c r="P81" s="11" t="n">
        <f aca="false">2*J81/(2*J81+L81+K81)</f>
        <v>0</v>
      </c>
      <c r="Q81" s="11" t="n">
        <f aca="false">L81/(L81+M81)</f>
        <v>0</v>
      </c>
      <c r="R81" s="6" t="n">
        <v>0</v>
      </c>
      <c r="S81" s="11"/>
      <c r="T81" s="11" t="n">
        <v>0</v>
      </c>
      <c r="U81" s="11" t="n">
        <v>0.9</v>
      </c>
      <c r="V81" s="11" t="n">
        <v>0.9</v>
      </c>
    </row>
    <row r="82" customFormat="false" ht="15" hidden="false" customHeight="false" outlineLevel="0" collapsed="false">
      <c r="A82" s="6" t="s">
        <v>42</v>
      </c>
      <c r="B82" s="6" t="s">
        <v>43</v>
      </c>
      <c r="C82" s="6" t="s">
        <v>44</v>
      </c>
      <c r="D82" s="6" t="s">
        <v>114</v>
      </c>
      <c r="E82" s="6" t="n">
        <v>16</v>
      </c>
      <c r="F82" s="6" t="n">
        <v>8</v>
      </c>
      <c r="G82" s="6" t="s">
        <v>71</v>
      </c>
      <c r="H82" s="11" t="n">
        <v>0.05</v>
      </c>
      <c r="I82" s="6" t="n">
        <v>20</v>
      </c>
      <c r="J82" s="6" t="n">
        <v>0</v>
      </c>
      <c r="K82" s="6" t="n">
        <v>20</v>
      </c>
      <c r="L82" s="6" t="n">
        <v>0</v>
      </c>
      <c r="M82" s="6" t="n">
        <v>20</v>
      </c>
      <c r="N82" s="11" t="n">
        <f aca="false">J82/(J82+K82)</f>
        <v>0</v>
      </c>
      <c r="O82" s="11" t="str">
        <f aca="false">IF(J82+L82=0,"",J82/(J82+L82))</f>
        <v/>
      </c>
      <c r="P82" s="11" t="n">
        <f aca="false">2*J82/(2*J82+L82+K82)</f>
        <v>0</v>
      </c>
      <c r="Q82" s="11" t="n">
        <f aca="false">L82/(L82+M82)</f>
        <v>0</v>
      </c>
      <c r="R82" s="6" t="n">
        <v>4</v>
      </c>
      <c r="S82" s="11" t="n">
        <v>0</v>
      </c>
      <c r="T82" s="11" t="n">
        <v>0</v>
      </c>
      <c r="U82" s="11" t="n">
        <v>0.8</v>
      </c>
      <c r="V82" s="11" t="n">
        <v>0.8</v>
      </c>
    </row>
    <row r="83" customFormat="false" ht="15" hidden="false" customHeight="false" outlineLevel="0" collapsed="false">
      <c r="A83" s="6" t="s">
        <v>42</v>
      </c>
      <c r="B83" s="6" t="s">
        <v>43</v>
      </c>
      <c r="C83" s="6" t="s">
        <v>44</v>
      </c>
      <c r="D83" s="6" t="s">
        <v>114</v>
      </c>
      <c r="E83" s="6" t="n">
        <v>16</v>
      </c>
      <c r="F83" s="6" t="n">
        <v>8</v>
      </c>
      <c r="G83" s="6" t="s">
        <v>72</v>
      </c>
      <c r="H83" s="11" t="n">
        <v>0.05</v>
      </c>
      <c r="I83" s="6" t="n">
        <v>20</v>
      </c>
      <c r="J83" s="6" t="n">
        <v>0</v>
      </c>
      <c r="K83" s="6" t="n">
        <v>20</v>
      </c>
      <c r="L83" s="6" t="n">
        <v>1</v>
      </c>
      <c r="M83" s="6" t="n">
        <v>19</v>
      </c>
      <c r="N83" s="11" t="n">
        <f aca="false">J83/(J83+K83)</f>
        <v>0</v>
      </c>
      <c r="O83" s="11" t="n">
        <f aca="false">IF(J83+L83=0,"",J83/(J83+L83))</f>
        <v>0</v>
      </c>
      <c r="P83" s="11" t="n">
        <f aca="false">2*J83/(2*J83+L83+K83)</f>
        <v>0</v>
      </c>
      <c r="Q83" s="11" t="n">
        <f aca="false">L83/(L83+M83)</f>
        <v>0.05</v>
      </c>
      <c r="R83" s="6" t="n">
        <v>2</v>
      </c>
      <c r="S83" s="11" t="n">
        <v>0</v>
      </c>
      <c r="T83" s="11" t="n">
        <v>0</v>
      </c>
      <c r="U83" s="11" t="n">
        <v>0.9</v>
      </c>
      <c r="V83" s="11" t="n">
        <v>0.9</v>
      </c>
    </row>
    <row r="84" customFormat="false" ht="15" hidden="false" customHeight="false" outlineLevel="0" collapsed="false">
      <c r="A84" s="6" t="s">
        <v>42</v>
      </c>
      <c r="B84" s="6" t="s">
        <v>43</v>
      </c>
      <c r="C84" s="6" t="s">
        <v>44</v>
      </c>
      <c r="D84" s="6" t="s">
        <v>114</v>
      </c>
      <c r="E84" s="6" t="n">
        <v>16</v>
      </c>
      <c r="F84" s="6" t="n">
        <v>8</v>
      </c>
      <c r="G84" s="6" t="s">
        <v>73</v>
      </c>
      <c r="H84" s="11" t="n">
        <v>0.05</v>
      </c>
      <c r="I84" s="6" t="n">
        <v>20</v>
      </c>
      <c r="J84" s="6" t="n">
        <v>0</v>
      </c>
      <c r="K84" s="6" t="n">
        <v>20</v>
      </c>
      <c r="L84" s="6" t="n">
        <v>0</v>
      </c>
      <c r="M84" s="6" t="n">
        <v>20</v>
      </c>
      <c r="N84" s="11" t="n">
        <f aca="false">J84/(J84+K84)</f>
        <v>0</v>
      </c>
      <c r="O84" s="11" t="str">
        <f aca="false">IF(J84+L84=0,"",J84/(J84+L84))</f>
        <v/>
      </c>
      <c r="P84" s="11" t="n">
        <f aca="false">2*J84/(2*J84+L84+K84)</f>
        <v>0</v>
      </c>
      <c r="Q84" s="11" t="n">
        <f aca="false">L84/(L84+M84)</f>
        <v>0</v>
      </c>
      <c r="R84" s="6" t="n">
        <v>2</v>
      </c>
      <c r="S84" s="11" t="n">
        <v>0</v>
      </c>
      <c r="T84" s="11" t="n">
        <v>0</v>
      </c>
      <c r="U84" s="11" t="n">
        <v>0.65</v>
      </c>
      <c r="V84" s="11" t="n">
        <v>0.6</v>
      </c>
    </row>
    <row r="85" customFormat="false" ht="15" hidden="false" customHeight="false" outlineLevel="0" collapsed="false">
      <c r="A85" s="6" t="s">
        <v>42</v>
      </c>
      <c r="B85" s="6" t="s">
        <v>43</v>
      </c>
      <c r="C85" s="6" t="s">
        <v>44</v>
      </c>
      <c r="D85" s="6" t="s">
        <v>114</v>
      </c>
      <c r="E85" s="6" t="n">
        <v>16</v>
      </c>
      <c r="F85" s="6" t="n">
        <v>8</v>
      </c>
      <c r="G85" s="6" t="s">
        <v>74</v>
      </c>
      <c r="H85" s="11" t="n">
        <v>0.05</v>
      </c>
      <c r="I85" s="6" t="n">
        <v>20</v>
      </c>
      <c r="J85" s="6" t="n">
        <v>2</v>
      </c>
      <c r="K85" s="6" t="n">
        <v>18</v>
      </c>
      <c r="L85" s="6" t="n">
        <v>1</v>
      </c>
      <c r="M85" s="6" t="n">
        <v>19</v>
      </c>
      <c r="N85" s="11" t="n">
        <f aca="false">J85/(J85+K85)</f>
        <v>0.1</v>
      </c>
      <c r="O85" s="11" t="n">
        <f aca="false">IF(J85+L85=0,"",J85/(J85+L85))</f>
        <v>0.666666666666667</v>
      </c>
      <c r="P85" s="11" t="n">
        <f aca="false">2*J85/(2*J85+L85+K85)</f>
        <v>0.173913043478261</v>
      </c>
      <c r="Q85" s="11" t="n">
        <f aca="false">L85/(L85+M85)</f>
        <v>0.05</v>
      </c>
      <c r="R85" s="6" t="n">
        <v>4</v>
      </c>
      <c r="S85" s="11" t="n">
        <v>0</v>
      </c>
      <c r="T85" s="11" t="n">
        <v>0.125</v>
      </c>
      <c r="U85" s="11" t="n">
        <v>0.85</v>
      </c>
      <c r="V85" s="11" t="n">
        <v>0.9</v>
      </c>
    </row>
    <row r="86" customFormat="false" ht="15" hidden="false" customHeight="false" outlineLevel="0" collapsed="false">
      <c r="A86" s="6" t="s">
        <v>42</v>
      </c>
      <c r="B86" s="6" t="s">
        <v>43</v>
      </c>
      <c r="C86" s="6" t="s">
        <v>44</v>
      </c>
      <c r="D86" s="6" t="s">
        <v>114</v>
      </c>
      <c r="E86" s="6" t="n">
        <v>16</v>
      </c>
      <c r="F86" s="6" t="n">
        <v>8</v>
      </c>
      <c r="G86" s="6" t="s">
        <v>75</v>
      </c>
      <c r="H86" s="11" t="n">
        <v>0.05</v>
      </c>
      <c r="I86" s="6" t="n">
        <v>20</v>
      </c>
      <c r="J86" s="6" t="n">
        <v>0</v>
      </c>
      <c r="K86" s="6" t="n">
        <v>20</v>
      </c>
      <c r="L86" s="6" t="n">
        <v>0</v>
      </c>
      <c r="M86" s="6" t="n">
        <v>20</v>
      </c>
      <c r="N86" s="11" t="n">
        <f aca="false">J86/(J86+K86)</f>
        <v>0</v>
      </c>
      <c r="O86" s="11" t="str">
        <f aca="false">IF(J86+L86=0,"",J86/(J86+L86))</f>
        <v/>
      </c>
      <c r="P86" s="11" t="n">
        <f aca="false">2*J86/(2*J86+L86+K86)</f>
        <v>0</v>
      </c>
      <c r="Q86" s="11" t="n">
        <f aca="false">L86/(L86+M86)</f>
        <v>0</v>
      </c>
      <c r="R86" s="6" t="n">
        <v>0</v>
      </c>
      <c r="S86" s="11"/>
      <c r="T86" s="11" t="n">
        <v>0</v>
      </c>
      <c r="U86" s="11" t="n">
        <v>0.9</v>
      </c>
      <c r="V86" s="11" t="n">
        <v>0.9</v>
      </c>
    </row>
    <row r="87" customFormat="false" ht="15" hidden="false" customHeight="false" outlineLevel="0" collapsed="false">
      <c r="A87" s="6" t="s">
        <v>42</v>
      </c>
      <c r="B87" s="6" t="s">
        <v>43</v>
      </c>
      <c r="C87" s="6" t="s">
        <v>44</v>
      </c>
      <c r="D87" s="6" t="s">
        <v>114</v>
      </c>
      <c r="E87" s="6" t="n">
        <v>16</v>
      </c>
      <c r="F87" s="6" t="n">
        <v>8</v>
      </c>
      <c r="G87" s="6" t="s">
        <v>76</v>
      </c>
      <c r="H87" s="11" t="n">
        <v>0.05</v>
      </c>
      <c r="I87" s="6" t="n">
        <v>20</v>
      </c>
      <c r="J87" s="6" t="n">
        <v>0</v>
      </c>
      <c r="K87" s="6" t="n">
        <v>20</v>
      </c>
      <c r="L87" s="6" t="n">
        <v>0</v>
      </c>
      <c r="M87" s="6" t="n">
        <v>20</v>
      </c>
      <c r="N87" s="11" t="n">
        <f aca="false">J87/(J87+K87)</f>
        <v>0</v>
      </c>
      <c r="O87" s="11" t="str">
        <f aca="false">IF(J87+L87=0,"",J87/(J87+L87))</f>
        <v/>
      </c>
      <c r="P87" s="11" t="n">
        <f aca="false">2*J87/(2*J87+L87+K87)</f>
        <v>0</v>
      </c>
      <c r="Q87" s="11" t="n">
        <f aca="false">L87/(L87+M87)</f>
        <v>0</v>
      </c>
      <c r="R87" s="6" t="n">
        <v>0</v>
      </c>
      <c r="S87" s="11"/>
      <c r="T87" s="11" t="n">
        <v>0</v>
      </c>
      <c r="U87" s="11" t="n">
        <v>0.95</v>
      </c>
      <c r="V87" s="11" t="n">
        <v>0.95</v>
      </c>
    </row>
    <row r="88" customFormat="false" ht="15" hidden="false" customHeight="false" outlineLevel="0" collapsed="false">
      <c r="A88" s="6" t="s">
        <v>42</v>
      </c>
      <c r="B88" s="6" t="s">
        <v>43</v>
      </c>
      <c r="C88" s="6" t="s">
        <v>44</v>
      </c>
      <c r="D88" s="6" t="s">
        <v>114</v>
      </c>
      <c r="E88" s="6" t="n">
        <v>16</v>
      </c>
      <c r="F88" s="6" t="n">
        <v>8</v>
      </c>
      <c r="G88" s="6" t="s">
        <v>77</v>
      </c>
      <c r="H88" s="11" t="n">
        <v>0.05</v>
      </c>
      <c r="I88" s="6" t="n">
        <v>20</v>
      </c>
      <c r="J88" s="6" t="n">
        <v>1</v>
      </c>
      <c r="K88" s="6" t="n">
        <v>19</v>
      </c>
      <c r="L88" s="6" t="n">
        <v>1</v>
      </c>
      <c r="M88" s="6" t="n">
        <v>19</v>
      </c>
      <c r="N88" s="11" t="n">
        <f aca="false">J88/(J88+K88)</f>
        <v>0.05</v>
      </c>
      <c r="O88" s="11" t="n">
        <f aca="false">IF(J88+L88=0,"",J88/(J88+L88))</f>
        <v>0.5</v>
      </c>
      <c r="P88" s="11" t="n">
        <f aca="false">2*J88/(2*J88+L88+K88)</f>
        <v>0.0909090909090909</v>
      </c>
      <c r="Q88" s="11" t="n">
        <f aca="false">L88/(L88+M88)</f>
        <v>0.05</v>
      </c>
      <c r="R88" s="6" t="n">
        <v>0</v>
      </c>
      <c r="S88" s="11"/>
      <c r="T88" s="11" t="n">
        <v>0.05</v>
      </c>
      <c r="U88" s="11" t="n">
        <v>1</v>
      </c>
      <c r="V88" s="11" t="n">
        <v>1</v>
      </c>
    </row>
    <row r="89" customFormat="false" ht="15" hidden="false" customHeight="false" outlineLevel="0" collapsed="false">
      <c r="A89" s="6" t="s">
        <v>42</v>
      </c>
      <c r="B89" s="6" t="s">
        <v>43</v>
      </c>
      <c r="C89" s="6" t="s">
        <v>44</v>
      </c>
      <c r="D89" s="6" t="s">
        <v>114</v>
      </c>
      <c r="E89" s="6" t="n">
        <v>16</v>
      </c>
      <c r="F89" s="6" t="n">
        <v>8</v>
      </c>
      <c r="G89" s="6" t="s">
        <v>78</v>
      </c>
      <c r="H89" s="11" t="n">
        <v>0.05</v>
      </c>
      <c r="I89" s="6" t="n">
        <v>200</v>
      </c>
      <c r="J89" s="6" t="n">
        <v>4</v>
      </c>
      <c r="K89" s="6" t="n">
        <v>196</v>
      </c>
      <c r="L89" s="6" t="n">
        <v>6</v>
      </c>
      <c r="M89" s="6" t="n">
        <v>194</v>
      </c>
      <c r="N89" s="11" t="n">
        <f aca="false">J89/(J89+K89)</f>
        <v>0.02</v>
      </c>
      <c r="O89" s="11" t="n">
        <f aca="false">IF(J89+L89=0,"",J89/(J89+L89))</f>
        <v>0.4</v>
      </c>
      <c r="P89" s="11" t="n">
        <f aca="false">2*J89/(2*J89+L89+K89)</f>
        <v>0.0380952380952381</v>
      </c>
      <c r="Q89" s="11" t="n">
        <f aca="false">L89/(L89+M89)</f>
        <v>0.03</v>
      </c>
      <c r="R89" s="6" t="n">
        <v>15</v>
      </c>
      <c r="S89" s="11" t="n">
        <v>0.0666666666666667</v>
      </c>
      <c r="T89" s="11" t="n">
        <v>0.0162162162162162</v>
      </c>
      <c r="U89" s="11" t="n">
        <v>0.88</v>
      </c>
      <c r="V89" s="11" t="n">
        <v>0.865</v>
      </c>
    </row>
    <row r="90" customFormat="false" ht="15" hidden="false" customHeight="false" outlineLevel="0" collapsed="false">
      <c r="A90" s="6" t="s">
        <v>42</v>
      </c>
      <c r="B90" s="6" t="s">
        <v>43</v>
      </c>
      <c r="C90" s="6" t="s">
        <v>44</v>
      </c>
      <c r="D90" s="6" t="s">
        <v>114</v>
      </c>
      <c r="E90" s="6" t="n">
        <v>16</v>
      </c>
      <c r="F90" s="6" t="n">
        <v>9</v>
      </c>
      <c r="G90" s="6" t="s">
        <v>68</v>
      </c>
      <c r="H90" s="11" t="n">
        <v>0.05</v>
      </c>
      <c r="I90" s="6" t="n">
        <v>20</v>
      </c>
      <c r="J90" s="6" t="n">
        <v>2</v>
      </c>
      <c r="K90" s="6" t="n">
        <v>18</v>
      </c>
      <c r="L90" s="6" t="n">
        <v>2</v>
      </c>
      <c r="M90" s="6" t="n">
        <v>18</v>
      </c>
      <c r="N90" s="11" t="n">
        <f aca="false">J90/(J90+K90)</f>
        <v>0.1</v>
      </c>
      <c r="O90" s="11" t="n">
        <f aca="false">IF(J90+L90=0,"",J90/(J90+L90))</f>
        <v>0.5</v>
      </c>
      <c r="P90" s="11" t="n">
        <f aca="false">2*J90/(2*J90+L90+K90)</f>
        <v>0.166666666666667</v>
      </c>
      <c r="Q90" s="11" t="n">
        <f aca="false">L90/(L90+M90)</f>
        <v>0.1</v>
      </c>
      <c r="R90" s="6" t="n">
        <v>2</v>
      </c>
      <c r="S90" s="11" t="n">
        <v>0.5</v>
      </c>
      <c r="T90" s="11" t="n">
        <v>0.0555555555555556</v>
      </c>
      <c r="U90" s="11" t="n">
        <v>0.85</v>
      </c>
      <c r="V90" s="11" t="n">
        <v>0.95</v>
      </c>
    </row>
    <row r="91" customFormat="false" ht="15" hidden="false" customHeight="false" outlineLevel="0" collapsed="false">
      <c r="A91" s="6" t="s">
        <v>42</v>
      </c>
      <c r="B91" s="6" t="s">
        <v>43</v>
      </c>
      <c r="C91" s="6" t="s">
        <v>44</v>
      </c>
      <c r="D91" s="6" t="s">
        <v>114</v>
      </c>
      <c r="E91" s="6" t="n">
        <v>16</v>
      </c>
      <c r="F91" s="6" t="n">
        <v>9</v>
      </c>
      <c r="G91" s="6" t="s">
        <v>69</v>
      </c>
      <c r="H91" s="11" t="n">
        <v>0.05</v>
      </c>
      <c r="I91" s="6" t="n">
        <v>20</v>
      </c>
      <c r="J91" s="6" t="n">
        <v>1</v>
      </c>
      <c r="K91" s="6" t="n">
        <v>19</v>
      </c>
      <c r="L91" s="6" t="n">
        <v>1</v>
      </c>
      <c r="M91" s="6" t="n">
        <v>19</v>
      </c>
      <c r="N91" s="11" t="n">
        <f aca="false">J91/(J91+K91)</f>
        <v>0.05</v>
      </c>
      <c r="O91" s="11" t="n">
        <f aca="false">IF(J91+L91=0,"",J91/(J91+L91))</f>
        <v>0.5</v>
      </c>
      <c r="P91" s="11" t="n">
        <f aca="false">2*J91/(2*J91+L91+K91)</f>
        <v>0.0909090909090909</v>
      </c>
      <c r="Q91" s="11" t="n">
        <f aca="false">L91/(L91+M91)</f>
        <v>0.05</v>
      </c>
      <c r="R91" s="6" t="n">
        <v>0</v>
      </c>
      <c r="S91" s="11"/>
      <c r="T91" s="11" t="n">
        <v>0.05</v>
      </c>
      <c r="U91" s="11" t="n">
        <v>1</v>
      </c>
      <c r="V91" s="11" t="n">
        <v>1</v>
      </c>
    </row>
    <row r="92" customFormat="false" ht="15" hidden="false" customHeight="false" outlineLevel="0" collapsed="false">
      <c r="A92" s="6" t="s">
        <v>42</v>
      </c>
      <c r="B92" s="6" t="s">
        <v>43</v>
      </c>
      <c r="C92" s="6" t="s">
        <v>44</v>
      </c>
      <c r="D92" s="6" t="s">
        <v>114</v>
      </c>
      <c r="E92" s="6" t="n">
        <v>16</v>
      </c>
      <c r="F92" s="6" t="n">
        <v>9</v>
      </c>
      <c r="G92" s="6" t="s">
        <v>70</v>
      </c>
      <c r="H92" s="11" t="n">
        <v>0.05</v>
      </c>
      <c r="I92" s="6" t="n">
        <v>20</v>
      </c>
      <c r="J92" s="6" t="n">
        <v>0</v>
      </c>
      <c r="K92" s="6" t="n">
        <v>20</v>
      </c>
      <c r="L92" s="6" t="n">
        <v>0</v>
      </c>
      <c r="M92" s="6" t="n">
        <v>20</v>
      </c>
      <c r="N92" s="11" t="n">
        <f aca="false">J92/(J92+K92)</f>
        <v>0</v>
      </c>
      <c r="O92" s="11" t="str">
        <f aca="false">IF(J92+L92=0,"",J92/(J92+L92))</f>
        <v/>
      </c>
      <c r="P92" s="11" t="n">
        <f aca="false">2*J92/(2*J92+L92+K92)</f>
        <v>0</v>
      </c>
      <c r="Q92" s="11" t="n">
        <f aca="false">L92/(L92+M92)</f>
        <v>0</v>
      </c>
      <c r="R92" s="6" t="n">
        <v>0</v>
      </c>
      <c r="S92" s="11"/>
      <c r="T92" s="11" t="n">
        <v>0</v>
      </c>
      <c r="U92" s="11" t="n">
        <v>0.9</v>
      </c>
      <c r="V92" s="11" t="n">
        <v>0.9</v>
      </c>
    </row>
    <row r="93" customFormat="false" ht="15" hidden="false" customHeight="false" outlineLevel="0" collapsed="false">
      <c r="A93" s="6" t="s">
        <v>42</v>
      </c>
      <c r="B93" s="6" t="s">
        <v>43</v>
      </c>
      <c r="C93" s="6" t="s">
        <v>44</v>
      </c>
      <c r="D93" s="6" t="s">
        <v>114</v>
      </c>
      <c r="E93" s="6" t="n">
        <v>16</v>
      </c>
      <c r="F93" s="6" t="n">
        <v>9</v>
      </c>
      <c r="G93" s="6" t="s">
        <v>71</v>
      </c>
      <c r="H93" s="11" t="n">
        <v>0.05</v>
      </c>
      <c r="I93" s="6" t="n">
        <v>20</v>
      </c>
      <c r="J93" s="6" t="n">
        <v>0</v>
      </c>
      <c r="K93" s="6" t="n">
        <v>20</v>
      </c>
      <c r="L93" s="6" t="n">
        <v>0</v>
      </c>
      <c r="M93" s="6" t="n">
        <v>20</v>
      </c>
      <c r="N93" s="11" t="n">
        <f aca="false">J93/(J93+K93)</f>
        <v>0</v>
      </c>
      <c r="O93" s="11" t="str">
        <f aca="false">IF(J93+L93=0,"",J93/(J93+L93))</f>
        <v/>
      </c>
      <c r="P93" s="11" t="n">
        <f aca="false">2*J93/(2*J93+L93+K93)</f>
        <v>0</v>
      </c>
      <c r="Q93" s="11" t="n">
        <f aca="false">L93/(L93+M93)</f>
        <v>0</v>
      </c>
      <c r="R93" s="6" t="n">
        <v>1</v>
      </c>
      <c r="S93" s="11" t="n">
        <v>0</v>
      </c>
      <c r="T93" s="11" t="n">
        <v>0</v>
      </c>
      <c r="U93" s="11" t="n">
        <v>0.8</v>
      </c>
      <c r="V93" s="11" t="n">
        <v>0.85</v>
      </c>
    </row>
    <row r="94" customFormat="false" ht="15" hidden="false" customHeight="false" outlineLevel="0" collapsed="false">
      <c r="A94" s="6" t="s">
        <v>42</v>
      </c>
      <c r="B94" s="6" t="s">
        <v>43</v>
      </c>
      <c r="C94" s="6" t="s">
        <v>44</v>
      </c>
      <c r="D94" s="6" t="s">
        <v>114</v>
      </c>
      <c r="E94" s="6" t="n">
        <v>16</v>
      </c>
      <c r="F94" s="6" t="n">
        <v>9</v>
      </c>
      <c r="G94" s="6" t="s">
        <v>72</v>
      </c>
      <c r="H94" s="11" t="n">
        <v>0.05</v>
      </c>
      <c r="I94" s="6" t="n">
        <v>20</v>
      </c>
      <c r="J94" s="6" t="n">
        <v>1</v>
      </c>
      <c r="K94" s="6" t="n">
        <v>19</v>
      </c>
      <c r="L94" s="6" t="n">
        <v>1</v>
      </c>
      <c r="M94" s="6" t="n">
        <v>19</v>
      </c>
      <c r="N94" s="11" t="n">
        <f aca="false">J94/(J94+K94)</f>
        <v>0.05</v>
      </c>
      <c r="O94" s="11" t="n">
        <f aca="false">IF(J94+L94=0,"",J94/(J94+L94))</f>
        <v>0.5</v>
      </c>
      <c r="P94" s="11" t="n">
        <f aca="false">2*J94/(2*J94+L94+K94)</f>
        <v>0.0909090909090909</v>
      </c>
      <c r="Q94" s="11" t="n">
        <f aca="false">L94/(L94+M94)</f>
        <v>0.05</v>
      </c>
      <c r="R94" s="6" t="n">
        <v>0</v>
      </c>
      <c r="S94" s="11"/>
      <c r="T94" s="11" t="n">
        <v>0.05</v>
      </c>
      <c r="U94" s="11" t="n">
        <v>0.9</v>
      </c>
      <c r="V94" s="11" t="n">
        <v>0.9</v>
      </c>
    </row>
    <row r="95" customFormat="false" ht="15" hidden="false" customHeight="false" outlineLevel="0" collapsed="false">
      <c r="A95" s="6" t="s">
        <v>42</v>
      </c>
      <c r="B95" s="6" t="s">
        <v>43</v>
      </c>
      <c r="C95" s="6" t="s">
        <v>44</v>
      </c>
      <c r="D95" s="6" t="s">
        <v>114</v>
      </c>
      <c r="E95" s="6" t="n">
        <v>16</v>
      </c>
      <c r="F95" s="6" t="n">
        <v>9</v>
      </c>
      <c r="G95" s="6" t="s">
        <v>73</v>
      </c>
      <c r="H95" s="11" t="n">
        <v>0.05</v>
      </c>
      <c r="I95" s="6" t="n">
        <v>20</v>
      </c>
      <c r="J95" s="6" t="n">
        <v>0</v>
      </c>
      <c r="K95" s="6" t="n">
        <v>20</v>
      </c>
      <c r="L95" s="6" t="n">
        <v>0</v>
      </c>
      <c r="M95" s="6" t="n">
        <v>20</v>
      </c>
      <c r="N95" s="11" t="n">
        <f aca="false">J95/(J95+K95)</f>
        <v>0</v>
      </c>
      <c r="O95" s="11" t="str">
        <f aca="false">IF(J95+L95=0,"",J95/(J95+L95))</f>
        <v/>
      </c>
      <c r="P95" s="11" t="n">
        <f aca="false">2*J95/(2*J95+L95+K95)</f>
        <v>0</v>
      </c>
      <c r="Q95" s="11" t="n">
        <f aca="false">L95/(L95+M95)</f>
        <v>0</v>
      </c>
      <c r="R95" s="6" t="n">
        <v>3</v>
      </c>
      <c r="S95" s="11" t="n">
        <v>0</v>
      </c>
      <c r="T95" s="11" t="n">
        <v>0</v>
      </c>
      <c r="U95" s="11" t="n">
        <v>0.65</v>
      </c>
      <c r="V95" s="11" t="n">
        <v>0.6</v>
      </c>
    </row>
    <row r="96" customFormat="false" ht="15" hidden="false" customHeight="false" outlineLevel="0" collapsed="false">
      <c r="A96" s="6" t="s">
        <v>42</v>
      </c>
      <c r="B96" s="6" t="s">
        <v>43</v>
      </c>
      <c r="C96" s="6" t="s">
        <v>44</v>
      </c>
      <c r="D96" s="6" t="s">
        <v>114</v>
      </c>
      <c r="E96" s="6" t="n">
        <v>16</v>
      </c>
      <c r="F96" s="6" t="n">
        <v>9</v>
      </c>
      <c r="G96" s="6" t="s">
        <v>74</v>
      </c>
      <c r="H96" s="11" t="n">
        <v>0.05</v>
      </c>
      <c r="I96" s="6" t="n">
        <v>20</v>
      </c>
      <c r="J96" s="6" t="n">
        <v>1</v>
      </c>
      <c r="K96" s="6" t="n">
        <v>19</v>
      </c>
      <c r="L96" s="6" t="n">
        <v>1</v>
      </c>
      <c r="M96" s="6" t="n">
        <v>19</v>
      </c>
      <c r="N96" s="11" t="n">
        <f aca="false">J96/(J96+K96)</f>
        <v>0.05</v>
      </c>
      <c r="O96" s="11" t="n">
        <f aca="false">IF(J96+L96=0,"",J96/(J96+L96))</f>
        <v>0.5</v>
      </c>
      <c r="P96" s="11" t="n">
        <f aca="false">2*J96/(2*J96+L96+K96)</f>
        <v>0.0909090909090909</v>
      </c>
      <c r="Q96" s="11" t="n">
        <f aca="false">L96/(L96+M96)</f>
        <v>0.05</v>
      </c>
      <c r="R96" s="6" t="n">
        <v>3</v>
      </c>
      <c r="S96" s="11" t="n">
        <v>0</v>
      </c>
      <c r="T96" s="11" t="n">
        <v>0.0588235294117647</v>
      </c>
      <c r="U96" s="11" t="n">
        <v>0.85</v>
      </c>
      <c r="V96" s="11" t="n">
        <v>0.95</v>
      </c>
    </row>
    <row r="97" customFormat="false" ht="15" hidden="false" customHeight="false" outlineLevel="0" collapsed="false">
      <c r="A97" s="6" t="s">
        <v>42</v>
      </c>
      <c r="B97" s="6" t="s">
        <v>43</v>
      </c>
      <c r="C97" s="6" t="s">
        <v>44</v>
      </c>
      <c r="D97" s="6" t="s">
        <v>114</v>
      </c>
      <c r="E97" s="6" t="n">
        <v>16</v>
      </c>
      <c r="F97" s="6" t="n">
        <v>9</v>
      </c>
      <c r="G97" s="6" t="s">
        <v>75</v>
      </c>
      <c r="H97" s="11" t="n">
        <v>0.05</v>
      </c>
      <c r="I97" s="6" t="n">
        <v>20</v>
      </c>
      <c r="J97" s="6" t="n">
        <v>0</v>
      </c>
      <c r="K97" s="6" t="n">
        <v>20</v>
      </c>
      <c r="L97" s="6" t="n">
        <v>0</v>
      </c>
      <c r="M97" s="6" t="n">
        <v>20</v>
      </c>
      <c r="N97" s="11" t="n">
        <f aca="false">J97/(J97+K97)</f>
        <v>0</v>
      </c>
      <c r="O97" s="11" t="str">
        <f aca="false">IF(J97+L97=0,"",J97/(J97+L97))</f>
        <v/>
      </c>
      <c r="P97" s="11" t="n">
        <f aca="false">2*J97/(2*J97+L97+K97)</f>
        <v>0</v>
      </c>
      <c r="Q97" s="11" t="n">
        <f aca="false">L97/(L97+M97)</f>
        <v>0</v>
      </c>
      <c r="R97" s="6" t="n">
        <v>2</v>
      </c>
      <c r="S97" s="11" t="n">
        <v>0</v>
      </c>
      <c r="T97" s="11" t="n">
        <v>0</v>
      </c>
      <c r="U97" s="11" t="n">
        <v>0.9</v>
      </c>
      <c r="V97" s="11" t="n">
        <v>0.95</v>
      </c>
    </row>
    <row r="98" customFormat="false" ht="15" hidden="false" customHeight="false" outlineLevel="0" collapsed="false">
      <c r="A98" s="6" t="s">
        <v>42</v>
      </c>
      <c r="B98" s="6" t="s">
        <v>43</v>
      </c>
      <c r="C98" s="6" t="s">
        <v>44</v>
      </c>
      <c r="D98" s="6" t="s">
        <v>114</v>
      </c>
      <c r="E98" s="6" t="n">
        <v>16</v>
      </c>
      <c r="F98" s="6" t="n">
        <v>9</v>
      </c>
      <c r="G98" s="6" t="s">
        <v>76</v>
      </c>
      <c r="H98" s="11" t="n">
        <v>0.05</v>
      </c>
      <c r="I98" s="6" t="n">
        <v>20</v>
      </c>
      <c r="J98" s="6" t="n">
        <v>0</v>
      </c>
      <c r="K98" s="6" t="n">
        <v>20</v>
      </c>
      <c r="L98" s="6" t="n">
        <v>0</v>
      </c>
      <c r="M98" s="6" t="n">
        <v>20</v>
      </c>
      <c r="N98" s="11" t="n">
        <f aca="false">J98/(J98+K98)</f>
        <v>0</v>
      </c>
      <c r="O98" s="11" t="str">
        <f aca="false">IF(J98+L98=0,"",J98/(J98+L98))</f>
        <v/>
      </c>
      <c r="P98" s="11" t="n">
        <f aca="false">2*J98/(2*J98+L98+K98)</f>
        <v>0</v>
      </c>
      <c r="Q98" s="11" t="n">
        <f aca="false">L98/(L98+M98)</f>
        <v>0</v>
      </c>
      <c r="R98" s="6" t="n">
        <v>0</v>
      </c>
      <c r="S98" s="11"/>
      <c r="T98" s="11" t="n">
        <v>0</v>
      </c>
      <c r="U98" s="11" t="n">
        <v>0.95</v>
      </c>
      <c r="V98" s="11" t="n">
        <v>0.95</v>
      </c>
    </row>
    <row r="99" customFormat="false" ht="15" hidden="false" customHeight="false" outlineLevel="0" collapsed="false">
      <c r="A99" s="6" t="s">
        <v>42</v>
      </c>
      <c r="B99" s="6" t="s">
        <v>43</v>
      </c>
      <c r="C99" s="6" t="s">
        <v>44</v>
      </c>
      <c r="D99" s="6" t="s">
        <v>114</v>
      </c>
      <c r="E99" s="6" t="n">
        <v>16</v>
      </c>
      <c r="F99" s="6" t="n">
        <v>9</v>
      </c>
      <c r="G99" s="6" t="s">
        <v>77</v>
      </c>
      <c r="H99" s="11" t="n">
        <v>0.05</v>
      </c>
      <c r="I99" s="6" t="n">
        <v>20</v>
      </c>
      <c r="J99" s="6" t="n">
        <v>1</v>
      </c>
      <c r="K99" s="6" t="n">
        <v>19</v>
      </c>
      <c r="L99" s="6" t="n">
        <v>1</v>
      </c>
      <c r="M99" s="6" t="n">
        <v>19</v>
      </c>
      <c r="N99" s="11" t="n">
        <f aca="false">J99/(J99+K99)</f>
        <v>0.05</v>
      </c>
      <c r="O99" s="11" t="n">
        <f aca="false">IF(J99+L99=0,"",J99/(J99+L99))</f>
        <v>0.5</v>
      </c>
      <c r="P99" s="11" t="n">
        <f aca="false">2*J99/(2*J99+L99+K99)</f>
        <v>0.0909090909090909</v>
      </c>
      <c r="Q99" s="11" t="n">
        <f aca="false">L99/(L99+M99)</f>
        <v>0.05</v>
      </c>
      <c r="R99" s="6" t="n">
        <v>0</v>
      </c>
      <c r="S99" s="11"/>
      <c r="T99" s="11" t="n">
        <v>0.05</v>
      </c>
      <c r="U99" s="11" t="n">
        <v>1</v>
      </c>
      <c r="V99" s="11" t="n">
        <v>1</v>
      </c>
    </row>
    <row r="100" customFormat="false" ht="15" hidden="false" customHeight="false" outlineLevel="0" collapsed="false">
      <c r="A100" s="6" t="s">
        <v>42</v>
      </c>
      <c r="B100" s="6" t="s">
        <v>43</v>
      </c>
      <c r="C100" s="6" t="s">
        <v>44</v>
      </c>
      <c r="D100" s="6" t="s">
        <v>114</v>
      </c>
      <c r="E100" s="6" t="n">
        <v>16</v>
      </c>
      <c r="F100" s="6" t="n">
        <v>9</v>
      </c>
      <c r="G100" s="6" t="s">
        <v>78</v>
      </c>
      <c r="H100" s="11" t="n">
        <v>0.05</v>
      </c>
      <c r="I100" s="6" t="n">
        <v>200</v>
      </c>
      <c r="J100" s="6" t="n">
        <v>6</v>
      </c>
      <c r="K100" s="6" t="n">
        <v>194</v>
      </c>
      <c r="L100" s="6" t="n">
        <v>6</v>
      </c>
      <c r="M100" s="6" t="n">
        <v>194</v>
      </c>
      <c r="N100" s="11" t="n">
        <f aca="false">J100/(J100+K100)</f>
        <v>0.03</v>
      </c>
      <c r="O100" s="11" t="n">
        <f aca="false">IF(J100+L100=0,"",J100/(J100+L100))</f>
        <v>0.5</v>
      </c>
      <c r="P100" s="11" t="n">
        <f aca="false">2*J100/(2*J100+L100+K100)</f>
        <v>0.0566037735849057</v>
      </c>
      <c r="Q100" s="11" t="n">
        <f aca="false">L100/(L100+M100)</f>
        <v>0.03</v>
      </c>
      <c r="R100" s="6" t="n">
        <v>11</v>
      </c>
      <c r="S100" s="11" t="n">
        <v>0.0909090909090909</v>
      </c>
      <c r="T100" s="11" t="n">
        <v>0.0264550264550265</v>
      </c>
      <c r="U100" s="11" t="n">
        <v>0.88</v>
      </c>
      <c r="V100" s="11" t="n">
        <v>0.905</v>
      </c>
    </row>
    <row r="101" customFormat="false" ht="15" hidden="false" customHeight="false" outlineLevel="0" collapsed="false">
      <c r="A101" s="6" t="s">
        <v>42</v>
      </c>
      <c r="B101" s="6" t="s">
        <v>43</v>
      </c>
      <c r="C101" s="6" t="s">
        <v>44</v>
      </c>
      <c r="D101" s="6" t="s">
        <v>114</v>
      </c>
      <c r="E101" s="6" t="n">
        <v>16</v>
      </c>
      <c r="F101" s="6" t="n">
        <v>10</v>
      </c>
      <c r="G101" s="6" t="s">
        <v>68</v>
      </c>
      <c r="H101" s="11" t="n">
        <v>0.05</v>
      </c>
      <c r="I101" s="6" t="n">
        <v>20</v>
      </c>
      <c r="J101" s="6" t="n">
        <v>3</v>
      </c>
      <c r="K101" s="6" t="n">
        <v>17</v>
      </c>
      <c r="L101" s="6" t="n">
        <v>2</v>
      </c>
      <c r="M101" s="6" t="n">
        <v>18</v>
      </c>
      <c r="N101" s="11" t="n">
        <f aca="false">J101/(J101+K101)</f>
        <v>0.15</v>
      </c>
      <c r="O101" s="11" t="n">
        <f aca="false">IF(J101+L101=0,"",J101/(J101+L101))</f>
        <v>0.6</v>
      </c>
      <c r="P101" s="11" t="n">
        <f aca="false">2*J101/(2*J101+L101+K101)</f>
        <v>0.24</v>
      </c>
      <c r="Q101" s="11" t="n">
        <f aca="false">L101/(L101+M101)</f>
        <v>0.1</v>
      </c>
      <c r="R101" s="6" t="n">
        <v>0</v>
      </c>
      <c r="S101" s="11"/>
      <c r="T101" s="11" t="n">
        <v>0.15</v>
      </c>
      <c r="U101" s="11" t="n">
        <v>0.85</v>
      </c>
      <c r="V101" s="11" t="n">
        <v>0.85</v>
      </c>
    </row>
    <row r="102" customFormat="false" ht="15" hidden="false" customHeight="false" outlineLevel="0" collapsed="false">
      <c r="A102" s="6" t="s">
        <v>42</v>
      </c>
      <c r="B102" s="6" t="s">
        <v>43</v>
      </c>
      <c r="C102" s="6" t="s">
        <v>44</v>
      </c>
      <c r="D102" s="6" t="s">
        <v>114</v>
      </c>
      <c r="E102" s="6" t="n">
        <v>16</v>
      </c>
      <c r="F102" s="6" t="n">
        <v>10</v>
      </c>
      <c r="G102" s="6" t="s">
        <v>69</v>
      </c>
      <c r="H102" s="11" t="n">
        <v>0.05</v>
      </c>
      <c r="I102" s="6" t="n">
        <v>20</v>
      </c>
      <c r="J102" s="6" t="n">
        <v>1</v>
      </c>
      <c r="K102" s="6" t="n">
        <v>19</v>
      </c>
      <c r="L102" s="6" t="n">
        <v>1</v>
      </c>
      <c r="M102" s="6" t="n">
        <v>19</v>
      </c>
      <c r="N102" s="11" t="n">
        <f aca="false">J102/(J102+K102)</f>
        <v>0.05</v>
      </c>
      <c r="O102" s="11" t="n">
        <f aca="false">IF(J102+L102=0,"",J102/(J102+L102))</f>
        <v>0.5</v>
      </c>
      <c r="P102" s="11" t="n">
        <f aca="false">2*J102/(2*J102+L102+K102)</f>
        <v>0.0909090909090909</v>
      </c>
      <c r="Q102" s="11" t="n">
        <f aca="false">L102/(L102+M102)</f>
        <v>0.05</v>
      </c>
      <c r="R102" s="6" t="n">
        <v>0</v>
      </c>
      <c r="S102" s="11"/>
      <c r="T102" s="11" t="n">
        <v>0.05</v>
      </c>
      <c r="U102" s="11" t="n">
        <v>1</v>
      </c>
      <c r="V102" s="11" t="n">
        <v>1</v>
      </c>
    </row>
    <row r="103" customFormat="false" ht="15" hidden="false" customHeight="false" outlineLevel="0" collapsed="false">
      <c r="A103" s="6" t="s">
        <v>42</v>
      </c>
      <c r="B103" s="6" t="s">
        <v>43</v>
      </c>
      <c r="C103" s="6" t="s">
        <v>44</v>
      </c>
      <c r="D103" s="6" t="s">
        <v>114</v>
      </c>
      <c r="E103" s="6" t="n">
        <v>16</v>
      </c>
      <c r="F103" s="6" t="n">
        <v>10</v>
      </c>
      <c r="G103" s="6" t="s">
        <v>70</v>
      </c>
      <c r="H103" s="11" t="n">
        <v>0.05</v>
      </c>
      <c r="I103" s="6" t="n">
        <v>20</v>
      </c>
      <c r="J103" s="6" t="n">
        <v>0</v>
      </c>
      <c r="K103" s="6" t="n">
        <v>20</v>
      </c>
      <c r="L103" s="6" t="n">
        <v>0</v>
      </c>
      <c r="M103" s="6" t="n">
        <v>20</v>
      </c>
      <c r="N103" s="11" t="n">
        <f aca="false">J103/(J103+K103)</f>
        <v>0</v>
      </c>
      <c r="O103" s="11" t="str">
        <f aca="false">IF(J103+L103=0,"",J103/(J103+L103))</f>
        <v/>
      </c>
      <c r="P103" s="11" t="n">
        <f aca="false">2*J103/(2*J103+L103+K103)</f>
        <v>0</v>
      </c>
      <c r="Q103" s="11" t="n">
        <f aca="false">L103/(L103+M103)</f>
        <v>0</v>
      </c>
      <c r="R103" s="6" t="n">
        <v>0</v>
      </c>
      <c r="S103" s="11"/>
      <c r="T103" s="11" t="n">
        <v>0</v>
      </c>
      <c r="U103" s="11" t="n">
        <v>0.9</v>
      </c>
      <c r="V103" s="11" t="n">
        <v>0.9</v>
      </c>
    </row>
    <row r="104" customFormat="false" ht="15" hidden="false" customHeight="false" outlineLevel="0" collapsed="false">
      <c r="A104" s="6" t="s">
        <v>42</v>
      </c>
      <c r="B104" s="6" t="s">
        <v>43</v>
      </c>
      <c r="C104" s="6" t="s">
        <v>44</v>
      </c>
      <c r="D104" s="6" t="s">
        <v>114</v>
      </c>
      <c r="E104" s="6" t="n">
        <v>16</v>
      </c>
      <c r="F104" s="6" t="n">
        <v>10</v>
      </c>
      <c r="G104" s="6" t="s">
        <v>71</v>
      </c>
      <c r="H104" s="11" t="n">
        <v>0.05</v>
      </c>
      <c r="I104" s="6" t="n">
        <v>20</v>
      </c>
      <c r="J104" s="6" t="n">
        <v>0</v>
      </c>
      <c r="K104" s="6" t="n">
        <v>20</v>
      </c>
      <c r="L104" s="6" t="n">
        <v>0</v>
      </c>
      <c r="M104" s="6" t="n">
        <v>20</v>
      </c>
      <c r="N104" s="11" t="n">
        <f aca="false">J104/(J104+K104)</f>
        <v>0</v>
      </c>
      <c r="O104" s="11" t="str">
        <f aca="false">IF(J104+L104=0,"",J104/(J104+L104))</f>
        <v/>
      </c>
      <c r="P104" s="11" t="n">
        <f aca="false">2*J104/(2*J104+L104+K104)</f>
        <v>0</v>
      </c>
      <c r="Q104" s="11" t="n">
        <f aca="false">L104/(L104+M104)</f>
        <v>0</v>
      </c>
      <c r="R104" s="6" t="n">
        <v>0</v>
      </c>
      <c r="S104" s="11"/>
      <c r="T104" s="11" t="n">
        <v>0</v>
      </c>
      <c r="U104" s="11" t="n">
        <v>0.8</v>
      </c>
      <c r="V104" s="11" t="n">
        <v>0.8</v>
      </c>
    </row>
    <row r="105" customFormat="false" ht="15" hidden="false" customHeight="false" outlineLevel="0" collapsed="false">
      <c r="A105" s="6" t="s">
        <v>42</v>
      </c>
      <c r="B105" s="6" t="s">
        <v>43</v>
      </c>
      <c r="C105" s="6" t="s">
        <v>44</v>
      </c>
      <c r="D105" s="6" t="s">
        <v>114</v>
      </c>
      <c r="E105" s="6" t="n">
        <v>16</v>
      </c>
      <c r="F105" s="6" t="n">
        <v>10</v>
      </c>
      <c r="G105" s="6" t="s">
        <v>72</v>
      </c>
      <c r="H105" s="11" t="n">
        <v>0.05</v>
      </c>
      <c r="I105" s="6" t="n">
        <v>20</v>
      </c>
      <c r="J105" s="6" t="n">
        <v>0</v>
      </c>
      <c r="K105" s="6" t="n">
        <v>20</v>
      </c>
      <c r="L105" s="6" t="n">
        <v>1</v>
      </c>
      <c r="M105" s="6" t="n">
        <v>19</v>
      </c>
      <c r="N105" s="11" t="n">
        <f aca="false">J105/(J105+K105)</f>
        <v>0</v>
      </c>
      <c r="O105" s="11" t="n">
        <f aca="false">IF(J105+L105=0,"",J105/(J105+L105))</f>
        <v>0</v>
      </c>
      <c r="P105" s="11" t="n">
        <f aca="false">2*J105/(2*J105+L105+K105)</f>
        <v>0</v>
      </c>
      <c r="Q105" s="11" t="n">
        <f aca="false">L105/(L105+M105)</f>
        <v>0.05</v>
      </c>
      <c r="R105" s="6" t="n">
        <v>0</v>
      </c>
      <c r="S105" s="11"/>
      <c r="T105" s="11" t="n">
        <v>0</v>
      </c>
      <c r="U105" s="11" t="n">
        <v>0.9</v>
      </c>
      <c r="V105" s="11" t="n">
        <v>0.9</v>
      </c>
    </row>
    <row r="106" customFormat="false" ht="15" hidden="false" customHeight="false" outlineLevel="0" collapsed="false">
      <c r="A106" s="6" t="s">
        <v>42</v>
      </c>
      <c r="B106" s="6" t="s">
        <v>43</v>
      </c>
      <c r="C106" s="6" t="s">
        <v>44</v>
      </c>
      <c r="D106" s="6" t="s">
        <v>114</v>
      </c>
      <c r="E106" s="6" t="n">
        <v>16</v>
      </c>
      <c r="F106" s="6" t="n">
        <v>10</v>
      </c>
      <c r="G106" s="6" t="s">
        <v>73</v>
      </c>
      <c r="H106" s="11" t="n">
        <v>0.05</v>
      </c>
      <c r="I106" s="6" t="n">
        <v>20</v>
      </c>
      <c r="J106" s="6" t="n">
        <v>0</v>
      </c>
      <c r="K106" s="6" t="n">
        <v>20</v>
      </c>
      <c r="L106" s="6" t="n">
        <v>0</v>
      </c>
      <c r="M106" s="6" t="n">
        <v>20</v>
      </c>
      <c r="N106" s="11" t="n">
        <f aca="false">J106/(J106+K106)</f>
        <v>0</v>
      </c>
      <c r="O106" s="11" t="str">
        <f aca="false">IF(J106+L106=0,"",J106/(J106+L106))</f>
        <v/>
      </c>
      <c r="P106" s="11" t="n">
        <f aca="false">2*J106/(2*J106+L106+K106)</f>
        <v>0</v>
      </c>
      <c r="Q106" s="11" t="n">
        <f aca="false">L106/(L106+M106)</f>
        <v>0</v>
      </c>
      <c r="R106" s="6" t="n">
        <v>1</v>
      </c>
      <c r="S106" s="11" t="n">
        <v>0</v>
      </c>
      <c r="T106" s="11" t="n">
        <v>0</v>
      </c>
      <c r="U106" s="11" t="n">
        <v>0.65</v>
      </c>
      <c r="V106" s="11" t="n">
        <v>0.65</v>
      </c>
    </row>
    <row r="107" customFormat="false" ht="15" hidden="false" customHeight="false" outlineLevel="0" collapsed="false">
      <c r="A107" s="6" t="s">
        <v>42</v>
      </c>
      <c r="B107" s="6" t="s">
        <v>43</v>
      </c>
      <c r="C107" s="6" t="s">
        <v>44</v>
      </c>
      <c r="D107" s="6" t="s">
        <v>114</v>
      </c>
      <c r="E107" s="6" t="n">
        <v>16</v>
      </c>
      <c r="F107" s="6" t="n">
        <v>10</v>
      </c>
      <c r="G107" s="6" t="s">
        <v>74</v>
      </c>
      <c r="H107" s="11" t="n">
        <v>0.05</v>
      </c>
      <c r="I107" s="6" t="n">
        <v>20</v>
      </c>
      <c r="J107" s="6" t="n">
        <v>1</v>
      </c>
      <c r="K107" s="6" t="n">
        <v>19</v>
      </c>
      <c r="L107" s="6" t="n">
        <v>1</v>
      </c>
      <c r="M107" s="6" t="n">
        <v>19</v>
      </c>
      <c r="N107" s="11" t="n">
        <f aca="false">J107/(J107+K107)</f>
        <v>0.05</v>
      </c>
      <c r="O107" s="11" t="n">
        <f aca="false">IF(J107+L107=0,"",J107/(J107+L107))</f>
        <v>0.5</v>
      </c>
      <c r="P107" s="11" t="n">
        <f aca="false">2*J107/(2*J107+L107+K107)</f>
        <v>0.0909090909090909</v>
      </c>
      <c r="Q107" s="11" t="n">
        <f aca="false">L107/(L107+M107)</f>
        <v>0.05</v>
      </c>
      <c r="R107" s="6" t="n">
        <v>1</v>
      </c>
      <c r="S107" s="11" t="n">
        <v>0</v>
      </c>
      <c r="T107" s="11" t="n">
        <v>0.0526315789473684</v>
      </c>
      <c r="U107" s="11" t="n">
        <v>0.85</v>
      </c>
      <c r="V107" s="11" t="n">
        <v>0.9</v>
      </c>
    </row>
    <row r="108" customFormat="false" ht="15" hidden="false" customHeight="false" outlineLevel="0" collapsed="false">
      <c r="A108" s="6" t="s">
        <v>42</v>
      </c>
      <c r="B108" s="6" t="s">
        <v>43</v>
      </c>
      <c r="C108" s="6" t="s">
        <v>44</v>
      </c>
      <c r="D108" s="6" t="s">
        <v>114</v>
      </c>
      <c r="E108" s="6" t="n">
        <v>16</v>
      </c>
      <c r="F108" s="6" t="n">
        <v>10</v>
      </c>
      <c r="G108" s="6" t="s">
        <v>75</v>
      </c>
      <c r="H108" s="11" t="n">
        <v>0.05</v>
      </c>
      <c r="I108" s="6" t="n">
        <v>20</v>
      </c>
      <c r="J108" s="6" t="n">
        <v>0</v>
      </c>
      <c r="K108" s="6" t="n">
        <v>20</v>
      </c>
      <c r="L108" s="6" t="n">
        <v>0</v>
      </c>
      <c r="M108" s="6" t="n">
        <v>20</v>
      </c>
      <c r="N108" s="11" t="n">
        <f aca="false">J108/(J108+K108)</f>
        <v>0</v>
      </c>
      <c r="O108" s="11" t="str">
        <f aca="false">IF(J108+L108=0,"",J108/(J108+L108))</f>
        <v/>
      </c>
      <c r="P108" s="11" t="n">
        <f aca="false">2*J108/(2*J108+L108+K108)</f>
        <v>0</v>
      </c>
      <c r="Q108" s="11" t="n">
        <f aca="false">L108/(L108+M108)</f>
        <v>0</v>
      </c>
      <c r="R108" s="6" t="n">
        <v>0</v>
      </c>
      <c r="S108" s="11"/>
      <c r="T108" s="11" t="n">
        <v>0</v>
      </c>
      <c r="U108" s="11" t="n">
        <v>0.9</v>
      </c>
      <c r="V108" s="11" t="n">
        <v>0.9</v>
      </c>
    </row>
    <row r="109" customFormat="false" ht="15" hidden="false" customHeight="false" outlineLevel="0" collapsed="false">
      <c r="A109" s="6" t="s">
        <v>42</v>
      </c>
      <c r="B109" s="6" t="s">
        <v>43</v>
      </c>
      <c r="C109" s="6" t="s">
        <v>44</v>
      </c>
      <c r="D109" s="6" t="s">
        <v>114</v>
      </c>
      <c r="E109" s="6" t="n">
        <v>16</v>
      </c>
      <c r="F109" s="6" t="n">
        <v>10</v>
      </c>
      <c r="G109" s="6" t="s">
        <v>76</v>
      </c>
      <c r="H109" s="11" t="n">
        <v>0.05</v>
      </c>
      <c r="I109" s="6" t="n">
        <v>20</v>
      </c>
      <c r="J109" s="6" t="n">
        <v>0</v>
      </c>
      <c r="K109" s="6" t="n">
        <v>20</v>
      </c>
      <c r="L109" s="6" t="n">
        <v>0</v>
      </c>
      <c r="M109" s="6" t="n">
        <v>20</v>
      </c>
      <c r="N109" s="11" t="n">
        <f aca="false">J109/(J109+K109)</f>
        <v>0</v>
      </c>
      <c r="O109" s="11" t="str">
        <f aca="false">IF(J109+L109=0,"",J109/(J109+L109))</f>
        <v/>
      </c>
      <c r="P109" s="11" t="n">
        <f aca="false">2*J109/(2*J109+L109+K109)</f>
        <v>0</v>
      </c>
      <c r="Q109" s="11" t="n">
        <f aca="false">L109/(L109+M109)</f>
        <v>0</v>
      </c>
      <c r="R109" s="6" t="n">
        <v>0</v>
      </c>
      <c r="S109" s="11"/>
      <c r="T109" s="11" t="n">
        <v>0</v>
      </c>
      <c r="U109" s="11" t="n">
        <v>0.95</v>
      </c>
      <c r="V109" s="11" t="n">
        <v>0.95</v>
      </c>
    </row>
    <row r="110" customFormat="false" ht="15" hidden="false" customHeight="false" outlineLevel="0" collapsed="false">
      <c r="A110" s="6" t="s">
        <v>42</v>
      </c>
      <c r="B110" s="6" t="s">
        <v>43</v>
      </c>
      <c r="C110" s="6" t="s">
        <v>44</v>
      </c>
      <c r="D110" s="6" t="s">
        <v>114</v>
      </c>
      <c r="E110" s="6" t="n">
        <v>16</v>
      </c>
      <c r="F110" s="6" t="n">
        <v>10</v>
      </c>
      <c r="G110" s="6" t="s">
        <v>77</v>
      </c>
      <c r="H110" s="11" t="n">
        <v>0.05</v>
      </c>
      <c r="I110" s="6" t="n">
        <v>20</v>
      </c>
      <c r="J110" s="6" t="n">
        <v>1</v>
      </c>
      <c r="K110" s="6" t="n">
        <v>19</v>
      </c>
      <c r="L110" s="6" t="n">
        <v>1</v>
      </c>
      <c r="M110" s="6" t="n">
        <v>19</v>
      </c>
      <c r="N110" s="11" t="n">
        <f aca="false">J110/(J110+K110)</f>
        <v>0.05</v>
      </c>
      <c r="O110" s="11" t="n">
        <f aca="false">IF(J110+L110=0,"",J110/(J110+L110))</f>
        <v>0.5</v>
      </c>
      <c r="P110" s="11" t="n">
        <f aca="false">2*J110/(2*J110+L110+K110)</f>
        <v>0.0909090909090909</v>
      </c>
      <c r="Q110" s="11" t="n">
        <f aca="false">L110/(L110+M110)</f>
        <v>0.05</v>
      </c>
      <c r="R110" s="6" t="n">
        <v>0</v>
      </c>
      <c r="S110" s="11"/>
      <c r="T110" s="11" t="n">
        <v>0.05</v>
      </c>
      <c r="U110" s="11" t="n">
        <v>1</v>
      </c>
      <c r="V110" s="11" t="n">
        <v>1</v>
      </c>
    </row>
    <row r="111" customFormat="false" ht="15" hidden="false" customHeight="false" outlineLevel="0" collapsed="false">
      <c r="A111" s="6" t="s">
        <v>42</v>
      </c>
      <c r="B111" s="6" t="s">
        <v>43</v>
      </c>
      <c r="C111" s="6" t="s">
        <v>44</v>
      </c>
      <c r="D111" s="6" t="s">
        <v>114</v>
      </c>
      <c r="E111" s="6" t="n">
        <v>16</v>
      </c>
      <c r="F111" s="6" t="n">
        <v>10</v>
      </c>
      <c r="G111" s="6" t="s">
        <v>78</v>
      </c>
      <c r="H111" s="11" t="n">
        <v>0.05</v>
      </c>
      <c r="I111" s="6" t="n">
        <v>200</v>
      </c>
      <c r="J111" s="6" t="n">
        <v>6</v>
      </c>
      <c r="K111" s="6" t="n">
        <v>194</v>
      </c>
      <c r="L111" s="6" t="n">
        <v>6</v>
      </c>
      <c r="M111" s="6" t="n">
        <v>194</v>
      </c>
      <c r="N111" s="11" t="n">
        <f aca="false">J111/(J111+K111)</f>
        <v>0.03</v>
      </c>
      <c r="O111" s="11" t="n">
        <f aca="false">IF(J111+L111=0,"",J111/(J111+L111))</f>
        <v>0.5</v>
      </c>
      <c r="P111" s="11" t="n">
        <f aca="false">2*J111/(2*J111+L111+K111)</f>
        <v>0.0566037735849057</v>
      </c>
      <c r="Q111" s="11" t="n">
        <f aca="false">L111/(L111+M111)</f>
        <v>0.03</v>
      </c>
      <c r="R111" s="6" t="n">
        <v>2</v>
      </c>
      <c r="S111" s="11" t="n">
        <v>0</v>
      </c>
      <c r="T111" s="11" t="n">
        <v>0.0303030303030303</v>
      </c>
      <c r="U111" s="11" t="n">
        <v>0.88</v>
      </c>
      <c r="V111" s="11" t="n">
        <v>0.885</v>
      </c>
    </row>
    <row r="112" customFormat="false" ht="15" hidden="false" customHeight="false" outlineLevel="0" collapsed="false">
      <c r="A112" s="6" t="s">
        <v>46</v>
      </c>
      <c r="B112" s="6" t="s">
        <v>43</v>
      </c>
      <c r="C112" s="6" t="s">
        <v>44</v>
      </c>
      <c r="D112" s="6" t="s">
        <v>115</v>
      </c>
      <c r="E112" s="6" t="n">
        <v>1</v>
      </c>
      <c r="F112" s="6" t="n">
        <v>1</v>
      </c>
      <c r="G112" s="6" t="s">
        <v>68</v>
      </c>
      <c r="H112" s="11" t="n">
        <v>0.05</v>
      </c>
      <c r="I112" s="6" t="n">
        <v>20</v>
      </c>
      <c r="J112" s="6" t="n">
        <v>2</v>
      </c>
      <c r="K112" s="6" t="n">
        <v>18</v>
      </c>
      <c r="L112" s="6" t="n">
        <v>2</v>
      </c>
      <c r="M112" s="6" t="n">
        <v>18</v>
      </c>
      <c r="N112" s="11" t="n">
        <f aca="false">J112/(J112+K112)</f>
        <v>0.1</v>
      </c>
      <c r="O112" s="11" t="n">
        <f aca="false">IF(J112+L112=0,"",J112/(J112+L112))</f>
        <v>0.5</v>
      </c>
      <c r="P112" s="11" t="n">
        <f aca="false">2*J112/(2*J112+L112+K112)</f>
        <v>0.166666666666667</v>
      </c>
      <c r="Q112" s="11" t="n">
        <f aca="false">L112/(L112+M112)</f>
        <v>0.1</v>
      </c>
      <c r="R112" s="6" t="n">
        <v>0</v>
      </c>
      <c r="S112" s="11"/>
      <c r="T112" s="11" t="n">
        <v>0.1</v>
      </c>
      <c r="U112" s="11" t="n">
        <v>0.85</v>
      </c>
      <c r="V112" s="11" t="n">
        <v>0.85</v>
      </c>
    </row>
    <row r="113" customFormat="false" ht="15" hidden="false" customHeight="false" outlineLevel="0" collapsed="false">
      <c r="A113" s="6" t="s">
        <v>46</v>
      </c>
      <c r="B113" s="6" t="s">
        <v>43</v>
      </c>
      <c r="C113" s="6" t="s">
        <v>44</v>
      </c>
      <c r="D113" s="6" t="s">
        <v>115</v>
      </c>
      <c r="E113" s="6" t="n">
        <v>1</v>
      </c>
      <c r="F113" s="6" t="n">
        <v>1</v>
      </c>
      <c r="G113" s="6" t="s">
        <v>69</v>
      </c>
      <c r="H113" s="11" t="n">
        <v>0.05</v>
      </c>
      <c r="I113" s="6" t="n">
        <v>20</v>
      </c>
      <c r="J113" s="6" t="n">
        <v>1</v>
      </c>
      <c r="K113" s="6" t="n">
        <v>19</v>
      </c>
      <c r="L113" s="6" t="n">
        <v>1</v>
      </c>
      <c r="M113" s="6" t="n">
        <v>19</v>
      </c>
      <c r="N113" s="11" t="n">
        <f aca="false">J113/(J113+K113)</f>
        <v>0.05</v>
      </c>
      <c r="O113" s="11" t="n">
        <f aca="false">IF(J113+L113=0,"",J113/(J113+L113))</f>
        <v>0.5</v>
      </c>
      <c r="P113" s="11" t="n">
        <f aca="false">2*J113/(2*J113+L113+K113)</f>
        <v>0.0909090909090909</v>
      </c>
      <c r="Q113" s="11" t="n">
        <f aca="false">L113/(L113+M113)</f>
        <v>0.05</v>
      </c>
      <c r="R113" s="6" t="n">
        <v>0</v>
      </c>
      <c r="S113" s="11"/>
      <c r="T113" s="11" t="n">
        <v>0.05</v>
      </c>
      <c r="U113" s="11" t="n">
        <v>1</v>
      </c>
      <c r="V113" s="11" t="n">
        <v>1</v>
      </c>
    </row>
    <row r="114" customFormat="false" ht="15" hidden="false" customHeight="false" outlineLevel="0" collapsed="false">
      <c r="A114" s="6" t="s">
        <v>46</v>
      </c>
      <c r="B114" s="6" t="s">
        <v>43</v>
      </c>
      <c r="C114" s="6" t="s">
        <v>44</v>
      </c>
      <c r="D114" s="6" t="s">
        <v>115</v>
      </c>
      <c r="E114" s="6" t="n">
        <v>1</v>
      </c>
      <c r="F114" s="6" t="n">
        <v>1</v>
      </c>
      <c r="G114" s="6" t="s">
        <v>70</v>
      </c>
      <c r="H114" s="11" t="n">
        <v>0.05</v>
      </c>
      <c r="I114" s="6" t="n">
        <v>20</v>
      </c>
      <c r="J114" s="6" t="n">
        <v>0</v>
      </c>
      <c r="K114" s="6" t="n">
        <v>20</v>
      </c>
      <c r="L114" s="6" t="n">
        <v>0</v>
      </c>
      <c r="M114" s="6" t="n">
        <v>20</v>
      </c>
      <c r="N114" s="11" t="n">
        <f aca="false">J114/(J114+K114)</f>
        <v>0</v>
      </c>
      <c r="O114" s="11" t="str">
        <f aca="false">IF(J114+L114=0,"",J114/(J114+L114))</f>
        <v/>
      </c>
      <c r="P114" s="11" t="n">
        <f aca="false">2*J114/(2*J114+L114+K114)</f>
        <v>0</v>
      </c>
      <c r="Q114" s="11" t="n">
        <f aca="false">L114/(L114+M114)</f>
        <v>0</v>
      </c>
      <c r="R114" s="6" t="n">
        <v>0</v>
      </c>
      <c r="S114" s="11"/>
      <c r="T114" s="11" t="n">
        <v>0</v>
      </c>
      <c r="U114" s="11" t="n">
        <v>0.9</v>
      </c>
      <c r="V114" s="11" t="n">
        <v>0.9</v>
      </c>
    </row>
    <row r="115" customFormat="false" ht="15" hidden="false" customHeight="false" outlineLevel="0" collapsed="false">
      <c r="A115" s="6" t="s">
        <v>46</v>
      </c>
      <c r="B115" s="6" t="s">
        <v>43</v>
      </c>
      <c r="C115" s="6" t="s">
        <v>44</v>
      </c>
      <c r="D115" s="6" t="s">
        <v>115</v>
      </c>
      <c r="E115" s="6" t="n">
        <v>1</v>
      </c>
      <c r="F115" s="6" t="n">
        <v>1</v>
      </c>
      <c r="G115" s="6" t="s">
        <v>71</v>
      </c>
      <c r="H115" s="11" t="n">
        <v>0.05</v>
      </c>
      <c r="I115" s="6" t="n">
        <v>20</v>
      </c>
      <c r="J115" s="6" t="n">
        <v>0</v>
      </c>
      <c r="K115" s="6" t="n">
        <v>20</v>
      </c>
      <c r="L115" s="6" t="n">
        <v>0</v>
      </c>
      <c r="M115" s="6" t="n">
        <v>20</v>
      </c>
      <c r="N115" s="11" t="n">
        <f aca="false">J115/(J115+K115)</f>
        <v>0</v>
      </c>
      <c r="O115" s="11" t="str">
        <f aca="false">IF(J115+L115=0,"",J115/(J115+L115))</f>
        <v/>
      </c>
      <c r="P115" s="11" t="n">
        <f aca="false">2*J115/(2*J115+L115+K115)</f>
        <v>0</v>
      </c>
      <c r="Q115" s="11" t="n">
        <f aca="false">L115/(L115+M115)</f>
        <v>0</v>
      </c>
      <c r="R115" s="6" t="n">
        <v>0</v>
      </c>
      <c r="S115" s="11"/>
      <c r="T115" s="11" t="n">
        <v>0</v>
      </c>
      <c r="U115" s="11" t="n">
        <v>0.8</v>
      </c>
      <c r="V115" s="11" t="n">
        <v>0.8</v>
      </c>
    </row>
    <row r="116" customFormat="false" ht="15" hidden="false" customHeight="false" outlineLevel="0" collapsed="false">
      <c r="A116" s="6" t="s">
        <v>46</v>
      </c>
      <c r="B116" s="6" t="s">
        <v>43</v>
      </c>
      <c r="C116" s="6" t="s">
        <v>44</v>
      </c>
      <c r="D116" s="6" t="s">
        <v>115</v>
      </c>
      <c r="E116" s="6" t="n">
        <v>1</v>
      </c>
      <c r="F116" s="6" t="n">
        <v>1</v>
      </c>
      <c r="G116" s="6" t="s">
        <v>72</v>
      </c>
      <c r="H116" s="11" t="n">
        <v>0.05</v>
      </c>
      <c r="I116" s="6" t="n">
        <v>20</v>
      </c>
      <c r="J116" s="6" t="n">
        <v>1</v>
      </c>
      <c r="K116" s="6" t="n">
        <v>19</v>
      </c>
      <c r="L116" s="6" t="n">
        <v>1</v>
      </c>
      <c r="M116" s="6" t="n">
        <v>19</v>
      </c>
      <c r="N116" s="11" t="n">
        <f aca="false">J116/(J116+K116)</f>
        <v>0.05</v>
      </c>
      <c r="O116" s="11" t="n">
        <f aca="false">IF(J116+L116=0,"",J116/(J116+L116))</f>
        <v>0.5</v>
      </c>
      <c r="P116" s="11" t="n">
        <f aca="false">2*J116/(2*J116+L116+K116)</f>
        <v>0.0909090909090909</v>
      </c>
      <c r="Q116" s="11" t="n">
        <f aca="false">L116/(L116+M116)</f>
        <v>0.05</v>
      </c>
      <c r="R116" s="6" t="n">
        <v>0</v>
      </c>
      <c r="S116" s="11"/>
      <c r="T116" s="11" t="n">
        <v>0.05</v>
      </c>
      <c r="U116" s="11" t="n">
        <v>0.9</v>
      </c>
      <c r="V116" s="11" t="n">
        <v>0.9</v>
      </c>
    </row>
    <row r="117" customFormat="false" ht="15" hidden="false" customHeight="false" outlineLevel="0" collapsed="false">
      <c r="A117" s="6" t="s">
        <v>46</v>
      </c>
      <c r="B117" s="6" t="s">
        <v>43</v>
      </c>
      <c r="C117" s="6" t="s">
        <v>44</v>
      </c>
      <c r="D117" s="6" t="s">
        <v>115</v>
      </c>
      <c r="E117" s="6" t="n">
        <v>1</v>
      </c>
      <c r="F117" s="6" t="n">
        <v>1</v>
      </c>
      <c r="G117" s="6" t="s">
        <v>73</v>
      </c>
      <c r="H117" s="11" t="n">
        <v>0.05</v>
      </c>
      <c r="I117" s="6" t="n">
        <v>20</v>
      </c>
      <c r="J117" s="6" t="n">
        <v>0</v>
      </c>
      <c r="K117" s="6" t="n">
        <v>20</v>
      </c>
      <c r="L117" s="6" t="n">
        <v>0</v>
      </c>
      <c r="M117" s="6" t="n">
        <v>20</v>
      </c>
      <c r="N117" s="11" t="n">
        <f aca="false">J117/(J117+K117)</f>
        <v>0</v>
      </c>
      <c r="O117" s="11" t="str">
        <f aca="false">IF(J117+L117=0,"",J117/(J117+L117))</f>
        <v/>
      </c>
      <c r="P117" s="11" t="n">
        <f aca="false">2*J117/(2*J117+L117+K117)</f>
        <v>0</v>
      </c>
      <c r="Q117" s="11" t="n">
        <f aca="false">L117/(L117+M117)</f>
        <v>0</v>
      </c>
      <c r="R117" s="6" t="n">
        <v>0</v>
      </c>
      <c r="S117" s="11"/>
      <c r="T117" s="11" t="n">
        <v>0</v>
      </c>
      <c r="U117" s="11" t="n">
        <v>0.65</v>
      </c>
      <c r="V117" s="11" t="n">
        <v>0.65</v>
      </c>
    </row>
    <row r="118" customFormat="false" ht="15" hidden="false" customHeight="false" outlineLevel="0" collapsed="false">
      <c r="A118" s="6" t="s">
        <v>46</v>
      </c>
      <c r="B118" s="6" t="s">
        <v>43</v>
      </c>
      <c r="C118" s="6" t="s">
        <v>44</v>
      </c>
      <c r="D118" s="6" t="s">
        <v>115</v>
      </c>
      <c r="E118" s="6" t="n">
        <v>1</v>
      </c>
      <c r="F118" s="6" t="n">
        <v>1</v>
      </c>
      <c r="G118" s="6" t="s">
        <v>74</v>
      </c>
      <c r="H118" s="11" t="n">
        <v>0.05</v>
      </c>
      <c r="I118" s="6" t="n">
        <v>20</v>
      </c>
      <c r="J118" s="6" t="n">
        <v>1</v>
      </c>
      <c r="K118" s="6" t="n">
        <v>19</v>
      </c>
      <c r="L118" s="6" t="n">
        <v>1</v>
      </c>
      <c r="M118" s="6" t="n">
        <v>19</v>
      </c>
      <c r="N118" s="11" t="n">
        <f aca="false">J118/(J118+K118)</f>
        <v>0.05</v>
      </c>
      <c r="O118" s="11" t="n">
        <f aca="false">IF(J118+L118=0,"",J118/(J118+L118))</f>
        <v>0.5</v>
      </c>
      <c r="P118" s="11" t="n">
        <f aca="false">2*J118/(2*J118+L118+K118)</f>
        <v>0.0909090909090909</v>
      </c>
      <c r="Q118" s="11" t="n">
        <f aca="false">L118/(L118+M118)</f>
        <v>0.05</v>
      </c>
      <c r="R118" s="6" t="n">
        <v>0</v>
      </c>
      <c r="S118" s="11"/>
      <c r="T118" s="11" t="n">
        <v>0.05</v>
      </c>
      <c r="U118" s="11" t="n">
        <v>0.85</v>
      </c>
      <c r="V118" s="11" t="n">
        <v>0.85</v>
      </c>
    </row>
    <row r="119" customFormat="false" ht="15" hidden="false" customHeight="false" outlineLevel="0" collapsed="false">
      <c r="A119" s="6" t="s">
        <v>46</v>
      </c>
      <c r="B119" s="6" t="s">
        <v>43</v>
      </c>
      <c r="C119" s="6" t="s">
        <v>44</v>
      </c>
      <c r="D119" s="6" t="s">
        <v>115</v>
      </c>
      <c r="E119" s="6" t="n">
        <v>1</v>
      </c>
      <c r="F119" s="6" t="n">
        <v>1</v>
      </c>
      <c r="G119" s="6" t="s">
        <v>75</v>
      </c>
      <c r="H119" s="11" t="n">
        <v>0.05</v>
      </c>
      <c r="I119" s="6" t="n">
        <v>20</v>
      </c>
      <c r="J119" s="6" t="n">
        <v>0</v>
      </c>
      <c r="K119" s="6" t="n">
        <v>20</v>
      </c>
      <c r="L119" s="6" t="n">
        <v>0</v>
      </c>
      <c r="M119" s="6" t="n">
        <v>20</v>
      </c>
      <c r="N119" s="11" t="n">
        <f aca="false">J119/(J119+K119)</f>
        <v>0</v>
      </c>
      <c r="O119" s="11" t="str">
        <f aca="false">IF(J119+L119=0,"",J119/(J119+L119))</f>
        <v/>
      </c>
      <c r="P119" s="11" t="n">
        <f aca="false">2*J119/(2*J119+L119+K119)</f>
        <v>0</v>
      </c>
      <c r="Q119" s="11" t="n">
        <f aca="false">L119/(L119+M119)</f>
        <v>0</v>
      </c>
      <c r="R119" s="6" t="n">
        <v>0</v>
      </c>
      <c r="S119" s="11"/>
      <c r="T119" s="11" t="n">
        <v>0</v>
      </c>
      <c r="U119" s="11" t="n">
        <v>0.9</v>
      </c>
      <c r="V119" s="11" t="n">
        <v>0.9</v>
      </c>
    </row>
    <row r="120" customFormat="false" ht="15" hidden="false" customHeight="false" outlineLevel="0" collapsed="false">
      <c r="A120" s="6" t="s">
        <v>46</v>
      </c>
      <c r="B120" s="6" t="s">
        <v>43</v>
      </c>
      <c r="C120" s="6" t="s">
        <v>44</v>
      </c>
      <c r="D120" s="6" t="s">
        <v>115</v>
      </c>
      <c r="E120" s="6" t="n">
        <v>1</v>
      </c>
      <c r="F120" s="6" t="n">
        <v>1</v>
      </c>
      <c r="G120" s="6" t="s">
        <v>76</v>
      </c>
      <c r="H120" s="11" t="n">
        <v>0.05</v>
      </c>
      <c r="I120" s="6" t="n">
        <v>20</v>
      </c>
      <c r="J120" s="6" t="n">
        <v>0</v>
      </c>
      <c r="K120" s="6" t="n">
        <v>20</v>
      </c>
      <c r="L120" s="6" t="n">
        <v>0</v>
      </c>
      <c r="M120" s="6" t="n">
        <v>20</v>
      </c>
      <c r="N120" s="11" t="n">
        <f aca="false">J120/(J120+K120)</f>
        <v>0</v>
      </c>
      <c r="O120" s="11" t="str">
        <f aca="false">IF(J120+L120=0,"",J120/(J120+L120))</f>
        <v/>
      </c>
      <c r="P120" s="11" t="n">
        <f aca="false">2*J120/(2*J120+L120+K120)</f>
        <v>0</v>
      </c>
      <c r="Q120" s="11" t="n">
        <f aca="false">L120/(L120+M120)</f>
        <v>0</v>
      </c>
      <c r="R120" s="6" t="n">
        <v>0</v>
      </c>
      <c r="S120" s="11"/>
      <c r="T120" s="11" t="n">
        <v>0</v>
      </c>
      <c r="U120" s="11" t="n">
        <v>0.95</v>
      </c>
      <c r="V120" s="11" t="n">
        <v>0.95</v>
      </c>
    </row>
    <row r="121" customFormat="false" ht="15" hidden="false" customHeight="false" outlineLevel="0" collapsed="false">
      <c r="A121" s="6" t="s">
        <v>46</v>
      </c>
      <c r="B121" s="6" t="s">
        <v>43</v>
      </c>
      <c r="C121" s="6" t="s">
        <v>44</v>
      </c>
      <c r="D121" s="6" t="s">
        <v>115</v>
      </c>
      <c r="E121" s="6" t="n">
        <v>1</v>
      </c>
      <c r="F121" s="6" t="n">
        <v>1</v>
      </c>
      <c r="G121" s="6" t="s">
        <v>77</v>
      </c>
      <c r="H121" s="11" t="n">
        <v>0.05</v>
      </c>
      <c r="I121" s="6" t="n">
        <v>20</v>
      </c>
      <c r="J121" s="6" t="n">
        <v>1</v>
      </c>
      <c r="K121" s="6" t="n">
        <v>19</v>
      </c>
      <c r="L121" s="6" t="n">
        <v>1</v>
      </c>
      <c r="M121" s="6" t="n">
        <v>19</v>
      </c>
      <c r="N121" s="11" t="n">
        <f aca="false">J121/(J121+K121)</f>
        <v>0.05</v>
      </c>
      <c r="O121" s="11" t="n">
        <f aca="false">IF(J121+L121=0,"",J121/(J121+L121))</f>
        <v>0.5</v>
      </c>
      <c r="P121" s="11" t="n">
        <f aca="false">2*J121/(2*J121+L121+K121)</f>
        <v>0.0909090909090909</v>
      </c>
      <c r="Q121" s="11" t="n">
        <f aca="false">L121/(L121+M121)</f>
        <v>0.05</v>
      </c>
      <c r="R121" s="6" t="n">
        <v>0</v>
      </c>
      <c r="S121" s="11"/>
      <c r="T121" s="11" t="n">
        <v>0.05</v>
      </c>
      <c r="U121" s="11" t="n">
        <v>1</v>
      </c>
      <c r="V121" s="11" t="n">
        <v>1</v>
      </c>
    </row>
    <row r="122" customFormat="false" ht="15" hidden="false" customHeight="false" outlineLevel="0" collapsed="false">
      <c r="A122" s="6" t="s">
        <v>46</v>
      </c>
      <c r="B122" s="6" t="s">
        <v>43</v>
      </c>
      <c r="C122" s="6" t="s">
        <v>44</v>
      </c>
      <c r="D122" s="6" t="s">
        <v>115</v>
      </c>
      <c r="E122" s="6" t="n">
        <v>1</v>
      </c>
      <c r="F122" s="6" t="n">
        <v>1</v>
      </c>
      <c r="G122" s="6" t="s">
        <v>78</v>
      </c>
      <c r="H122" s="11" t="n">
        <v>0.05</v>
      </c>
      <c r="I122" s="6" t="n">
        <v>200</v>
      </c>
      <c r="J122" s="6" t="n">
        <v>6</v>
      </c>
      <c r="K122" s="6" t="n">
        <v>194</v>
      </c>
      <c r="L122" s="6" t="n">
        <v>6</v>
      </c>
      <c r="M122" s="6" t="n">
        <v>194</v>
      </c>
      <c r="N122" s="11" t="n">
        <f aca="false">J122/(J122+K122)</f>
        <v>0.03</v>
      </c>
      <c r="O122" s="11" t="n">
        <f aca="false">IF(J122+L122=0,"",J122/(J122+L122))</f>
        <v>0.5</v>
      </c>
      <c r="P122" s="11" t="n">
        <f aca="false">2*J122/(2*J122+L122+K122)</f>
        <v>0.0566037735849057</v>
      </c>
      <c r="Q122" s="11" t="n">
        <f aca="false">L122/(L122+M122)</f>
        <v>0.03</v>
      </c>
      <c r="R122" s="6" t="n">
        <v>0</v>
      </c>
      <c r="S122" s="11"/>
      <c r="T122" s="11" t="n">
        <v>0.03</v>
      </c>
      <c r="U122" s="11" t="n">
        <v>0.88</v>
      </c>
      <c r="V122" s="11" t="n">
        <v>0.88</v>
      </c>
    </row>
    <row r="123" customFormat="false" ht="15" hidden="false" customHeight="false" outlineLevel="0" collapsed="false">
      <c r="A123" s="6" t="s">
        <v>46</v>
      </c>
      <c r="B123" s="6" t="s">
        <v>43</v>
      </c>
      <c r="C123" s="6" t="s">
        <v>44</v>
      </c>
      <c r="D123" s="6" t="s">
        <v>115</v>
      </c>
      <c r="E123" s="6" t="n">
        <v>1</v>
      </c>
      <c r="F123" s="6" t="n">
        <v>2</v>
      </c>
      <c r="G123" s="6" t="s">
        <v>68</v>
      </c>
      <c r="H123" s="11" t="n">
        <v>0.05</v>
      </c>
      <c r="I123" s="6" t="n">
        <v>20</v>
      </c>
      <c r="J123" s="6" t="n">
        <v>2</v>
      </c>
      <c r="K123" s="6" t="n">
        <v>18</v>
      </c>
      <c r="L123" s="6" t="n">
        <v>2</v>
      </c>
      <c r="M123" s="6" t="n">
        <v>18</v>
      </c>
      <c r="N123" s="11" t="n">
        <f aca="false">J123/(J123+K123)</f>
        <v>0.1</v>
      </c>
      <c r="O123" s="11" t="n">
        <f aca="false">IF(J123+L123=0,"",J123/(J123+L123))</f>
        <v>0.5</v>
      </c>
      <c r="P123" s="11" t="n">
        <f aca="false">2*J123/(2*J123+L123+K123)</f>
        <v>0.166666666666667</v>
      </c>
      <c r="Q123" s="11" t="n">
        <f aca="false">L123/(L123+M123)</f>
        <v>0.1</v>
      </c>
      <c r="R123" s="6" t="n">
        <v>0</v>
      </c>
      <c r="S123" s="11"/>
      <c r="T123" s="11" t="n">
        <v>0.1</v>
      </c>
      <c r="U123" s="11" t="n">
        <v>0.85</v>
      </c>
      <c r="V123" s="11" t="n">
        <v>0.85</v>
      </c>
    </row>
    <row r="124" customFormat="false" ht="15" hidden="false" customHeight="false" outlineLevel="0" collapsed="false">
      <c r="A124" s="6" t="s">
        <v>46</v>
      </c>
      <c r="B124" s="6" t="s">
        <v>43</v>
      </c>
      <c r="C124" s="6" t="s">
        <v>44</v>
      </c>
      <c r="D124" s="6" t="s">
        <v>115</v>
      </c>
      <c r="E124" s="6" t="n">
        <v>1</v>
      </c>
      <c r="F124" s="6" t="n">
        <v>2</v>
      </c>
      <c r="G124" s="6" t="s">
        <v>69</v>
      </c>
      <c r="H124" s="11" t="n">
        <v>0.05</v>
      </c>
      <c r="I124" s="6" t="n">
        <v>20</v>
      </c>
      <c r="J124" s="6" t="n">
        <v>1</v>
      </c>
      <c r="K124" s="6" t="n">
        <v>19</v>
      </c>
      <c r="L124" s="6" t="n">
        <v>1</v>
      </c>
      <c r="M124" s="6" t="n">
        <v>19</v>
      </c>
      <c r="N124" s="11" t="n">
        <f aca="false">J124/(J124+K124)</f>
        <v>0.05</v>
      </c>
      <c r="O124" s="11" t="n">
        <f aca="false">IF(J124+L124=0,"",J124/(J124+L124))</f>
        <v>0.5</v>
      </c>
      <c r="P124" s="11" t="n">
        <f aca="false">2*J124/(2*J124+L124+K124)</f>
        <v>0.0909090909090909</v>
      </c>
      <c r="Q124" s="11" t="n">
        <f aca="false">L124/(L124+M124)</f>
        <v>0.05</v>
      </c>
      <c r="R124" s="6" t="n">
        <v>0</v>
      </c>
      <c r="S124" s="11"/>
      <c r="T124" s="11" t="n">
        <v>0.05</v>
      </c>
      <c r="U124" s="11" t="n">
        <v>1</v>
      </c>
      <c r="V124" s="11" t="n">
        <v>1</v>
      </c>
    </row>
    <row r="125" customFormat="false" ht="15" hidden="false" customHeight="false" outlineLevel="0" collapsed="false">
      <c r="A125" s="6" t="s">
        <v>46</v>
      </c>
      <c r="B125" s="6" t="s">
        <v>43</v>
      </c>
      <c r="C125" s="6" t="s">
        <v>44</v>
      </c>
      <c r="D125" s="6" t="s">
        <v>115</v>
      </c>
      <c r="E125" s="6" t="n">
        <v>1</v>
      </c>
      <c r="F125" s="6" t="n">
        <v>2</v>
      </c>
      <c r="G125" s="6" t="s">
        <v>70</v>
      </c>
      <c r="H125" s="11" t="n">
        <v>0.05</v>
      </c>
      <c r="I125" s="6" t="n">
        <v>20</v>
      </c>
      <c r="J125" s="6" t="n">
        <v>0</v>
      </c>
      <c r="K125" s="6" t="n">
        <v>20</v>
      </c>
      <c r="L125" s="6" t="n">
        <v>0</v>
      </c>
      <c r="M125" s="6" t="n">
        <v>20</v>
      </c>
      <c r="N125" s="11" t="n">
        <f aca="false">J125/(J125+K125)</f>
        <v>0</v>
      </c>
      <c r="O125" s="11" t="str">
        <f aca="false">IF(J125+L125=0,"",J125/(J125+L125))</f>
        <v/>
      </c>
      <c r="P125" s="11" t="n">
        <f aca="false">2*J125/(2*J125+L125+K125)</f>
        <v>0</v>
      </c>
      <c r="Q125" s="11" t="n">
        <f aca="false">L125/(L125+M125)</f>
        <v>0</v>
      </c>
      <c r="R125" s="6" t="n">
        <v>0</v>
      </c>
      <c r="S125" s="11"/>
      <c r="T125" s="11" t="n">
        <v>0</v>
      </c>
      <c r="U125" s="11" t="n">
        <v>0.9</v>
      </c>
      <c r="V125" s="11" t="n">
        <v>0.9</v>
      </c>
    </row>
    <row r="126" customFormat="false" ht="15" hidden="false" customHeight="false" outlineLevel="0" collapsed="false">
      <c r="A126" s="6" t="s">
        <v>46</v>
      </c>
      <c r="B126" s="6" t="s">
        <v>43</v>
      </c>
      <c r="C126" s="6" t="s">
        <v>44</v>
      </c>
      <c r="D126" s="6" t="s">
        <v>115</v>
      </c>
      <c r="E126" s="6" t="n">
        <v>1</v>
      </c>
      <c r="F126" s="6" t="n">
        <v>2</v>
      </c>
      <c r="G126" s="6" t="s">
        <v>71</v>
      </c>
      <c r="H126" s="11" t="n">
        <v>0.05</v>
      </c>
      <c r="I126" s="6" t="n">
        <v>20</v>
      </c>
      <c r="J126" s="6" t="n">
        <v>0</v>
      </c>
      <c r="K126" s="6" t="n">
        <v>20</v>
      </c>
      <c r="L126" s="6" t="n">
        <v>0</v>
      </c>
      <c r="M126" s="6" t="n">
        <v>20</v>
      </c>
      <c r="N126" s="11" t="n">
        <f aca="false">J126/(J126+K126)</f>
        <v>0</v>
      </c>
      <c r="O126" s="11" t="str">
        <f aca="false">IF(J126+L126=0,"",J126/(J126+L126))</f>
        <v/>
      </c>
      <c r="P126" s="11" t="n">
        <f aca="false">2*J126/(2*J126+L126+K126)</f>
        <v>0</v>
      </c>
      <c r="Q126" s="11" t="n">
        <f aca="false">L126/(L126+M126)</f>
        <v>0</v>
      </c>
      <c r="R126" s="6" t="n">
        <v>0</v>
      </c>
      <c r="S126" s="11"/>
      <c r="T126" s="11" t="n">
        <v>0</v>
      </c>
      <c r="U126" s="11" t="n">
        <v>0.8</v>
      </c>
      <c r="V126" s="11" t="n">
        <v>0.8</v>
      </c>
    </row>
    <row r="127" customFormat="false" ht="15" hidden="false" customHeight="false" outlineLevel="0" collapsed="false">
      <c r="A127" s="6" t="s">
        <v>46</v>
      </c>
      <c r="B127" s="6" t="s">
        <v>43</v>
      </c>
      <c r="C127" s="6" t="s">
        <v>44</v>
      </c>
      <c r="D127" s="6" t="s">
        <v>115</v>
      </c>
      <c r="E127" s="6" t="n">
        <v>1</v>
      </c>
      <c r="F127" s="6" t="n">
        <v>2</v>
      </c>
      <c r="G127" s="6" t="s">
        <v>72</v>
      </c>
      <c r="H127" s="11" t="n">
        <v>0.05</v>
      </c>
      <c r="I127" s="6" t="n">
        <v>20</v>
      </c>
      <c r="J127" s="6" t="n">
        <v>1</v>
      </c>
      <c r="K127" s="6" t="n">
        <v>19</v>
      </c>
      <c r="L127" s="6" t="n">
        <v>1</v>
      </c>
      <c r="M127" s="6" t="n">
        <v>19</v>
      </c>
      <c r="N127" s="11" t="n">
        <f aca="false">J127/(J127+K127)</f>
        <v>0.05</v>
      </c>
      <c r="O127" s="11" t="n">
        <f aca="false">IF(J127+L127=0,"",J127/(J127+L127))</f>
        <v>0.5</v>
      </c>
      <c r="P127" s="11" t="n">
        <f aca="false">2*J127/(2*J127+L127+K127)</f>
        <v>0.0909090909090909</v>
      </c>
      <c r="Q127" s="11" t="n">
        <f aca="false">L127/(L127+M127)</f>
        <v>0.05</v>
      </c>
      <c r="R127" s="6" t="n">
        <v>0</v>
      </c>
      <c r="S127" s="11"/>
      <c r="T127" s="11" t="n">
        <v>0.05</v>
      </c>
      <c r="U127" s="11" t="n">
        <v>0.9</v>
      </c>
      <c r="V127" s="11" t="n">
        <v>0.9</v>
      </c>
    </row>
    <row r="128" customFormat="false" ht="15" hidden="false" customHeight="false" outlineLevel="0" collapsed="false">
      <c r="A128" s="6" t="s">
        <v>46</v>
      </c>
      <c r="B128" s="6" t="s">
        <v>43</v>
      </c>
      <c r="C128" s="6" t="s">
        <v>44</v>
      </c>
      <c r="D128" s="6" t="s">
        <v>115</v>
      </c>
      <c r="E128" s="6" t="n">
        <v>1</v>
      </c>
      <c r="F128" s="6" t="n">
        <v>2</v>
      </c>
      <c r="G128" s="6" t="s">
        <v>73</v>
      </c>
      <c r="H128" s="11" t="n">
        <v>0.05</v>
      </c>
      <c r="I128" s="6" t="n">
        <v>20</v>
      </c>
      <c r="J128" s="6" t="n">
        <v>0</v>
      </c>
      <c r="K128" s="6" t="n">
        <v>20</v>
      </c>
      <c r="L128" s="6" t="n">
        <v>0</v>
      </c>
      <c r="M128" s="6" t="n">
        <v>20</v>
      </c>
      <c r="N128" s="11" t="n">
        <f aca="false">J128/(J128+K128)</f>
        <v>0</v>
      </c>
      <c r="O128" s="11" t="str">
        <f aca="false">IF(J128+L128=0,"",J128/(J128+L128))</f>
        <v/>
      </c>
      <c r="P128" s="11" t="n">
        <f aca="false">2*J128/(2*J128+L128+K128)</f>
        <v>0</v>
      </c>
      <c r="Q128" s="11" t="n">
        <f aca="false">L128/(L128+M128)</f>
        <v>0</v>
      </c>
      <c r="R128" s="6" t="n">
        <v>0</v>
      </c>
      <c r="S128" s="11"/>
      <c r="T128" s="11" t="n">
        <v>0</v>
      </c>
      <c r="U128" s="11" t="n">
        <v>0.65</v>
      </c>
      <c r="V128" s="11" t="n">
        <v>0.65</v>
      </c>
    </row>
    <row r="129" customFormat="false" ht="15" hidden="false" customHeight="false" outlineLevel="0" collapsed="false">
      <c r="A129" s="6" t="s">
        <v>46</v>
      </c>
      <c r="B129" s="6" t="s">
        <v>43</v>
      </c>
      <c r="C129" s="6" t="s">
        <v>44</v>
      </c>
      <c r="D129" s="6" t="s">
        <v>115</v>
      </c>
      <c r="E129" s="6" t="n">
        <v>1</v>
      </c>
      <c r="F129" s="6" t="n">
        <v>2</v>
      </c>
      <c r="G129" s="6" t="s">
        <v>74</v>
      </c>
      <c r="H129" s="11" t="n">
        <v>0.05</v>
      </c>
      <c r="I129" s="6" t="n">
        <v>20</v>
      </c>
      <c r="J129" s="6" t="n">
        <v>1</v>
      </c>
      <c r="K129" s="6" t="n">
        <v>19</v>
      </c>
      <c r="L129" s="6" t="n">
        <v>1</v>
      </c>
      <c r="M129" s="6" t="n">
        <v>19</v>
      </c>
      <c r="N129" s="11" t="n">
        <f aca="false">J129/(J129+K129)</f>
        <v>0.05</v>
      </c>
      <c r="O129" s="11" t="n">
        <f aca="false">IF(J129+L129=0,"",J129/(J129+L129))</f>
        <v>0.5</v>
      </c>
      <c r="P129" s="11" t="n">
        <f aca="false">2*J129/(2*J129+L129+K129)</f>
        <v>0.0909090909090909</v>
      </c>
      <c r="Q129" s="11" t="n">
        <f aca="false">L129/(L129+M129)</f>
        <v>0.05</v>
      </c>
      <c r="R129" s="6" t="n">
        <v>0</v>
      </c>
      <c r="S129" s="11"/>
      <c r="T129" s="11" t="n">
        <v>0.05</v>
      </c>
      <c r="U129" s="11" t="n">
        <v>0.85</v>
      </c>
      <c r="V129" s="11" t="n">
        <v>0.85</v>
      </c>
    </row>
    <row r="130" customFormat="false" ht="15" hidden="false" customHeight="false" outlineLevel="0" collapsed="false">
      <c r="A130" s="6" t="s">
        <v>46</v>
      </c>
      <c r="B130" s="6" t="s">
        <v>43</v>
      </c>
      <c r="C130" s="6" t="s">
        <v>44</v>
      </c>
      <c r="D130" s="6" t="s">
        <v>115</v>
      </c>
      <c r="E130" s="6" t="n">
        <v>1</v>
      </c>
      <c r="F130" s="6" t="n">
        <v>2</v>
      </c>
      <c r="G130" s="6" t="s">
        <v>75</v>
      </c>
      <c r="H130" s="11" t="n">
        <v>0.05</v>
      </c>
      <c r="I130" s="6" t="n">
        <v>20</v>
      </c>
      <c r="J130" s="6" t="n">
        <v>0</v>
      </c>
      <c r="K130" s="6" t="n">
        <v>20</v>
      </c>
      <c r="L130" s="6" t="n">
        <v>0</v>
      </c>
      <c r="M130" s="6" t="n">
        <v>20</v>
      </c>
      <c r="N130" s="11" t="n">
        <f aca="false">J130/(J130+K130)</f>
        <v>0</v>
      </c>
      <c r="O130" s="11" t="str">
        <f aca="false">IF(J130+L130=0,"",J130/(J130+L130))</f>
        <v/>
      </c>
      <c r="P130" s="11" t="n">
        <f aca="false">2*J130/(2*J130+L130+K130)</f>
        <v>0</v>
      </c>
      <c r="Q130" s="11" t="n">
        <f aca="false">L130/(L130+M130)</f>
        <v>0</v>
      </c>
      <c r="R130" s="6" t="n">
        <v>0</v>
      </c>
      <c r="S130" s="11"/>
      <c r="T130" s="11" t="n">
        <v>0</v>
      </c>
      <c r="U130" s="11" t="n">
        <v>0.9</v>
      </c>
      <c r="V130" s="11" t="n">
        <v>0.9</v>
      </c>
    </row>
    <row r="131" customFormat="false" ht="15" hidden="false" customHeight="false" outlineLevel="0" collapsed="false">
      <c r="A131" s="6" t="s">
        <v>46</v>
      </c>
      <c r="B131" s="6" t="s">
        <v>43</v>
      </c>
      <c r="C131" s="6" t="s">
        <v>44</v>
      </c>
      <c r="D131" s="6" t="s">
        <v>115</v>
      </c>
      <c r="E131" s="6" t="n">
        <v>1</v>
      </c>
      <c r="F131" s="6" t="n">
        <v>2</v>
      </c>
      <c r="G131" s="6" t="s">
        <v>76</v>
      </c>
      <c r="H131" s="11" t="n">
        <v>0.05</v>
      </c>
      <c r="I131" s="6" t="n">
        <v>20</v>
      </c>
      <c r="J131" s="6" t="n">
        <v>0</v>
      </c>
      <c r="K131" s="6" t="n">
        <v>20</v>
      </c>
      <c r="L131" s="6" t="n">
        <v>0</v>
      </c>
      <c r="M131" s="6" t="n">
        <v>20</v>
      </c>
      <c r="N131" s="11" t="n">
        <f aca="false">J131/(J131+K131)</f>
        <v>0</v>
      </c>
      <c r="O131" s="11" t="str">
        <f aca="false">IF(J131+L131=0,"",J131/(J131+L131))</f>
        <v/>
      </c>
      <c r="P131" s="11" t="n">
        <f aca="false">2*J131/(2*J131+L131+K131)</f>
        <v>0</v>
      </c>
      <c r="Q131" s="11" t="n">
        <f aca="false">L131/(L131+M131)</f>
        <v>0</v>
      </c>
      <c r="R131" s="6" t="n">
        <v>0</v>
      </c>
      <c r="S131" s="11"/>
      <c r="T131" s="11" t="n">
        <v>0</v>
      </c>
      <c r="U131" s="11" t="n">
        <v>0.95</v>
      </c>
      <c r="V131" s="11" t="n">
        <v>0.95</v>
      </c>
    </row>
    <row r="132" customFormat="false" ht="15" hidden="false" customHeight="false" outlineLevel="0" collapsed="false">
      <c r="A132" s="6" t="s">
        <v>46</v>
      </c>
      <c r="B132" s="6" t="s">
        <v>43</v>
      </c>
      <c r="C132" s="6" t="s">
        <v>44</v>
      </c>
      <c r="D132" s="6" t="s">
        <v>115</v>
      </c>
      <c r="E132" s="6" t="n">
        <v>1</v>
      </c>
      <c r="F132" s="6" t="n">
        <v>2</v>
      </c>
      <c r="G132" s="6" t="s">
        <v>77</v>
      </c>
      <c r="H132" s="11" t="n">
        <v>0.05</v>
      </c>
      <c r="I132" s="6" t="n">
        <v>20</v>
      </c>
      <c r="J132" s="6" t="n">
        <v>1</v>
      </c>
      <c r="K132" s="6" t="n">
        <v>19</v>
      </c>
      <c r="L132" s="6" t="n">
        <v>1</v>
      </c>
      <c r="M132" s="6" t="n">
        <v>19</v>
      </c>
      <c r="N132" s="11" t="n">
        <f aca="false">J132/(J132+K132)</f>
        <v>0.05</v>
      </c>
      <c r="O132" s="11" t="n">
        <f aca="false">IF(J132+L132=0,"",J132/(J132+L132))</f>
        <v>0.5</v>
      </c>
      <c r="P132" s="11" t="n">
        <f aca="false">2*J132/(2*J132+L132+K132)</f>
        <v>0.0909090909090909</v>
      </c>
      <c r="Q132" s="11" t="n">
        <f aca="false">L132/(L132+M132)</f>
        <v>0.05</v>
      </c>
      <c r="R132" s="6" t="n">
        <v>0</v>
      </c>
      <c r="S132" s="11"/>
      <c r="T132" s="11" t="n">
        <v>0.05</v>
      </c>
      <c r="U132" s="11" t="n">
        <v>1</v>
      </c>
      <c r="V132" s="11" t="n">
        <v>1</v>
      </c>
    </row>
    <row r="133" customFormat="false" ht="15" hidden="false" customHeight="false" outlineLevel="0" collapsed="false">
      <c r="A133" s="6" t="s">
        <v>46</v>
      </c>
      <c r="B133" s="6" t="s">
        <v>43</v>
      </c>
      <c r="C133" s="6" t="s">
        <v>44</v>
      </c>
      <c r="D133" s="6" t="s">
        <v>115</v>
      </c>
      <c r="E133" s="6" t="n">
        <v>1</v>
      </c>
      <c r="F133" s="6" t="n">
        <v>2</v>
      </c>
      <c r="G133" s="6" t="s">
        <v>78</v>
      </c>
      <c r="H133" s="11" t="n">
        <v>0.05</v>
      </c>
      <c r="I133" s="6" t="n">
        <v>200</v>
      </c>
      <c r="J133" s="6" t="n">
        <v>6</v>
      </c>
      <c r="K133" s="6" t="n">
        <v>194</v>
      </c>
      <c r="L133" s="6" t="n">
        <v>6</v>
      </c>
      <c r="M133" s="6" t="n">
        <v>194</v>
      </c>
      <c r="N133" s="11" t="n">
        <f aca="false">J133/(J133+K133)</f>
        <v>0.03</v>
      </c>
      <c r="O133" s="11" t="n">
        <f aca="false">IF(J133+L133=0,"",J133/(J133+L133))</f>
        <v>0.5</v>
      </c>
      <c r="P133" s="11" t="n">
        <f aca="false">2*J133/(2*J133+L133+K133)</f>
        <v>0.0566037735849057</v>
      </c>
      <c r="Q133" s="11" t="n">
        <f aca="false">L133/(L133+M133)</f>
        <v>0.03</v>
      </c>
      <c r="R133" s="6" t="n">
        <v>0</v>
      </c>
      <c r="S133" s="11"/>
      <c r="T133" s="11" t="n">
        <v>0.03</v>
      </c>
      <c r="U133" s="11" t="n">
        <v>0.88</v>
      </c>
      <c r="V133" s="11" t="n">
        <v>0.88</v>
      </c>
    </row>
    <row r="134" customFormat="false" ht="15" hidden="false" customHeight="false" outlineLevel="0" collapsed="false">
      <c r="A134" s="6" t="s">
        <v>46</v>
      </c>
      <c r="B134" s="6" t="s">
        <v>43</v>
      </c>
      <c r="C134" s="6" t="s">
        <v>44</v>
      </c>
      <c r="D134" s="6" t="s">
        <v>115</v>
      </c>
      <c r="E134" s="6" t="n">
        <v>1</v>
      </c>
      <c r="F134" s="6" t="n">
        <v>3</v>
      </c>
      <c r="G134" s="6" t="s">
        <v>68</v>
      </c>
      <c r="H134" s="11" t="n">
        <v>0.05</v>
      </c>
      <c r="I134" s="6" t="n">
        <v>20</v>
      </c>
      <c r="J134" s="6" t="n">
        <v>2</v>
      </c>
      <c r="K134" s="6" t="n">
        <v>18</v>
      </c>
      <c r="L134" s="6" t="n">
        <v>2</v>
      </c>
      <c r="M134" s="6" t="n">
        <v>18</v>
      </c>
      <c r="N134" s="11" t="n">
        <f aca="false">J134/(J134+K134)</f>
        <v>0.1</v>
      </c>
      <c r="O134" s="11" t="n">
        <f aca="false">IF(J134+L134=0,"",J134/(J134+L134))</f>
        <v>0.5</v>
      </c>
      <c r="P134" s="11" t="n">
        <f aca="false">2*J134/(2*J134+L134+K134)</f>
        <v>0.166666666666667</v>
      </c>
      <c r="Q134" s="11" t="n">
        <f aca="false">L134/(L134+M134)</f>
        <v>0.1</v>
      </c>
      <c r="R134" s="6" t="n">
        <v>0</v>
      </c>
      <c r="S134" s="11"/>
      <c r="T134" s="11" t="n">
        <v>0.1</v>
      </c>
      <c r="U134" s="11" t="n">
        <v>0.85</v>
      </c>
      <c r="V134" s="11" t="n">
        <v>0.85</v>
      </c>
    </row>
    <row r="135" customFormat="false" ht="15" hidden="false" customHeight="false" outlineLevel="0" collapsed="false">
      <c r="A135" s="6" t="s">
        <v>46</v>
      </c>
      <c r="B135" s="6" t="s">
        <v>43</v>
      </c>
      <c r="C135" s="6" t="s">
        <v>44</v>
      </c>
      <c r="D135" s="6" t="s">
        <v>115</v>
      </c>
      <c r="E135" s="6" t="n">
        <v>1</v>
      </c>
      <c r="F135" s="6" t="n">
        <v>3</v>
      </c>
      <c r="G135" s="6" t="s">
        <v>69</v>
      </c>
      <c r="H135" s="11" t="n">
        <v>0.05</v>
      </c>
      <c r="I135" s="6" t="n">
        <v>20</v>
      </c>
      <c r="J135" s="6" t="n">
        <v>1</v>
      </c>
      <c r="K135" s="6" t="n">
        <v>19</v>
      </c>
      <c r="L135" s="6" t="n">
        <v>1</v>
      </c>
      <c r="M135" s="6" t="n">
        <v>19</v>
      </c>
      <c r="N135" s="11" t="n">
        <f aca="false">J135/(J135+K135)</f>
        <v>0.05</v>
      </c>
      <c r="O135" s="11" t="n">
        <f aca="false">IF(J135+L135=0,"",J135/(J135+L135))</f>
        <v>0.5</v>
      </c>
      <c r="P135" s="11" t="n">
        <f aca="false">2*J135/(2*J135+L135+K135)</f>
        <v>0.0909090909090909</v>
      </c>
      <c r="Q135" s="11" t="n">
        <f aca="false">L135/(L135+M135)</f>
        <v>0.05</v>
      </c>
      <c r="R135" s="6" t="n">
        <v>0</v>
      </c>
      <c r="S135" s="11"/>
      <c r="T135" s="11" t="n">
        <v>0.05</v>
      </c>
      <c r="U135" s="11" t="n">
        <v>1</v>
      </c>
      <c r="V135" s="11" t="n">
        <v>1</v>
      </c>
    </row>
    <row r="136" customFormat="false" ht="15" hidden="false" customHeight="false" outlineLevel="0" collapsed="false">
      <c r="A136" s="6" t="s">
        <v>46</v>
      </c>
      <c r="B136" s="6" t="s">
        <v>43</v>
      </c>
      <c r="C136" s="6" t="s">
        <v>44</v>
      </c>
      <c r="D136" s="6" t="s">
        <v>115</v>
      </c>
      <c r="E136" s="6" t="n">
        <v>1</v>
      </c>
      <c r="F136" s="6" t="n">
        <v>3</v>
      </c>
      <c r="G136" s="6" t="s">
        <v>70</v>
      </c>
      <c r="H136" s="11" t="n">
        <v>0.05</v>
      </c>
      <c r="I136" s="6" t="n">
        <v>20</v>
      </c>
      <c r="J136" s="6" t="n">
        <v>0</v>
      </c>
      <c r="K136" s="6" t="n">
        <v>20</v>
      </c>
      <c r="L136" s="6" t="n">
        <v>0</v>
      </c>
      <c r="M136" s="6" t="n">
        <v>20</v>
      </c>
      <c r="N136" s="11" t="n">
        <f aca="false">J136/(J136+K136)</f>
        <v>0</v>
      </c>
      <c r="O136" s="11" t="str">
        <f aca="false">IF(J136+L136=0,"",J136/(J136+L136))</f>
        <v/>
      </c>
      <c r="P136" s="11" t="n">
        <f aca="false">2*J136/(2*J136+L136+K136)</f>
        <v>0</v>
      </c>
      <c r="Q136" s="11" t="n">
        <f aca="false">L136/(L136+M136)</f>
        <v>0</v>
      </c>
      <c r="R136" s="6" t="n">
        <v>0</v>
      </c>
      <c r="S136" s="11"/>
      <c r="T136" s="11" t="n">
        <v>0</v>
      </c>
      <c r="U136" s="11" t="n">
        <v>0.9</v>
      </c>
      <c r="V136" s="11" t="n">
        <v>0.9</v>
      </c>
    </row>
    <row r="137" customFormat="false" ht="15" hidden="false" customHeight="false" outlineLevel="0" collapsed="false">
      <c r="A137" s="6" t="s">
        <v>46</v>
      </c>
      <c r="B137" s="6" t="s">
        <v>43</v>
      </c>
      <c r="C137" s="6" t="s">
        <v>44</v>
      </c>
      <c r="D137" s="6" t="s">
        <v>115</v>
      </c>
      <c r="E137" s="6" t="n">
        <v>1</v>
      </c>
      <c r="F137" s="6" t="n">
        <v>3</v>
      </c>
      <c r="G137" s="6" t="s">
        <v>71</v>
      </c>
      <c r="H137" s="11" t="n">
        <v>0.05</v>
      </c>
      <c r="I137" s="6" t="n">
        <v>20</v>
      </c>
      <c r="J137" s="6" t="n">
        <v>0</v>
      </c>
      <c r="K137" s="6" t="n">
        <v>20</v>
      </c>
      <c r="L137" s="6" t="n">
        <v>0</v>
      </c>
      <c r="M137" s="6" t="n">
        <v>20</v>
      </c>
      <c r="N137" s="11" t="n">
        <f aca="false">J137/(J137+K137)</f>
        <v>0</v>
      </c>
      <c r="O137" s="11" t="str">
        <f aca="false">IF(J137+L137=0,"",J137/(J137+L137))</f>
        <v/>
      </c>
      <c r="P137" s="11" t="n">
        <f aca="false">2*J137/(2*J137+L137+K137)</f>
        <v>0</v>
      </c>
      <c r="Q137" s="11" t="n">
        <f aca="false">L137/(L137+M137)</f>
        <v>0</v>
      </c>
      <c r="R137" s="6" t="n">
        <v>0</v>
      </c>
      <c r="S137" s="11"/>
      <c r="T137" s="11" t="n">
        <v>0</v>
      </c>
      <c r="U137" s="11" t="n">
        <v>0.8</v>
      </c>
      <c r="V137" s="11" t="n">
        <v>0.8</v>
      </c>
    </row>
    <row r="138" customFormat="false" ht="15" hidden="false" customHeight="false" outlineLevel="0" collapsed="false">
      <c r="A138" s="6" t="s">
        <v>46</v>
      </c>
      <c r="B138" s="6" t="s">
        <v>43</v>
      </c>
      <c r="C138" s="6" t="s">
        <v>44</v>
      </c>
      <c r="D138" s="6" t="s">
        <v>115</v>
      </c>
      <c r="E138" s="6" t="n">
        <v>1</v>
      </c>
      <c r="F138" s="6" t="n">
        <v>3</v>
      </c>
      <c r="G138" s="6" t="s">
        <v>72</v>
      </c>
      <c r="H138" s="11" t="n">
        <v>0.05</v>
      </c>
      <c r="I138" s="6" t="n">
        <v>20</v>
      </c>
      <c r="J138" s="6" t="n">
        <v>1</v>
      </c>
      <c r="K138" s="6" t="n">
        <v>19</v>
      </c>
      <c r="L138" s="6" t="n">
        <v>1</v>
      </c>
      <c r="M138" s="6" t="n">
        <v>19</v>
      </c>
      <c r="N138" s="11" t="n">
        <f aca="false">J138/(J138+K138)</f>
        <v>0.05</v>
      </c>
      <c r="O138" s="11" t="n">
        <f aca="false">IF(J138+L138=0,"",J138/(J138+L138))</f>
        <v>0.5</v>
      </c>
      <c r="P138" s="11" t="n">
        <f aca="false">2*J138/(2*J138+L138+K138)</f>
        <v>0.0909090909090909</v>
      </c>
      <c r="Q138" s="11" t="n">
        <f aca="false">L138/(L138+M138)</f>
        <v>0.05</v>
      </c>
      <c r="R138" s="6" t="n">
        <v>0</v>
      </c>
      <c r="S138" s="11"/>
      <c r="T138" s="11" t="n">
        <v>0.05</v>
      </c>
      <c r="U138" s="11" t="n">
        <v>0.9</v>
      </c>
      <c r="V138" s="11" t="n">
        <v>0.9</v>
      </c>
    </row>
    <row r="139" customFormat="false" ht="15" hidden="false" customHeight="false" outlineLevel="0" collapsed="false">
      <c r="A139" s="6" t="s">
        <v>46</v>
      </c>
      <c r="B139" s="6" t="s">
        <v>43</v>
      </c>
      <c r="C139" s="6" t="s">
        <v>44</v>
      </c>
      <c r="D139" s="6" t="s">
        <v>115</v>
      </c>
      <c r="E139" s="6" t="n">
        <v>1</v>
      </c>
      <c r="F139" s="6" t="n">
        <v>3</v>
      </c>
      <c r="G139" s="6" t="s">
        <v>73</v>
      </c>
      <c r="H139" s="11" t="n">
        <v>0.05</v>
      </c>
      <c r="I139" s="6" t="n">
        <v>20</v>
      </c>
      <c r="J139" s="6" t="n">
        <v>0</v>
      </c>
      <c r="K139" s="6" t="n">
        <v>20</v>
      </c>
      <c r="L139" s="6" t="n">
        <v>0</v>
      </c>
      <c r="M139" s="6" t="n">
        <v>20</v>
      </c>
      <c r="N139" s="11" t="n">
        <f aca="false">J139/(J139+K139)</f>
        <v>0</v>
      </c>
      <c r="O139" s="11" t="str">
        <f aca="false">IF(J139+L139=0,"",J139/(J139+L139))</f>
        <v/>
      </c>
      <c r="P139" s="11" t="n">
        <f aca="false">2*J139/(2*J139+L139+K139)</f>
        <v>0</v>
      </c>
      <c r="Q139" s="11" t="n">
        <f aca="false">L139/(L139+M139)</f>
        <v>0</v>
      </c>
      <c r="R139" s="6" t="n">
        <v>0</v>
      </c>
      <c r="S139" s="11"/>
      <c r="T139" s="11" t="n">
        <v>0</v>
      </c>
      <c r="U139" s="11" t="n">
        <v>0.65</v>
      </c>
      <c r="V139" s="11" t="n">
        <v>0.65</v>
      </c>
    </row>
    <row r="140" customFormat="false" ht="15" hidden="false" customHeight="false" outlineLevel="0" collapsed="false">
      <c r="A140" s="6" t="s">
        <v>46</v>
      </c>
      <c r="B140" s="6" t="s">
        <v>43</v>
      </c>
      <c r="C140" s="6" t="s">
        <v>44</v>
      </c>
      <c r="D140" s="6" t="s">
        <v>115</v>
      </c>
      <c r="E140" s="6" t="n">
        <v>1</v>
      </c>
      <c r="F140" s="6" t="n">
        <v>3</v>
      </c>
      <c r="G140" s="6" t="s">
        <v>74</v>
      </c>
      <c r="H140" s="11" t="n">
        <v>0.05</v>
      </c>
      <c r="I140" s="6" t="n">
        <v>20</v>
      </c>
      <c r="J140" s="6" t="n">
        <v>1</v>
      </c>
      <c r="K140" s="6" t="n">
        <v>19</v>
      </c>
      <c r="L140" s="6" t="n">
        <v>1</v>
      </c>
      <c r="M140" s="6" t="n">
        <v>19</v>
      </c>
      <c r="N140" s="11" t="n">
        <f aca="false">J140/(J140+K140)</f>
        <v>0.05</v>
      </c>
      <c r="O140" s="11" t="n">
        <f aca="false">IF(J140+L140=0,"",J140/(J140+L140))</f>
        <v>0.5</v>
      </c>
      <c r="P140" s="11" t="n">
        <f aca="false">2*J140/(2*J140+L140+K140)</f>
        <v>0.0909090909090909</v>
      </c>
      <c r="Q140" s="11" t="n">
        <f aca="false">L140/(L140+M140)</f>
        <v>0.05</v>
      </c>
      <c r="R140" s="6" t="n">
        <v>2</v>
      </c>
      <c r="S140" s="11" t="n">
        <v>0</v>
      </c>
      <c r="T140" s="11" t="n">
        <v>0.0555555555555556</v>
      </c>
      <c r="U140" s="11" t="n">
        <v>0.85</v>
      </c>
      <c r="V140" s="11" t="n">
        <v>0.9</v>
      </c>
    </row>
    <row r="141" customFormat="false" ht="15" hidden="false" customHeight="false" outlineLevel="0" collapsed="false">
      <c r="A141" s="6" t="s">
        <v>46</v>
      </c>
      <c r="B141" s="6" t="s">
        <v>43</v>
      </c>
      <c r="C141" s="6" t="s">
        <v>44</v>
      </c>
      <c r="D141" s="6" t="s">
        <v>115</v>
      </c>
      <c r="E141" s="6" t="n">
        <v>1</v>
      </c>
      <c r="F141" s="6" t="n">
        <v>3</v>
      </c>
      <c r="G141" s="6" t="s">
        <v>75</v>
      </c>
      <c r="H141" s="11" t="n">
        <v>0.05</v>
      </c>
      <c r="I141" s="6" t="n">
        <v>20</v>
      </c>
      <c r="J141" s="6" t="n">
        <v>0</v>
      </c>
      <c r="K141" s="6" t="n">
        <v>20</v>
      </c>
      <c r="L141" s="6" t="n">
        <v>0</v>
      </c>
      <c r="M141" s="6" t="n">
        <v>20</v>
      </c>
      <c r="N141" s="11" t="n">
        <f aca="false">J141/(J141+K141)</f>
        <v>0</v>
      </c>
      <c r="O141" s="11" t="str">
        <f aca="false">IF(J141+L141=0,"",J141/(J141+L141))</f>
        <v/>
      </c>
      <c r="P141" s="11" t="n">
        <f aca="false">2*J141/(2*J141+L141+K141)</f>
        <v>0</v>
      </c>
      <c r="Q141" s="11" t="n">
        <f aca="false">L141/(L141+M141)</f>
        <v>0</v>
      </c>
      <c r="R141" s="6" t="n">
        <v>0</v>
      </c>
      <c r="S141" s="11"/>
      <c r="T141" s="11" t="n">
        <v>0</v>
      </c>
      <c r="U141" s="11" t="n">
        <v>0.9</v>
      </c>
      <c r="V141" s="11" t="n">
        <v>0.9</v>
      </c>
    </row>
    <row r="142" customFormat="false" ht="15" hidden="false" customHeight="false" outlineLevel="0" collapsed="false">
      <c r="A142" s="6" t="s">
        <v>46</v>
      </c>
      <c r="B142" s="6" t="s">
        <v>43</v>
      </c>
      <c r="C142" s="6" t="s">
        <v>44</v>
      </c>
      <c r="D142" s="6" t="s">
        <v>115</v>
      </c>
      <c r="E142" s="6" t="n">
        <v>1</v>
      </c>
      <c r="F142" s="6" t="n">
        <v>3</v>
      </c>
      <c r="G142" s="6" t="s">
        <v>76</v>
      </c>
      <c r="H142" s="11" t="n">
        <v>0.05</v>
      </c>
      <c r="I142" s="6" t="n">
        <v>20</v>
      </c>
      <c r="J142" s="6" t="n">
        <v>0</v>
      </c>
      <c r="K142" s="6" t="n">
        <v>20</v>
      </c>
      <c r="L142" s="6" t="n">
        <v>0</v>
      </c>
      <c r="M142" s="6" t="n">
        <v>20</v>
      </c>
      <c r="N142" s="11" t="n">
        <f aca="false">J142/(J142+K142)</f>
        <v>0</v>
      </c>
      <c r="O142" s="11" t="str">
        <f aca="false">IF(J142+L142=0,"",J142/(J142+L142))</f>
        <v/>
      </c>
      <c r="P142" s="11" t="n">
        <f aca="false">2*J142/(2*J142+L142+K142)</f>
        <v>0</v>
      </c>
      <c r="Q142" s="11" t="n">
        <f aca="false">L142/(L142+M142)</f>
        <v>0</v>
      </c>
      <c r="R142" s="6" t="n">
        <v>0</v>
      </c>
      <c r="S142" s="11"/>
      <c r="T142" s="11" t="n">
        <v>0</v>
      </c>
      <c r="U142" s="11" t="n">
        <v>0.95</v>
      </c>
      <c r="V142" s="11" t="n">
        <v>0.95</v>
      </c>
    </row>
    <row r="143" customFormat="false" ht="15" hidden="false" customHeight="false" outlineLevel="0" collapsed="false">
      <c r="A143" s="6" t="s">
        <v>46</v>
      </c>
      <c r="B143" s="6" t="s">
        <v>43</v>
      </c>
      <c r="C143" s="6" t="s">
        <v>44</v>
      </c>
      <c r="D143" s="6" t="s">
        <v>115</v>
      </c>
      <c r="E143" s="6" t="n">
        <v>1</v>
      </c>
      <c r="F143" s="6" t="n">
        <v>3</v>
      </c>
      <c r="G143" s="6" t="s">
        <v>77</v>
      </c>
      <c r="H143" s="11" t="n">
        <v>0.05</v>
      </c>
      <c r="I143" s="6" t="n">
        <v>20</v>
      </c>
      <c r="J143" s="6" t="n">
        <v>1</v>
      </c>
      <c r="K143" s="6" t="n">
        <v>19</v>
      </c>
      <c r="L143" s="6" t="n">
        <v>1</v>
      </c>
      <c r="M143" s="6" t="n">
        <v>19</v>
      </c>
      <c r="N143" s="11" t="n">
        <f aca="false">J143/(J143+K143)</f>
        <v>0.05</v>
      </c>
      <c r="O143" s="11" t="n">
        <f aca="false">IF(J143+L143=0,"",J143/(J143+L143))</f>
        <v>0.5</v>
      </c>
      <c r="P143" s="11" t="n">
        <f aca="false">2*J143/(2*J143+L143+K143)</f>
        <v>0.0909090909090909</v>
      </c>
      <c r="Q143" s="11" t="n">
        <f aca="false">L143/(L143+M143)</f>
        <v>0.05</v>
      </c>
      <c r="R143" s="6" t="n">
        <v>0</v>
      </c>
      <c r="S143" s="11"/>
      <c r="T143" s="11" t="n">
        <v>0.05</v>
      </c>
      <c r="U143" s="11" t="n">
        <v>1</v>
      </c>
      <c r="V143" s="11" t="n">
        <v>1</v>
      </c>
    </row>
    <row r="144" customFormat="false" ht="15" hidden="false" customHeight="false" outlineLevel="0" collapsed="false">
      <c r="A144" s="6" t="s">
        <v>46</v>
      </c>
      <c r="B144" s="6" t="s">
        <v>43</v>
      </c>
      <c r="C144" s="6" t="s">
        <v>44</v>
      </c>
      <c r="D144" s="6" t="s">
        <v>115</v>
      </c>
      <c r="E144" s="6" t="n">
        <v>1</v>
      </c>
      <c r="F144" s="6" t="n">
        <v>3</v>
      </c>
      <c r="G144" s="6" t="s">
        <v>78</v>
      </c>
      <c r="H144" s="11" t="n">
        <v>0.05</v>
      </c>
      <c r="I144" s="6" t="n">
        <v>200</v>
      </c>
      <c r="J144" s="6" t="n">
        <v>6</v>
      </c>
      <c r="K144" s="6" t="n">
        <v>194</v>
      </c>
      <c r="L144" s="6" t="n">
        <v>6</v>
      </c>
      <c r="M144" s="6" t="n">
        <v>194</v>
      </c>
      <c r="N144" s="11" t="n">
        <f aca="false">J144/(J144+K144)</f>
        <v>0.03</v>
      </c>
      <c r="O144" s="11" t="n">
        <f aca="false">IF(J144+L144=0,"",J144/(J144+L144))</f>
        <v>0.5</v>
      </c>
      <c r="P144" s="11" t="n">
        <f aca="false">2*J144/(2*J144+L144+K144)</f>
        <v>0.0566037735849057</v>
      </c>
      <c r="Q144" s="11" t="n">
        <f aca="false">L144/(L144+M144)</f>
        <v>0.03</v>
      </c>
      <c r="R144" s="6" t="n">
        <v>2</v>
      </c>
      <c r="S144" s="11" t="n">
        <v>0</v>
      </c>
      <c r="T144" s="11" t="n">
        <v>0.0303030303030303</v>
      </c>
      <c r="U144" s="11" t="n">
        <v>0.88</v>
      </c>
      <c r="V144" s="11" t="n">
        <v>0.885</v>
      </c>
    </row>
    <row r="145" customFormat="false" ht="15" hidden="false" customHeight="false" outlineLevel="0" collapsed="false">
      <c r="A145" s="6" t="s">
        <v>46</v>
      </c>
      <c r="B145" s="6" t="s">
        <v>43</v>
      </c>
      <c r="C145" s="6" t="s">
        <v>44</v>
      </c>
      <c r="D145" s="6" t="s">
        <v>115</v>
      </c>
      <c r="E145" s="6" t="n">
        <v>1</v>
      </c>
      <c r="F145" s="6" t="n">
        <v>4</v>
      </c>
      <c r="G145" s="6" t="s">
        <v>68</v>
      </c>
      <c r="H145" s="11" t="n">
        <v>0.05</v>
      </c>
      <c r="I145" s="6" t="n">
        <v>20</v>
      </c>
      <c r="J145" s="6" t="n">
        <v>20</v>
      </c>
      <c r="K145" s="6" t="n">
        <v>0</v>
      </c>
      <c r="L145" s="6" t="n">
        <v>2</v>
      </c>
      <c r="M145" s="6" t="n">
        <v>18</v>
      </c>
      <c r="N145" s="11" t="n">
        <f aca="false">J145/(J145+K145)</f>
        <v>1</v>
      </c>
      <c r="O145" s="11" t="n">
        <f aca="false">IF(J145+L145=0,"",J145/(J145+L145))</f>
        <v>0.909090909090909</v>
      </c>
      <c r="P145" s="11" t="n">
        <f aca="false">2*J145/(2*J145+L145+K145)</f>
        <v>0.952380952380952</v>
      </c>
      <c r="Q145" s="11" t="n">
        <f aca="false">L145/(L145+M145)</f>
        <v>0.1</v>
      </c>
      <c r="R145" s="6" t="n">
        <v>20</v>
      </c>
      <c r="S145" s="11" t="n">
        <v>1</v>
      </c>
      <c r="T145" s="11"/>
      <c r="U145" s="11" t="n">
        <v>0.85</v>
      </c>
      <c r="V145" s="11" t="n">
        <v>0</v>
      </c>
    </row>
    <row r="146" customFormat="false" ht="15" hidden="false" customHeight="false" outlineLevel="0" collapsed="false">
      <c r="A146" s="6" t="s">
        <v>46</v>
      </c>
      <c r="B146" s="6" t="s">
        <v>43</v>
      </c>
      <c r="C146" s="6" t="s">
        <v>44</v>
      </c>
      <c r="D146" s="6" t="s">
        <v>115</v>
      </c>
      <c r="E146" s="6" t="n">
        <v>1</v>
      </c>
      <c r="F146" s="6" t="n">
        <v>4</v>
      </c>
      <c r="G146" s="6" t="s">
        <v>69</v>
      </c>
      <c r="H146" s="11" t="n">
        <v>0.05</v>
      </c>
      <c r="I146" s="6" t="n">
        <v>20</v>
      </c>
      <c r="J146" s="6" t="n">
        <v>20</v>
      </c>
      <c r="K146" s="6" t="n">
        <v>0</v>
      </c>
      <c r="L146" s="6" t="n">
        <v>1</v>
      </c>
      <c r="M146" s="6" t="n">
        <v>19</v>
      </c>
      <c r="N146" s="11" t="n">
        <f aca="false">J146/(J146+K146)</f>
        <v>1</v>
      </c>
      <c r="O146" s="11" t="n">
        <f aca="false">IF(J146+L146=0,"",J146/(J146+L146))</f>
        <v>0.952380952380952</v>
      </c>
      <c r="P146" s="11" t="n">
        <f aca="false">2*J146/(2*J146+L146+K146)</f>
        <v>0.975609756097561</v>
      </c>
      <c r="Q146" s="11" t="n">
        <f aca="false">L146/(L146+M146)</f>
        <v>0.05</v>
      </c>
      <c r="R146" s="6" t="n">
        <v>20</v>
      </c>
      <c r="S146" s="11" t="n">
        <v>1</v>
      </c>
      <c r="T146" s="11"/>
      <c r="U146" s="11" t="n">
        <v>1</v>
      </c>
      <c r="V146" s="11" t="n">
        <v>0</v>
      </c>
    </row>
    <row r="147" customFormat="false" ht="15" hidden="false" customHeight="false" outlineLevel="0" collapsed="false">
      <c r="A147" s="6" t="s">
        <v>46</v>
      </c>
      <c r="B147" s="6" t="s">
        <v>43</v>
      </c>
      <c r="C147" s="6" t="s">
        <v>44</v>
      </c>
      <c r="D147" s="6" t="s">
        <v>115</v>
      </c>
      <c r="E147" s="6" t="n">
        <v>1</v>
      </c>
      <c r="F147" s="6" t="n">
        <v>4</v>
      </c>
      <c r="G147" s="6" t="s">
        <v>70</v>
      </c>
      <c r="H147" s="11" t="n">
        <v>0.05</v>
      </c>
      <c r="I147" s="6" t="n">
        <v>20</v>
      </c>
      <c r="J147" s="6" t="n">
        <v>20</v>
      </c>
      <c r="K147" s="6" t="n">
        <v>0</v>
      </c>
      <c r="L147" s="6" t="n">
        <v>0</v>
      </c>
      <c r="M147" s="6" t="n">
        <v>20</v>
      </c>
      <c r="N147" s="11" t="n">
        <f aca="false">J147/(J147+K147)</f>
        <v>1</v>
      </c>
      <c r="O147" s="11" t="n">
        <f aca="false">IF(J147+L147=0,"",J147/(J147+L147))</f>
        <v>1</v>
      </c>
      <c r="P147" s="11" t="n">
        <f aca="false">2*J147/(2*J147+L147+K147)</f>
        <v>1</v>
      </c>
      <c r="Q147" s="11" t="n">
        <f aca="false">L147/(L147+M147)</f>
        <v>0</v>
      </c>
      <c r="R147" s="6" t="n">
        <v>6</v>
      </c>
      <c r="S147" s="11" t="n">
        <v>1</v>
      </c>
      <c r="T147" s="11" t="n">
        <v>1</v>
      </c>
      <c r="U147" s="11" t="n">
        <v>0.9</v>
      </c>
      <c r="V147" s="11" t="n">
        <v>0.8</v>
      </c>
    </row>
    <row r="148" customFormat="false" ht="15" hidden="false" customHeight="false" outlineLevel="0" collapsed="false">
      <c r="A148" s="6" t="s">
        <v>46</v>
      </c>
      <c r="B148" s="6" t="s">
        <v>43</v>
      </c>
      <c r="C148" s="6" t="s">
        <v>44</v>
      </c>
      <c r="D148" s="6" t="s">
        <v>115</v>
      </c>
      <c r="E148" s="6" t="n">
        <v>1</v>
      </c>
      <c r="F148" s="6" t="n">
        <v>4</v>
      </c>
      <c r="G148" s="6" t="s">
        <v>71</v>
      </c>
      <c r="H148" s="11" t="n">
        <v>0.05</v>
      </c>
      <c r="I148" s="6" t="n">
        <v>20</v>
      </c>
      <c r="J148" s="6" t="n">
        <v>20</v>
      </c>
      <c r="K148" s="6" t="n">
        <v>0</v>
      </c>
      <c r="L148" s="6" t="n">
        <v>0</v>
      </c>
      <c r="M148" s="6" t="n">
        <v>20</v>
      </c>
      <c r="N148" s="11" t="n">
        <f aca="false">J148/(J148+K148)</f>
        <v>1</v>
      </c>
      <c r="O148" s="11" t="n">
        <f aca="false">IF(J148+L148=0,"",J148/(J148+L148))</f>
        <v>1</v>
      </c>
      <c r="P148" s="11" t="n">
        <f aca="false">2*J148/(2*J148+L148+K148)</f>
        <v>1</v>
      </c>
      <c r="Q148" s="11" t="n">
        <f aca="false">L148/(L148+M148)</f>
        <v>0</v>
      </c>
      <c r="R148" s="6" t="n">
        <v>18</v>
      </c>
      <c r="S148" s="11" t="n">
        <v>1</v>
      </c>
      <c r="T148" s="11" t="n">
        <v>1</v>
      </c>
      <c r="U148" s="11" t="n">
        <v>0.8</v>
      </c>
      <c r="V148" s="11" t="n">
        <v>0</v>
      </c>
    </row>
    <row r="149" customFormat="false" ht="15" hidden="false" customHeight="false" outlineLevel="0" collapsed="false">
      <c r="A149" s="6" t="s">
        <v>46</v>
      </c>
      <c r="B149" s="6" t="s">
        <v>43</v>
      </c>
      <c r="C149" s="6" t="s">
        <v>44</v>
      </c>
      <c r="D149" s="6" t="s">
        <v>115</v>
      </c>
      <c r="E149" s="6" t="n">
        <v>1</v>
      </c>
      <c r="F149" s="6" t="n">
        <v>4</v>
      </c>
      <c r="G149" s="6" t="s">
        <v>72</v>
      </c>
      <c r="H149" s="11" t="n">
        <v>0.05</v>
      </c>
      <c r="I149" s="6" t="n">
        <v>20</v>
      </c>
      <c r="J149" s="6" t="n">
        <v>20</v>
      </c>
      <c r="K149" s="6" t="n">
        <v>0</v>
      </c>
      <c r="L149" s="6" t="n">
        <v>1</v>
      </c>
      <c r="M149" s="6" t="n">
        <v>19</v>
      </c>
      <c r="N149" s="11" t="n">
        <f aca="false">J149/(J149+K149)</f>
        <v>1</v>
      </c>
      <c r="O149" s="11" t="n">
        <f aca="false">IF(J149+L149=0,"",J149/(J149+L149))</f>
        <v>0.952380952380952</v>
      </c>
      <c r="P149" s="11" t="n">
        <f aca="false">2*J149/(2*J149+L149+K149)</f>
        <v>0.975609756097561</v>
      </c>
      <c r="Q149" s="11" t="n">
        <f aca="false">L149/(L149+M149)</f>
        <v>0.05</v>
      </c>
      <c r="R149" s="6" t="n">
        <v>19</v>
      </c>
      <c r="S149" s="11" t="n">
        <v>1</v>
      </c>
      <c r="T149" s="11" t="n">
        <v>1</v>
      </c>
      <c r="U149" s="11" t="n">
        <v>0.9</v>
      </c>
      <c r="V149" s="11" t="n">
        <v>0</v>
      </c>
    </row>
    <row r="150" customFormat="false" ht="15" hidden="false" customHeight="false" outlineLevel="0" collapsed="false">
      <c r="A150" s="6" t="s">
        <v>46</v>
      </c>
      <c r="B150" s="6" t="s">
        <v>43</v>
      </c>
      <c r="C150" s="6" t="s">
        <v>44</v>
      </c>
      <c r="D150" s="6" t="s">
        <v>115</v>
      </c>
      <c r="E150" s="6" t="n">
        <v>1</v>
      </c>
      <c r="F150" s="6" t="n">
        <v>4</v>
      </c>
      <c r="G150" s="6" t="s">
        <v>73</v>
      </c>
      <c r="H150" s="11" t="n">
        <v>0.05</v>
      </c>
      <c r="I150" s="6" t="n">
        <v>20</v>
      </c>
      <c r="J150" s="6" t="n">
        <v>20</v>
      </c>
      <c r="K150" s="6" t="n">
        <v>0</v>
      </c>
      <c r="L150" s="6" t="n">
        <v>0</v>
      </c>
      <c r="M150" s="6" t="n">
        <v>20</v>
      </c>
      <c r="N150" s="11" t="n">
        <f aca="false">J150/(J150+K150)</f>
        <v>1</v>
      </c>
      <c r="O150" s="11" t="n">
        <f aca="false">IF(J150+L150=0,"",J150/(J150+L150))</f>
        <v>1</v>
      </c>
      <c r="P150" s="11" t="n">
        <f aca="false">2*J150/(2*J150+L150+K150)</f>
        <v>1</v>
      </c>
      <c r="Q150" s="11" t="n">
        <f aca="false">L150/(L150+M150)</f>
        <v>0</v>
      </c>
      <c r="R150" s="6" t="n">
        <v>19</v>
      </c>
      <c r="S150" s="11" t="n">
        <v>1</v>
      </c>
      <c r="T150" s="11" t="n">
        <v>1</v>
      </c>
      <c r="U150" s="11" t="n">
        <v>0.65</v>
      </c>
      <c r="V150" s="11" t="n">
        <v>0</v>
      </c>
    </row>
    <row r="151" customFormat="false" ht="15" hidden="false" customHeight="false" outlineLevel="0" collapsed="false">
      <c r="A151" s="6" t="s">
        <v>46</v>
      </c>
      <c r="B151" s="6" t="s">
        <v>43</v>
      </c>
      <c r="C151" s="6" t="s">
        <v>44</v>
      </c>
      <c r="D151" s="6" t="s">
        <v>115</v>
      </c>
      <c r="E151" s="6" t="n">
        <v>1</v>
      </c>
      <c r="F151" s="6" t="n">
        <v>4</v>
      </c>
      <c r="G151" s="6" t="s">
        <v>74</v>
      </c>
      <c r="H151" s="11" t="n">
        <v>0.05</v>
      </c>
      <c r="I151" s="6" t="n">
        <v>20</v>
      </c>
      <c r="J151" s="6" t="n">
        <v>20</v>
      </c>
      <c r="K151" s="6" t="n">
        <v>0</v>
      </c>
      <c r="L151" s="6" t="n">
        <v>1</v>
      </c>
      <c r="M151" s="6" t="n">
        <v>19</v>
      </c>
      <c r="N151" s="11" t="n">
        <f aca="false">J151/(J151+K151)</f>
        <v>1</v>
      </c>
      <c r="O151" s="11" t="n">
        <f aca="false">IF(J151+L151=0,"",J151/(J151+L151))</f>
        <v>0.952380952380952</v>
      </c>
      <c r="P151" s="11" t="n">
        <f aca="false">2*J151/(2*J151+L151+K151)</f>
        <v>0.975609756097561</v>
      </c>
      <c r="Q151" s="11" t="n">
        <f aca="false">L151/(L151+M151)</f>
        <v>0.05</v>
      </c>
      <c r="R151" s="6" t="n">
        <v>18</v>
      </c>
      <c r="S151" s="11" t="n">
        <v>1</v>
      </c>
      <c r="T151" s="11" t="n">
        <v>1</v>
      </c>
      <c r="U151" s="11" t="n">
        <v>0.85</v>
      </c>
      <c r="V151" s="11" t="n">
        <v>0</v>
      </c>
    </row>
    <row r="152" customFormat="false" ht="15" hidden="false" customHeight="false" outlineLevel="0" collapsed="false">
      <c r="A152" s="6" t="s">
        <v>46</v>
      </c>
      <c r="B152" s="6" t="s">
        <v>43</v>
      </c>
      <c r="C152" s="6" t="s">
        <v>44</v>
      </c>
      <c r="D152" s="6" t="s">
        <v>115</v>
      </c>
      <c r="E152" s="6" t="n">
        <v>1</v>
      </c>
      <c r="F152" s="6" t="n">
        <v>4</v>
      </c>
      <c r="G152" s="6" t="s">
        <v>75</v>
      </c>
      <c r="H152" s="11" t="n">
        <v>0.05</v>
      </c>
      <c r="I152" s="6" t="n">
        <v>20</v>
      </c>
      <c r="J152" s="6" t="n">
        <v>20</v>
      </c>
      <c r="K152" s="6" t="n">
        <v>0</v>
      </c>
      <c r="L152" s="6" t="n">
        <v>0</v>
      </c>
      <c r="M152" s="6" t="n">
        <v>20</v>
      </c>
      <c r="N152" s="11" t="n">
        <f aca="false">J152/(J152+K152)</f>
        <v>1</v>
      </c>
      <c r="O152" s="11" t="n">
        <f aca="false">IF(J152+L152=0,"",J152/(J152+L152))</f>
        <v>1</v>
      </c>
      <c r="P152" s="11" t="n">
        <f aca="false">2*J152/(2*J152+L152+K152)</f>
        <v>1</v>
      </c>
      <c r="Q152" s="11" t="n">
        <f aca="false">L152/(L152+M152)</f>
        <v>0</v>
      </c>
      <c r="R152" s="6" t="n">
        <v>20</v>
      </c>
      <c r="S152" s="11" t="n">
        <v>1</v>
      </c>
      <c r="T152" s="11"/>
      <c r="U152" s="11" t="n">
        <v>0.9</v>
      </c>
      <c r="V152" s="11" t="n">
        <v>0</v>
      </c>
    </row>
    <row r="153" customFormat="false" ht="15" hidden="false" customHeight="false" outlineLevel="0" collapsed="false">
      <c r="A153" s="6" t="s">
        <v>46</v>
      </c>
      <c r="B153" s="6" t="s">
        <v>43</v>
      </c>
      <c r="C153" s="6" t="s">
        <v>44</v>
      </c>
      <c r="D153" s="6" t="s">
        <v>115</v>
      </c>
      <c r="E153" s="6" t="n">
        <v>1</v>
      </c>
      <c r="F153" s="6" t="n">
        <v>4</v>
      </c>
      <c r="G153" s="6" t="s">
        <v>76</v>
      </c>
      <c r="H153" s="11" t="n">
        <v>0.05</v>
      </c>
      <c r="I153" s="6" t="n">
        <v>20</v>
      </c>
      <c r="J153" s="6" t="n">
        <v>20</v>
      </c>
      <c r="K153" s="6" t="n">
        <v>0</v>
      </c>
      <c r="L153" s="6" t="n">
        <v>0</v>
      </c>
      <c r="M153" s="6" t="n">
        <v>20</v>
      </c>
      <c r="N153" s="11" t="n">
        <f aca="false">J153/(J153+K153)</f>
        <v>1</v>
      </c>
      <c r="O153" s="11" t="n">
        <f aca="false">IF(J153+L153=0,"",J153/(J153+L153))</f>
        <v>1</v>
      </c>
      <c r="P153" s="11" t="n">
        <f aca="false">2*J153/(2*J153+L153+K153)</f>
        <v>1</v>
      </c>
      <c r="Q153" s="11" t="n">
        <f aca="false">L153/(L153+M153)</f>
        <v>0</v>
      </c>
      <c r="R153" s="6" t="n">
        <v>14</v>
      </c>
      <c r="S153" s="11" t="n">
        <v>1</v>
      </c>
      <c r="T153" s="11" t="n">
        <v>1</v>
      </c>
      <c r="U153" s="11" t="n">
        <v>0.95</v>
      </c>
      <c r="V153" s="11" t="n">
        <v>0.3</v>
      </c>
    </row>
    <row r="154" customFormat="false" ht="15" hidden="false" customHeight="false" outlineLevel="0" collapsed="false">
      <c r="A154" s="6" t="s">
        <v>46</v>
      </c>
      <c r="B154" s="6" t="s">
        <v>43</v>
      </c>
      <c r="C154" s="6" t="s">
        <v>44</v>
      </c>
      <c r="D154" s="6" t="s">
        <v>115</v>
      </c>
      <c r="E154" s="6" t="n">
        <v>1</v>
      </c>
      <c r="F154" s="6" t="n">
        <v>4</v>
      </c>
      <c r="G154" s="6" t="s">
        <v>77</v>
      </c>
      <c r="H154" s="11" t="n">
        <v>0.05</v>
      </c>
      <c r="I154" s="6" t="n">
        <v>20</v>
      </c>
      <c r="J154" s="6" t="n">
        <v>20</v>
      </c>
      <c r="K154" s="6" t="n">
        <v>0</v>
      </c>
      <c r="L154" s="6" t="n">
        <v>1</v>
      </c>
      <c r="M154" s="6" t="n">
        <v>19</v>
      </c>
      <c r="N154" s="11" t="n">
        <f aca="false">J154/(J154+K154)</f>
        <v>1</v>
      </c>
      <c r="O154" s="11" t="n">
        <f aca="false">IF(J154+L154=0,"",J154/(J154+L154))</f>
        <v>0.952380952380952</v>
      </c>
      <c r="P154" s="11" t="n">
        <f aca="false">2*J154/(2*J154+L154+K154)</f>
        <v>0.975609756097561</v>
      </c>
      <c r="Q154" s="11" t="n">
        <f aca="false">L154/(L154+M154)</f>
        <v>0.05</v>
      </c>
      <c r="R154" s="6" t="n">
        <v>20</v>
      </c>
      <c r="S154" s="11" t="n">
        <v>1</v>
      </c>
      <c r="T154" s="11"/>
      <c r="U154" s="11" t="n">
        <v>1</v>
      </c>
      <c r="V154" s="11" t="n">
        <v>0</v>
      </c>
    </row>
    <row r="155" customFormat="false" ht="15" hidden="false" customHeight="false" outlineLevel="0" collapsed="false">
      <c r="A155" s="6" t="s">
        <v>46</v>
      </c>
      <c r="B155" s="6" t="s">
        <v>43</v>
      </c>
      <c r="C155" s="6" t="s">
        <v>44</v>
      </c>
      <c r="D155" s="6" t="s">
        <v>115</v>
      </c>
      <c r="E155" s="6" t="n">
        <v>1</v>
      </c>
      <c r="F155" s="6" t="n">
        <v>4</v>
      </c>
      <c r="G155" s="6" t="s">
        <v>78</v>
      </c>
      <c r="H155" s="11" t="n">
        <v>0.05</v>
      </c>
      <c r="I155" s="6" t="n">
        <v>200</v>
      </c>
      <c r="J155" s="6" t="n">
        <v>200</v>
      </c>
      <c r="K155" s="6" t="n">
        <v>0</v>
      </c>
      <c r="L155" s="6" t="n">
        <v>6</v>
      </c>
      <c r="M155" s="6" t="n">
        <v>194</v>
      </c>
      <c r="N155" s="11" t="n">
        <f aca="false">J155/(J155+K155)</f>
        <v>1</v>
      </c>
      <c r="O155" s="11" t="n">
        <f aca="false">IF(J155+L155=0,"",J155/(J155+L155))</f>
        <v>0.970873786407767</v>
      </c>
      <c r="P155" s="11" t="n">
        <f aca="false">2*J155/(2*J155+L155+K155)</f>
        <v>0.985221674876847</v>
      </c>
      <c r="Q155" s="11" t="n">
        <f aca="false">L155/(L155+M155)</f>
        <v>0.03</v>
      </c>
      <c r="R155" s="6" t="n">
        <v>174</v>
      </c>
      <c r="S155" s="11" t="n">
        <v>1</v>
      </c>
      <c r="T155" s="11" t="n">
        <v>1</v>
      </c>
      <c r="U155" s="11" t="n">
        <v>0.88</v>
      </c>
      <c r="V155" s="11" t="n">
        <v>0.11</v>
      </c>
    </row>
    <row r="156" customFormat="false" ht="15" hidden="false" customHeight="false" outlineLevel="0" collapsed="false">
      <c r="A156" s="6" t="s">
        <v>46</v>
      </c>
      <c r="B156" s="6" t="s">
        <v>43</v>
      </c>
      <c r="C156" s="6" t="s">
        <v>44</v>
      </c>
      <c r="D156" s="6" t="s">
        <v>115</v>
      </c>
      <c r="E156" s="6" t="n">
        <v>1</v>
      </c>
      <c r="F156" s="6" t="n">
        <v>5</v>
      </c>
      <c r="G156" s="6" t="s">
        <v>68</v>
      </c>
      <c r="H156" s="11" t="n">
        <v>0.05</v>
      </c>
      <c r="I156" s="6" t="n">
        <v>20</v>
      </c>
      <c r="J156" s="6" t="n">
        <v>2</v>
      </c>
      <c r="K156" s="6" t="n">
        <v>18</v>
      </c>
      <c r="L156" s="6" t="n">
        <v>2</v>
      </c>
      <c r="M156" s="6" t="n">
        <v>18</v>
      </c>
      <c r="N156" s="11" t="n">
        <f aca="false">J156/(J156+K156)</f>
        <v>0.1</v>
      </c>
      <c r="O156" s="11" t="n">
        <f aca="false">IF(J156+L156=0,"",J156/(J156+L156))</f>
        <v>0.5</v>
      </c>
      <c r="P156" s="11" t="n">
        <f aca="false">2*J156/(2*J156+L156+K156)</f>
        <v>0.166666666666667</v>
      </c>
      <c r="Q156" s="11" t="n">
        <f aca="false">L156/(L156+M156)</f>
        <v>0.1</v>
      </c>
      <c r="R156" s="6" t="n">
        <v>0</v>
      </c>
      <c r="S156" s="11"/>
      <c r="T156" s="11" t="n">
        <v>0.1</v>
      </c>
      <c r="U156" s="11" t="n">
        <v>0.85</v>
      </c>
      <c r="V156" s="11" t="n">
        <v>0.85</v>
      </c>
    </row>
    <row r="157" customFormat="false" ht="15" hidden="false" customHeight="false" outlineLevel="0" collapsed="false">
      <c r="A157" s="6" t="s">
        <v>46</v>
      </c>
      <c r="B157" s="6" t="s">
        <v>43</v>
      </c>
      <c r="C157" s="6" t="s">
        <v>44</v>
      </c>
      <c r="D157" s="6" t="s">
        <v>115</v>
      </c>
      <c r="E157" s="6" t="n">
        <v>1</v>
      </c>
      <c r="F157" s="6" t="n">
        <v>5</v>
      </c>
      <c r="G157" s="6" t="s">
        <v>69</v>
      </c>
      <c r="H157" s="11" t="n">
        <v>0.05</v>
      </c>
      <c r="I157" s="6" t="n">
        <v>20</v>
      </c>
      <c r="J157" s="6" t="n">
        <v>1</v>
      </c>
      <c r="K157" s="6" t="n">
        <v>19</v>
      </c>
      <c r="L157" s="6" t="n">
        <v>1</v>
      </c>
      <c r="M157" s="6" t="n">
        <v>19</v>
      </c>
      <c r="N157" s="11" t="n">
        <f aca="false">J157/(J157+K157)</f>
        <v>0.05</v>
      </c>
      <c r="O157" s="11" t="n">
        <f aca="false">IF(J157+L157=0,"",J157/(J157+L157))</f>
        <v>0.5</v>
      </c>
      <c r="P157" s="11" t="n">
        <f aca="false">2*J157/(2*J157+L157+K157)</f>
        <v>0.0909090909090909</v>
      </c>
      <c r="Q157" s="11" t="n">
        <f aca="false">L157/(L157+M157)</f>
        <v>0.05</v>
      </c>
      <c r="R157" s="6" t="n">
        <v>0</v>
      </c>
      <c r="S157" s="11"/>
      <c r="T157" s="11" t="n">
        <v>0.05</v>
      </c>
      <c r="U157" s="11" t="n">
        <v>1</v>
      </c>
      <c r="V157" s="11" t="n">
        <v>1</v>
      </c>
    </row>
    <row r="158" customFormat="false" ht="15" hidden="false" customHeight="false" outlineLevel="0" collapsed="false">
      <c r="A158" s="6" t="s">
        <v>46</v>
      </c>
      <c r="B158" s="6" t="s">
        <v>43</v>
      </c>
      <c r="C158" s="6" t="s">
        <v>44</v>
      </c>
      <c r="D158" s="6" t="s">
        <v>115</v>
      </c>
      <c r="E158" s="6" t="n">
        <v>1</v>
      </c>
      <c r="F158" s="6" t="n">
        <v>5</v>
      </c>
      <c r="G158" s="6" t="s">
        <v>70</v>
      </c>
      <c r="H158" s="11" t="n">
        <v>0.05</v>
      </c>
      <c r="I158" s="6" t="n">
        <v>20</v>
      </c>
      <c r="J158" s="6" t="n">
        <v>0</v>
      </c>
      <c r="K158" s="6" t="n">
        <v>20</v>
      </c>
      <c r="L158" s="6" t="n">
        <v>0</v>
      </c>
      <c r="M158" s="6" t="n">
        <v>20</v>
      </c>
      <c r="N158" s="11" t="n">
        <f aca="false">J158/(J158+K158)</f>
        <v>0</v>
      </c>
      <c r="O158" s="11" t="str">
        <f aca="false">IF(J158+L158=0,"",J158/(J158+L158))</f>
        <v/>
      </c>
      <c r="P158" s="11" t="n">
        <f aca="false">2*J158/(2*J158+L158+K158)</f>
        <v>0</v>
      </c>
      <c r="Q158" s="11" t="n">
        <f aca="false">L158/(L158+M158)</f>
        <v>0</v>
      </c>
      <c r="R158" s="6" t="n">
        <v>0</v>
      </c>
      <c r="S158" s="11"/>
      <c r="T158" s="11" t="n">
        <v>0</v>
      </c>
      <c r="U158" s="11" t="n">
        <v>0.9</v>
      </c>
      <c r="V158" s="11" t="n">
        <v>0.9</v>
      </c>
    </row>
    <row r="159" customFormat="false" ht="15" hidden="false" customHeight="false" outlineLevel="0" collapsed="false">
      <c r="A159" s="6" t="s">
        <v>46</v>
      </c>
      <c r="B159" s="6" t="s">
        <v>43</v>
      </c>
      <c r="C159" s="6" t="s">
        <v>44</v>
      </c>
      <c r="D159" s="6" t="s">
        <v>115</v>
      </c>
      <c r="E159" s="6" t="n">
        <v>1</v>
      </c>
      <c r="F159" s="6" t="n">
        <v>5</v>
      </c>
      <c r="G159" s="6" t="s">
        <v>71</v>
      </c>
      <c r="H159" s="11" t="n">
        <v>0.05</v>
      </c>
      <c r="I159" s="6" t="n">
        <v>20</v>
      </c>
      <c r="J159" s="6" t="n">
        <v>0</v>
      </c>
      <c r="K159" s="6" t="n">
        <v>20</v>
      </c>
      <c r="L159" s="6" t="n">
        <v>0</v>
      </c>
      <c r="M159" s="6" t="n">
        <v>20</v>
      </c>
      <c r="N159" s="11" t="n">
        <f aca="false">J159/(J159+K159)</f>
        <v>0</v>
      </c>
      <c r="O159" s="11" t="str">
        <f aca="false">IF(J159+L159=0,"",J159/(J159+L159))</f>
        <v/>
      </c>
      <c r="P159" s="11" t="n">
        <f aca="false">2*J159/(2*J159+L159+K159)</f>
        <v>0</v>
      </c>
      <c r="Q159" s="11" t="n">
        <f aca="false">L159/(L159+M159)</f>
        <v>0</v>
      </c>
      <c r="R159" s="6" t="n">
        <v>0</v>
      </c>
      <c r="S159" s="11"/>
      <c r="T159" s="11" t="n">
        <v>0</v>
      </c>
      <c r="U159" s="11" t="n">
        <v>0.8</v>
      </c>
      <c r="V159" s="11" t="n">
        <v>0.8</v>
      </c>
    </row>
    <row r="160" customFormat="false" ht="15" hidden="false" customHeight="false" outlineLevel="0" collapsed="false">
      <c r="A160" s="6" t="s">
        <v>46</v>
      </c>
      <c r="B160" s="6" t="s">
        <v>43</v>
      </c>
      <c r="C160" s="6" t="s">
        <v>44</v>
      </c>
      <c r="D160" s="6" t="s">
        <v>115</v>
      </c>
      <c r="E160" s="6" t="n">
        <v>1</v>
      </c>
      <c r="F160" s="6" t="n">
        <v>5</v>
      </c>
      <c r="G160" s="6" t="s">
        <v>72</v>
      </c>
      <c r="H160" s="11" t="n">
        <v>0.05</v>
      </c>
      <c r="I160" s="6" t="n">
        <v>20</v>
      </c>
      <c r="J160" s="6" t="n">
        <v>0</v>
      </c>
      <c r="K160" s="6" t="n">
        <v>20</v>
      </c>
      <c r="L160" s="6" t="n">
        <v>1</v>
      </c>
      <c r="M160" s="6" t="n">
        <v>19</v>
      </c>
      <c r="N160" s="11" t="n">
        <f aca="false">J160/(J160+K160)</f>
        <v>0</v>
      </c>
      <c r="O160" s="11" t="n">
        <f aca="false">IF(J160+L160=0,"",J160/(J160+L160))</f>
        <v>0</v>
      </c>
      <c r="P160" s="11" t="n">
        <f aca="false">2*J160/(2*J160+L160+K160)</f>
        <v>0</v>
      </c>
      <c r="Q160" s="11" t="n">
        <f aca="false">L160/(L160+M160)</f>
        <v>0.05</v>
      </c>
      <c r="R160" s="6" t="n">
        <v>0</v>
      </c>
      <c r="S160" s="11"/>
      <c r="T160" s="11" t="n">
        <v>0</v>
      </c>
      <c r="U160" s="11" t="n">
        <v>0.9</v>
      </c>
      <c r="V160" s="11" t="n">
        <v>0.9</v>
      </c>
    </row>
    <row r="161" customFormat="false" ht="15" hidden="false" customHeight="false" outlineLevel="0" collapsed="false">
      <c r="A161" s="6" t="s">
        <v>46</v>
      </c>
      <c r="B161" s="6" t="s">
        <v>43</v>
      </c>
      <c r="C161" s="6" t="s">
        <v>44</v>
      </c>
      <c r="D161" s="6" t="s">
        <v>115</v>
      </c>
      <c r="E161" s="6" t="n">
        <v>1</v>
      </c>
      <c r="F161" s="6" t="n">
        <v>5</v>
      </c>
      <c r="G161" s="6" t="s">
        <v>73</v>
      </c>
      <c r="H161" s="11" t="n">
        <v>0.05</v>
      </c>
      <c r="I161" s="6" t="n">
        <v>20</v>
      </c>
      <c r="J161" s="6" t="n">
        <v>0</v>
      </c>
      <c r="K161" s="6" t="n">
        <v>20</v>
      </c>
      <c r="L161" s="6" t="n">
        <v>0</v>
      </c>
      <c r="M161" s="6" t="n">
        <v>20</v>
      </c>
      <c r="N161" s="11" t="n">
        <f aca="false">J161/(J161+K161)</f>
        <v>0</v>
      </c>
      <c r="O161" s="11" t="str">
        <f aca="false">IF(J161+L161=0,"",J161/(J161+L161))</f>
        <v/>
      </c>
      <c r="P161" s="11" t="n">
        <f aca="false">2*J161/(2*J161+L161+K161)</f>
        <v>0</v>
      </c>
      <c r="Q161" s="11" t="n">
        <f aca="false">L161/(L161+M161)</f>
        <v>0</v>
      </c>
      <c r="R161" s="6" t="n">
        <v>0</v>
      </c>
      <c r="S161" s="11"/>
      <c r="T161" s="11" t="n">
        <v>0</v>
      </c>
      <c r="U161" s="11" t="n">
        <v>0.65</v>
      </c>
      <c r="V161" s="11" t="n">
        <v>0.65</v>
      </c>
    </row>
    <row r="162" customFormat="false" ht="15" hidden="false" customHeight="false" outlineLevel="0" collapsed="false">
      <c r="A162" s="6" t="s">
        <v>46</v>
      </c>
      <c r="B162" s="6" t="s">
        <v>43</v>
      </c>
      <c r="C162" s="6" t="s">
        <v>44</v>
      </c>
      <c r="D162" s="6" t="s">
        <v>115</v>
      </c>
      <c r="E162" s="6" t="n">
        <v>1</v>
      </c>
      <c r="F162" s="6" t="n">
        <v>5</v>
      </c>
      <c r="G162" s="6" t="s">
        <v>74</v>
      </c>
      <c r="H162" s="11" t="n">
        <v>0.05</v>
      </c>
      <c r="I162" s="6" t="n">
        <v>20</v>
      </c>
      <c r="J162" s="6" t="n">
        <v>1</v>
      </c>
      <c r="K162" s="6" t="n">
        <v>19</v>
      </c>
      <c r="L162" s="6" t="n">
        <v>1</v>
      </c>
      <c r="M162" s="6" t="n">
        <v>19</v>
      </c>
      <c r="N162" s="11" t="n">
        <f aca="false">J162/(J162+K162)</f>
        <v>0.05</v>
      </c>
      <c r="O162" s="11" t="n">
        <f aca="false">IF(J162+L162=0,"",J162/(J162+L162))</f>
        <v>0.5</v>
      </c>
      <c r="P162" s="11" t="n">
        <f aca="false">2*J162/(2*J162+L162+K162)</f>
        <v>0.0909090909090909</v>
      </c>
      <c r="Q162" s="11" t="n">
        <f aca="false">L162/(L162+M162)</f>
        <v>0.05</v>
      </c>
      <c r="R162" s="6" t="n">
        <v>3</v>
      </c>
      <c r="S162" s="11" t="n">
        <v>0</v>
      </c>
      <c r="T162" s="11" t="n">
        <v>0.0588235294117647</v>
      </c>
      <c r="U162" s="11" t="n">
        <v>0.85</v>
      </c>
      <c r="V162" s="11" t="n">
        <v>0.85</v>
      </c>
    </row>
    <row r="163" customFormat="false" ht="15" hidden="false" customHeight="false" outlineLevel="0" collapsed="false">
      <c r="A163" s="6" t="s">
        <v>46</v>
      </c>
      <c r="B163" s="6" t="s">
        <v>43</v>
      </c>
      <c r="C163" s="6" t="s">
        <v>44</v>
      </c>
      <c r="D163" s="6" t="s">
        <v>115</v>
      </c>
      <c r="E163" s="6" t="n">
        <v>1</v>
      </c>
      <c r="F163" s="6" t="n">
        <v>5</v>
      </c>
      <c r="G163" s="6" t="s">
        <v>75</v>
      </c>
      <c r="H163" s="11" t="n">
        <v>0.05</v>
      </c>
      <c r="I163" s="6" t="n">
        <v>20</v>
      </c>
      <c r="J163" s="6" t="n">
        <v>0</v>
      </c>
      <c r="K163" s="6" t="n">
        <v>20</v>
      </c>
      <c r="L163" s="6" t="n">
        <v>0</v>
      </c>
      <c r="M163" s="6" t="n">
        <v>20</v>
      </c>
      <c r="N163" s="11" t="n">
        <f aca="false">J163/(J163+K163)</f>
        <v>0</v>
      </c>
      <c r="O163" s="11" t="str">
        <f aca="false">IF(J163+L163=0,"",J163/(J163+L163))</f>
        <v/>
      </c>
      <c r="P163" s="11" t="n">
        <f aca="false">2*J163/(2*J163+L163+K163)</f>
        <v>0</v>
      </c>
      <c r="Q163" s="11" t="n">
        <f aca="false">L163/(L163+M163)</f>
        <v>0</v>
      </c>
      <c r="R163" s="6" t="n">
        <v>2</v>
      </c>
      <c r="S163" s="11" t="n">
        <v>0</v>
      </c>
      <c r="T163" s="11" t="n">
        <v>0</v>
      </c>
      <c r="U163" s="11" t="n">
        <v>0.9</v>
      </c>
      <c r="V163" s="11" t="n">
        <v>0.95</v>
      </c>
    </row>
    <row r="164" customFormat="false" ht="15" hidden="false" customHeight="false" outlineLevel="0" collapsed="false">
      <c r="A164" s="6" t="s">
        <v>46</v>
      </c>
      <c r="B164" s="6" t="s">
        <v>43</v>
      </c>
      <c r="C164" s="6" t="s">
        <v>44</v>
      </c>
      <c r="D164" s="6" t="s">
        <v>115</v>
      </c>
      <c r="E164" s="6" t="n">
        <v>1</v>
      </c>
      <c r="F164" s="6" t="n">
        <v>5</v>
      </c>
      <c r="G164" s="6" t="s">
        <v>76</v>
      </c>
      <c r="H164" s="11" t="n">
        <v>0.05</v>
      </c>
      <c r="I164" s="6" t="n">
        <v>20</v>
      </c>
      <c r="J164" s="6" t="n">
        <v>0</v>
      </c>
      <c r="K164" s="6" t="n">
        <v>20</v>
      </c>
      <c r="L164" s="6" t="n">
        <v>0</v>
      </c>
      <c r="M164" s="6" t="n">
        <v>20</v>
      </c>
      <c r="N164" s="11" t="n">
        <f aca="false">J164/(J164+K164)</f>
        <v>0</v>
      </c>
      <c r="O164" s="11" t="str">
        <f aca="false">IF(J164+L164=0,"",J164/(J164+L164))</f>
        <v/>
      </c>
      <c r="P164" s="11" t="n">
        <f aca="false">2*J164/(2*J164+L164+K164)</f>
        <v>0</v>
      </c>
      <c r="Q164" s="11" t="n">
        <f aca="false">L164/(L164+M164)</f>
        <v>0</v>
      </c>
      <c r="R164" s="6" t="n">
        <v>0</v>
      </c>
      <c r="S164" s="11"/>
      <c r="T164" s="11" t="n">
        <v>0</v>
      </c>
      <c r="U164" s="11" t="n">
        <v>0.95</v>
      </c>
      <c r="V164" s="11" t="n">
        <v>0.95</v>
      </c>
    </row>
    <row r="165" customFormat="false" ht="15" hidden="false" customHeight="false" outlineLevel="0" collapsed="false">
      <c r="A165" s="6" t="s">
        <v>46</v>
      </c>
      <c r="B165" s="6" t="s">
        <v>43</v>
      </c>
      <c r="C165" s="6" t="s">
        <v>44</v>
      </c>
      <c r="D165" s="6" t="s">
        <v>115</v>
      </c>
      <c r="E165" s="6" t="n">
        <v>1</v>
      </c>
      <c r="F165" s="6" t="n">
        <v>5</v>
      </c>
      <c r="G165" s="6" t="s">
        <v>77</v>
      </c>
      <c r="H165" s="11" t="n">
        <v>0.05</v>
      </c>
      <c r="I165" s="6" t="n">
        <v>20</v>
      </c>
      <c r="J165" s="6" t="n">
        <v>1</v>
      </c>
      <c r="K165" s="6" t="n">
        <v>19</v>
      </c>
      <c r="L165" s="6" t="n">
        <v>1</v>
      </c>
      <c r="M165" s="6" t="n">
        <v>19</v>
      </c>
      <c r="N165" s="11" t="n">
        <f aca="false">J165/(J165+K165)</f>
        <v>0.05</v>
      </c>
      <c r="O165" s="11" t="n">
        <f aca="false">IF(J165+L165=0,"",J165/(J165+L165))</f>
        <v>0.5</v>
      </c>
      <c r="P165" s="11" t="n">
        <f aca="false">2*J165/(2*J165+L165+K165)</f>
        <v>0.0909090909090909</v>
      </c>
      <c r="Q165" s="11" t="n">
        <f aca="false">L165/(L165+M165)</f>
        <v>0.05</v>
      </c>
      <c r="R165" s="6" t="n">
        <v>0</v>
      </c>
      <c r="S165" s="11"/>
      <c r="T165" s="11" t="n">
        <v>0.05</v>
      </c>
      <c r="U165" s="11" t="n">
        <v>1</v>
      </c>
      <c r="V165" s="11" t="n">
        <v>1</v>
      </c>
    </row>
    <row r="166" customFormat="false" ht="15" hidden="false" customHeight="false" outlineLevel="0" collapsed="false">
      <c r="A166" s="6" t="s">
        <v>46</v>
      </c>
      <c r="B166" s="6" t="s">
        <v>43</v>
      </c>
      <c r="C166" s="6" t="s">
        <v>44</v>
      </c>
      <c r="D166" s="6" t="s">
        <v>115</v>
      </c>
      <c r="E166" s="6" t="n">
        <v>1</v>
      </c>
      <c r="F166" s="6" t="n">
        <v>5</v>
      </c>
      <c r="G166" s="6" t="s">
        <v>78</v>
      </c>
      <c r="H166" s="11" t="n">
        <v>0.05</v>
      </c>
      <c r="I166" s="6" t="n">
        <v>200</v>
      </c>
      <c r="J166" s="6" t="n">
        <v>5</v>
      </c>
      <c r="K166" s="6" t="n">
        <v>195</v>
      </c>
      <c r="L166" s="6" t="n">
        <v>6</v>
      </c>
      <c r="M166" s="6" t="n">
        <v>194</v>
      </c>
      <c r="N166" s="11" t="n">
        <f aca="false">J166/(J166+K166)</f>
        <v>0.025</v>
      </c>
      <c r="O166" s="11" t="n">
        <f aca="false">IF(J166+L166=0,"",J166/(J166+L166))</f>
        <v>0.454545454545455</v>
      </c>
      <c r="P166" s="11" t="n">
        <f aca="false">2*J166/(2*J166+L166+K166)</f>
        <v>0.04739336492891</v>
      </c>
      <c r="Q166" s="11" t="n">
        <f aca="false">L166/(L166+M166)</f>
        <v>0.03</v>
      </c>
      <c r="R166" s="6" t="n">
        <v>5</v>
      </c>
      <c r="S166" s="11" t="n">
        <v>0</v>
      </c>
      <c r="T166" s="11" t="n">
        <v>0.0256410256410256</v>
      </c>
      <c r="U166" s="11" t="n">
        <v>0.88</v>
      </c>
      <c r="V166" s="11" t="n">
        <v>0.885</v>
      </c>
    </row>
    <row r="167" customFormat="false" ht="15" hidden="false" customHeight="false" outlineLevel="0" collapsed="false">
      <c r="A167" s="6" t="s">
        <v>46</v>
      </c>
      <c r="B167" s="6" t="s">
        <v>43</v>
      </c>
      <c r="C167" s="6" t="s">
        <v>44</v>
      </c>
      <c r="D167" s="6" t="s">
        <v>115</v>
      </c>
      <c r="E167" s="6" t="n">
        <v>1</v>
      </c>
      <c r="F167" s="6" t="n">
        <v>6</v>
      </c>
      <c r="G167" s="6" t="s">
        <v>68</v>
      </c>
      <c r="H167" s="11" t="n">
        <v>0.05</v>
      </c>
      <c r="I167" s="6" t="n">
        <v>20</v>
      </c>
      <c r="J167" s="6" t="n">
        <v>20</v>
      </c>
      <c r="K167" s="6" t="n">
        <v>0</v>
      </c>
      <c r="L167" s="6" t="n">
        <v>2</v>
      </c>
      <c r="M167" s="6" t="n">
        <v>18</v>
      </c>
      <c r="N167" s="11" t="n">
        <f aca="false">J167/(J167+K167)</f>
        <v>1</v>
      </c>
      <c r="O167" s="11" t="n">
        <f aca="false">IF(J167+L167=0,"",J167/(J167+L167))</f>
        <v>0.909090909090909</v>
      </c>
      <c r="P167" s="11" t="n">
        <f aca="false">2*J167/(2*J167+L167+K167)</f>
        <v>0.952380952380952</v>
      </c>
      <c r="Q167" s="11" t="n">
        <f aca="false">L167/(L167+M167)</f>
        <v>0.1</v>
      </c>
      <c r="R167" s="6" t="n">
        <v>20</v>
      </c>
      <c r="S167" s="11" t="n">
        <v>1</v>
      </c>
      <c r="T167" s="11"/>
      <c r="U167" s="11" t="n">
        <v>0.85</v>
      </c>
      <c r="V167" s="11" t="n">
        <v>0</v>
      </c>
    </row>
    <row r="168" customFormat="false" ht="15" hidden="false" customHeight="false" outlineLevel="0" collapsed="false">
      <c r="A168" s="6" t="s">
        <v>46</v>
      </c>
      <c r="B168" s="6" t="s">
        <v>43</v>
      </c>
      <c r="C168" s="6" t="s">
        <v>44</v>
      </c>
      <c r="D168" s="6" t="s">
        <v>115</v>
      </c>
      <c r="E168" s="6" t="n">
        <v>1</v>
      </c>
      <c r="F168" s="6" t="n">
        <v>6</v>
      </c>
      <c r="G168" s="6" t="s">
        <v>69</v>
      </c>
      <c r="H168" s="11" t="n">
        <v>0.05</v>
      </c>
      <c r="I168" s="6" t="n">
        <v>20</v>
      </c>
      <c r="J168" s="6" t="n">
        <v>20</v>
      </c>
      <c r="K168" s="6" t="n">
        <v>0</v>
      </c>
      <c r="L168" s="6" t="n">
        <v>1</v>
      </c>
      <c r="M168" s="6" t="n">
        <v>19</v>
      </c>
      <c r="N168" s="11" t="n">
        <f aca="false">J168/(J168+K168)</f>
        <v>1</v>
      </c>
      <c r="O168" s="11" t="n">
        <f aca="false">IF(J168+L168=0,"",J168/(J168+L168))</f>
        <v>0.952380952380952</v>
      </c>
      <c r="P168" s="11" t="n">
        <f aca="false">2*J168/(2*J168+L168+K168)</f>
        <v>0.975609756097561</v>
      </c>
      <c r="Q168" s="11" t="n">
        <f aca="false">L168/(L168+M168)</f>
        <v>0.05</v>
      </c>
      <c r="R168" s="6" t="n">
        <v>20</v>
      </c>
      <c r="S168" s="11" t="n">
        <v>1</v>
      </c>
      <c r="T168" s="11"/>
      <c r="U168" s="11" t="n">
        <v>1</v>
      </c>
      <c r="V168" s="11" t="n">
        <v>0</v>
      </c>
    </row>
    <row r="169" customFormat="false" ht="15" hidden="false" customHeight="false" outlineLevel="0" collapsed="false">
      <c r="A169" s="6" t="s">
        <v>46</v>
      </c>
      <c r="B169" s="6" t="s">
        <v>43</v>
      </c>
      <c r="C169" s="6" t="s">
        <v>44</v>
      </c>
      <c r="D169" s="6" t="s">
        <v>115</v>
      </c>
      <c r="E169" s="6" t="n">
        <v>1</v>
      </c>
      <c r="F169" s="6" t="n">
        <v>6</v>
      </c>
      <c r="G169" s="6" t="s">
        <v>70</v>
      </c>
      <c r="H169" s="11" t="n">
        <v>0.05</v>
      </c>
      <c r="I169" s="6" t="n">
        <v>20</v>
      </c>
      <c r="J169" s="6" t="n">
        <v>20</v>
      </c>
      <c r="K169" s="6" t="n">
        <v>0</v>
      </c>
      <c r="L169" s="6" t="n">
        <v>0</v>
      </c>
      <c r="M169" s="6" t="n">
        <v>20</v>
      </c>
      <c r="N169" s="11" t="n">
        <f aca="false">J169/(J169+K169)</f>
        <v>1</v>
      </c>
      <c r="O169" s="11" t="n">
        <f aca="false">IF(J169+L169=0,"",J169/(J169+L169))</f>
        <v>1</v>
      </c>
      <c r="P169" s="11" t="n">
        <f aca="false">2*J169/(2*J169+L169+K169)</f>
        <v>1</v>
      </c>
      <c r="Q169" s="11" t="n">
        <f aca="false">L169/(L169+M169)</f>
        <v>0</v>
      </c>
      <c r="R169" s="6" t="n">
        <v>13</v>
      </c>
      <c r="S169" s="11" t="n">
        <v>1</v>
      </c>
      <c r="T169" s="11" t="n">
        <v>1</v>
      </c>
      <c r="U169" s="11" t="n">
        <v>0.9</v>
      </c>
      <c r="V169" s="11" t="n">
        <v>0.4</v>
      </c>
    </row>
    <row r="170" customFormat="false" ht="15" hidden="false" customHeight="false" outlineLevel="0" collapsed="false">
      <c r="A170" s="6" t="s">
        <v>46</v>
      </c>
      <c r="B170" s="6" t="s">
        <v>43</v>
      </c>
      <c r="C170" s="6" t="s">
        <v>44</v>
      </c>
      <c r="D170" s="6" t="s">
        <v>115</v>
      </c>
      <c r="E170" s="6" t="n">
        <v>1</v>
      </c>
      <c r="F170" s="6" t="n">
        <v>6</v>
      </c>
      <c r="G170" s="6" t="s">
        <v>71</v>
      </c>
      <c r="H170" s="11" t="n">
        <v>0.05</v>
      </c>
      <c r="I170" s="6" t="n">
        <v>20</v>
      </c>
      <c r="J170" s="6" t="n">
        <v>20</v>
      </c>
      <c r="K170" s="6" t="n">
        <v>0</v>
      </c>
      <c r="L170" s="6" t="n">
        <v>0</v>
      </c>
      <c r="M170" s="6" t="n">
        <v>20</v>
      </c>
      <c r="N170" s="11" t="n">
        <f aca="false">J170/(J170+K170)</f>
        <v>1</v>
      </c>
      <c r="O170" s="11" t="n">
        <f aca="false">IF(J170+L170=0,"",J170/(J170+L170))</f>
        <v>1</v>
      </c>
      <c r="P170" s="11" t="n">
        <f aca="false">2*J170/(2*J170+L170+K170)</f>
        <v>1</v>
      </c>
      <c r="Q170" s="11" t="n">
        <f aca="false">L170/(L170+M170)</f>
        <v>0</v>
      </c>
      <c r="R170" s="6" t="n">
        <v>18</v>
      </c>
      <c r="S170" s="11" t="n">
        <v>1</v>
      </c>
      <c r="T170" s="11" t="n">
        <v>1</v>
      </c>
      <c r="U170" s="11" t="n">
        <v>0.8</v>
      </c>
      <c r="V170" s="11" t="n">
        <v>0</v>
      </c>
    </row>
    <row r="171" customFormat="false" ht="15" hidden="false" customHeight="false" outlineLevel="0" collapsed="false">
      <c r="A171" s="6" t="s">
        <v>46</v>
      </c>
      <c r="B171" s="6" t="s">
        <v>43</v>
      </c>
      <c r="C171" s="6" t="s">
        <v>44</v>
      </c>
      <c r="D171" s="6" t="s">
        <v>115</v>
      </c>
      <c r="E171" s="6" t="n">
        <v>1</v>
      </c>
      <c r="F171" s="6" t="n">
        <v>6</v>
      </c>
      <c r="G171" s="6" t="s">
        <v>72</v>
      </c>
      <c r="H171" s="11" t="n">
        <v>0.05</v>
      </c>
      <c r="I171" s="6" t="n">
        <v>20</v>
      </c>
      <c r="J171" s="6" t="n">
        <v>20</v>
      </c>
      <c r="K171" s="6" t="n">
        <v>0</v>
      </c>
      <c r="L171" s="6" t="n">
        <v>1</v>
      </c>
      <c r="M171" s="6" t="n">
        <v>19</v>
      </c>
      <c r="N171" s="11" t="n">
        <f aca="false">J171/(J171+K171)</f>
        <v>1</v>
      </c>
      <c r="O171" s="11" t="n">
        <f aca="false">IF(J171+L171=0,"",J171/(J171+L171))</f>
        <v>0.952380952380952</v>
      </c>
      <c r="P171" s="11" t="n">
        <f aca="false">2*J171/(2*J171+L171+K171)</f>
        <v>0.975609756097561</v>
      </c>
      <c r="Q171" s="11" t="n">
        <f aca="false">L171/(L171+M171)</f>
        <v>0.05</v>
      </c>
      <c r="R171" s="6" t="n">
        <v>19</v>
      </c>
      <c r="S171" s="11" t="n">
        <v>1</v>
      </c>
      <c r="T171" s="11" t="n">
        <v>1</v>
      </c>
      <c r="U171" s="11" t="n">
        <v>0.9</v>
      </c>
      <c r="V171" s="11" t="n">
        <v>0</v>
      </c>
    </row>
    <row r="172" customFormat="false" ht="15" hidden="false" customHeight="false" outlineLevel="0" collapsed="false">
      <c r="A172" s="6" t="s">
        <v>46</v>
      </c>
      <c r="B172" s="6" t="s">
        <v>43</v>
      </c>
      <c r="C172" s="6" t="s">
        <v>44</v>
      </c>
      <c r="D172" s="6" t="s">
        <v>115</v>
      </c>
      <c r="E172" s="6" t="n">
        <v>1</v>
      </c>
      <c r="F172" s="6" t="n">
        <v>6</v>
      </c>
      <c r="G172" s="6" t="s">
        <v>73</v>
      </c>
      <c r="H172" s="11" t="n">
        <v>0.05</v>
      </c>
      <c r="I172" s="6" t="n">
        <v>20</v>
      </c>
      <c r="J172" s="6" t="n">
        <v>20</v>
      </c>
      <c r="K172" s="6" t="n">
        <v>0</v>
      </c>
      <c r="L172" s="6" t="n">
        <v>0</v>
      </c>
      <c r="M172" s="6" t="n">
        <v>20</v>
      </c>
      <c r="N172" s="11" t="n">
        <f aca="false">J172/(J172+K172)</f>
        <v>1</v>
      </c>
      <c r="O172" s="11" t="n">
        <f aca="false">IF(J172+L172=0,"",J172/(J172+L172))</f>
        <v>1</v>
      </c>
      <c r="P172" s="11" t="n">
        <f aca="false">2*J172/(2*J172+L172+K172)</f>
        <v>1</v>
      </c>
      <c r="Q172" s="11" t="n">
        <f aca="false">L172/(L172+M172)</f>
        <v>0</v>
      </c>
      <c r="R172" s="6" t="n">
        <v>20</v>
      </c>
      <c r="S172" s="11" t="n">
        <v>1</v>
      </c>
      <c r="T172" s="11"/>
      <c r="U172" s="11" t="n">
        <v>0.65</v>
      </c>
      <c r="V172" s="11" t="n">
        <v>0</v>
      </c>
    </row>
    <row r="173" customFormat="false" ht="15" hidden="false" customHeight="false" outlineLevel="0" collapsed="false">
      <c r="A173" s="6" t="s">
        <v>46</v>
      </c>
      <c r="B173" s="6" t="s">
        <v>43</v>
      </c>
      <c r="C173" s="6" t="s">
        <v>44</v>
      </c>
      <c r="D173" s="6" t="s">
        <v>115</v>
      </c>
      <c r="E173" s="6" t="n">
        <v>1</v>
      </c>
      <c r="F173" s="6" t="n">
        <v>6</v>
      </c>
      <c r="G173" s="6" t="s">
        <v>74</v>
      </c>
      <c r="H173" s="11" t="n">
        <v>0.05</v>
      </c>
      <c r="I173" s="6" t="n">
        <v>20</v>
      </c>
      <c r="J173" s="6" t="n">
        <v>20</v>
      </c>
      <c r="K173" s="6" t="n">
        <v>0</v>
      </c>
      <c r="L173" s="6" t="n">
        <v>1</v>
      </c>
      <c r="M173" s="6" t="n">
        <v>19</v>
      </c>
      <c r="N173" s="11" t="n">
        <f aca="false">J173/(J173+K173)</f>
        <v>1</v>
      </c>
      <c r="O173" s="11" t="n">
        <f aca="false">IF(J173+L173=0,"",J173/(J173+L173))</f>
        <v>0.952380952380952</v>
      </c>
      <c r="P173" s="11" t="n">
        <f aca="false">2*J173/(2*J173+L173+K173)</f>
        <v>0.975609756097561</v>
      </c>
      <c r="Q173" s="11" t="n">
        <f aca="false">L173/(L173+M173)</f>
        <v>0.05</v>
      </c>
      <c r="R173" s="6" t="n">
        <v>18</v>
      </c>
      <c r="S173" s="11" t="n">
        <v>1</v>
      </c>
      <c r="T173" s="11" t="n">
        <v>1</v>
      </c>
      <c r="U173" s="11" t="n">
        <v>0.85</v>
      </c>
      <c r="V173" s="11" t="n">
        <v>0</v>
      </c>
    </row>
    <row r="174" customFormat="false" ht="15" hidden="false" customHeight="false" outlineLevel="0" collapsed="false">
      <c r="A174" s="6" t="s">
        <v>46</v>
      </c>
      <c r="B174" s="6" t="s">
        <v>43</v>
      </c>
      <c r="C174" s="6" t="s">
        <v>44</v>
      </c>
      <c r="D174" s="6" t="s">
        <v>115</v>
      </c>
      <c r="E174" s="6" t="n">
        <v>1</v>
      </c>
      <c r="F174" s="6" t="n">
        <v>6</v>
      </c>
      <c r="G174" s="6" t="s">
        <v>75</v>
      </c>
      <c r="H174" s="11" t="n">
        <v>0.05</v>
      </c>
      <c r="I174" s="6" t="n">
        <v>20</v>
      </c>
      <c r="J174" s="6" t="n">
        <v>20</v>
      </c>
      <c r="K174" s="6" t="n">
        <v>0</v>
      </c>
      <c r="L174" s="6" t="n">
        <v>0</v>
      </c>
      <c r="M174" s="6" t="n">
        <v>20</v>
      </c>
      <c r="N174" s="11" t="n">
        <f aca="false">J174/(J174+K174)</f>
        <v>1</v>
      </c>
      <c r="O174" s="11" t="n">
        <f aca="false">IF(J174+L174=0,"",J174/(J174+L174))</f>
        <v>1</v>
      </c>
      <c r="P174" s="11" t="n">
        <f aca="false">2*J174/(2*J174+L174+K174)</f>
        <v>1</v>
      </c>
      <c r="Q174" s="11" t="n">
        <f aca="false">L174/(L174+M174)</f>
        <v>0</v>
      </c>
      <c r="R174" s="6" t="n">
        <v>20</v>
      </c>
      <c r="S174" s="11" t="n">
        <v>1</v>
      </c>
      <c r="T174" s="11"/>
      <c r="U174" s="11" t="n">
        <v>0.9</v>
      </c>
      <c r="V174" s="11" t="n">
        <v>0</v>
      </c>
    </row>
    <row r="175" customFormat="false" ht="15" hidden="false" customHeight="false" outlineLevel="0" collapsed="false">
      <c r="A175" s="6" t="s">
        <v>46</v>
      </c>
      <c r="B175" s="6" t="s">
        <v>43</v>
      </c>
      <c r="C175" s="6" t="s">
        <v>44</v>
      </c>
      <c r="D175" s="6" t="s">
        <v>115</v>
      </c>
      <c r="E175" s="6" t="n">
        <v>1</v>
      </c>
      <c r="F175" s="6" t="n">
        <v>6</v>
      </c>
      <c r="G175" s="6" t="s">
        <v>76</v>
      </c>
      <c r="H175" s="11" t="n">
        <v>0.05</v>
      </c>
      <c r="I175" s="6" t="n">
        <v>20</v>
      </c>
      <c r="J175" s="6" t="n">
        <v>20</v>
      </c>
      <c r="K175" s="6" t="n">
        <v>0</v>
      </c>
      <c r="L175" s="6" t="n">
        <v>0</v>
      </c>
      <c r="M175" s="6" t="n">
        <v>20</v>
      </c>
      <c r="N175" s="11" t="n">
        <f aca="false">J175/(J175+K175)</f>
        <v>1</v>
      </c>
      <c r="O175" s="11" t="n">
        <f aca="false">IF(J175+L175=0,"",J175/(J175+L175))</f>
        <v>1</v>
      </c>
      <c r="P175" s="11" t="n">
        <f aca="false">2*J175/(2*J175+L175+K175)</f>
        <v>1</v>
      </c>
      <c r="Q175" s="11" t="n">
        <f aca="false">L175/(L175+M175)</f>
        <v>0</v>
      </c>
      <c r="R175" s="6" t="n">
        <v>14</v>
      </c>
      <c r="S175" s="11" t="n">
        <v>1</v>
      </c>
      <c r="T175" s="11" t="n">
        <v>1</v>
      </c>
      <c r="U175" s="11" t="n">
        <v>0.95</v>
      </c>
      <c r="V175" s="11" t="n">
        <v>0.3</v>
      </c>
    </row>
    <row r="176" customFormat="false" ht="15" hidden="false" customHeight="false" outlineLevel="0" collapsed="false">
      <c r="A176" s="6" t="s">
        <v>46</v>
      </c>
      <c r="B176" s="6" t="s">
        <v>43</v>
      </c>
      <c r="C176" s="6" t="s">
        <v>44</v>
      </c>
      <c r="D176" s="6" t="s">
        <v>115</v>
      </c>
      <c r="E176" s="6" t="n">
        <v>1</v>
      </c>
      <c r="F176" s="6" t="n">
        <v>6</v>
      </c>
      <c r="G176" s="6" t="s">
        <v>77</v>
      </c>
      <c r="H176" s="11" t="n">
        <v>0.05</v>
      </c>
      <c r="I176" s="6" t="n">
        <v>20</v>
      </c>
      <c r="J176" s="6" t="n">
        <v>20</v>
      </c>
      <c r="K176" s="6" t="n">
        <v>0</v>
      </c>
      <c r="L176" s="6" t="n">
        <v>1</v>
      </c>
      <c r="M176" s="6" t="n">
        <v>19</v>
      </c>
      <c r="N176" s="11" t="n">
        <f aca="false">J176/(J176+K176)</f>
        <v>1</v>
      </c>
      <c r="O176" s="11" t="n">
        <f aca="false">IF(J176+L176=0,"",J176/(J176+L176))</f>
        <v>0.952380952380952</v>
      </c>
      <c r="P176" s="11" t="n">
        <f aca="false">2*J176/(2*J176+L176+K176)</f>
        <v>0.975609756097561</v>
      </c>
      <c r="Q176" s="11" t="n">
        <f aca="false">L176/(L176+M176)</f>
        <v>0.05</v>
      </c>
      <c r="R176" s="6" t="n">
        <v>20</v>
      </c>
      <c r="S176" s="11" t="n">
        <v>1</v>
      </c>
      <c r="T176" s="11"/>
      <c r="U176" s="11" t="n">
        <v>1</v>
      </c>
      <c r="V176" s="11" t="n">
        <v>0</v>
      </c>
    </row>
    <row r="177" customFormat="false" ht="15" hidden="false" customHeight="false" outlineLevel="0" collapsed="false">
      <c r="A177" s="6" t="s">
        <v>46</v>
      </c>
      <c r="B177" s="6" t="s">
        <v>43</v>
      </c>
      <c r="C177" s="6" t="s">
        <v>44</v>
      </c>
      <c r="D177" s="6" t="s">
        <v>115</v>
      </c>
      <c r="E177" s="6" t="n">
        <v>1</v>
      </c>
      <c r="F177" s="6" t="n">
        <v>6</v>
      </c>
      <c r="G177" s="6" t="s">
        <v>78</v>
      </c>
      <c r="H177" s="11" t="n">
        <v>0.05</v>
      </c>
      <c r="I177" s="6" t="n">
        <v>200</v>
      </c>
      <c r="J177" s="6" t="n">
        <v>200</v>
      </c>
      <c r="K177" s="6" t="n">
        <v>0</v>
      </c>
      <c r="L177" s="6" t="n">
        <v>6</v>
      </c>
      <c r="M177" s="6" t="n">
        <v>194</v>
      </c>
      <c r="N177" s="11" t="n">
        <f aca="false">J177/(J177+K177)</f>
        <v>1</v>
      </c>
      <c r="O177" s="11" t="n">
        <f aca="false">IF(J177+L177=0,"",J177/(J177+L177))</f>
        <v>0.970873786407767</v>
      </c>
      <c r="P177" s="11" t="n">
        <f aca="false">2*J177/(2*J177+L177+K177)</f>
        <v>0.985221674876847</v>
      </c>
      <c r="Q177" s="11" t="n">
        <f aca="false">L177/(L177+M177)</f>
        <v>0.03</v>
      </c>
      <c r="R177" s="6" t="n">
        <v>182</v>
      </c>
      <c r="S177" s="11" t="n">
        <v>1</v>
      </c>
      <c r="T177" s="11" t="n">
        <v>1</v>
      </c>
      <c r="U177" s="11" t="n">
        <v>0.88</v>
      </c>
      <c r="V177" s="11" t="n">
        <v>0.07</v>
      </c>
    </row>
    <row r="178" customFormat="false" ht="15" hidden="false" customHeight="false" outlineLevel="0" collapsed="false">
      <c r="A178" s="6" t="s">
        <v>46</v>
      </c>
      <c r="B178" s="6" t="s">
        <v>43</v>
      </c>
      <c r="C178" s="6" t="s">
        <v>44</v>
      </c>
      <c r="D178" s="6" t="s">
        <v>115</v>
      </c>
      <c r="E178" s="6" t="n">
        <v>1</v>
      </c>
      <c r="F178" s="6" t="n">
        <v>7</v>
      </c>
      <c r="G178" s="6" t="s">
        <v>68</v>
      </c>
      <c r="H178" s="11" t="n">
        <v>0.05</v>
      </c>
      <c r="I178" s="6" t="n">
        <v>20</v>
      </c>
      <c r="J178" s="6" t="n">
        <v>2</v>
      </c>
      <c r="K178" s="6" t="n">
        <v>18</v>
      </c>
      <c r="L178" s="6" t="n">
        <v>2</v>
      </c>
      <c r="M178" s="6" t="n">
        <v>18</v>
      </c>
      <c r="N178" s="11" t="n">
        <f aca="false">J178/(J178+K178)</f>
        <v>0.1</v>
      </c>
      <c r="O178" s="11" t="n">
        <f aca="false">IF(J178+L178=0,"",J178/(J178+L178))</f>
        <v>0.5</v>
      </c>
      <c r="P178" s="11" t="n">
        <f aca="false">2*J178/(2*J178+L178+K178)</f>
        <v>0.166666666666667</v>
      </c>
      <c r="Q178" s="11" t="n">
        <f aca="false">L178/(L178+M178)</f>
        <v>0.1</v>
      </c>
      <c r="R178" s="6" t="n">
        <v>0</v>
      </c>
      <c r="S178" s="11"/>
      <c r="T178" s="11" t="n">
        <v>0.1</v>
      </c>
      <c r="U178" s="11" t="n">
        <v>0.85</v>
      </c>
      <c r="V178" s="11" t="n">
        <v>0.85</v>
      </c>
    </row>
    <row r="179" customFormat="false" ht="15" hidden="false" customHeight="false" outlineLevel="0" collapsed="false">
      <c r="A179" s="6" t="s">
        <v>46</v>
      </c>
      <c r="B179" s="6" t="s">
        <v>43</v>
      </c>
      <c r="C179" s="6" t="s">
        <v>44</v>
      </c>
      <c r="D179" s="6" t="s">
        <v>115</v>
      </c>
      <c r="E179" s="6" t="n">
        <v>1</v>
      </c>
      <c r="F179" s="6" t="n">
        <v>7</v>
      </c>
      <c r="G179" s="6" t="s">
        <v>69</v>
      </c>
      <c r="H179" s="11" t="n">
        <v>0.05</v>
      </c>
      <c r="I179" s="6" t="n">
        <v>20</v>
      </c>
      <c r="J179" s="6" t="n">
        <v>1</v>
      </c>
      <c r="K179" s="6" t="n">
        <v>19</v>
      </c>
      <c r="L179" s="6" t="n">
        <v>1</v>
      </c>
      <c r="M179" s="6" t="n">
        <v>19</v>
      </c>
      <c r="N179" s="11" t="n">
        <f aca="false">J179/(J179+K179)</f>
        <v>0.05</v>
      </c>
      <c r="O179" s="11" t="n">
        <f aca="false">IF(J179+L179=0,"",J179/(J179+L179))</f>
        <v>0.5</v>
      </c>
      <c r="P179" s="11" t="n">
        <f aca="false">2*J179/(2*J179+L179+K179)</f>
        <v>0.0909090909090909</v>
      </c>
      <c r="Q179" s="11" t="n">
        <f aca="false">L179/(L179+M179)</f>
        <v>0.05</v>
      </c>
      <c r="R179" s="6" t="n">
        <v>0</v>
      </c>
      <c r="S179" s="11"/>
      <c r="T179" s="11" t="n">
        <v>0.05</v>
      </c>
      <c r="U179" s="11" t="n">
        <v>1</v>
      </c>
      <c r="V179" s="11" t="n">
        <v>1</v>
      </c>
    </row>
    <row r="180" customFormat="false" ht="15" hidden="false" customHeight="false" outlineLevel="0" collapsed="false">
      <c r="A180" s="6" t="s">
        <v>46</v>
      </c>
      <c r="B180" s="6" t="s">
        <v>43</v>
      </c>
      <c r="C180" s="6" t="s">
        <v>44</v>
      </c>
      <c r="D180" s="6" t="s">
        <v>115</v>
      </c>
      <c r="E180" s="6" t="n">
        <v>1</v>
      </c>
      <c r="F180" s="6" t="n">
        <v>7</v>
      </c>
      <c r="G180" s="6" t="s">
        <v>70</v>
      </c>
      <c r="H180" s="11" t="n">
        <v>0.05</v>
      </c>
      <c r="I180" s="6" t="n">
        <v>20</v>
      </c>
      <c r="J180" s="6" t="n">
        <v>0</v>
      </c>
      <c r="K180" s="6" t="n">
        <v>20</v>
      </c>
      <c r="L180" s="6" t="n">
        <v>0</v>
      </c>
      <c r="M180" s="6" t="n">
        <v>20</v>
      </c>
      <c r="N180" s="11" t="n">
        <f aca="false">J180/(J180+K180)</f>
        <v>0</v>
      </c>
      <c r="O180" s="11" t="str">
        <f aca="false">IF(J180+L180=0,"",J180/(J180+L180))</f>
        <v/>
      </c>
      <c r="P180" s="11" t="n">
        <f aca="false">2*J180/(2*J180+L180+K180)</f>
        <v>0</v>
      </c>
      <c r="Q180" s="11" t="n">
        <f aca="false">L180/(L180+M180)</f>
        <v>0</v>
      </c>
      <c r="R180" s="6" t="n">
        <v>0</v>
      </c>
      <c r="S180" s="11"/>
      <c r="T180" s="11" t="n">
        <v>0</v>
      </c>
      <c r="U180" s="11" t="n">
        <v>0.9</v>
      </c>
      <c r="V180" s="11" t="n">
        <v>0.9</v>
      </c>
    </row>
    <row r="181" customFormat="false" ht="15" hidden="false" customHeight="false" outlineLevel="0" collapsed="false">
      <c r="A181" s="6" t="s">
        <v>46</v>
      </c>
      <c r="B181" s="6" t="s">
        <v>43</v>
      </c>
      <c r="C181" s="6" t="s">
        <v>44</v>
      </c>
      <c r="D181" s="6" t="s">
        <v>115</v>
      </c>
      <c r="E181" s="6" t="n">
        <v>1</v>
      </c>
      <c r="F181" s="6" t="n">
        <v>7</v>
      </c>
      <c r="G181" s="6" t="s">
        <v>71</v>
      </c>
      <c r="H181" s="11" t="n">
        <v>0.05</v>
      </c>
      <c r="I181" s="6" t="n">
        <v>20</v>
      </c>
      <c r="J181" s="6" t="n">
        <v>0</v>
      </c>
      <c r="K181" s="6" t="n">
        <v>20</v>
      </c>
      <c r="L181" s="6" t="n">
        <v>0</v>
      </c>
      <c r="M181" s="6" t="n">
        <v>20</v>
      </c>
      <c r="N181" s="11" t="n">
        <f aca="false">J181/(J181+K181)</f>
        <v>0</v>
      </c>
      <c r="O181" s="11" t="str">
        <f aca="false">IF(J181+L181=0,"",J181/(J181+L181))</f>
        <v/>
      </c>
      <c r="P181" s="11" t="n">
        <f aca="false">2*J181/(2*J181+L181+K181)</f>
        <v>0</v>
      </c>
      <c r="Q181" s="11" t="n">
        <f aca="false">L181/(L181+M181)</f>
        <v>0</v>
      </c>
      <c r="R181" s="6" t="n">
        <v>0</v>
      </c>
      <c r="S181" s="11"/>
      <c r="T181" s="11" t="n">
        <v>0</v>
      </c>
      <c r="U181" s="11" t="n">
        <v>0.8</v>
      </c>
      <c r="V181" s="11" t="n">
        <v>0.8</v>
      </c>
    </row>
    <row r="182" customFormat="false" ht="15" hidden="false" customHeight="false" outlineLevel="0" collapsed="false">
      <c r="A182" s="6" t="s">
        <v>46</v>
      </c>
      <c r="B182" s="6" t="s">
        <v>43</v>
      </c>
      <c r="C182" s="6" t="s">
        <v>44</v>
      </c>
      <c r="D182" s="6" t="s">
        <v>115</v>
      </c>
      <c r="E182" s="6" t="n">
        <v>1</v>
      </c>
      <c r="F182" s="6" t="n">
        <v>7</v>
      </c>
      <c r="G182" s="6" t="s">
        <v>72</v>
      </c>
      <c r="H182" s="11" t="n">
        <v>0.05</v>
      </c>
      <c r="I182" s="6" t="n">
        <v>20</v>
      </c>
      <c r="J182" s="6" t="n">
        <v>1</v>
      </c>
      <c r="K182" s="6" t="n">
        <v>19</v>
      </c>
      <c r="L182" s="6" t="n">
        <v>1</v>
      </c>
      <c r="M182" s="6" t="n">
        <v>19</v>
      </c>
      <c r="N182" s="11" t="n">
        <f aca="false">J182/(J182+K182)</f>
        <v>0.05</v>
      </c>
      <c r="O182" s="11" t="n">
        <f aca="false">IF(J182+L182=0,"",J182/(J182+L182))</f>
        <v>0.5</v>
      </c>
      <c r="P182" s="11" t="n">
        <f aca="false">2*J182/(2*J182+L182+K182)</f>
        <v>0.0909090909090909</v>
      </c>
      <c r="Q182" s="11" t="n">
        <f aca="false">L182/(L182+M182)</f>
        <v>0.05</v>
      </c>
      <c r="R182" s="6" t="n">
        <v>0</v>
      </c>
      <c r="S182" s="11"/>
      <c r="T182" s="11" t="n">
        <v>0.05</v>
      </c>
      <c r="U182" s="11" t="n">
        <v>0.9</v>
      </c>
      <c r="V182" s="11" t="n">
        <v>0.9</v>
      </c>
    </row>
    <row r="183" customFormat="false" ht="15" hidden="false" customHeight="false" outlineLevel="0" collapsed="false">
      <c r="A183" s="6" t="s">
        <v>46</v>
      </c>
      <c r="B183" s="6" t="s">
        <v>43</v>
      </c>
      <c r="C183" s="6" t="s">
        <v>44</v>
      </c>
      <c r="D183" s="6" t="s">
        <v>115</v>
      </c>
      <c r="E183" s="6" t="n">
        <v>1</v>
      </c>
      <c r="F183" s="6" t="n">
        <v>7</v>
      </c>
      <c r="G183" s="6" t="s">
        <v>73</v>
      </c>
      <c r="H183" s="11" t="n">
        <v>0.05</v>
      </c>
      <c r="I183" s="6" t="n">
        <v>20</v>
      </c>
      <c r="J183" s="6" t="n">
        <v>0</v>
      </c>
      <c r="K183" s="6" t="n">
        <v>20</v>
      </c>
      <c r="L183" s="6" t="n">
        <v>0</v>
      </c>
      <c r="M183" s="6" t="n">
        <v>20</v>
      </c>
      <c r="N183" s="11" t="n">
        <f aca="false">J183/(J183+K183)</f>
        <v>0</v>
      </c>
      <c r="O183" s="11" t="str">
        <f aca="false">IF(J183+L183=0,"",J183/(J183+L183))</f>
        <v/>
      </c>
      <c r="P183" s="11" t="n">
        <f aca="false">2*J183/(2*J183+L183+K183)</f>
        <v>0</v>
      </c>
      <c r="Q183" s="11" t="n">
        <f aca="false">L183/(L183+M183)</f>
        <v>0</v>
      </c>
      <c r="R183" s="6" t="n">
        <v>0</v>
      </c>
      <c r="S183" s="11"/>
      <c r="T183" s="11" t="n">
        <v>0</v>
      </c>
      <c r="U183" s="11" t="n">
        <v>0.65</v>
      </c>
      <c r="V183" s="11" t="n">
        <v>0.65</v>
      </c>
    </row>
    <row r="184" customFormat="false" ht="15" hidden="false" customHeight="false" outlineLevel="0" collapsed="false">
      <c r="A184" s="6" t="s">
        <v>46</v>
      </c>
      <c r="B184" s="6" t="s">
        <v>43</v>
      </c>
      <c r="C184" s="6" t="s">
        <v>44</v>
      </c>
      <c r="D184" s="6" t="s">
        <v>115</v>
      </c>
      <c r="E184" s="6" t="n">
        <v>1</v>
      </c>
      <c r="F184" s="6" t="n">
        <v>7</v>
      </c>
      <c r="G184" s="6" t="s">
        <v>74</v>
      </c>
      <c r="H184" s="11" t="n">
        <v>0.05</v>
      </c>
      <c r="I184" s="6" t="n">
        <v>20</v>
      </c>
      <c r="J184" s="6" t="n">
        <v>1</v>
      </c>
      <c r="K184" s="6" t="n">
        <v>19</v>
      </c>
      <c r="L184" s="6" t="n">
        <v>1</v>
      </c>
      <c r="M184" s="6" t="n">
        <v>19</v>
      </c>
      <c r="N184" s="11" t="n">
        <f aca="false">J184/(J184+K184)</f>
        <v>0.05</v>
      </c>
      <c r="O184" s="11" t="n">
        <f aca="false">IF(J184+L184=0,"",J184/(J184+L184))</f>
        <v>0.5</v>
      </c>
      <c r="P184" s="11" t="n">
        <f aca="false">2*J184/(2*J184+L184+K184)</f>
        <v>0.0909090909090909</v>
      </c>
      <c r="Q184" s="11" t="n">
        <f aca="false">L184/(L184+M184)</f>
        <v>0.05</v>
      </c>
      <c r="R184" s="6" t="n">
        <v>0</v>
      </c>
      <c r="S184" s="11"/>
      <c r="T184" s="11" t="n">
        <v>0.05</v>
      </c>
      <c r="U184" s="11" t="n">
        <v>0.85</v>
      </c>
      <c r="V184" s="11" t="n">
        <v>0.85</v>
      </c>
    </row>
    <row r="185" customFormat="false" ht="15" hidden="false" customHeight="false" outlineLevel="0" collapsed="false">
      <c r="A185" s="6" t="s">
        <v>46</v>
      </c>
      <c r="B185" s="6" t="s">
        <v>43</v>
      </c>
      <c r="C185" s="6" t="s">
        <v>44</v>
      </c>
      <c r="D185" s="6" t="s">
        <v>115</v>
      </c>
      <c r="E185" s="6" t="n">
        <v>1</v>
      </c>
      <c r="F185" s="6" t="n">
        <v>7</v>
      </c>
      <c r="G185" s="6" t="s">
        <v>75</v>
      </c>
      <c r="H185" s="11" t="n">
        <v>0.05</v>
      </c>
      <c r="I185" s="6" t="n">
        <v>20</v>
      </c>
      <c r="J185" s="6" t="n">
        <v>0</v>
      </c>
      <c r="K185" s="6" t="n">
        <v>20</v>
      </c>
      <c r="L185" s="6" t="n">
        <v>0</v>
      </c>
      <c r="M185" s="6" t="n">
        <v>20</v>
      </c>
      <c r="N185" s="11" t="n">
        <f aca="false">J185/(J185+K185)</f>
        <v>0</v>
      </c>
      <c r="O185" s="11" t="str">
        <f aca="false">IF(J185+L185=0,"",J185/(J185+L185))</f>
        <v/>
      </c>
      <c r="P185" s="11" t="n">
        <f aca="false">2*J185/(2*J185+L185+K185)</f>
        <v>0</v>
      </c>
      <c r="Q185" s="11" t="n">
        <f aca="false">L185/(L185+M185)</f>
        <v>0</v>
      </c>
      <c r="R185" s="6" t="n">
        <v>0</v>
      </c>
      <c r="S185" s="11"/>
      <c r="T185" s="11" t="n">
        <v>0</v>
      </c>
      <c r="U185" s="11" t="n">
        <v>0.9</v>
      </c>
      <c r="V185" s="11" t="n">
        <v>0.9</v>
      </c>
    </row>
    <row r="186" customFormat="false" ht="15" hidden="false" customHeight="false" outlineLevel="0" collapsed="false">
      <c r="A186" s="6" t="s">
        <v>46</v>
      </c>
      <c r="B186" s="6" t="s">
        <v>43</v>
      </c>
      <c r="C186" s="6" t="s">
        <v>44</v>
      </c>
      <c r="D186" s="6" t="s">
        <v>115</v>
      </c>
      <c r="E186" s="6" t="n">
        <v>1</v>
      </c>
      <c r="F186" s="6" t="n">
        <v>7</v>
      </c>
      <c r="G186" s="6" t="s">
        <v>76</v>
      </c>
      <c r="H186" s="11" t="n">
        <v>0.05</v>
      </c>
      <c r="I186" s="6" t="n">
        <v>20</v>
      </c>
      <c r="J186" s="6" t="n">
        <v>0</v>
      </c>
      <c r="K186" s="6" t="n">
        <v>20</v>
      </c>
      <c r="L186" s="6" t="n">
        <v>0</v>
      </c>
      <c r="M186" s="6" t="n">
        <v>20</v>
      </c>
      <c r="N186" s="11" t="n">
        <f aca="false">J186/(J186+K186)</f>
        <v>0</v>
      </c>
      <c r="O186" s="11" t="str">
        <f aca="false">IF(J186+L186=0,"",J186/(J186+L186))</f>
        <v/>
      </c>
      <c r="P186" s="11" t="n">
        <f aca="false">2*J186/(2*J186+L186+K186)</f>
        <v>0</v>
      </c>
      <c r="Q186" s="11" t="n">
        <f aca="false">L186/(L186+M186)</f>
        <v>0</v>
      </c>
      <c r="R186" s="6" t="n">
        <v>0</v>
      </c>
      <c r="S186" s="11"/>
      <c r="T186" s="11" t="n">
        <v>0</v>
      </c>
      <c r="U186" s="11" t="n">
        <v>0.95</v>
      </c>
      <c r="V186" s="11" t="n">
        <v>0.95</v>
      </c>
    </row>
    <row r="187" customFormat="false" ht="15" hidden="false" customHeight="false" outlineLevel="0" collapsed="false">
      <c r="A187" s="6" t="s">
        <v>46</v>
      </c>
      <c r="B187" s="6" t="s">
        <v>43</v>
      </c>
      <c r="C187" s="6" t="s">
        <v>44</v>
      </c>
      <c r="D187" s="6" t="s">
        <v>115</v>
      </c>
      <c r="E187" s="6" t="n">
        <v>1</v>
      </c>
      <c r="F187" s="6" t="n">
        <v>7</v>
      </c>
      <c r="G187" s="6" t="s">
        <v>77</v>
      </c>
      <c r="H187" s="11" t="n">
        <v>0.05</v>
      </c>
      <c r="I187" s="6" t="n">
        <v>20</v>
      </c>
      <c r="J187" s="6" t="n">
        <v>1</v>
      </c>
      <c r="K187" s="6" t="n">
        <v>19</v>
      </c>
      <c r="L187" s="6" t="n">
        <v>1</v>
      </c>
      <c r="M187" s="6" t="n">
        <v>19</v>
      </c>
      <c r="N187" s="11" t="n">
        <f aca="false">J187/(J187+K187)</f>
        <v>0.05</v>
      </c>
      <c r="O187" s="11" t="n">
        <f aca="false">IF(J187+L187=0,"",J187/(J187+L187))</f>
        <v>0.5</v>
      </c>
      <c r="P187" s="11" t="n">
        <f aca="false">2*J187/(2*J187+L187+K187)</f>
        <v>0.0909090909090909</v>
      </c>
      <c r="Q187" s="11" t="n">
        <f aca="false">L187/(L187+M187)</f>
        <v>0.05</v>
      </c>
      <c r="R187" s="6" t="n">
        <v>0</v>
      </c>
      <c r="S187" s="11"/>
      <c r="T187" s="11" t="n">
        <v>0.05</v>
      </c>
      <c r="U187" s="11" t="n">
        <v>1</v>
      </c>
      <c r="V187" s="11" t="n">
        <v>1</v>
      </c>
    </row>
    <row r="188" customFormat="false" ht="15" hidden="false" customHeight="false" outlineLevel="0" collapsed="false">
      <c r="A188" s="6" t="s">
        <v>46</v>
      </c>
      <c r="B188" s="6" t="s">
        <v>43</v>
      </c>
      <c r="C188" s="6" t="s">
        <v>44</v>
      </c>
      <c r="D188" s="6" t="s">
        <v>115</v>
      </c>
      <c r="E188" s="6" t="n">
        <v>1</v>
      </c>
      <c r="F188" s="6" t="n">
        <v>7</v>
      </c>
      <c r="G188" s="6" t="s">
        <v>78</v>
      </c>
      <c r="H188" s="11" t="n">
        <v>0.05</v>
      </c>
      <c r="I188" s="6" t="n">
        <v>200</v>
      </c>
      <c r="J188" s="6" t="n">
        <v>6</v>
      </c>
      <c r="K188" s="6" t="n">
        <v>194</v>
      </c>
      <c r="L188" s="6" t="n">
        <v>6</v>
      </c>
      <c r="M188" s="6" t="n">
        <v>194</v>
      </c>
      <c r="N188" s="11" t="n">
        <f aca="false">J188/(J188+K188)</f>
        <v>0.03</v>
      </c>
      <c r="O188" s="11" t="n">
        <f aca="false">IF(J188+L188=0,"",J188/(J188+L188))</f>
        <v>0.5</v>
      </c>
      <c r="P188" s="11" t="n">
        <f aca="false">2*J188/(2*J188+L188+K188)</f>
        <v>0.0566037735849057</v>
      </c>
      <c r="Q188" s="11" t="n">
        <f aca="false">L188/(L188+M188)</f>
        <v>0.03</v>
      </c>
      <c r="R188" s="6" t="n">
        <v>0</v>
      </c>
      <c r="S188" s="11"/>
      <c r="T188" s="11" t="n">
        <v>0.03</v>
      </c>
      <c r="U188" s="11" t="n">
        <v>0.88</v>
      </c>
      <c r="V188" s="11" t="n">
        <v>0.88</v>
      </c>
    </row>
    <row r="189" customFormat="false" ht="15" hidden="false" customHeight="false" outlineLevel="0" collapsed="false">
      <c r="A189" s="6" t="s">
        <v>46</v>
      </c>
      <c r="B189" s="6" t="s">
        <v>43</v>
      </c>
      <c r="C189" s="6" t="s">
        <v>44</v>
      </c>
      <c r="D189" s="6" t="s">
        <v>115</v>
      </c>
      <c r="E189" s="6" t="n">
        <v>1</v>
      </c>
      <c r="F189" s="6" t="n">
        <v>8</v>
      </c>
      <c r="G189" s="6" t="s">
        <v>68</v>
      </c>
      <c r="H189" s="11" t="n">
        <v>0.05</v>
      </c>
      <c r="I189" s="6" t="n">
        <v>20</v>
      </c>
      <c r="J189" s="6" t="n">
        <v>2</v>
      </c>
      <c r="K189" s="6" t="n">
        <v>18</v>
      </c>
      <c r="L189" s="6" t="n">
        <v>2</v>
      </c>
      <c r="M189" s="6" t="n">
        <v>18</v>
      </c>
      <c r="N189" s="11" t="n">
        <f aca="false">J189/(J189+K189)</f>
        <v>0.1</v>
      </c>
      <c r="O189" s="11" t="n">
        <f aca="false">IF(J189+L189=0,"",J189/(J189+L189))</f>
        <v>0.5</v>
      </c>
      <c r="P189" s="11" t="n">
        <f aca="false">2*J189/(2*J189+L189+K189)</f>
        <v>0.166666666666667</v>
      </c>
      <c r="Q189" s="11" t="n">
        <f aca="false">L189/(L189+M189)</f>
        <v>0.1</v>
      </c>
      <c r="R189" s="6" t="n">
        <v>0</v>
      </c>
      <c r="S189" s="11"/>
      <c r="T189" s="11" t="n">
        <v>0.1</v>
      </c>
      <c r="U189" s="11" t="n">
        <v>0.85</v>
      </c>
      <c r="V189" s="11" t="n">
        <v>0.85</v>
      </c>
    </row>
    <row r="190" customFormat="false" ht="15" hidden="false" customHeight="false" outlineLevel="0" collapsed="false">
      <c r="A190" s="6" t="s">
        <v>46</v>
      </c>
      <c r="B190" s="6" t="s">
        <v>43</v>
      </c>
      <c r="C190" s="6" t="s">
        <v>44</v>
      </c>
      <c r="D190" s="6" t="s">
        <v>115</v>
      </c>
      <c r="E190" s="6" t="n">
        <v>1</v>
      </c>
      <c r="F190" s="6" t="n">
        <v>8</v>
      </c>
      <c r="G190" s="6" t="s">
        <v>69</v>
      </c>
      <c r="H190" s="11" t="n">
        <v>0.05</v>
      </c>
      <c r="I190" s="6" t="n">
        <v>20</v>
      </c>
      <c r="J190" s="6" t="n">
        <v>1</v>
      </c>
      <c r="K190" s="6" t="n">
        <v>19</v>
      </c>
      <c r="L190" s="6" t="n">
        <v>1</v>
      </c>
      <c r="M190" s="6" t="n">
        <v>19</v>
      </c>
      <c r="N190" s="11" t="n">
        <f aca="false">J190/(J190+K190)</f>
        <v>0.05</v>
      </c>
      <c r="O190" s="11" t="n">
        <f aca="false">IF(J190+L190=0,"",J190/(J190+L190))</f>
        <v>0.5</v>
      </c>
      <c r="P190" s="11" t="n">
        <f aca="false">2*J190/(2*J190+L190+K190)</f>
        <v>0.0909090909090909</v>
      </c>
      <c r="Q190" s="11" t="n">
        <f aca="false">L190/(L190+M190)</f>
        <v>0.05</v>
      </c>
      <c r="R190" s="6" t="n">
        <v>0</v>
      </c>
      <c r="S190" s="11"/>
      <c r="T190" s="11" t="n">
        <v>0.05</v>
      </c>
      <c r="U190" s="11" t="n">
        <v>1</v>
      </c>
      <c r="V190" s="11" t="n">
        <v>1</v>
      </c>
    </row>
    <row r="191" customFormat="false" ht="15" hidden="false" customHeight="false" outlineLevel="0" collapsed="false">
      <c r="A191" s="6" t="s">
        <v>46</v>
      </c>
      <c r="B191" s="6" t="s">
        <v>43</v>
      </c>
      <c r="C191" s="6" t="s">
        <v>44</v>
      </c>
      <c r="D191" s="6" t="s">
        <v>115</v>
      </c>
      <c r="E191" s="6" t="n">
        <v>1</v>
      </c>
      <c r="F191" s="6" t="n">
        <v>8</v>
      </c>
      <c r="G191" s="6" t="s">
        <v>70</v>
      </c>
      <c r="H191" s="11" t="n">
        <v>0.05</v>
      </c>
      <c r="I191" s="6" t="n">
        <v>20</v>
      </c>
      <c r="J191" s="6" t="n">
        <v>0</v>
      </c>
      <c r="K191" s="6" t="n">
        <v>20</v>
      </c>
      <c r="L191" s="6" t="n">
        <v>0</v>
      </c>
      <c r="M191" s="6" t="n">
        <v>20</v>
      </c>
      <c r="N191" s="11" t="n">
        <f aca="false">J191/(J191+K191)</f>
        <v>0</v>
      </c>
      <c r="O191" s="11" t="str">
        <f aca="false">IF(J191+L191=0,"",J191/(J191+L191))</f>
        <v/>
      </c>
      <c r="P191" s="11" t="n">
        <f aca="false">2*J191/(2*J191+L191+K191)</f>
        <v>0</v>
      </c>
      <c r="Q191" s="11" t="n">
        <f aca="false">L191/(L191+M191)</f>
        <v>0</v>
      </c>
      <c r="R191" s="6" t="n">
        <v>0</v>
      </c>
      <c r="S191" s="11"/>
      <c r="T191" s="11" t="n">
        <v>0</v>
      </c>
      <c r="U191" s="11" t="n">
        <v>0.9</v>
      </c>
      <c r="V191" s="11" t="n">
        <v>0.9</v>
      </c>
    </row>
    <row r="192" customFormat="false" ht="15" hidden="false" customHeight="false" outlineLevel="0" collapsed="false">
      <c r="A192" s="6" t="s">
        <v>46</v>
      </c>
      <c r="B192" s="6" t="s">
        <v>43</v>
      </c>
      <c r="C192" s="6" t="s">
        <v>44</v>
      </c>
      <c r="D192" s="6" t="s">
        <v>115</v>
      </c>
      <c r="E192" s="6" t="n">
        <v>1</v>
      </c>
      <c r="F192" s="6" t="n">
        <v>8</v>
      </c>
      <c r="G192" s="6" t="s">
        <v>71</v>
      </c>
      <c r="H192" s="11" t="n">
        <v>0.05</v>
      </c>
      <c r="I192" s="6" t="n">
        <v>20</v>
      </c>
      <c r="J192" s="6" t="n">
        <v>0</v>
      </c>
      <c r="K192" s="6" t="n">
        <v>20</v>
      </c>
      <c r="L192" s="6" t="n">
        <v>0</v>
      </c>
      <c r="M192" s="6" t="n">
        <v>20</v>
      </c>
      <c r="N192" s="11" t="n">
        <f aca="false">J192/(J192+K192)</f>
        <v>0</v>
      </c>
      <c r="O192" s="11" t="str">
        <f aca="false">IF(J192+L192=0,"",J192/(J192+L192))</f>
        <v/>
      </c>
      <c r="P192" s="11" t="n">
        <f aca="false">2*J192/(2*J192+L192+K192)</f>
        <v>0</v>
      </c>
      <c r="Q192" s="11" t="n">
        <f aca="false">L192/(L192+M192)</f>
        <v>0</v>
      </c>
      <c r="R192" s="6" t="n">
        <v>0</v>
      </c>
      <c r="S192" s="11"/>
      <c r="T192" s="11" t="n">
        <v>0</v>
      </c>
      <c r="U192" s="11" t="n">
        <v>0.8</v>
      </c>
      <c r="V192" s="11" t="n">
        <v>0.8</v>
      </c>
    </row>
    <row r="193" customFormat="false" ht="15" hidden="false" customHeight="false" outlineLevel="0" collapsed="false">
      <c r="A193" s="6" t="s">
        <v>46</v>
      </c>
      <c r="B193" s="6" t="s">
        <v>43</v>
      </c>
      <c r="C193" s="6" t="s">
        <v>44</v>
      </c>
      <c r="D193" s="6" t="s">
        <v>115</v>
      </c>
      <c r="E193" s="6" t="n">
        <v>1</v>
      </c>
      <c r="F193" s="6" t="n">
        <v>8</v>
      </c>
      <c r="G193" s="6" t="s">
        <v>72</v>
      </c>
      <c r="H193" s="11" t="n">
        <v>0.05</v>
      </c>
      <c r="I193" s="6" t="n">
        <v>20</v>
      </c>
      <c r="J193" s="6" t="n">
        <v>0</v>
      </c>
      <c r="K193" s="6" t="n">
        <v>20</v>
      </c>
      <c r="L193" s="6" t="n">
        <v>1</v>
      </c>
      <c r="M193" s="6" t="n">
        <v>19</v>
      </c>
      <c r="N193" s="11" t="n">
        <f aca="false">J193/(J193+K193)</f>
        <v>0</v>
      </c>
      <c r="O193" s="11" t="n">
        <f aca="false">IF(J193+L193=0,"",J193/(J193+L193))</f>
        <v>0</v>
      </c>
      <c r="P193" s="11" t="n">
        <f aca="false">2*J193/(2*J193+L193+K193)</f>
        <v>0</v>
      </c>
      <c r="Q193" s="11" t="n">
        <f aca="false">L193/(L193+M193)</f>
        <v>0.05</v>
      </c>
      <c r="R193" s="6" t="n">
        <v>0</v>
      </c>
      <c r="S193" s="11"/>
      <c r="T193" s="11" t="n">
        <v>0</v>
      </c>
      <c r="U193" s="11" t="n">
        <v>0.9</v>
      </c>
      <c r="V193" s="11" t="n">
        <v>0.9</v>
      </c>
    </row>
    <row r="194" customFormat="false" ht="15" hidden="false" customHeight="false" outlineLevel="0" collapsed="false">
      <c r="A194" s="6" t="s">
        <v>46</v>
      </c>
      <c r="B194" s="6" t="s">
        <v>43</v>
      </c>
      <c r="C194" s="6" t="s">
        <v>44</v>
      </c>
      <c r="D194" s="6" t="s">
        <v>115</v>
      </c>
      <c r="E194" s="6" t="n">
        <v>1</v>
      </c>
      <c r="F194" s="6" t="n">
        <v>8</v>
      </c>
      <c r="G194" s="6" t="s">
        <v>73</v>
      </c>
      <c r="H194" s="11" t="n">
        <v>0.05</v>
      </c>
      <c r="I194" s="6" t="n">
        <v>20</v>
      </c>
      <c r="J194" s="6" t="n">
        <v>0</v>
      </c>
      <c r="K194" s="6" t="n">
        <v>20</v>
      </c>
      <c r="L194" s="6" t="n">
        <v>0</v>
      </c>
      <c r="M194" s="6" t="n">
        <v>20</v>
      </c>
      <c r="N194" s="11" t="n">
        <f aca="false">J194/(J194+K194)</f>
        <v>0</v>
      </c>
      <c r="O194" s="11" t="str">
        <f aca="false">IF(J194+L194=0,"",J194/(J194+L194))</f>
        <v/>
      </c>
      <c r="P194" s="11" t="n">
        <f aca="false">2*J194/(2*J194+L194+K194)</f>
        <v>0</v>
      </c>
      <c r="Q194" s="11" t="n">
        <f aca="false">L194/(L194+M194)</f>
        <v>0</v>
      </c>
      <c r="R194" s="6" t="n">
        <v>1</v>
      </c>
      <c r="S194" s="11" t="n">
        <v>0</v>
      </c>
      <c r="T194" s="11" t="n">
        <v>0</v>
      </c>
      <c r="U194" s="11" t="n">
        <v>0.65</v>
      </c>
      <c r="V194" s="11" t="n">
        <v>0.65</v>
      </c>
    </row>
    <row r="195" customFormat="false" ht="15" hidden="false" customHeight="false" outlineLevel="0" collapsed="false">
      <c r="A195" s="6" t="s">
        <v>46</v>
      </c>
      <c r="B195" s="6" t="s">
        <v>43</v>
      </c>
      <c r="C195" s="6" t="s">
        <v>44</v>
      </c>
      <c r="D195" s="6" t="s">
        <v>115</v>
      </c>
      <c r="E195" s="6" t="n">
        <v>1</v>
      </c>
      <c r="F195" s="6" t="n">
        <v>8</v>
      </c>
      <c r="G195" s="6" t="s">
        <v>74</v>
      </c>
      <c r="H195" s="11" t="n">
        <v>0.05</v>
      </c>
      <c r="I195" s="6" t="n">
        <v>20</v>
      </c>
      <c r="J195" s="6" t="n">
        <v>1</v>
      </c>
      <c r="K195" s="6" t="n">
        <v>19</v>
      </c>
      <c r="L195" s="6" t="n">
        <v>1</v>
      </c>
      <c r="M195" s="6" t="n">
        <v>19</v>
      </c>
      <c r="N195" s="11" t="n">
        <f aca="false">J195/(J195+K195)</f>
        <v>0.05</v>
      </c>
      <c r="O195" s="11" t="n">
        <f aca="false">IF(J195+L195=0,"",J195/(J195+L195))</f>
        <v>0.5</v>
      </c>
      <c r="P195" s="11" t="n">
        <f aca="false">2*J195/(2*J195+L195+K195)</f>
        <v>0.0909090909090909</v>
      </c>
      <c r="Q195" s="11" t="n">
        <f aca="false">L195/(L195+M195)</f>
        <v>0.05</v>
      </c>
      <c r="R195" s="6" t="n">
        <v>1</v>
      </c>
      <c r="S195" s="11" t="n">
        <v>0</v>
      </c>
      <c r="T195" s="11" t="n">
        <v>0.0526315789473684</v>
      </c>
      <c r="U195" s="11" t="n">
        <v>0.85</v>
      </c>
      <c r="V195" s="11" t="n">
        <v>0.85</v>
      </c>
    </row>
    <row r="196" customFormat="false" ht="15" hidden="false" customHeight="false" outlineLevel="0" collapsed="false">
      <c r="A196" s="6" t="s">
        <v>46</v>
      </c>
      <c r="B196" s="6" t="s">
        <v>43</v>
      </c>
      <c r="C196" s="6" t="s">
        <v>44</v>
      </c>
      <c r="D196" s="6" t="s">
        <v>115</v>
      </c>
      <c r="E196" s="6" t="n">
        <v>1</v>
      </c>
      <c r="F196" s="6" t="n">
        <v>8</v>
      </c>
      <c r="G196" s="6" t="s">
        <v>75</v>
      </c>
      <c r="H196" s="11" t="n">
        <v>0.05</v>
      </c>
      <c r="I196" s="6" t="n">
        <v>20</v>
      </c>
      <c r="J196" s="6" t="n">
        <v>0</v>
      </c>
      <c r="K196" s="6" t="n">
        <v>20</v>
      </c>
      <c r="L196" s="6" t="n">
        <v>0</v>
      </c>
      <c r="M196" s="6" t="n">
        <v>20</v>
      </c>
      <c r="N196" s="11" t="n">
        <f aca="false">J196/(J196+K196)</f>
        <v>0</v>
      </c>
      <c r="O196" s="11" t="str">
        <f aca="false">IF(J196+L196=0,"",J196/(J196+L196))</f>
        <v/>
      </c>
      <c r="P196" s="11" t="n">
        <f aca="false">2*J196/(2*J196+L196+K196)</f>
        <v>0</v>
      </c>
      <c r="Q196" s="11" t="n">
        <f aca="false">L196/(L196+M196)</f>
        <v>0</v>
      </c>
      <c r="R196" s="6" t="n">
        <v>0</v>
      </c>
      <c r="S196" s="11"/>
      <c r="T196" s="11" t="n">
        <v>0</v>
      </c>
      <c r="U196" s="11" t="n">
        <v>0.9</v>
      </c>
      <c r="V196" s="11" t="n">
        <v>0.9</v>
      </c>
    </row>
    <row r="197" customFormat="false" ht="15" hidden="false" customHeight="false" outlineLevel="0" collapsed="false">
      <c r="A197" s="6" t="s">
        <v>46</v>
      </c>
      <c r="B197" s="6" t="s">
        <v>43</v>
      </c>
      <c r="C197" s="6" t="s">
        <v>44</v>
      </c>
      <c r="D197" s="6" t="s">
        <v>115</v>
      </c>
      <c r="E197" s="6" t="n">
        <v>1</v>
      </c>
      <c r="F197" s="6" t="n">
        <v>8</v>
      </c>
      <c r="G197" s="6" t="s">
        <v>76</v>
      </c>
      <c r="H197" s="11" t="n">
        <v>0.05</v>
      </c>
      <c r="I197" s="6" t="n">
        <v>20</v>
      </c>
      <c r="J197" s="6" t="n">
        <v>0</v>
      </c>
      <c r="K197" s="6" t="n">
        <v>20</v>
      </c>
      <c r="L197" s="6" t="n">
        <v>0</v>
      </c>
      <c r="M197" s="6" t="n">
        <v>20</v>
      </c>
      <c r="N197" s="11" t="n">
        <f aca="false">J197/(J197+K197)</f>
        <v>0</v>
      </c>
      <c r="O197" s="11" t="str">
        <f aca="false">IF(J197+L197=0,"",J197/(J197+L197))</f>
        <v/>
      </c>
      <c r="P197" s="11" t="n">
        <f aca="false">2*J197/(2*J197+L197+K197)</f>
        <v>0</v>
      </c>
      <c r="Q197" s="11" t="n">
        <f aca="false">L197/(L197+M197)</f>
        <v>0</v>
      </c>
      <c r="R197" s="6" t="n">
        <v>0</v>
      </c>
      <c r="S197" s="11"/>
      <c r="T197" s="11" t="n">
        <v>0</v>
      </c>
      <c r="U197" s="11" t="n">
        <v>0.95</v>
      </c>
      <c r="V197" s="11" t="n">
        <v>0.95</v>
      </c>
    </row>
    <row r="198" customFormat="false" ht="15" hidden="false" customHeight="false" outlineLevel="0" collapsed="false">
      <c r="A198" s="6" t="s">
        <v>46</v>
      </c>
      <c r="B198" s="6" t="s">
        <v>43</v>
      </c>
      <c r="C198" s="6" t="s">
        <v>44</v>
      </c>
      <c r="D198" s="6" t="s">
        <v>115</v>
      </c>
      <c r="E198" s="6" t="n">
        <v>1</v>
      </c>
      <c r="F198" s="6" t="n">
        <v>8</v>
      </c>
      <c r="G198" s="6" t="s">
        <v>77</v>
      </c>
      <c r="H198" s="11" t="n">
        <v>0.05</v>
      </c>
      <c r="I198" s="6" t="n">
        <v>20</v>
      </c>
      <c r="J198" s="6" t="n">
        <v>1</v>
      </c>
      <c r="K198" s="6" t="n">
        <v>19</v>
      </c>
      <c r="L198" s="6" t="n">
        <v>1</v>
      </c>
      <c r="M198" s="6" t="n">
        <v>19</v>
      </c>
      <c r="N198" s="11" t="n">
        <f aca="false">J198/(J198+K198)</f>
        <v>0.05</v>
      </c>
      <c r="O198" s="11" t="n">
        <f aca="false">IF(J198+L198=0,"",J198/(J198+L198))</f>
        <v>0.5</v>
      </c>
      <c r="P198" s="11" t="n">
        <f aca="false">2*J198/(2*J198+L198+K198)</f>
        <v>0.0909090909090909</v>
      </c>
      <c r="Q198" s="11" t="n">
        <f aca="false">L198/(L198+M198)</f>
        <v>0.05</v>
      </c>
      <c r="R198" s="6" t="n">
        <v>0</v>
      </c>
      <c r="S198" s="11"/>
      <c r="T198" s="11" t="n">
        <v>0.05</v>
      </c>
      <c r="U198" s="11" t="n">
        <v>1</v>
      </c>
      <c r="V198" s="11" t="n">
        <v>1</v>
      </c>
    </row>
    <row r="199" customFormat="false" ht="15" hidden="false" customHeight="false" outlineLevel="0" collapsed="false">
      <c r="A199" s="6" t="s">
        <v>46</v>
      </c>
      <c r="B199" s="6" t="s">
        <v>43</v>
      </c>
      <c r="C199" s="6" t="s">
        <v>44</v>
      </c>
      <c r="D199" s="6" t="s">
        <v>115</v>
      </c>
      <c r="E199" s="6" t="n">
        <v>1</v>
      </c>
      <c r="F199" s="6" t="n">
        <v>8</v>
      </c>
      <c r="G199" s="6" t="s">
        <v>78</v>
      </c>
      <c r="H199" s="11" t="n">
        <v>0.05</v>
      </c>
      <c r="I199" s="6" t="n">
        <v>200</v>
      </c>
      <c r="J199" s="6" t="n">
        <v>5</v>
      </c>
      <c r="K199" s="6" t="n">
        <v>195</v>
      </c>
      <c r="L199" s="6" t="n">
        <v>6</v>
      </c>
      <c r="M199" s="6" t="n">
        <v>194</v>
      </c>
      <c r="N199" s="11" t="n">
        <f aca="false">J199/(J199+K199)</f>
        <v>0.025</v>
      </c>
      <c r="O199" s="11" t="n">
        <f aca="false">IF(J199+L199=0,"",J199/(J199+L199))</f>
        <v>0.454545454545455</v>
      </c>
      <c r="P199" s="11" t="n">
        <f aca="false">2*J199/(2*J199+L199+K199)</f>
        <v>0.04739336492891</v>
      </c>
      <c r="Q199" s="11" t="n">
        <f aca="false">L199/(L199+M199)</f>
        <v>0.03</v>
      </c>
      <c r="R199" s="6" t="n">
        <v>2</v>
      </c>
      <c r="S199" s="11" t="n">
        <v>0</v>
      </c>
      <c r="T199" s="11" t="n">
        <v>0.0252525252525253</v>
      </c>
      <c r="U199" s="11" t="n">
        <v>0.88</v>
      </c>
      <c r="V199" s="11" t="n">
        <v>0.88</v>
      </c>
    </row>
    <row r="200" customFormat="false" ht="15" hidden="false" customHeight="false" outlineLevel="0" collapsed="false">
      <c r="A200" s="6" t="s">
        <v>46</v>
      </c>
      <c r="B200" s="6" t="s">
        <v>43</v>
      </c>
      <c r="C200" s="6" t="s">
        <v>44</v>
      </c>
      <c r="D200" s="6" t="s">
        <v>115</v>
      </c>
      <c r="E200" s="6" t="n">
        <v>1</v>
      </c>
      <c r="F200" s="6" t="n">
        <v>9</v>
      </c>
      <c r="G200" s="6" t="s">
        <v>68</v>
      </c>
      <c r="H200" s="11" t="n">
        <v>0.05</v>
      </c>
      <c r="I200" s="6" t="n">
        <v>20</v>
      </c>
      <c r="J200" s="6" t="n">
        <v>2</v>
      </c>
      <c r="K200" s="6" t="n">
        <v>18</v>
      </c>
      <c r="L200" s="6" t="n">
        <v>2</v>
      </c>
      <c r="M200" s="6" t="n">
        <v>18</v>
      </c>
      <c r="N200" s="11" t="n">
        <f aca="false">J200/(J200+K200)</f>
        <v>0.1</v>
      </c>
      <c r="O200" s="11" t="n">
        <f aca="false">IF(J200+L200=0,"",J200/(J200+L200))</f>
        <v>0.5</v>
      </c>
      <c r="P200" s="11" t="n">
        <f aca="false">2*J200/(2*J200+L200+K200)</f>
        <v>0.166666666666667</v>
      </c>
      <c r="Q200" s="11" t="n">
        <f aca="false">L200/(L200+M200)</f>
        <v>0.1</v>
      </c>
      <c r="R200" s="6" t="n">
        <v>0</v>
      </c>
      <c r="S200" s="11"/>
      <c r="T200" s="11" t="n">
        <v>0.1</v>
      </c>
      <c r="U200" s="11" t="n">
        <v>0.85</v>
      </c>
      <c r="V200" s="11" t="n">
        <v>0.85</v>
      </c>
    </row>
    <row r="201" customFormat="false" ht="15" hidden="false" customHeight="false" outlineLevel="0" collapsed="false">
      <c r="A201" s="6" t="s">
        <v>46</v>
      </c>
      <c r="B201" s="6" t="s">
        <v>43</v>
      </c>
      <c r="C201" s="6" t="s">
        <v>44</v>
      </c>
      <c r="D201" s="6" t="s">
        <v>115</v>
      </c>
      <c r="E201" s="6" t="n">
        <v>1</v>
      </c>
      <c r="F201" s="6" t="n">
        <v>9</v>
      </c>
      <c r="G201" s="6" t="s">
        <v>69</v>
      </c>
      <c r="H201" s="11" t="n">
        <v>0.05</v>
      </c>
      <c r="I201" s="6" t="n">
        <v>20</v>
      </c>
      <c r="J201" s="6" t="n">
        <v>1</v>
      </c>
      <c r="K201" s="6" t="n">
        <v>19</v>
      </c>
      <c r="L201" s="6" t="n">
        <v>1</v>
      </c>
      <c r="M201" s="6" t="n">
        <v>19</v>
      </c>
      <c r="N201" s="11" t="n">
        <f aca="false">J201/(J201+K201)</f>
        <v>0.05</v>
      </c>
      <c r="O201" s="11" t="n">
        <f aca="false">IF(J201+L201=0,"",J201/(J201+L201))</f>
        <v>0.5</v>
      </c>
      <c r="P201" s="11" t="n">
        <f aca="false">2*J201/(2*J201+L201+K201)</f>
        <v>0.0909090909090909</v>
      </c>
      <c r="Q201" s="11" t="n">
        <f aca="false">L201/(L201+M201)</f>
        <v>0.05</v>
      </c>
      <c r="R201" s="6" t="n">
        <v>0</v>
      </c>
      <c r="S201" s="11"/>
      <c r="T201" s="11" t="n">
        <v>0.05</v>
      </c>
      <c r="U201" s="11" t="n">
        <v>1</v>
      </c>
      <c r="V201" s="11" t="n">
        <v>1</v>
      </c>
    </row>
    <row r="202" customFormat="false" ht="15" hidden="false" customHeight="false" outlineLevel="0" collapsed="false">
      <c r="A202" s="6" t="s">
        <v>46</v>
      </c>
      <c r="B202" s="6" t="s">
        <v>43</v>
      </c>
      <c r="C202" s="6" t="s">
        <v>44</v>
      </c>
      <c r="D202" s="6" t="s">
        <v>115</v>
      </c>
      <c r="E202" s="6" t="n">
        <v>1</v>
      </c>
      <c r="F202" s="6" t="n">
        <v>9</v>
      </c>
      <c r="G202" s="6" t="s">
        <v>70</v>
      </c>
      <c r="H202" s="11" t="n">
        <v>0.05</v>
      </c>
      <c r="I202" s="6" t="n">
        <v>20</v>
      </c>
      <c r="J202" s="6" t="n">
        <v>0</v>
      </c>
      <c r="K202" s="6" t="n">
        <v>20</v>
      </c>
      <c r="L202" s="6" t="n">
        <v>0</v>
      </c>
      <c r="M202" s="6" t="n">
        <v>20</v>
      </c>
      <c r="N202" s="11" t="n">
        <f aca="false">J202/(J202+K202)</f>
        <v>0</v>
      </c>
      <c r="O202" s="11" t="str">
        <f aca="false">IF(J202+L202=0,"",J202/(J202+L202))</f>
        <v/>
      </c>
      <c r="P202" s="11" t="n">
        <f aca="false">2*J202/(2*J202+L202+K202)</f>
        <v>0</v>
      </c>
      <c r="Q202" s="11" t="n">
        <f aca="false">L202/(L202+M202)</f>
        <v>0</v>
      </c>
      <c r="R202" s="6" t="n">
        <v>0</v>
      </c>
      <c r="S202" s="11"/>
      <c r="T202" s="11" t="n">
        <v>0</v>
      </c>
      <c r="U202" s="11" t="n">
        <v>0.9</v>
      </c>
      <c r="V202" s="11" t="n">
        <v>0.9</v>
      </c>
    </row>
    <row r="203" customFormat="false" ht="15" hidden="false" customHeight="false" outlineLevel="0" collapsed="false">
      <c r="A203" s="6" t="s">
        <v>46</v>
      </c>
      <c r="B203" s="6" t="s">
        <v>43</v>
      </c>
      <c r="C203" s="6" t="s">
        <v>44</v>
      </c>
      <c r="D203" s="6" t="s">
        <v>115</v>
      </c>
      <c r="E203" s="6" t="n">
        <v>1</v>
      </c>
      <c r="F203" s="6" t="n">
        <v>9</v>
      </c>
      <c r="G203" s="6" t="s">
        <v>71</v>
      </c>
      <c r="H203" s="11" t="n">
        <v>0.05</v>
      </c>
      <c r="I203" s="6" t="n">
        <v>20</v>
      </c>
      <c r="J203" s="6" t="n">
        <v>0</v>
      </c>
      <c r="K203" s="6" t="n">
        <v>20</v>
      </c>
      <c r="L203" s="6" t="n">
        <v>0</v>
      </c>
      <c r="M203" s="6" t="n">
        <v>20</v>
      </c>
      <c r="N203" s="11" t="n">
        <f aca="false">J203/(J203+K203)</f>
        <v>0</v>
      </c>
      <c r="O203" s="11" t="str">
        <f aca="false">IF(J203+L203=0,"",J203/(J203+L203))</f>
        <v/>
      </c>
      <c r="P203" s="11" t="n">
        <f aca="false">2*J203/(2*J203+L203+K203)</f>
        <v>0</v>
      </c>
      <c r="Q203" s="11" t="n">
        <f aca="false">L203/(L203+M203)</f>
        <v>0</v>
      </c>
      <c r="R203" s="6" t="n">
        <v>0</v>
      </c>
      <c r="S203" s="11"/>
      <c r="T203" s="11" t="n">
        <v>0</v>
      </c>
      <c r="U203" s="11" t="n">
        <v>0.8</v>
      </c>
      <c r="V203" s="11" t="n">
        <v>0.8</v>
      </c>
    </row>
    <row r="204" customFormat="false" ht="15" hidden="false" customHeight="false" outlineLevel="0" collapsed="false">
      <c r="A204" s="6" t="s">
        <v>46</v>
      </c>
      <c r="B204" s="6" t="s">
        <v>43</v>
      </c>
      <c r="C204" s="6" t="s">
        <v>44</v>
      </c>
      <c r="D204" s="6" t="s">
        <v>115</v>
      </c>
      <c r="E204" s="6" t="n">
        <v>1</v>
      </c>
      <c r="F204" s="6" t="n">
        <v>9</v>
      </c>
      <c r="G204" s="6" t="s">
        <v>72</v>
      </c>
      <c r="H204" s="11" t="n">
        <v>0.05</v>
      </c>
      <c r="I204" s="6" t="n">
        <v>20</v>
      </c>
      <c r="J204" s="6" t="n">
        <v>1</v>
      </c>
      <c r="K204" s="6" t="n">
        <v>19</v>
      </c>
      <c r="L204" s="6" t="n">
        <v>1</v>
      </c>
      <c r="M204" s="6" t="n">
        <v>19</v>
      </c>
      <c r="N204" s="11" t="n">
        <f aca="false">J204/(J204+K204)</f>
        <v>0.05</v>
      </c>
      <c r="O204" s="11" t="n">
        <f aca="false">IF(J204+L204=0,"",J204/(J204+L204))</f>
        <v>0.5</v>
      </c>
      <c r="P204" s="11" t="n">
        <f aca="false">2*J204/(2*J204+L204+K204)</f>
        <v>0.0909090909090909</v>
      </c>
      <c r="Q204" s="11" t="n">
        <f aca="false">L204/(L204+M204)</f>
        <v>0.05</v>
      </c>
      <c r="R204" s="6" t="n">
        <v>0</v>
      </c>
      <c r="S204" s="11"/>
      <c r="T204" s="11" t="n">
        <v>0.05</v>
      </c>
      <c r="U204" s="11" t="n">
        <v>0.9</v>
      </c>
      <c r="V204" s="11" t="n">
        <v>0.9</v>
      </c>
    </row>
    <row r="205" customFormat="false" ht="15" hidden="false" customHeight="false" outlineLevel="0" collapsed="false">
      <c r="A205" s="6" t="s">
        <v>46</v>
      </c>
      <c r="B205" s="6" t="s">
        <v>43</v>
      </c>
      <c r="C205" s="6" t="s">
        <v>44</v>
      </c>
      <c r="D205" s="6" t="s">
        <v>115</v>
      </c>
      <c r="E205" s="6" t="n">
        <v>1</v>
      </c>
      <c r="F205" s="6" t="n">
        <v>9</v>
      </c>
      <c r="G205" s="6" t="s">
        <v>73</v>
      </c>
      <c r="H205" s="11" t="n">
        <v>0.05</v>
      </c>
      <c r="I205" s="6" t="n">
        <v>20</v>
      </c>
      <c r="J205" s="6" t="n">
        <v>0</v>
      </c>
      <c r="K205" s="6" t="n">
        <v>20</v>
      </c>
      <c r="L205" s="6" t="n">
        <v>0</v>
      </c>
      <c r="M205" s="6" t="n">
        <v>20</v>
      </c>
      <c r="N205" s="11" t="n">
        <f aca="false">J205/(J205+K205)</f>
        <v>0</v>
      </c>
      <c r="O205" s="11" t="str">
        <f aca="false">IF(J205+L205=0,"",J205/(J205+L205))</f>
        <v/>
      </c>
      <c r="P205" s="11" t="n">
        <f aca="false">2*J205/(2*J205+L205+K205)</f>
        <v>0</v>
      </c>
      <c r="Q205" s="11" t="n">
        <f aca="false">L205/(L205+M205)</f>
        <v>0</v>
      </c>
      <c r="R205" s="6" t="n">
        <v>0</v>
      </c>
      <c r="S205" s="11"/>
      <c r="T205" s="11" t="n">
        <v>0</v>
      </c>
      <c r="U205" s="11" t="n">
        <v>0.65</v>
      </c>
      <c r="V205" s="11" t="n">
        <v>0.65</v>
      </c>
    </row>
    <row r="206" customFormat="false" ht="15" hidden="false" customHeight="false" outlineLevel="0" collapsed="false">
      <c r="A206" s="6" t="s">
        <v>46</v>
      </c>
      <c r="B206" s="6" t="s">
        <v>43</v>
      </c>
      <c r="C206" s="6" t="s">
        <v>44</v>
      </c>
      <c r="D206" s="6" t="s">
        <v>115</v>
      </c>
      <c r="E206" s="6" t="n">
        <v>1</v>
      </c>
      <c r="F206" s="6" t="n">
        <v>9</v>
      </c>
      <c r="G206" s="6" t="s">
        <v>74</v>
      </c>
      <c r="H206" s="11" t="n">
        <v>0.05</v>
      </c>
      <c r="I206" s="6" t="n">
        <v>20</v>
      </c>
      <c r="J206" s="6" t="n">
        <v>1</v>
      </c>
      <c r="K206" s="6" t="n">
        <v>19</v>
      </c>
      <c r="L206" s="6" t="n">
        <v>1</v>
      </c>
      <c r="M206" s="6" t="n">
        <v>19</v>
      </c>
      <c r="N206" s="11" t="n">
        <f aca="false">J206/(J206+K206)</f>
        <v>0.05</v>
      </c>
      <c r="O206" s="11" t="n">
        <f aca="false">IF(J206+L206=0,"",J206/(J206+L206))</f>
        <v>0.5</v>
      </c>
      <c r="P206" s="11" t="n">
        <f aca="false">2*J206/(2*J206+L206+K206)</f>
        <v>0.0909090909090909</v>
      </c>
      <c r="Q206" s="11" t="n">
        <f aca="false">L206/(L206+M206)</f>
        <v>0.05</v>
      </c>
      <c r="R206" s="6" t="n">
        <v>0</v>
      </c>
      <c r="S206" s="11"/>
      <c r="T206" s="11" t="n">
        <v>0.05</v>
      </c>
      <c r="U206" s="11" t="n">
        <v>0.85</v>
      </c>
      <c r="V206" s="11" t="n">
        <v>0.85</v>
      </c>
    </row>
    <row r="207" customFormat="false" ht="15" hidden="false" customHeight="false" outlineLevel="0" collapsed="false">
      <c r="A207" s="6" t="s">
        <v>46</v>
      </c>
      <c r="B207" s="6" t="s">
        <v>43</v>
      </c>
      <c r="C207" s="6" t="s">
        <v>44</v>
      </c>
      <c r="D207" s="6" t="s">
        <v>115</v>
      </c>
      <c r="E207" s="6" t="n">
        <v>1</v>
      </c>
      <c r="F207" s="6" t="n">
        <v>9</v>
      </c>
      <c r="G207" s="6" t="s">
        <v>75</v>
      </c>
      <c r="H207" s="11" t="n">
        <v>0.05</v>
      </c>
      <c r="I207" s="6" t="n">
        <v>20</v>
      </c>
      <c r="J207" s="6" t="n">
        <v>0</v>
      </c>
      <c r="K207" s="6" t="n">
        <v>20</v>
      </c>
      <c r="L207" s="6" t="n">
        <v>0</v>
      </c>
      <c r="M207" s="6" t="n">
        <v>20</v>
      </c>
      <c r="N207" s="11" t="n">
        <f aca="false">J207/(J207+K207)</f>
        <v>0</v>
      </c>
      <c r="O207" s="11" t="str">
        <f aca="false">IF(J207+L207=0,"",J207/(J207+L207))</f>
        <v/>
      </c>
      <c r="P207" s="11" t="n">
        <f aca="false">2*J207/(2*J207+L207+K207)</f>
        <v>0</v>
      </c>
      <c r="Q207" s="11" t="n">
        <f aca="false">L207/(L207+M207)</f>
        <v>0</v>
      </c>
      <c r="R207" s="6" t="n">
        <v>0</v>
      </c>
      <c r="S207" s="11"/>
      <c r="T207" s="11" t="n">
        <v>0</v>
      </c>
      <c r="U207" s="11" t="n">
        <v>0.9</v>
      </c>
      <c r="V207" s="11" t="n">
        <v>0.9</v>
      </c>
    </row>
    <row r="208" customFormat="false" ht="15" hidden="false" customHeight="false" outlineLevel="0" collapsed="false">
      <c r="A208" s="6" t="s">
        <v>46</v>
      </c>
      <c r="B208" s="6" t="s">
        <v>43</v>
      </c>
      <c r="C208" s="6" t="s">
        <v>44</v>
      </c>
      <c r="D208" s="6" t="s">
        <v>115</v>
      </c>
      <c r="E208" s="6" t="n">
        <v>1</v>
      </c>
      <c r="F208" s="6" t="n">
        <v>9</v>
      </c>
      <c r="G208" s="6" t="s">
        <v>76</v>
      </c>
      <c r="H208" s="11" t="n">
        <v>0.05</v>
      </c>
      <c r="I208" s="6" t="n">
        <v>20</v>
      </c>
      <c r="J208" s="6" t="n">
        <v>0</v>
      </c>
      <c r="K208" s="6" t="n">
        <v>20</v>
      </c>
      <c r="L208" s="6" t="n">
        <v>0</v>
      </c>
      <c r="M208" s="6" t="n">
        <v>20</v>
      </c>
      <c r="N208" s="11" t="n">
        <f aca="false">J208/(J208+K208)</f>
        <v>0</v>
      </c>
      <c r="O208" s="11" t="str">
        <f aca="false">IF(J208+L208=0,"",J208/(J208+L208))</f>
        <v/>
      </c>
      <c r="P208" s="11" t="n">
        <f aca="false">2*J208/(2*J208+L208+K208)</f>
        <v>0</v>
      </c>
      <c r="Q208" s="11" t="n">
        <f aca="false">L208/(L208+M208)</f>
        <v>0</v>
      </c>
      <c r="R208" s="6" t="n">
        <v>0</v>
      </c>
      <c r="S208" s="11"/>
      <c r="T208" s="11" t="n">
        <v>0</v>
      </c>
      <c r="U208" s="11" t="n">
        <v>0.95</v>
      </c>
      <c r="V208" s="11" t="n">
        <v>0.95</v>
      </c>
    </row>
    <row r="209" customFormat="false" ht="15" hidden="false" customHeight="false" outlineLevel="0" collapsed="false">
      <c r="A209" s="6" t="s">
        <v>46</v>
      </c>
      <c r="B209" s="6" t="s">
        <v>43</v>
      </c>
      <c r="C209" s="6" t="s">
        <v>44</v>
      </c>
      <c r="D209" s="6" t="s">
        <v>115</v>
      </c>
      <c r="E209" s="6" t="n">
        <v>1</v>
      </c>
      <c r="F209" s="6" t="n">
        <v>9</v>
      </c>
      <c r="G209" s="6" t="s">
        <v>77</v>
      </c>
      <c r="H209" s="11" t="n">
        <v>0.05</v>
      </c>
      <c r="I209" s="6" t="n">
        <v>20</v>
      </c>
      <c r="J209" s="6" t="n">
        <v>1</v>
      </c>
      <c r="K209" s="6" t="n">
        <v>19</v>
      </c>
      <c r="L209" s="6" t="n">
        <v>1</v>
      </c>
      <c r="M209" s="6" t="n">
        <v>19</v>
      </c>
      <c r="N209" s="11" t="n">
        <f aca="false">J209/(J209+K209)</f>
        <v>0.05</v>
      </c>
      <c r="O209" s="11" t="n">
        <f aca="false">IF(J209+L209=0,"",J209/(J209+L209))</f>
        <v>0.5</v>
      </c>
      <c r="P209" s="11" t="n">
        <f aca="false">2*J209/(2*J209+L209+K209)</f>
        <v>0.0909090909090909</v>
      </c>
      <c r="Q209" s="11" t="n">
        <f aca="false">L209/(L209+M209)</f>
        <v>0.05</v>
      </c>
      <c r="R209" s="6" t="n">
        <v>0</v>
      </c>
      <c r="S209" s="11"/>
      <c r="T209" s="11" t="n">
        <v>0.05</v>
      </c>
      <c r="U209" s="11" t="n">
        <v>1</v>
      </c>
      <c r="V209" s="11" t="n">
        <v>1</v>
      </c>
    </row>
    <row r="210" customFormat="false" ht="15" hidden="false" customHeight="false" outlineLevel="0" collapsed="false">
      <c r="A210" s="6" t="s">
        <v>46</v>
      </c>
      <c r="B210" s="6" t="s">
        <v>43</v>
      </c>
      <c r="C210" s="6" t="s">
        <v>44</v>
      </c>
      <c r="D210" s="6" t="s">
        <v>115</v>
      </c>
      <c r="E210" s="6" t="n">
        <v>1</v>
      </c>
      <c r="F210" s="6" t="n">
        <v>9</v>
      </c>
      <c r="G210" s="6" t="s">
        <v>78</v>
      </c>
      <c r="H210" s="11" t="n">
        <v>0.05</v>
      </c>
      <c r="I210" s="6" t="n">
        <v>200</v>
      </c>
      <c r="J210" s="6" t="n">
        <v>6</v>
      </c>
      <c r="K210" s="6" t="n">
        <v>194</v>
      </c>
      <c r="L210" s="6" t="n">
        <v>6</v>
      </c>
      <c r="M210" s="6" t="n">
        <v>194</v>
      </c>
      <c r="N210" s="11" t="n">
        <f aca="false">J210/(J210+K210)</f>
        <v>0.03</v>
      </c>
      <c r="O210" s="11" t="n">
        <f aca="false">IF(J210+L210=0,"",J210/(J210+L210))</f>
        <v>0.5</v>
      </c>
      <c r="P210" s="11" t="n">
        <f aca="false">2*J210/(2*J210+L210+K210)</f>
        <v>0.0566037735849057</v>
      </c>
      <c r="Q210" s="11" t="n">
        <f aca="false">L210/(L210+M210)</f>
        <v>0.03</v>
      </c>
      <c r="R210" s="6" t="n">
        <v>0</v>
      </c>
      <c r="S210" s="11"/>
      <c r="T210" s="11" t="n">
        <v>0.03</v>
      </c>
      <c r="U210" s="11" t="n">
        <v>0.88</v>
      </c>
      <c r="V210" s="11" t="n">
        <v>0.88</v>
      </c>
    </row>
    <row r="211" customFormat="false" ht="15" hidden="false" customHeight="false" outlineLevel="0" collapsed="false">
      <c r="A211" s="6" t="s">
        <v>46</v>
      </c>
      <c r="B211" s="6" t="s">
        <v>43</v>
      </c>
      <c r="C211" s="6" t="s">
        <v>44</v>
      </c>
      <c r="D211" s="6" t="s">
        <v>115</v>
      </c>
      <c r="E211" s="6" t="n">
        <v>1</v>
      </c>
      <c r="F211" s="6" t="n">
        <v>10</v>
      </c>
      <c r="G211" s="6" t="s">
        <v>68</v>
      </c>
      <c r="H211" s="11" t="n">
        <v>0.05</v>
      </c>
      <c r="I211" s="6" t="n">
        <v>20</v>
      </c>
      <c r="J211" s="6" t="n">
        <v>2</v>
      </c>
      <c r="K211" s="6" t="n">
        <v>18</v>
      </c>
      <c r="L211" s="6" t="n">
        <v>2</v>
      </c>
      <c r="M211" s="6" t="n">
        <v>18</v>
      </c>
      <c r="N211" s="11" t="n">
        <f aca="false">J211/(J211+K211)</f>
        <v>0.1</v>
      </c>
      <c r="O211" s="11" t="n">
        <f aca="false">IF(J211+L211=0,"",J211/(J211+L211))</f>
        <v>0.5</v>
      </c>
      <c r="P211" s="11" t="n">
        <f aca="false">2*J211/(2*J211+L211+K211)</f>
        <v>0.166666666666667</v>
      </c>
      <c r="Q211" s="11" t="n">
        <f aca="false">L211/(L211+M211)</f>
        <v>0.1</v>
      </c>
      <c r="R211" s="6" t="n">
        <v>0</v>
      </c>
      <c r="S211" s="11"/>
      <c r="T211" s="11" t="n">
        <v>0.1</v>
      </c>
      <c r="U211" s="11" t="n">
        <v>0.85</v>
      </c>
      <c r="V211" s="11" t="n">
        <v>0.85</v>
      </c>
    </row>
    <row r="212" customFormat="false" ht="15" hidden="false" customHeight="false" outlineLevel="0" collapsed="false">
      <c r="A212" s="6" t="s">
        <v>46</v>
      </c>
      <c r="B212" s="6" t="s">
        <v>43</v>
      </c>
      <c r="C212" s="6" t="s">
        <v>44</v>
      </c>
      <c r="D212" s="6" t="s">
        <v>115</v>
      </c>
      <c r="E212" s="6" t="n">
        <v>1</v>
      </c>
      <c r="F212" s="6" t="n">
        <v>10</v>
      </c>
      <c r="G212" s="6" t="s">
        <v>69</v>
      </c>
      <c r="H212" s="11" t="n">
        <v>0.05</v>
      </c>
      <c r="I212" s="6" t="n">
        <v>20</v>
      </c>
      <c r="J212" s="6" t="n">
        <v>1</v>
      </c>
      <c r="K212" s="6" t="n">
        <v>19</v>
      </c>
      <c r="L212" s="6" t="n">
        <v>1</v>
      </c>
      <c r="M212" s="6" t="n">
        <v>19</v>
      </c>
      <c r="N212" s="11" t="n">
        <f aca="false">J212/(J212+K212)</f>
        <v>0.05</v>
      </c>
      <c r="O212" s="11" t="n">
        <f aca="false">IF(J212+L212=0,"",J212/(J212+L212))</f>
        <v>0.5</v>
      </c>
      <c r="P212" s="11" t="n">
        <f aca="false">2*J212/(2*J212+L212+K212)</f>
        <v>0.0909090909090909</v>
      </c>
      <c r="Q212" s="11" t="n">
        <f aca="false">L212/(L212+M212)</f>
        <v>0.05</v>
      </c>
      <c r="R212" s="6" t="n">
        <v>0</v>
      </c>
      <c r="S212" s="11"/>
      <c r="T212" s="11" t="n">
        <v>0.05</v>
      </c>
      <c r="U212" s="11" t="n">
        <v>1</v>
      </c>
      <c r="V212" s="11" t="n">
        <v>1</v>
      </c>
    </row>
    <row r="213" customFormat="false" ht="15" hidden="false" customHeight="false" outlineLevel="0" collapsed="false">
      <c r="A213" s="6" t="s">
        <v>46</v>
      </c>
      <c r="B213" s="6" t="s">
        <v>43</v>
      </c>
      <c r="C213" s="6" t="s">
        <v>44</v>
      </c>
      <c r="D213" s="6" t="s">
        <v>115</v>
      </c>
      <c r="E213" s="6" t="n">
        <v>1</v>
      </c>
      <c r="F213" s="6" t="n">
        <v>10</v>
      </c>
      <c r="G213" s="6" t="s">
        <v>70</v>
      </c>
      <c r="H213" s="11" t="n">
        <v>0.05</v>
      </c>
      <c r="I213" s="6" t="n">
        <v>20</v>
      </c>
      <c r="J213" s="6" t="n">
        <v>0</v>
      </c>
      <c r="K213" s="6" t="n">
        <v>20</v>
      </c>
      <c r="L213" s="6" t="n">
        <v>0</v>
      </c>
      <c r="M213" s="6" t="n">
        <v>20</v>
      </c>
      <c r="N213" s="11" t="n">
        <f aca="false">J213/(J213+K213)</f>
        <v>0</v>
      </c>
      <c r="O213" s="11" t="str">
        <f aca="false">IF(J213+L213=0,"",J213/(J213+L213))</f>
        <v/>
      </c>
      <c r="P213" s="11" t="n">
        <f aca="false">2*J213/(2*J213+L213+K213)</f>
        <v>0</v>
      </c>
      <c r="Q213" s="11" t="n">
        <f aca="false">L213/(L213+M213)</f>
        <v>0</v>
      </c>
      <c r="R213" s="6" t="n">
        <v>0</v>
      </c>
      <c r="S213" s="11"/>
      <c r="T213" s="11" t="n">
        <v>0</v>
      </c>
      <c r="U213" s="11" t="n">
        <v>0.9</v>
      </c>
      <c r="V213" s="11" t="n">
        <v>0.9</v>
      </c>
    </row>
    <row r="214" customFormat="false" ht="15" hidden="false" customHeight="false" outlineLevel="0" collapsed="false">
      <c r="A214" s="6" t="s">
        <v>46</v>
      </c>
      <c r="B214" s="6" t="s">
        <v>43</v>
      </c>
      <c r="C214" s="6" t="s">
        <v>44</v>
      </c>
      <c r="D214" s="6" t="s">
        <v>115</v>
      </c>
      <c r="E214" s="6" t="n">
        <v>1</v>
      </c>
      <c r="F214" s="6" t="n">
        <v>10</v>
      </c>
      <c r="G214" s="6" t="s">
        <v>71</v>
      </c>
      <c r="H214" s="11" t="n">
        <v>0.05</v>
      </c>
      <c r="I214" s="6" t="n">
        <v>20</v>
      </c>
      <c r="J214" s="6" t="n">
        <v>0</v>
      </c>
      <c r="K214" s="6" t="n">
        <v>20</v>
      </c>
      <c r="L214" s="6" t="n">
        <v>0</v>
      </c>
      <c r="M214" s="6" t="n">
        <v>20</v>
      </c>
      <c r="N214" s="11" t="n">
        <f aca="false">J214/(J214+K214)</f>
        <v>0</v>
      </c>
      <c r="O214" s="11" t="str">
        <f aca="false">IF(J214+L214=0,"",J214/(J214+L214))</f>
        <v/>
      </c>
      <c r="P214" s="11" t="n">
        <f aca="false">2*J214/(2*J214+L214+K214)</f>
        <v>0</v>
      </c>
      <c r="Q214" s="11" t="n">
        <f aca="false">L214/(L214+M214)</f>
        <v>0</v>
      </c>
      <c r="R214" s="6" t="n">
        <v>0</v>
      </c>
      <c r="S214" s="11"/>
      <c r="T214" s="11" t="n">
        <v>0</v>
      </c>
      <c r="U214" s="11" t="n">
        <v>0.8</v>
      </c>
      <c r="V214" s="11" t="n">
        <v>0.8</v>
      </c>
    </row>
    <row r="215" customFormat="false" ht="15" hidden="false" customHeight="false" outlineLevel="0" collapsed="false">
      <c r="A215" s="6" t="s">
        <v>46</v>
      </c>
      <c r="B215" s="6" t="s">
        <v>43</v>
      </c>
      <c r="C215" s="6" t="s">
        <v>44</v>
      </c>
      <c r="D215" s="6" t="s">
        <v>115</v>
      </c>
      <c r="E215" s="6" t="n">
        <v>1</v>
      </c>
      <c r="F215" s="6" t="n">
        <v>10</v>
      </c>
      <c r="G215" s="6" t="s">
        <v>72</v>
      </c>
      <c r="H215" s="11" t="n">
        <v>0.05</v>
      </c>
      <c r="I215" s="6" t="n">
        <v>20</v>
      </c>
      <c r="J215" s="6" t="n">
        <v>1</v>
      </c>
      <c r="K215" s="6" t="n">
        <v>19</v>
      </c>
      <c r="L215" s="6" t="n">
        <v>1</v>
      </c>
      <c r="M215" s="6" t="n">
        <v>19</v>
      </c>
      <c r="N215" s="11" t="n">
        <f aca="false">J215/(J215+K215)</f>
        <v>0.05</v>
      </c>
      <c r="O215" s="11" t="n">
        <f aca="false">IF(J215+L215=0,"",J215/(J215+L215))</f>
        <v>0.5</v>
      </c>
      <c r="P215" s="11" t="n">
        <f aca="false">2*J215/(2*J215+L215+K215)</f>
        <v>0.0909090909090909</v>
      </c>
      <c r="Q215" s="11" t="n">
        <f aca="false">L215/(L215+M215)</f>
        <v>0.05</v>
      </c>
      <c r="R215" s="6" t="n">
        <v>0</v>
      </c>
      <c r="S215" s="11"/>
      <c r="T215" s="11" t="n">
        <v>0.05</v>
      </c>
      <c r="U215" s="11" t="n">
        <v>0.9</v>
      </c>
      <c r="V215" s="11" t="n">
        <v>0.9</v>
      </c>
    </row>
    <row r="216" customFormat="false" ht="15" hidden="false" customHeight="false" outlineLevel="0" collapsed="false">
      <c r="A216" s="6" t="s">
        <v>46</v>
      </c>
      <c r="B216" s="6" t="s">
        <v>43</v>
      </c>
      <c r="C216" s="6" t="s">
        <v>44</v>
      </c>
      <c r="D216" s="6" t="s">
        <v>115</v>
      </c>
      <c r="E216" s="6" t="n">
        <v>1</v>
      </c>
      <c r="F216" s="6" t="n">
        <v>10</v>
      </c>
      <c r="G216" s="6" t="s">
        <v>73</v>
      </c>
      <c r="H216" s="11" t="n">
        <v>0.05</v>
      </c>
      <c r="I216" s="6" t="n">
        <v>20</v>
      </c>
      <c r="J216" s="6" t="n">
        <v>0</v>
      </c>
      <c r="K216" s="6" t="n">
        <v>20</v>
      </c>
      <c r="L216" s="6" t="n">
        <v>0</v>
      </c>
      <c r="M216" s="6" t="n">
        <v>20</v>
      </c>
      <c r="N216" s="11" t="n">
        <f aca="false">J216/(J216+K216)</f>
        <v>0</v>
      </c>
      <c r="O216" s="11" t="str">
        <f aca="false">IF(J216+L216=0,"",J216/(J216+L216))</f>
        <v/>
      </c>
      <c r="P216" s="11" t="n">
        <f aca="false">2*J216/(2*J216+L216+K216)</f>
        <v>0</v>
      </c>
      <c r="Q216" s="11" t="n">
        <f aca="false">L216/(L216+M216)</f>
        <v>0</v>
      </c>
      <c r="R216" s="6" t="n">
        <v>0</v>
      </c>
      <c r="S216" s="11"/>
      <c r="T216" s="11" t="n">
        <v>0</v>
      </c>
      <c r="U216" s="11" t="n">
        <v>0.65</v>
      </c>
      <c r="V216" s="11" t="n">
        <v>0.65</v>
      </c>
    </row>
    <row r="217" customFormat="false" ht="15" hidden="false" customHeight="false" outlineLevel="0" collapsed="false">
      <c r="A217" s="6" t="s">
        <v>46</v>
      </c>
      <c r="B217" s="6" t="s">
        <v>43</v>
      </c>
      <c r="C217" s="6" t="s">
        <v>44</v>
      </c>
      <c r="D217" s="6" t="s">
        <v>115</v>
      </c>
      <c r="E217" s="6" t="n">
        <v>1</v>
      </c>
      <c r="F217" s="6" t="n">
        <v>10</v>
      </c>
      <c r="G217" s="6" t="s">
        <v>74</v>
      </c>
      <c r="H217" s="11" t="n">
        <v>0.05</v>
      </c>
      <c r="I217" s="6" t="n">
        <v>20</v>
      </c>
      <c r="J217" s="6" t="n">
        <v>1</v>
      </c>
      <c r="K217" s="6" t="n">
        <v>19</v>
      </c>
      <c r="L217" s="6" t="n">
        <v>1</v>
      </c>
      <c r="M217" s="6" t="n">
        <v>19</v>
      </c>
      <c r="N217" s="11" t="n">
        <f aca="false">J217/(J217+K217)</f>
        <v>0.05</v>
      </c>
      <c r="O217" s="11" t="n">
        <f aca="false">IF(J217+L217=0,"",J217/(J217+L217))</f>
        <v>0.5</v>
      </c>
      <c r="P217" s="11" t="n">
        <f aca="false">2*J217/(2*J217+L217+K217)</f>
        <v>0.0909090909090909</v>
      </c>
      <c r="Q217" s="11" t="n">
        <f aca="false">L217/(L217+M217)</f>
        <v>0.05</v>
      </c>
      <c r="R217" s="6" t="n">
        <v>0</v>
      </c>
      <c r="S217" s="11"/>
      <c r="T217" s="11" t="n">
        <v>0.05</v>
      </c>
      <c r="U217" s="11" t="n">
        <v>0.85</v>
      </c>
      <c r="V217" s="11" t="n">
        <v>0.85</v>
      </c>
    </row>
    <row r="218" customFormat="false" ht="15" hidden="false" customHeight="false" outlineLevel="0" collapsed="false">
      <c r="A218" s="6" t="s">
        <v>46</v>
      </c>
      <c r="B218" s="6" t="s">
        <v>43</v>
      </c>
      <c r="C218" s="6" t="s">
        <v>44</v>
      </c>
      <c r="D218" s="6" t="s">
        <v>115</v>
      </c>
      <c r="E218" s="6" t="n">
        <v>1</v>
      </c>
      <c r="F218" s="6" t="n">
        <v>10</v>
      </c>
      <c r="G218" s="6" t="s">
        <v>75</v>
      </c>
      <c r="H218" s="11" t="n">
        <v>0.05</v>
      </c>
      <c r="I218" s="6" t="n">
        <v>20</v>
      </c>
      <c r="J218" s="6" t="n">
        <v>0</v>
      </c>
      <c r="K218" s="6" t="n">
        <v>20</v>
      </c>
      <c r="L218" s="6" t="n">
        <v>0</v>
      </c>
      <c r="M218" s="6" t="n">
        <v>20</v>
      </c>
      <c r="N218" s="11" t="n">
        <f aca="false">J218/(J218+K218)</f>
        <v>0</v>
      </c>
      <c r="O218" s="11" t="str">
        <f aca="false">IF(J218+L218=0,"",J218/(J218+L218))</f>
        <v/>
      </c>
      <c r="P218" s="11" t="n">
        <f aca="false">2*J218/(2*J218+L218+K218)</f>
        <v>0</v>
      </c>
      <c r="Q218" s="11" t="n">
        <f aca="false">L218/(L218+M218)</f>
        <v>0</v>
      </c>
      <c r="R218" s="6" t="n">
        <v>0</v>
      </c>
      <c r="S218" s="11"/>
      <c r="T218" s="11" t="n">
        <v>0</v>
      </c>
      <c r="U218" s="11" t="n">
        <v>0.9</v>
      </c>
      <c r="V218" s="11" t="n">
        <v>0.9</v>
      </c>
    </row>
    <row r="219" customFormat="false" ht="15" hidden="false" customHeight="false" outlineLevel="0" collapsed="false">
      <c r="A219" s="6" t="s">
        <v>46</v>
      </c>
      <c r="B219" s="6" t="s">
        <v>43</v>
      </c>
      <c r="C219" s="6" t="s">
        <v>44</v>
      </c>
      <c r="D219" s="6" t="s">
        <v>115</v>
      </c>
      <c r="E219" s="6" t="n">
        <v>1</v>
      </c>
      <c r="F219" s="6" t="n">
        <v>10</v>
      </c>
      <c r="G219" s="6" t="s">
        <v>76</v>
      </c>
      <c r="H219" s="11" t="n">
        <v>0.05</v>
      </c>
      <c r="I219" s="6" t="n">
        <v>20</v>
      </c>
      <c r="J219" s="6" t="n">
        <v>0</v>
      </c>
      <c r="K219" s="6" t="n">
        <v>20</v>
      </c>
      <c r="L219" s="6" t="n">
        <v>0</v>
      </c>
      <c r="M219" s="6" t="n">
        <v>20</v>
      </c>
      <c r="N219" s="11" t="n">
        <f aca="false">J219/(J219+K219)</f>
        <v>0</v>
      </c>
      <c r="O219" s="11" t="str">
        <f aca="false">IF(J219+L219=0,"",J219/(J219+L219))</f>
        <v/>
      </c>
      <c r="P219" s="11" t="n">
        <f aca="false">2*J219/(2*J219+L219+K219)</f>
        <v>0</v>
      </c>
      <c r="Q219" s="11" t="n">
        <f aca="false">L219/(L219+M219)</f>
        <v>0</v>
      </c>
      <c r="R219" s="6" t="n">
        <v>0</v>
      </c>
      <c r="S219" s="11"/>
      <c r="T219" s="11" t="n">
        <v>0</v>
      </c>
      <c r="U219" s="11" t="n">
        <v>0.95</v>
      </c>
      <c r="V219" s="11" t="n">
        <v>0.95</v>
      </c>
    </row>
    <row r="220" customFormat="false" ht="15" hidden="false" customHeight="false" outlineLevel="0" collapsed="false">
      <c r="A220" s="6" t="s">
        <v>46</v>
      </c>
      <c r="B220" s="6" t="s">
        <v>43</v>
      </c>
      <c r="C220" s="6" t="s">
        <v>44</v>
      </c>
      <c r="D220" s="6" t="s">
        <v>115</v>
      </c>
      <c r="E220" s="6" t="n">
        <v>1</v>
      </c>
      <c r="F220" s="6" t="n">
        <v>10</v>
      </c>
      <c r="G220" s="6" t="s">
        <v>77</v>
      </c>
      <c r="H220" s="11" t="n">
        <v>0.05</v>
      </c>
      <c r="I220" s="6" t="n">
        <v>20</v>
      </c>
      <c r="J220" s="6" t="n">
        <v>1</v>
      </c>
      <c r="K220" s="6" t="n">
        <v>19</v>
      </c>
      <c r="L220" s="6" t="n">
        <v>1</v>
      </c>
      <c r="M220" s="6" t="n">
        <v>19</v>
      </c>
      <c r="N220" s="11" t="n">
        <f aca="false">J220/(J220+K220)</f>
        <v>0.05</v>
      </c>
      <c r="O220" s="11" t="n">
        <f aca="false">IF(J220+L220=0,"",J220/(J220+L220))</f>
        <v>0.5</v>
      </c>
      <c r="P220" s="11" t="n">
        <f aca="false">2*J220/(2*J220+L220+K220)</f>
        <v>0.0909090909090909</v>
      </c>
      <c r="Q220" s="11" t="n">
        <f aca="false">L220/(L220+M220)</f>
        <v>0.05</v>
      </c>
      <c r="R220" s="6" t="n">
        <v>0</v>
      </c>
      <c r="S220" s="11"/>
      <c r="T220" s="11" t="n">
        <v>0.05</v>
      </c>
      <c r="U220" s="11" t="n">
        <v>1</v>
      </c>
      <c r="V220" s="11" t="n">
        <v>1</v>
      </c>
    </row>
    <row r="221" customFormat="false" ht="15" hidden="false" customHeight="false" outlineLevel="0" collapsed="false">
      <c r="A221" s="6" t="s">
        <v>46</v>
      </c>
      <c r="B221" s="6" t="s">
        <v>43</v>
      </c>
      <c r="C221" s="6" t="s">
        <v>44</v>
      </c>
      <c r="D221" s="6" t="s">
        <v>115</v>
      </c>
      <c r="E221" s="6" t="n">
        <v>1</v>
      </c>
      <c r="F221" s="6" t="n">
        <v>10</v>
      </c>
      <c r="G221" s="6" t="s">
        <v>78</v>
      </c>
      <c r="H221" s="11" t="n">
        <v>0.05</v>
      </c>
      <c r="I221" s="6" t="n">
        <v>200</v>
      </c>
      <c r="J221" s="6" t="n">
        <v>6</v>
      </c>
      <c r="K221" s="6" t="n">
        <v>194</v>
      </c>
      <c r="L221" s="6" t="n">
        <v>6</v>
      </c>
      <c r="M221" s="6" t="n">
        <v>194</v>
      </c>
      <c r="N221" s="11" t="n">
        <f aca="false">J221/(J221+K221)</f>
        <v>0.03</v>
      </c>
      <c r="O221" s="11" t="n">
        <f aca="false">IF(J221+L221=0,"",J221/(J221+L221))</f>
        <v>0.5</v>
      </c>
      <c r="P221" s="11" t="n">
        <f aca="false">2*J221/(2*J221+L221+K221)</f>
        <v>0.0566037735849057</v>
      </c>
      <c r="Q221" s="11" t="n">
        <f aca="false">L221/(L221+M221)</f>
        <v>0.03</v>
      </c>
      <c r="R221" s="6" t="n">
        <v>0</v>
      </c>
      <c r="S221" s="11"/>
      <c r="T221" s="11" t="n">
        <v>0.03</v>
      </c>
      <c r="U221" s="11" t="n">
        <v>0.88</v>
      </c>
      <c r="V221" s="11" t="n">
        <v>0.88</v>
      </c>
    </row>
    <row r="222" customFormat="false" ht="15" hidden="false" customHeight="false" outlineLevel="0" collapsed="false">
      <c r="A222" s="6" t="s">
        <v>48</v>
      </c>
      <c r="B222" s="6" t="s">
        <v>43</v>
      </c>
      <c r="C222" s="6" t="s">
        <v>49</v>
      </c>
      <c r="D222" s="6" t="s">
        <v>115</v>
      </c>
      <c r="E222" s="6" t="n">
        <v>4</v>
      </c>
      <c r="F222" s="6" t="n">
        <v>1</v>
      </c>
      <c r="G222" s="6" t="s">
        <v>68</v>
      </c>
      <c r="H222" s="11" t="n">
        <v>0.05</v>
      </c>
      <c r="I222" s="6" t="n">
        <v>20</v>
      </c>
      <c r="J222" s="6" t="n">
        <v>20</v>
      </c>
      <c r="K222" s="6" t="n">
        <v>0</v>
      </c>
      <c r="L222" s="6" t="n">
        <v>2</v>
      </c>
      <c r="M222" s="6" t="n">
        <v>18</v>
      </c>
      <c r="N222" s="11" t="n">
        <f aca="false">J222/(J222+K222)</f>
        <v>1</v>
      </c>
      <c r="O222" s="11" t="n">
        <f aca="false">IF(J222+L222=0,"",J222/(J222+L222))</f>
        <v>0.909090909090909</v>
      </c>
      <c r="P222" s="11" t="n">
        <f aca="false">2*J222/(2*J222+L222+K222)</f>
        <v>0.952380952380952</v>
      </c>
      <c r="Q222" s="11" t="n">
        <f aca="false">L222/(L222+M222)</f>
        <v>0.1</v>
      </c>
      <c r="R222" s="6" t="n">
        <v>20</v>
      </c>
      <c r="S222" s="11" t="n">
        <v>1</v>
      </c>
      <c r="T222" s="11"/>
      <c r="U222" s="11" t="n">
        <v>0.85</v>
      </c>
      <c r="V222" s="11" t="n">
        <v>0</v>
      </c>
    </row>
    <row r="223" customFormat="false" ht="15" hidden="false" customHeight="false" outlineLevel="0" collapsed="false">
      <c r="A223" s="6" t="s">
        <v>48</v>
      </c>
      <c r="B223" s="6" t="s">
        <v>43</v>
      </c>
      <c r="C223" s="6" t="s">
        <v>49</v>
      </c>
      <c r="D223" s="6" t="s">
        <v>115</v>
      </c>
      <c r="E223" s="6" t="n">
        <v>4</v>
      </c>
      <c r="F223" s="6" t="n">
        <v>1</v>
      </c>
      <c r="G223" s="6" t="s">
        <v>69</v>
      </c>
      <c r="H223" s="11" t="n">
        <v>0.05</v>
      </c>
      <c r="I223" s="6" t="n">
        <v>20</v>
      </c>
      <c r="J223" s="6" t="n">
        <v>20</v>
      </c>
      <c r="K223" s="6" t="n">
        <v>0</v>
      </c>
      <c r="L223" s="6" t="n">
        <v>1</v>
      </c>
      <c r="M223" s="6" t="n">
        <v>19</v>
      </c>
      <c r="N223" s="11" t="n">
        <f aca="false">J223/(J223+K223)</f>
        <v>1</v>
      </c>
      <c r="O223" s="11" t="n">
        <f aca="false">IF(J223+L223=0,"",J223/(J223+L223))</f>
        <v>0.952380952380952</v>
      </c>
      <c r="P223" s="11" t="n">
        <f aca="false">2*J223/(2*J223+L223+K223)</f>
        <v>0.975609756097561</v>
      </c>
      <c r="Q223" s="11" t="n">
        <f aca="false">L223/(L223+M223)</f>
        <v>0.05</v>
      </c>
      <c r="R223" s="6" t="n">
        <v>20</v>
      </c>
      <c r="S223" s="11" t="n">
        <v>1</v>
      </c>
      <c r="T223" s="11"/>
      <c r="U223" s="11" t="n">
        <v>1</v>
      </c>
      <c r="V223" s="11" t="n">
        <v>0</v>
      </c>
    </row>
    <row r="224" customFormat="false" ht="15" hidden="false" customHeight="false" outlineLevel="0" collapsed="false">
      <c r="A224" s="6" t="s">
        <v>48</v>
      </c>
      <c r="B224" s="6" t="s">
        <v>43</v>
      </c>
      <c r="C224" s="6" t="s">
        <v>49</v>
      </c>
      <c r="D224" s="6" t="s">
        <v>115</v>
      </c>
      <c r="E224" s="6" t="n">
        <v>4</v>
      </c>
      <c r="F224" s="6" t="n">
        <v>1</v>
      </c>
      <c r="G224" s="6" t="s">
        <v>70</v>
      </c>
      <c r="H224" s="11" t="n">
        <v>0.05</v>
      </c>
      <c r="I224" s="6" t="n">
        <v>20</v>
      </c>
      <c r="J224" s="6" t="n">
        <v>20</v>
      </c>
      <c r="K224" s="6" t="n">
        <v>0</v>
      </c>
      <c r="L224" s="6" t="n">
        <v>0</v>
      </c>
      <c r="M224" s="6" t="n">
        <v>20</v>
      </c>
      <c r="N224" s="11" t="n">
        <f aca="false">J224/(J224+K224)</f>
        <v>1</v>
      </c>
      <c r="O224" s="11" t="n">
        <f aca="false">IF(J224+L224=0,"",J224/(J224+L224))</f>
        <v>1</v>
      </c>
      <c r="P224" s="11" t="n">
        <f aca="false">2*J224/(2*J224+L224+K224)</f>
        <v>1</v>
      </c>
      <c r="Q224" s="11" t="n">
        <f aca="false">L224/(L224+M224)</f>
        <v>0</v>
      </c>
      <c r="R224" s="6" t="n">
        <v>20</v>
      </c>
      <c r="S224" s="11" t="n">
        <v>1</v>
      </c>
      <c r="T224" s="11"/>
      <c r="U224" s="11" t="n">
        <v>0.9</v>
      </c>
      <c r="V224" s="11" t="n">
        <v>0</v>
      </c>
    </row>
    <row r="225" customFormat="false" ht="15" hidden="false" customHeight="false" outlineLevel="0" collapsed="false">
      <c r="A225" s="6" t="s">
        <v>48</v>
      </c>
      <c r="B225" s="6" t="s">
        <v>43</v>
      </c>
      <c r="C225" s="6" t="s">
        <v>49</v>
      </c>
      <c r="D225" s="6" t="s">
        <v>115</v>
      </c>
      <c r="E225" s="6" t="n">
        <v>4</v>
      </c>
      <c r="F225" s="6" t="n">
        <v>1</v>
      </c>
      <c r="G225" s="6" t="s">
        <v>71</v>
      </c>
      <c r="H225" s="11" t="n">
        <v>0.05</v>
      </c>
      <c r="I225" s="6" t="n">
        <v>20</v>
      </c>
      <c r="J225" s="6" t="n">
        <v>20</v>
      </c>
      <c r="K225" s="6" t="n">
        <v>0</v>
      </c>
      <c r="L225" s="6" t="n">
        <v>0</v>
      </c>
      <c r="M225" s="6" t="n">
        <v>20</v>
      </c>
      <c r="N225" s="11" t="n">
        <f aca="false">J225/(J225+K225)</f>
        <v>1</v>
      </c>
      <c r="O225" s="11" t="n">
        <f aca="false">IF(J225+L225=0,"",J225/(J225+L225))</f>
        <v>1</v>
      </c>
      <c r="P225" s="11" t="n">
        <f aca="false">2*J225/(2*J225+L225+K225)</f>
        <v>1</v>
      </c>
      <c r="Q225" s="11" t="n">
        <f aca="false">L225/(L225+M225)</f>
        <v>0</v>
      </c>
      <c r="R225" s="6" t="n">
        <v>4</v>
      </c>
      <c r="S225" s="11" t="n">
        <v>1</v>
      </c>
      <c r="T225" s="11" t="n">
        <v>1</v>
      </c>
      <c r="U225" s="11" t="n">
        <v>0.8</v>
      </c>
      <c r="V225" s="11" t="n">
        <v>1</v>
      </c>
    </row>
    <row r="226" customFormat="false" ht="15" hidden="false" customHeight="false" outlineLevel="0" collapsed="false">
      <c r="A226" s="6" t="s">
        <v>48</v>
      </c>
      <c r="B226" s="6" t="s">
        <v>43</v>
      </c>
      <c r="C226" s="6" t="s">
        <v>49</v>
      </c>
      <c r="D226" s="6" t="s">
        <v>115</v>
      </c>
      <c r="E226" s="6" t="n">
        <v>4</v>
      </c>
      <c r="F226" s="6" t="n">
        <v>1</v>
      </c>
      <c r="G226" s="6" t="s">
        <v>72</v>
      </c>
      <c r="H226" s="11" t="n">
        <v>0.05</v>
      </c>
      <c r="I226" s="6" t="n">
        <v>20</v>
      </c>
      <c r="J226" s="6" t="n">
        <v>20</v>
      </c>
      <c r="K226" s="6" t="n">
        <v>0</v>
      </c>
      <c r="L226" s="6" t="n">
        <v>1</v>
      </c>
      <c r="M226" s="6" t="n">
        <v>19</v>
      </c>
      <c r="N226" s="11" t="n">
        <f aca="false">J226/(J226+K226)</f>
        <v>1</v>
      </c>
      <c r="O226" s="11" t="n">
        <f aca="false">IF(J226+L226=0,"",J226/(J226+L226))</f>
        <v>0.952380952380952</v>
      </c>
      <c r="P226" s="11" t="n">
        <f aca="false">2*J226/(2*J226+L226+K226)</f>
        <v>0.975609756097561</v>
      </c>
      <c r="Q226" s="11" t="n">
        <f aca="false">L226/(L226+M226)</f>
        <v>0.05</v>
      </c>
      <c r="R226" s="6" t="n">
        <v>20</v>
      </c>
      <c r="S226" s="11" t="n">
        <v>1</v>
      </c>
      <c r="T226" s="11"/>
      <c r="U226" s="11" t="n">
        <v>0.9</v>
      </c>
      <c r="V226" s="11" t="n">
        <v>0</v>
      </c>
    </row>
    <row r="227" customFormat="false" ht="15" hidden="false" customHeight="false" outlineLevel="0" collapsed="false">
      <c r="A227" s="6" t="s">
        <v>48</v>
      </c>
      <c r="B227" s="6" t="s">
        <v>43</v>
      </c>
      <c r="C227" s="6" t="s">
        <v>49</v>
      </c>
      <c r="D227" s="6" t="s">
        <v>115</v>
      </c>
      <c r="E227" s="6" t="n">
        <v>4</v>
      </c>
      <c r="F227" s="6" t="n">
        <v>1</v>
      </c>
      <c r="G227" s="6" t="s">
        <v>73</v>
      </c>
      <c r="H227" s="11" t="n">
        <v>0.05</v>
      </c>
      <c r="I227" s="6" t="n">
        <v>20</v>
      </c>
      <c r="J227" s="6" t="n">
        <v>20</v>
      </c>
      <c r="K227" s="6" t="n">
        <v>0</v>
      </c>
      <c r="L227" s="6" t="n">
        <v>0</v>
      </c>
      <c r="M227" s="6" t="n">
        <v>20</v>
      </c>
      <c r="N227" s="11" t="n">
        <f aca="false">J227/(J227+K227)</f>
        <v>1</v>
      </c>
      <c r="O227" s="11" t="n">
        <f aca="false">IF(J227+L227=0,"",J227/(J227+L227))</f>
        <v>1</v>
      </c>
      <c r="P227" s="11" t="n">
        <f aca="false">2*J227/(2*J227+L227+K227)</f>
        <v>1</v>
      </c>
      <c r="Q227" s="11" t="n">
        <f aca="false">L227/(L227+M227)</f>
        <v>0</v>
      </c>
      <c r="R227" s="6" t="n">
        <v>17</v>
      </c>
      <c r="S227" s="11" t="n">
        <v>1</v>
      </c>
      <c r="T227" s="11" t="n">
        <v>1</v>
      </c>
      <c r="U227" s="11" t="n">
        <v>0.65</v>
      </c>
      <c r="V227" s="11" t="n">
        <v>0</v>
      </c>
    </row>
    <row r="228" customFormat="false" ht="15" hidden="false" customHeight="false" outlineLevel="0" collapsed="false">
      <c r="A228" s="6" t="s">
        <v>48</v>
      </c>
      <c r="B228" s="6" t="s">
        <v>43</v>
      </c>
      <c r="C228" s="6" t="s">
        <v>49</v>
      </c>
      <c r="D228" s="6" t="s">
        <v>115</v>
      </c>
      <c r="E228" s="6" t="n">
        <v>4</v>
      </c>
      <c r="F228" s="6" t="n">
        <v>1</v>
      </c>
      <c r="G228" s="6" t="s">
        <v>74</v>
      </c>
      <c r="H228" s="11" t="n">
        <v>0.05</v>
      </c>
      <c r="I228" s="6" t="n">
        <v>20</v>
      </c>
      <c r="J228" s="6" t="n">
        <v>20</v>
      </c>
      <c r="K228" s="6" t="n">
        <v>0</v>
      </c>
      <c r="L228" s="6" t="n">
        <v>1</v>
      </c>
      <c r="M228" s="6" t="n">
        <v>19</v>
      </c>
      <c r="N228" s="11" t="n">
        <f aca="false">J228/(J228+K228)</f>
        <v>1</v>
      </c>
      <c r="O228" s="11" t="n">
        <f aca="false">IF(J228+L228=0,"",J228/(J228+L228))</f>
        <v>0.952380952380952</v>
      </c>
      <c r="P228" s="11" t="n">
        <f aca="false">2*J228/(2*J228+L228+K228)</f>
        <v>0.975609756097561</v>
      </c>
      <c r="Q228" s="11" t="n">
        <f aca="false">L228/(L228+M228)</f>
        <v>0.05</v>
      </c>
      <c r="R228" s="6" t="n">
        <v>20</v>
      </c>
      <c r="S228" s="11" t="n">
        <v>1</v>
      </c>
      <c r="T228" s="11"/>
      <c r="U228" s="11" t="n">
        <v>0.85</v>
      </c>
      <c r="V228" s="11" t="n">
        <v>0</v>
      </c>
    </row>
    <row r="229" customFormat="false" ht="15" hidden="false" customHeight="false" outlineLevel="0" collapsed="false">
      <c r="A229" s="6" t="s">
        <v>48</v>
      </c>
      <c r="B229" s="6" t="s">
        <v>43</v>
      </c>
      <c r="C229" s="6" t="s">
        <v>49</v>
      </c>
      <c r="D229" s="6" t="s">
        <v>115</v>
      </c>
      <c r="E229" s="6" t="n">
        <v>4</v>
      </c>
      <c r="F229" s="6" t="n">
        <v>1</v>
      </c>
      <c r="G229" s="6" t="s">
        <v>75</v>
      </c>
      <c r="H229" s="11" t="n">
        <v>0.05</v>
      </c>
      <c r="I229" s="6" t="n">
        <v>20</v>
      </c>
      <c r="J229" s="6" t="n">
        <v>20</v>
      </c>
      <c r="K229" s="6" t="n">
        <v>0</v>
      </c>
      <c r="L229" s="6" t="n">
        <v>0</v>
      </c>
      <c r="M229" s="6" t="n">
        <v>20</v>
      </c>
      <c r="N229" s="11" t="n">
        <f aca="false">J229/(J229+K229)</f>
        <v>1</v>
      </c>
      <c r="O229" s="11" t="n">
        <f aca="false">IF(J229+L229=0,"",J229/(J229+L229))</f>
        <v>1</v>
      </c>
      <c r="P229" s="11" t="n">
        <f aca="false">2*J229/(2*J229+L229+K229)</f>
        <v>1</v>
      </c>
      <c r="Q229" s="11" t="n">
        <f aca="false">L229/(L229+M229)</f>
        <v>0</v>
      </c>
      <c r="R229" s="6" t="n">
        <v>20</v>
      </c>
      <c r="S229" s="11" t="n">
        <v>1</v>
      </c>
      <c r="T229" s="11"/>
      <c r="U229" s="11" t="n">
        <v>0.9</v>
      </c>
      <c r="V229" s="11" t="n">
        <v>0</v>
      </c>
    </row>
    <row r="230" customFormat="false" ht="15" hidden="false" customHeight="false" outlineLevel="0" collapsed="false">
      <c r="A230" s="6" t="s">
        <v>48</v>
      </c>
      <c r="B230" s="6" t="s">
        <v>43</v>
      </c>
      <c r="C230" s="6" t="s">
        <v>49</v>
      </c>
      <c r="D230" s="6" t="s">
        <v>115</v>
      </c>
      <c r="E230" s="6" t="n">
        <v>4</v>
      </c>
      <c r="F230" s="6" t="n">
        <v>1</v>
      </c>
      <c r="G230" s="6" t="s">
        <v>76</v>
      </c>
      <c r="H230" s="11" t="n">
        <v>0.05</v>
      </c>
      <c r="I230" s="6" t="n">
        <v>20</v>
      </c>
      <c r="J230" s="6" t="n">
        <v>20</v>
      </c>
      <c r="K230" s="6" t="n">
        <v>0</v>
      </c>
      <c r="L230" s="6" t="n">
        <v>0</v>
      </c>
      <c r="M230" s="6" t="n">
        <v>20</v>
      </c>
      <c r="N230" s="11" t="n">
        <f aca="false">J230/(J230+K230)</f>
        <v>1</v>
      </c>
      <c r="O230" s="11" t="n">
        <f aca="false">IF(J230+L230=0,"",J230/(J230+L230))</f>
        <v>1</v>
      </c>
      <c r="P230" s="11" t="n">
        <f aca="false">2*J230/(2*J230+L230+K230)</f>
        <v>1</v>
      </c>
      <c r="Q230" s="11" t="n">
        <f aca="false">L230/(L230+M230)</f>
        <v>0</v>
      </c>
      <c r="R230" s="6" t="n">
        <v>20</v>
      </c>
      <c r="S230" s="11" t="n">
        <v>1</v>
      </c>
      <c r="T230" s="11"/>
      <c r="U230" s="11" t="n">
        <v>0.95</v>
      </c>
      <c r="V230" s="11" t="n">
        <v>0</v>
      </c>
    </row>
    <row r="231" customFormat="false" ht="15" hidden="false" customHeight="false" outlineLevel="0" collapsed="false">
      <c r="A231" s="6" t="s">
        <v>48</v>
      </c>
      <c r="B231" s="6" t="s">
        <v>43</v>
      </c>
      <c r="C231" s="6" t="s">
        <v>49</v>
      </c>
      <c r="D231" s="6" t="s">
        <v>115</v>
      </c>
      <c r="E231" s="6" t="n">
        <v>4</v>
      </c>
      <c r="F231" s="6" t="n">
        <v>1</v>
      </c>
      <c r="G231" s="6" t="s">
        <v>77</v>
      </c>
      <c r="H231" s="11" t="n">
        <v>0.05</v>
      </c>
      <c r="I231" s="6" t="n">
        <v>20</v>
      </c>
      <c r="J231" s="6" t="n">
        <v>20</v>
      </c>
      <c r="K231" s="6" t="n">
        <v>0</v>
      </c>
      <c r="L231" s="6" t="n">
        <v>1</v>
      </c>
      <c r="M231" s="6" t="n">
        <v>19</v>
      </c>
      <c r="N231" s="11" t="n">
        <f aca="false">J231/(J231+K231)</f>
        <v>1</v>
      </c>
      <c r="O231" s="11" t="n">
        <f aca="false">IF(J231+L231=0,"",J231/(J231+L231))</f>
        <v>0.952380952380952</v>
      </c>
      <c r="P231" s="11" t="n">
        <f aca="false">2*J231/(2*J231+L231+K231)</f>
        <v>0.975609756097561</v>
      </c>
      <c r="Q231" s="11" t="n">
        <f aca="false">L231/(L231+M231)</f>
        <v>0.05</v>
      </c>
      <c r="R231" s="6" t="n">
        <v>20</v>
      </c>
      <c r="S231" s="11" t="n">
        <v>1</v>
      </c>
      <c r="T231" s="11"/>
      <c r="U231" s="11" t="n">
        <v>1</v>
      </c>
      <c r="V231" s="11" t="n">
        <v>0</v>
      </c>
    </row>
    <row r="232" customFormat="false" ht="15" hidden="false" customHeight="false" outlineLevel="0" collapsed="false">
      <c r="A232" s="6" t="s">
        <v>48</v>
      </c>
      <c r="B232" s="6" t="s">
        <v>43</v>
      </c>
      <c r="C232" s="6" t="s">
        <v>49</v>
      </c>
      <c r="D232" s="6" t="s">
        <v>115</v>
      </c>
      <c r="E232" s="6" t="n">
        <v>4</v>
      </c>
      <c r="F232" s="6" t="n">
        <v>1</v>
      </c>
      <c r="G232" s="6" t="s">
        <v>78</v>
      </c>
      <c r="H232" s="11" t="n">
        <v>0.05</v>
      </c>
      <c r="I232" s="6" t="n">
        <v>200</v>
      </c>
      <c r="J232" s="6" t="n">
        <v>200</v>
      </c>
      <c r="K232" s="6" t="n">
        <v>0</v>
      </c>
      <c r="L232" s="6" t="n">
        <v>6</v>
      </c>
      <c r="M232" s="6" t="n">
        <v>194</v>
      </c>
      <c r="N232" s="11" t="n">
        <f aca="false">J232/(J232+K232)</f>
        <v>1</v>
      </c>
      <c r="O232" s="11" t="n">
        <f aca="false">IF(J232+L232=0,"",J232/(J232+L232))</f>
        <v>0.970873786407767</v>
      </c>
      <c r="P232" s="11" t="n">
        <f aca="false">2*J232/(2*J232+L232+K232)</f>
        <v>0.985221674876847</v>
      </c>
      <c r="Q232" s="11" t="n">
        <f aca="false">L232/(L232+M232)</f>
        <v>0.03</v>
      </c>
      <c r="R232" s="6" t="n">
        <v>181</v>
      </c>
      <c r="S232" s="11" t="n">
        <v>1</v>
      </c>
      <c r="T232" s="11" t="n">
        <v>1</v>
      </c>
      <c r="U232" s="11" t="n">
        <v>0.88</v>
      </c>
      <c r="V232" s="11" t="n">
        <v>0.1</v>
      </c>
    </row>
    <row r="233" customFormat="false" ht="15" hidden="false" customHeight="false" outlineLevel="0" collapsed="false">
      <c r="A233" s="6" t="s">
        <v>48</v>
      </c>
      <c r="B233" s="6" t="s">
        <v>43</v>
      </c>
      <c r="C233" s="6" t="s">
        <v>49</v>
      </c>
      <c r="D233" s="6" t="s">
        <v>115</v>
      </c>
      <c r="E233" s="6" t="n">
        <v>4</v>
      </c>
      <c r="F233" s="6" t="n">
        <v>2</v>
      </c>
      <c r="G233" s="6" t="s">
        <v>68</v>
      </c>
      <c r="H233" s="11" t="n">
        <v>0.05</v>
      </c>
      <c r="I233" s="6" t="n">
        <v>20</v>
      </c>
      <c r="J233" s="6" t="n">
        <v>2</v>
      </c>
      <c r="K233" s="6" t="n">
        <v>18</v>
      </c>
      <c r="L233" s="6" t="n">
        <v>2</v>
      </c>
      <c r="M233" s="6" t="n">
        <v>18</v>
      </c>
      <c r="N233" s="11" t="n">
        <f aca="false">J233/(J233+K233)</f>
        <v>0.1</v>
      </c>
      <c r="O233" s="11" t="n">
        <f aca="false">IF(J233+L233=0,"",J233/(J233+L233))</f>
        <v>0.5</v>
      </c>
      <c r="P233" s="11" t="n">
        <f aca="false">2*J233/(2*J233+L233+K233)</f>
        <v>0.166666666666667</v>
      </c>
      <c r="Q233" s="11" t="n">
        <f aca="false">L233/(L233+M233)</f>
        <v>0.1</v>
      </c>
      <c r="R233" s="6" t="n">
        <v>0</v>
      </c>
      <c r="S233" s="11"/>
      <c r="T233" s="11" t="n">
        <v>0.1</v>
      </c>
      <c r="U233" s="11" t="n">
        <v>0.85</v>
      </c>
      <c r="V233" s="11" t="n">
        <v>0.85</v>
      </c>
    </row>
    <row r="234" customFormat="false" ht="15" hidden="false" customHeight="false" outlineLevel="0" collapsed="false">
      <c r="A234" s="6" t="s">
        <v>48</v>
      </c>
      <c r="B234" s="6" t="s">
        <v>43</v>
      </c>
      <c r="C234" s="6" t="s">
        <v>49</v>
      </c>
      <c r="D234" s="6" t="s">
        <v>115</v>
      </c>
      <c r="E234" s="6" t="n">
        <v>4</v>
      </c>
      <c r="F234" s="6" t="n">
        <v>2</v>
      </c>
      <c r="G234" s="6" t="s">
        <v>69</v>
      </c>
      <c r="H234" s="11" t="n">
        <v>0.05</v>
      </c>
      <c r="I234" s="6" t="n">
        <v>20</v>
      </c>
      <c r="J234" s="6" t="n">
        <v>1</v>
      </c>
      <c r="K234" s="6" t="n">
        <v>19</v>
      </c>
      <c r="L234" s="6" t="n">
        <v>1</v>
      </c>
      <c r="M234" s="6" t="n">
        <v>19</v>
      </c>
      <c r="N234" s="11" t="n">
        <f aca="false">J234/(J234+K234)</f>
        <v>0.05</v>
      </c>
      <c r="O234" s="11" t="n">
        <f aca="false">IF(J234+L234=0,"",J234/(J234+L234))</f>
        <v>0.5</v>
      </c>
      <c r="P234" s="11" t="n">
        <f aca="false">2*J234/(2*J234+L234+K234)</f>
        <v>0.0909090909090909</v>
      </c>
      <c r="Q234" s="11" t="n">
        <f aca="false">L234/(L234+M234)</f>
        <v>0.05</v>
      </c>
      <c r="R234" s="6" t="n">
        <v>0</v>
      </c>
      <c r="S234" s="11"/>
      <c r="T234" s="11" t="n">
        <v>0.05</v>
      </c>
      <c r="U234" s="11" t="n">
        <v>1</v>
      </c>
      <c r="V234" s="11" t="n">
        <v>1</v>
      </c>
    </row>
    <row r="235" customFormat="false" ht="15" hidden="false" customHeight="false" outlineLevel="0" collapsed="false">
      <c r="A235" s="6" t="s">
        <v>48</v>
      </c>
      <c r="B235" s="6" t="s">
        <v>43</v>
      </c>
      <c r="C235" s="6" t="s">
        <v>49</v>
      </c>
      <c r="D235" s="6" t="s">
        <v>115</v>
      </c>
      <c r="E235" s="6" t="n">
        <v>4</v>
      </c>
      <c r="F235" s="6" t="n">
        <v>2</v>
      </c>
      <c r="G235" s="6" t="s">
        <v>70</v>
      </c>
      <c r="H235" s="11" t="n">
        <v>0.05</v>
      </c>
      <c r="I235" s="6" t="n">
        <v>20</v>
      </c>
      <c r="J235" s="6" t="n">
        <v>0</v>
      </c>
      <c r="K235" s="6" t="n">
        <v>20</v>
      </c>
      <c r="L235" s="6" t="n">
        <v>0</v>
      </c>
      <c r="M235" s="6" t="n">
        <v>20</v>
      </c>
      <c r="N235" s="11" t="n">
        <f aca="false">J235/(J235+K235)</f>
        <v>0</v>
      </c>
      <c r="O235" s="11" t="str">
        <f aca="false">IF(J235+L235=0,"",J235/(J235+L235))</f>
        <v/>
      </c>
      <c r="P235" s="11" t="n">
        <f aca="false">2*J235/(2*J235+L235+K235)</f>
        <v>0</v>
      </c>
      <c r="Q235" s="11" t="n">
        <f aca="false">L235/(L235+M235)</f>
        <v>0</v>
      </c>
      <c r="R235" s="6" t="n">
        <v>0</v>
      </c>
      <c r="S235" s="11"/>
      <c r="T235" s="11" t="n">
        <v>0</v>
      </c>
      <c r="U235" s="11" t="n">
        <v>0.9</v>
      </c>
      <c r="V235" s="11" t="n">
        <v>0.9</v>
      </c>
    </row>
    <row r="236" customFormat="false" ht="15" hidden="false" customHeight="false" outlineLevel="0" collapsed="false">
      <c r="A236" s="6" t="s">
        <v>48</v>
      </c>
      <c r="B236" s="6" t="s">
        <v>43</v>
      </c>
      <c r="C236" s="6" t="s">
        <v>49</v>
      </c>
      <c r="D236" s="6" t="s">
        <v>115</v>
      </c>
      <c r="E236" s="6" t="n">
        <v>4</v>
      </c>
      <c r="F236" s="6" t="n">
        <v>2</v>
      </c>
      <c r="G236" s="6" t="s">
        <v>71</v>
      </c>
      <c r="H236" s="11" t="n">
        <v>0.05</v>
      </c>
      <c r="I236" s="6" t="n">
        <v>20</v>
      </c>
      <c r="J236" s="6" t="n">
        <v>0</v>
      </c>
      <c r="K236" s="6" t="n">
        <v>20</v>
      </c>
      <c r="L236" s="6" t="n">
        <v>0</v>
      </c>
      <c r="M236" s="6" t="n">
        <v>20</v>
      </c>
      <c r="N236" s="11" t="n">
        <f aca="false">J236/(J236+K236)</f>
        <v>0</v>
      </c>
      <c r="O236" s="11" t="str">
        <f aca="false">IF(J236+L236=0,"",J236/(J236+L236))</f>
        <v/>
      </c>
      <c r="P236" s="11" t="n">
        <f aca="false">2*J236/(2*J236+L236+K236)</f>
        <v>0</v>
      </c>
      <c r="Q236" s="11" t="n">
        <f aca="false">L236/(L236+M236)</f>
        <v>0</v>
      </c>
      <c r="R236" s="6" t="n">
        <v>0</v>
      </c>
      <c r="S236" s="11"/>
      <c r="T236" s="11" t="n">
        <v>0</v>
      </c>
      <c r="U236" s="11" t="n">
        <v>0.8</v>
      </c>
      <c r="V236" s="11" t="n">
        <v>0.8</v>
      </c>
    </row>
    <row r="237" customFormat="false" ht="15" hidden="false" customHeight="false" outlineLevel="0" collapsed="false">
      <c r="A237" s="6" t="s">
        <v>48</v>
      </c>
      <c r="B237" s="6" t="s">
        <v>43</v>
      </c>
      <c r="C237" s="6" t="s">
        <v>49</v>
      </c>
      <c r="D237" s="6" t="s">
        <v>115</v>
      </c>
      <c r="E237" s="6" t="n">
        <v>4</v>
      </c>
      <c r="F237" s="6" t="n">
        <v>2</v>
      </c>
      <c r="G237" s="6" t="s">
        <v>72</v>
      </c>
      <c r="H237" s="11" t="n">
        <v>0.05</v>
      </c>
      <c r="I237" s="6" t="n">
        <v>20</v>
      </c>
      <c r="J237" s="6" t="n">
        <v>1</v>
      </c>
      <c r="K237" s="6" t="n">
        <v>19</v>
      </c>
      <c r="L237" s="6" t="n">
        <v>1</v>
      </c>
      <c r="M237" s="6" t="n">
        <v>19</v>
      </c>
      <c r="N237" s="11" t="n">
        <f aca="false">J237/(J237+K237)</f>
        <v>0.05</v>
      </c>
      <c r="O237" s="11" t="n">
        <f aca="false">IF(J237+L237=0,"",J237/(J237+L237))</f>
        <v>0.5</v>
      </c>
      <c r="P237" s="11" t="n">
        <f aca="false">2*J237/(2*J237+L237+K237)</f>
        <v>0.0909090909090909</v>
      </c>
      <c r="Q237" s="11" t="n">
        <f aca="false">L237/(L237+M237)</f>
        <v>0.05</v>
      </c>
      <c r="R237" s="6" t="n">
        <v>0</v>
      </c>
      <c r="S237" s="11"/>
      <c r="T237" s="11" t="n">
        <v>0.05</v>
      </c>
      <c r="U237" s="11" t="n">
        <v>0.9</v>
      </c>
      <c r="V237" s="11" t="n">
        <v>0.9</v>
      </c>
    </row>
    <row r="238" customFormat="false" ht="15" hidden="false" customHeight="false" outlineLevel="0" collapsed="false">
      <c r="A238" s="6" t="s">
        <v>48</v>
      </c>
      <c r="B238" s="6" t="s">
        <v>43</v>
      </c>
      <c r="C238" s="6" t="s">
        <v>49</v>
      </c>
      <c r="D238" s="6" t="s">
        <v>115</v>
      </c>
      <c r="E238" s="6" t="n">
        <v>4</v>
      </c>
      <c r="F238" s="6" t="n">
        <v>2</v>
      </c>
      <c r="G238" s="6" t="s">
        <v>73</v>
      </c>
      <c r="H238" s="11" t="n">
        <v>0.05</v>
      </c>
      <c r="I238" s="6" t="n">
        <v>20</v>
      </c>
      <c r="J238" s="6" t="n">
        <v>0</v>
      </c>
      <c r="K238" s="6" t="n">
        <v>20</v>
      </c>
      <c r="L238" s="6" t="n">
        <v>0</v>
      </c>
      <c r="M238" s="6" t="n">
        <v>20</v>
      </c>
      <c r="N238" s="11" t="n">
        <f aca="false">J238/(J238+K238)</f>
        <v>0</v>
      </c>
      <c r="O238" s="11" t="str">
        <f aca="false">IF(J238+L238=0,"",J238/(J238+L238))</f>
        <v/>
      </c>
      <c r="P238" s="11" t="n">
        <f aca="false">2*J238/(2*J238+L238+K238)</f>
        <v>0</v>
      </c>
      <c r="Q238" s="11" t="n">
        <f aca="false">L238/(L238+M238)</f>
        <v>0</v>
      </c>
      <c r="R238" s="6" t="n">
        <v>0</v>
      </c>
      <c r="S238" s="11"/>
      <c r="T238" s="11" t="n">
        <v>0</v>
      </c>
      <c r="U238" s="11" t="n">
        <v>0.65</v>
      </c>
      <c r="V238" s="11" t="n">
        <v>0.65</v>
      </c>
    </row>
    <row r="239" customFormat="false" ht="15" hidden="false" customHeight="false" outlineLevel="0" collapsed="false">
      <c r="A239" s="6" t="s">
        <v>48</v>
      </c>
      <c r="B239" s="6" t="s">
        <v>43</v>
      </c>
      <c r="C239" s="6" t="s">
        <v>49</v>
      </c>
      <c r="D239" s="6" t="s">
        <v>115</v>
      </c>
      <c r="E239" s="6" t="n">
        <v>4</v>
      </c>
      <c r="F239" s="6" t="n">
        <v>2</v>
      </c>
      <c r="G239" s="6" t="s">
        <v>74</v>
      </c>
      <c r="H239" s="11" t="n">
        <v>0.05</v>
      </c>
      <c r="I239" s="6" t="n">
        <v>20</v>
      </c>
      <c r="J239" s="6" t="n">
        <v>1</v>
      </c>
      <c r="K239" s="6" t="n">
        <v>19</v>
      </c>
      <c r="L239" s="6" t="n">
        <v>1</v>
      </c>
      <c r="M239" s="6" t="n">
        <v>19</v>
      </c>
      <c r="N239" s="11" t="n">
        <f aca="false">J239/(J239+K239)</f>
        <v>0.05</v>
      </c>
      <c r="O239" s="11" t="n">
        <f aca="false">IF(J239+L239=0,"",J239/(J239+L239))</f>
        <v>0.5</v>
      </c>
      <c r="P239" s="11" t="n">
        <f aca="false">2*J239/(2*J239+L239+K239)</f>
        <v>0.0909090909090909</v>
      </c>
      <c r="Q239" s="11" t="n">
        <f aca="false">L239/(L239+M239)</f>
        <v>0.05</v>
      </c>
      <c r="R239" s="6" t="n">
        <v>0</v>
      </c>
      <c r="S239" s="11"/>
      <c r="T239" s="11" t="n">
        <v>0.05</v>
      </c>
      <c r="U239" s="11" t="n">
        <v>0.85</v>
      </c>
      <c r="V239" s="11" t="n">
        <v>0.85</v>
      </c>
    </row>
    <row r="240" customFormat="false" ht="15" hidden="false" customHeight="false" outlineLevel="0" collapsed="false">
      <c r="A240" s="6" t="s">
        <v>48</v>
      </c>
      <c r="B240" s="6" t="s">
        <v>43</v>
      </c>
      <c r="C240" s="6" t="s">
        <v>49</v>
      </c>
      <c r="D240" s="6" t="s">
        <v>115</v>
      </c>
      <c r="E240" s="6" t="n">
        <v>4</v>
      </c>
      <c r="F240" s="6" t="n">
        <v>2</v>
      </c>
      <c r="G240" s="6" t="s">
        <v>75</v>
      </c>
      <c r="H240" s="11" t="n">
        <v>0.05</v>
      </c>
      <c r="I240" s="6" t="n">
        <v>20</v>
      </c>
      <c r="J240" s="6" t="n">
        <v>0</v>
      </c>
      <c r="K240" s="6" t="n">
        <v>20</v>
      </c>
      <c r="L240" s="6" t="n">
        <v>0</v>
      </c>
      <c r="M240" s="6" t="n">
        <v>20</v>
      </c>
      <c r="N240" s="11" t="n">
        <f aca="false">J240/(J240+K240)</f>
        <v>0</v>
      </c>
      <c r="O240" s="11" t="str">
        <f aca="false">IF(J240+L240=0,"",J240/(J240+L240))</f>
        <v/>
      </c>
      <c r="P240" s="11" t="n">
        <f aca="false">2*J240/(2*J240+L240+K240)</f>
        <v>0</v>
      </c>
      <c r="Q240" s="11" t="n">
        <f aca="false">L240/(L240+M240)</f>
        <v>0</v>
      </c>
      <c r="R240" s="6" t="n">
        <v>0</v>
      </c>
      <c r="S240" s="11"/>
      <c r="T240" s="11" t="n">
        <v>0</v>
      </c>
      <c r="U240" s="11" t="n">
        <v>0.9</v>
      </c>
      <c r="V240" s="11" t="n">
        <v>0.9</v>
      </c>
    </row>
    <row r="241" customFormat="false" ht="15" hidden="false" customHeight="false" outlineLevel="0" collapsed="false">
      <c r="A241" s="6" t="s">
        <v>48</v>
      </c>
      <c r="B241" s="6" t="s">
        <v>43</v>
      </c>
      <c r="C241" s="6" t="s">
        <v>49</v>
      </c>
      <c r="D241" s="6" t="s">
        <v>115</v>
      </c>
      <c r="E241" s="6" t="n">
        <v>4</v>
      </c>
      <c r="F241" s="6" t="n">
        <v>2</v>
      </c>
      <c r="G241" s="6" t="s">
        <v>76</v>
      </c>
      <c r="H241" s="11" t="n">
        <v>0.05</v>
      </c>
      <c r="I241" s="6" t="n">
        <v>20</v>
      </c>
      <c r="J241" s="6" t="n">
        <v>0</v>
      </c>
      <c r="K241" s="6" t="n">
        <v>20</v>
      </c>
      <c r="L241" s="6" t="n">
        <v>0</v>
      </c>
      <c r="M241" s="6" t="n">
        <v>20</v>
      </c>
      <c r="N241" s="11" t="n">
        <f aca="false">J241/(J241+K241)</f>
        <v>0</v>
      </c>
      <c r="O241" s="11" t="str">
        <f aca="false">IF(J241+L241=0,"",J241/(J241+L241))</f>
        <v/>
      </c>
      <c r="P241" s="11" t="n">
        <f aca="false">2*J241/(2*J241+L241+K241)</f>
        <v>0</v>
      </c>
      <c r="Q241" s="11" t="n">
        <f aca="false">L241/(L241+M241)</f>
        <v>0</v>
      </c>
      <c r="R241" s="6" t="n">
        <v>0</v>
      </c>
      <c r="S241" s="11"/>
      <c r="T241" s="11" t="n">
        <v>0</v>
      </c>
      <c r="U241" s="11" t="n">
        <v>0.95</v>
      </c>
      <c r="V241" s="11" t="n">
        <v>0.95</v>
      </c>
    </row>
    <row r="242" customFormat="false" ht="15" hidden="false" customHeight="false" outlineLevel="0" collapsed="false">
      <c r="A242" s="6" t="s">
        <v>48</v>
      </c>
      <c r="B242" s="6" t="s">
        <v>43</v>
      </c>
      <c r="C242" s="6" t="s">
        <v>49</v>
      </c>
      <c r="D242" s="6" t="s">
        <v>115</v>
      </c>
      <c r="E242" s="6" t="n">
        <v>4</v>
      </c>
      <c r="F242" s="6" t="n">
        <v>2</v>
      </c>
      <c r="G242" s="6" t="s">
        <v>77</v>
      </c>
      <c r="H242" s="11" t="n">
        <v>0.05</v>
      </c>
      <c r="I242" s="6" t="n">
        <v>20</v>
      </c>
      <c r="J242" s="6" t="n">
        <v>1</v>
      </c>
      <c r="K242" s="6" t="n">
        <v>19</v>
      </c>
      <c r="L242" s="6" t="n">
        <v>1</v>
      </c>
      <c r="M242" s="6" t="n">
        <v>19</v>
      </c>
      <c r="N242" s="11" t="n">
        <f aca="false">J242/(J242+K242)</f>
        <v>0.05</v>
      </c>
      <c r="O242" s="11" t="n">
        <f aca="false">IF(J242+L242=0,"",J242/(J242+L242))</f>
        <v>0.5</v>
      </c>
      <c r="P242" s="11" t="n">
        <f aca="false">2*J242/(2*J242+L242+K242)</f>
        <v>0.0909090909090909</v>
      </c>
      <c r="Q242" s="11" t="n">
        <f aca="false">L242/(L242+M242)</f>
        <v>0.05</v>
      </c>
      <c r="R242" s="6" t="n">
        <v>0</v>
      </c>
      <c r="S242" s="11"/>
      <c r="T242" s="11" t="n">
        <v>0.05</v>
      </c>
      <c r="U242" s="11" t="n">
        <v>1</v>
      </c>
      <c r="V242" s="11" t="n">
        <v>1</v>
      </c>
    </row>
    <row r="243" customFormat="false" ht="15" hidden="false" customHeight="false" outlineLevel="0" collapsed="false">
      <c r="A243" s="6" t="s">
        <v>48</v>
      </c>
      <c r="B243" s="6" t="s">
        <v>43</v>
      </c>
      <c r="C243" s="6" t="s">
        <v>49</v>
      </c>
      <c r="D243" s="6" t="s">
        <v>115</v>
      </c>
      <c r="E243" s="6" t="n">
        <v>4</v>
      </c>
      <c r="F243" s="6" t="n">
        <v>2</v>
      </c>
      <c r="G243" s="6" t="s">
        <v>78</v>
      </c>
      <c r="H243" s="11" t="n">
        <v>0.05</v>
      </c>
      <c r="I243" s="6" t="n">
        <v>200</v>
      </c>
      <c r="J243" s="6" t="n">
        <v>6</v>
      </c>
      <c r="K243" s="6" t="n">
        <v>194</v>
      </c>
      <c r="L243" s="6" t="n">
        <v>6</v>
      </c>
      <c r="M243" s="6" t="n">
        <v>194</v>
      </c>
      <c r="N243" s="11" t="n">
        <f aca="false">J243/(J243+K243)</f>
        <v>0.03</v>
      </c>
      <c r="O243" s="11" t="n">
        <f aca="false">IF(J243+L243=0,"",J243/(J243+L243))</f>
        <v>0.5</v>
      </c>
      <c r="P243" s="11" t="n">
        <f aca="false">2*J243/(2*J243+L243+K243)</f>
        <v>0.0566037735849057</v>
      </c>
      <c r="Q243" s="11" t="n">
        <f aca="false">L243/(L243+M243)</f>
        <v>0.03</v>
      </c>
      <c r="R243" s="6" t="n">
        <v>0</v>
      </c>
      <c r="S243" s="11"/>
      <c r="T243" s="11" t="n">
        <v>0.03</v>
      </c>
      <c r="U243" s="11" t="n">
        <v>0.88</v>
      </c>
      <c r="V243" s="11" t="n">
        <v>0.88</v>
      </c>
    </row>
    <row r="244" customFormat="false" ht="15" hidden="false" customHeight="false" outlineLevel="0" collapsed="false">
      <c r="A244" s="6" t="s">
        <v>48</v>
      </c>
      <c r="B244" s="6" t="s">
        <v>43</v>
      </c>
      <c r="C244" s="6" t="s">
        <v>49</v>
      </c>
      <c r="D244" s="6" t="s">
        <v>115</v>
      </c>
      <c r="E244" s="6" t="n">
        <v>4</v>
      </c>
      <c r="F244" s="6" t="n">
        <v>3</v>
      </c>
      <c r="G244" s="6" t="s">
        <v>68</v>
      </c>
      <c r="H244" s="11" t="n">
        <v>0.05</v>
      </c>
      <c r="I244" s="6" t="n">
        <v>20</v>
      </c>
      <c r="J244" s="6" t="n">
        <v>20</v>
      </c>
      <c r="K244" s="6" t="n">
        <v>0</v>
      </c>
      <c r="L244" s="6" t="n">
        <v>2</v>
      </c>
      <c r="M244" s="6" t="n">
        <v>18</v>
      </c>
      <c r="N244" s="11" t="n">
        <f aca="false">J244/(J244+K244)</f>
        <v>1</v>
      </c>
      <c r="O244" s="11" t="n">
        <f aca="false">IF(J244+L244=0,"",J244/(J244+L244))</f>
        <v>0.909090909090909</v>
      </c>
      <c r="P244" s="11" t="n">
        <f aca="false">2*J244/(2*J244+L244+K244)</f>
        <v>0.952380952380952</v>
      </c>
      <c r="Q244" s="11" t="n">
        <f aca="false">L244/(L244+M244)</f>
        <v>0.1</v>
      </c>
      <c r="R244" s="6" t="n">
        <v>17</v>
      </c>
      <c r="S244" s="11" t="n">
        <v>1</v>
      </c>
      <c r="T244" s="11" t="n">
        <v>1</v>
      </c>
      <c r="U244" s="11" t="n">
        <v>0.85</v>
      </c>
      <c r="V244" s="11" t="n">
        <v>0.1</v>
      </c>
    </row>
    <row r="245" customFormat="false" ht="15" hidden="false" customHeight="false" outlineLevel="0" collapsed="false">
      <c r="A245" s="6" t="s">
        <v>48</v>
      </c>
      <c r="B245" s="6" t="s">
        <v>43</v>
      </c>
      <c r="C245" s="6" t="s">
        <v>49</v>
      </c>
      <c r="D245" s="6" t="s">
        <v>115</v>
      </c>
      <c r="E245" s="6" t="n">
        <v>4</v>
      </c>
      <c r="F245" s="6" t="n">
        <v>3</v>
      </c>
      <c r="G245" s="6" t="s">
        <v>69</v>
      </c>
      <c r="H245" s="11" t="n">
        <v>0.05</v>
      </c>
      <c r="I245" s="6" t="n">
        <v>20</v>
      </c>
      <c r="J245" s="6" t="n">
        <v>20</v>
      </c>
      <c r="K245" s="6" t="n">
        <v>0</v>
      </c>
      <c r="L245" s="6" t="n">
        <v>1</v>
      </c>
      <c r="M245" s="6" t="n">
        <v>19</v>
      </c>
      <c r="N245" s="11" t="n">
        <f aca="false">J245/(J245+K245)</f>
        <v>1</v>
      </c>
      <c r="O245" s="11" t="n">
        <f aca="false">IF(J245+L245=0,"",J245/(J245+L245))</f>
        <v>0.952380952380952</v>
      </c>
      <c r="P245" s="11" t="n">
        <f aca="false">2*J245/(2*J245+L245+K245)</f>
        <v>0.975609756097561</v>
      </c>
      <c r="Q245" s="11" t="n">
        <f aca="false">L245/(L245+M245)</f>
        <v>0.05</v>
      </c>
      <c r="R245" s="6" t="n">
        <v>20</v>
      </c>
      <c r="S245" s="11" t="n">
        <v>1</v>
      </c>
      <c r="T245" s="11"/>
      <c r="U245" s="11" t="n">
        <v>1</v>
      </c>
      <c r="V245" s="11" t="n">
        <v>0</v>
      </c>
    </row>
    <row r="246" customFormat="false" ht="15" hidden="false" customHeight="false" outlineLevel="0" collapsed="false">
      <c r="A246" s="6" t="s">
        <v>48</v>
      </c>
      <c r="B246" s="6" t="s">
        <v>43</v>
      </c>
      <c r="C246" s="6" t="s">
        <v>49</v>
      </c>
      <c r="D246" s="6" t="s">
        <v>115</v>
      </c>
      <c r="E246" s="6" t="n">
        <v>4</v>
      </c>
      <c r="F246" s="6" t="n">
        <v>3</v>
      </c>
      <c r="G246" s="6" t="s">
        <v>70</v>
      </c>
      <c r="H246" s="11" t="n">
        <v>0.05</v>
      </c>
      <c r="I246" s="6" t="n">
        <v>20</v>
      </c>
      <c r="J246" s="6" t="n">
        <v>20</v>
      </c>
      <c r="K246" s="6" t="n">
        <v>0</v>
      </c>
      <c r="L246" s="6" t="n">
        <v>0</v>
      </c>
      <c r="M246" s="6" t="n">
        <v>20</v>
      </c>
      <c r="N246" s="11" t="n">
        <f aca="false">J246/(J246+K246)</f>
        <v>1</v>
      </c>
      <c r="O246" s="11" t="n">
        <f aca="false">IF(J246+L246=0,"",J246/(J246+L246))</f>
        <v>1</v>
      </c>
      <c r="P246" s="11" t="n">
        <f aca="false">2*J246/(2*J246+L246+K246)</f>
        <v>1</v>
      </c>
      <c r="Q246" s="11" t="n">
        <f aca="false">L246/(L246+M246)</f>
        <v>0</v>
      </c>
      <c r="R246" s="6" t="n">
        <v>11</v>
      </c>
      <c r="S246" s="11" t="n">
        <v>1</v>
      </c>
      <c r="T246" s="11" t="n">
        <v>1</v>
      </c>
      <c r="U246" s="11" t="n">
        <v>0.9</v>
      </c>
      <c r="V246" s="11" t="n">
        <v>0.55</v>
      </c>
    </row>
    <row r="247" customFormat="false" ht="15" hidden="false" customHeight="false" outlineLevel="0" collapsed="false">
      <c r="A247" s="6" t="s">
        <v>48</v>
      </c>
      <c r="B247" s="6" t="s">
        <v>43</v>
      </c>
      <c r="C247" s="6" t="s">
        <v>49</v>
      </c>
      <c r="D247" s="6" t="s">
        <v>115</v>
      </c>
      <c r="E247" s="6" t="n">
        <v>4</v>
      </c>
      <c r="F247" s="6" t="n">
        <v>3</v>
      </c>
      <c r="G247" s="6" t="s">
        <v>71</v>
      </c>
      <c r="H247" s="11" t="n">
        <v>0.05</v>
      </c>
      <c r="I247" s="6" t="n">
        <v>20</v>
      </c>
      <c r="J247" s="6" t="n">
        <v>20</v>
      </c>
      <c r="K247" s="6" t="n">
        <v>0</v>
      </c>
      <c r="L247" s="6" t="n">
        <v>0</v>
      </c>
      <c r="M247" s="6" t="n">
        <v>20</v>
      </c>
      <c r="N247" s="11" t="n">
        <f aca="false">J247/(J247+K247)</f>
        <v>1</v>
      </c>
      <c r="O247" s="11" t="n">
        <f aca="false">IF(J247+L247=0,"",J247/(J247+L247))</f>
        <v>1</v>
      </c>
      <c r="P247" s="11" t="n">
        <f aca="false">2*J247/(2*J247+L247+K247)</f>
        <v>1</v>
      </c>
      <c r="Q247" s="11" t="n">
        <f aca="false">L247/(L247+M247)</f>
        <v>0</v>
      </c>
      <c r="R247" s="6" t="n">
        <v>18</v>
      </c>
      <c r="S247" s="11" t="n">
        <v>1</v>
      </c>
      <c r="T247" s="11" t="n">
        <v>1</v>
      </c>
      <c r="U247" s="11" t="n">
        <v>0.8</v>
      </c>
      <c r="V247" s="11" t="n">
        <v>0</v>
      </c>
    </row>
    <row r="248" customFormat="false" ht="15" hidden="false" customHeight="false" outlineLevel="0" collapsed="false">
      <c r="A248" s="6" t="s">
        <v>48</v>
      </c>
      <c r="B248" s="6" t="s">
        <v>43</v>
      </c>
      <c r="C248" s="6" t="s">
        <v>49</v>
      </c>
      <c r="D248" s="6" t="s">
        <v>115</v>
      </c>
      <c r="E248" s="6" t="n">
        <v>4</v>
      </c>
      <c r="F248" s="6" t="n">
        <v>3</v>
      </c>
      <c r="G248" s="6" t="s">
        <v>72</v>
      </c>
      <c r="H248" s="11" t="n">
        <v>0.05</v>
      </c>
      <c r="I248" s="6" t="n">
        <v>20</v>
      </c>
      <c r="J248" s="6" t="n">
        <v>20</v>
      </c>
      <c r="K248" s="6" t="n">
        <v>0</v>
      </c>
      <c r="L248" s="6" t="n">
        <v>1</v>
      </c>
      <c r="M248" s="6" t="n">
        <v>19</v>
      </c>
      <c r="N248" s="11" t="n">
        <f aca="false">J248/(J248+K248)</f>
        <v>1</v>
      </c>
      <c r="O248" s="11" t="n">
        <f aca="false">IF(J248+L248=0,"",J248/(J248+L248))</f>
        <v>0.952380952380952</v>
      </c>
      <c r="P248" s="11" t="n">
        <f aca="false">2*J248/(2*J248+L248+K248)</f>
        <v>0.975609756097561</v>
      </c>
      <c r="Q248" s="11" t="n">
        <f aca="false">L248/(L248+M248)</f>
        <v>0.05</v>
      </c>
      <c r="R248" s="6" t="n">
        <v>19</v>
      </c>
      <c r="S248" s="11" t="n">
        <v>1</v>
      </c>
      <c r="T248" s="11" t="n">
        <v>1</v>
      </c>
      <c r="U248" s="11" t="n">
        <v>0.9</v>
      </c>
      <c r="V248" s="11" t="n">
        <v>0</v>
      </c>
    </row>
    <row r="249" customFormat="false" ht="15" hidden="false" customHeight="false" outlineLevel="0" collapsed="false">
      <c r="A249" s="6" t="s">
        <v>48</v>
      </c>
      <c r="B249" s="6" t="s">
        <v>43</v>
      </c>
      <c r="C249" s="6" t="s">
        <v>49</v>
      </c>
      <c r="D249" s="6" t="s">
        <v>115</v>
      </c>
      <c r="E249" s="6" t="n">
        <v>4</v>
      </c>
      <c r="F249" s="6" t="n">
        <v>3</v>
      </c>
      <c r="G249" s="6" t="s">
        <v>73</v>
      </c>
      <c r="H249" s="11" t="n">
        <v>0.05</v>
      </c>
      <c r="I249" s="6" t="n">
        <v>20</v>
      </c>
      <c r="J249" s="6" t="n">
        <v>20</v>
      </c>
      <c r="K249" s="6" t="n">
        <v>0</v>
      </c>
      <c r="L249" s="6" t="n">
        <v>0</v>
      </c>
      <c r="M249" s="6" t="n">
        <v>20</v>
      </c>
      <c r="N249" s="11" t="n">
        <f aca="false">J249/(J249+K249)</f>
        <v>1</v>
      </c>
      <c r="O249" s="11" t="n">
        <f aca="false">IF(J249+L249=0,"",J249/(J249+L249))</f>
        <v>1</v>
      </c>
      <c r="P249" s="11" t="n">
        <f aca="false">2*J249/(2*J249+L249+K249)</f>
        <v>1</v>
      </c>
      <c r="Q249" s="11" t="n">
        <f aca="false">L249/(L249+M249)</f>
        <v>0</v>
      </c>
      <c r="R249" s="6" t="n">
        <v>19</v>
      </c>
      <c r="S249" s="11" t="n">
        <v>1</v>
      </c>
      <c r="T249" s="11" t="n">
        <v>1</v>
      </c>
      <c r="U249" s="11" t="n">
        <v>0.65</v>
      </c>
      <c r="V249" s="11" t="n">
        <v>0</v>
      </c>
    </row>
    <row r="250" customFormat="false" ht="15" hidden="false" customHeight="false" outlineLevel="0" collapsed="false">
      <c r="A250" s="6" t="s">
        <v>48</v>
      </c>
      <c r="B250" s="6" t="s">
        <v>43</v>
      </c>
      <c r="C250" s="6" t="s">
        <v>49</v>
      </c>
      <c r="D250" s="6" t="s">
        <v>115</v>
      </c>
      <c r="E250" s="6" t="n">
        <v>4</v>
      </c>
      <c r="F250" s="6" t="n">
        <v>3</v>
      </c>
      <c r="G250" s="6" t="s">
        <v>74</v>
      </c>
      <c r="H250" s="11" t="n">
        <v>0.05</v>
      </c>
      <c r="I250" s="6" t="n">
        <v>20</v>
      </c>
      <c r="J250" s="6" t="n">
        <v>20</v>
      </c>
      <c r="K250" s="6" t="n">
        <v>0</v>
      </c>
      <c r="L250" s="6" t="n">
        <v>1</v>
      </c>
      <c r="M250" s="6" t="n">
        <v>19</v>
      </c>
      <c r="N250" s="11" t="n">
        <f aca="false">J250/(J250+K250)</f>
        <v>1</v>
      </c>
      <c r="O250" s="11" t="n">
        <f aca="false">IF(J250+L250=0,"",J250/(J250+L250))</f>
        <v>0.952380952380952</v>
      </c>
      <c r="P250" s="11" t="n">
        <f aca="false">2*J250/(2*J250+L250+K250)</f>
        <v>0.975609756097561</v>
      </c>
      <c r="Q250" s="11" t="n">
        <f aca="false">L250/(L250+M250)</f>
        <v>0.05</v>
      </c>
      <c r="R250" s="6" t="n">
        <v>19</v>
      </c>
      <c r="S250" s="11" t="n">
        <v>1</v>
      </c>
      <c r="T250" s="11" t="n">
        <v>1</v>
      </c>
      <c r="U250" s="11" t="n">
        <v>0.85</v>
      </c>
      <c r="V250" s="11" t="n">
        <v>0</v>
      </c>
    </row>
    <row r="251" customFormat="false" ht="15" hidden="false" customHeight="false" outlineLevel="0" collapsed="false">
      <c r="A251" s="6" t="s">
        <v>48</v>
      </c>
      <c r="B251" s="6" t="s">
        <v>43</v>
      </c>
      <c r="C251" s="6" t="s">
        <v>49</v>
      </c>
      <c r="D251" s="6" t="s">
        <v>115</v>
      </c>
      <c r="E251" s="6" t="n">
        <v>4</v>
      </c>
      <c r="F251" s="6" t="n">
        <v>3</v>
      </c>
      <c r="G251" s="6" t="s">
        <v>75</v>
      </c>
      <c r="H251" s="11" t="n">
        <v>0.05</v>
      </c>
      <c r="I251" s="6" t="n">
        <v>20</v>
      </c>
      <c r="J251" s="6" t="n">
        <v>20</v>
      </c>
      <c r="K251" s="6" t="n">
        <v>0</v>
      </c>
      <c r="L251" s="6" t="n">
        <v>0</v>
      </c>
      <c r="M251" s="6" t="n">
        <v>20</v>
      </c>
      <c r="N251" s="11" t="n">
        <f aca="false">J251/(J251+K251)</f>
        <v>1</v>
      </c>
      <c r="O251" s="11" t="n">
        <f aca="false">IF(J251+L251=0,"",J251/(J251+L251))</f>
        <v>1</v>
      </c>
      <c r="P251" s="11" t="n">
        <f aca="false">2*J251/(2*J251+L251+K251)</f>
        <v>1</v>
      </c>
      <c r="Q251" s="11" t="n">
        <f aca="false">L251/(L251+M251)</f>
        <v>0</v>
      </c>
      <c r="R251" s="6" t="n">
        <v>19</v>
      </c>
      <c r="S251" s="11" t="n">
        <v>1</v>
      </c>
      <c r="T251" s="11" t="n">
        <v>1</v>
      </c>
      <c r="U251" s="11" t="n">
        <v>0.9</v>
      </c>
      <c r="V251" s="11" t="n">
        <v>0</v>
      </c>
    </row>
    <row r="252" customFormat="false" ht="15" hidden="false" customHeight="false" outlineLevel="0" collapsed="false">
      <c r="A252" s="6" t="s">
        <v>48</v>
      </c>
      <c r="B252" s="6" t="s">
        <v>43</v>
      </c>
      <c r="C252" s="6" t="s">
        <v>49</v>
      </c>
      <c r="D252" s="6" t="s">
        <v>115</v>
      </c>
      <c r="E252" s="6" t="n">
        <v>4</v>
      </c>
      <c r="F252" s="6" t="n">
        <v>3</v>
      </c>
      <c r="G252" s="6" t="s">
        <v>76</v>
      </c>
      <c r="H252" s="11" t="n">
        <v>0.05</v>
      </c>
      <c r="I252" s="6" t="n">
        <v>20</v>
      </c>
      <c r="J252" s="6" t="n">
        <v>20</v>
      </c>
      <c r="K252" s="6" t="n">
        <v>0</v>
      </c>
      <c r="L252" s="6" t="n">
        <v>0</v>
      </c>
      <c r="M252" s="6" t="n">
        <v>20</v>
      </c>
      <c r="N252" s="11" t="n">
        <f aca="false">J252/(J252+K252)</f>
        <v>1</v>
      </c>
      <c r="O252" s="11" t="n">
        <f aca="false">IF(J252+L252=0,"",J252/(J252+L252))</f>
        <v>1</v>
      </c>
      <c r="P252" s="11" t="n">
        <f aca="false">2*J252/(2*J252+L252+K252)</f>
        <v>1</v>
      </c>
      <c r="Q252" s="11" t="n">
        <f aca="false">L252/(L252+M252)</f>
        <v>0</v>
      </c>
      <c r="R252" s="6" t="n">
        <v>19</v>
      </c>
      <c r="S252" s="11" t="n">
        <v>1</v>
      </c>
      <c r="T252" s="11" t="n">
        <v>1</v>
      </c>
      <c r="U252" s="11" t="n">
        <v>0.95</v>
      </c>
      <c r="V252" s="11" t="n">
        <v>0</v>
      </c>
    </row>
    <row r="253" customFormat="false" ht="15" hidden="false" customHeight="false" outlineLevel="0" collapsed="false">
      <c r="A253" s="6" t="s">
        <v>48</v>
      </c>
      <c r="B253" s="6" t="s">
        <v>43</v>
      </c>
      <c r="C253" s="6" t="s">
        <v>49</v>
      </c>
      <c r="D253" s="6" t="s">
        <v>115</v>
      </c>
      <c r="E253" s="6" t="n">
        <v>4</v>
      </c>
      <c r="F253" s="6" t="n">
        <v>3</v>
      </c>
      <c r="G253" s="6" t="s">
        <v>77</v>
      </c>
      <c r="H253" s="11" t="n">
        <v>0.05</v>
      </c>
      <c r="I253" s="6" t="n">
        <v>20</v>
      </c>
      <c r="J253" s="6" t="n">
        <v>20</v>
      </c>
      <c r="K253" s="6" t="n">
        <v>0</v>
      </c>
      <c r="L253" s="6" t="n">
        <v>1</v>
      </c>
      <c r="M253" s="6" t="n">
        <v>19</v>
      </c>
      <c r="N253" s="11" t="n">
        <f aca="false">J253/(J253+K253)</f>
        <v>1</v>
      </c>
      <c r="O253" s="11" t="n">
        <f aca="false">IF(J253+L253=0,"",J253/(J253+L253))</f>
        <v>0.952380952380952</v>
      </c>
      <c r="P253" s="11" t="n">
        <f aca="false">2*J253/(2*J253+L253+K253)</f>
        <v>0.975609756097561</v>
      </c>
      <c r="Q253" s="11" t="n">
        <f aca="false">L253/(L253+M253)</f>
        <v>0.05</v>
      </c>
      <c r="R253" s="6" t="n">
        <v>20</v>
      </c>
      <c r="S253" s="11" t="n">
        <v>1</v>
      </c>
      <c r="T253" s="11"/>
      <c r="U253" s="11" t="n">
        <v>1</v>
      </c>
      <c r="V253" s="11" t="n">
        <v>0</v>
      </c>
    </row>
    <row r="254" customFormat="false" ht="15" hidden="false" customHeight="false" outlineLevel="0" collapsed="false">
      <c r="A254" s="6" t="s">
        <v>48</v>
      </c>
      <c r="B254" s="6" t="s">
        <v>43</v>
      </c>
      <c r="C254" s="6" t="s">
        <v>49</v>
      </c>
      <c r="D254" s="6" t="s">
        <v>115</v>
      </c>
      <c r="E254" s="6" t="n">
        <v>4</v>
      </c>
      <c r="F254" s="6" t="n">
        <v>3</v>
      </c>
      <c r="G254" s="6" t="s">
        <v>78</v>
      </c>
      <c r="H254" s="11" t="n">
        <v>0.05</v>
      </c>
      <c r="I254" s="6" t="n">
        <v>200</v>
      </c>
      <c r="J254" s="6" t="n">
        <v>200</v>
      </c>
      <c r="K254" s="6" t="n">
        <v>0</v>
      </c>
      <c r="L254" s="6" t="n">
        <v>6</v>
      </c>
      <c r="M254" s="6" t="n">
        <v>194</v>
      </c>
      <c r="N254" s="11" t="n">
        <f aca="false">J254/(J254+K254)</f>
        <v>1</v>
      </c>
      <c r="O254" s="11" t="n">
        <f aca="false">IF(J254+L254=0,"",J254/(J254+L254))</f>
        <v>0.970873786407767</v>
      </c>
      <c r="P254" s="11" t="n">
        <f aca="false">2*J254/(2*J254+L254+K254)</f>
        <v>0.985221674876847</v>
      </c>
      <c r="Q254" s="11" t="n">
        <f aca="false">L254/(L254+M254)</f>
        <v>0.03</v>
      </c>
      <c r="R254" s="6" t="n">
        <v>181</v>
      </c>
      <c r="S254" s="11" t="n">
        <v>1</v>
      </c>
      <c r="T254" s="11" t="n">
        <v>1</v>
      </c>
      <c r="U254" s="11" t="n">
        <v>0.88</v>
      </c>
      <c r="V254" s="11" t="n">
        <v>0.065</v>
      </c>
    </row>
    <row r="255" customFormat="false" ht="15" hidden="false" customHeight="false" outlineLevel="0" collapsed="false">
      <c r="A255" s="6" t="s">
        <v>48</v>
      </c>
      <c r="B255" s="6" t="s">
        <v>43</v>
      </c>
      <c r="C255" s="6" t="s">
        <v>49</v>
      </c>
      <c r="D255" s="6" t="s">
        <v>115</v>
      </c>
      <c r="E255" s="6" t="n">
        <v>4</v>
      </c>
      <c r="F255" s="6" t="n">
        <v>4</v>
      </c>
      <c r="G255" s="6" t="s">
        <v>68</v>
      </c>
      <c r="H255" s="11" t="n">
        <v>0.05</v>
      </c>
      <c r="I255" s="6" t="n">
        <v>20</v>
      </c>
      <c r="J255" s="6" t="n">
        <v>2</v>
      </c>
      <c r="K255" s="6" t="n">
        <v>18</v>
      </c>
      <c r="L255" s="6" t="n">
        <v>2</v>
      </c>
      <c r="M255" s="6" t="n">
        <v>18</v>
      </c>
      <c r="N255" s="11" t="n">
        <f aca="false">J255/(J255+K255)</f>
        <v>0.1</v>
      </c>
      <c r="O255" s="11" t="n">
        <f aca="false">IF(J255+L255=0,"",J255/(J255+L255))</f>
        <v>0.5</v>
      </c>
      <c r="P255" s="11" t="n">
        <f aca="false">2*J255/(2*J255+L255+K255)</f>
        <v>0.166666666666667</v>
      </c>
      <c r="Q255" s="11" t="n">
        <f aca="false">L255/(L255+M255)</f>
        <v>0.1</v>
      </c>
      <c r="R255" s="6" t="n">
        <v>0</v>
      </c>
      <c r="S255" s="11"/>
      <c r="T255" s="11" t="n">
        <v>0.1</v>
      </c>
      <c r="U255" s="11" t="n">
        <v>0.85</v>
      </c>
      <c r="V255" s="11" t="n">
        <v>0.85</v>
      </c>
    </row>
    <row r="256" customFormat="false" ht="15" hidden="false" customHeight="false" outlineLevel="0" collapsed="false">
      <c r="A256" s="6" t="s">
        <v>48</v>
      </c>
      <c r="B256" s="6" t="s">
        <v>43</v>
      </c>
      <c r="C256" s="6" t="s">
        <v>49</v>
      </c>
      <c r="D256" s="6" t="s">
        <v>115</v>
      </c>
      <c r="E256" s="6" t="n">
        <v>4</v>
      </c>
      <c r="F256" s="6" t="n">
        <v>4</v>
      </c>
      <c r="G256" s="6" t="s">
        <v>69</v>
      </c>
      <c r="H256" s="11" t="n">
        <v>0.05</v>
      </c>
      <c r="I256" s="6" t="n">
        <v>20</v>
      </c>
      <c r="J256" s="6" t="n">
        <v>2</v>
      </c>
      <c r="K256" s="6" t="n">
        <v>18</v>
      </c>
      <c r="L256" s="6" t="n">
        <v>1</v>
      </c>
      <c r="M256" s="6" t="n">
        <v>19</v>
      </c>
      <c r="N256" s="11" t="n">
        <f aca="false">J256/(J256+K256)</f>
        <v>0.1</v>
      </c>
      <c r="O256" s="11" t="n">
        <f aca="false">IF(J256+L256=0,"",J256/(J256+L256))</f>
        <v>0.666666666666667</v>
      </c>
      <c r="P256" s="11" t="n">
        <f aca="false">2*J256/(2*J256+L256+K256)</f>
        <v>0.173913043478261</v>
      </c>
      <c r="Q256" s="11" t="n">
        <f aca="false">L256/(L256+M256)</f>
        <v>0.05</v>
      </c>
      <c r="R256" s="6" t="n">
        <v>0</v>
      </c>
      <c r="S256" s="11"/>
      <c r="T256" s="11" t="n">
        <v>0.1</v>
      </c>
      <c r="U256" s="11" t="n">
        <v>1</v>
      </c>
      <c r="V256" s="11" t="n">
        <v>1</v>
      </c>
    </row>
    <row r="257" customFormat="false" ht="15" hidden="false" customHeight="false" outlineLevel="0" collapsed="false">
      <c r="A257" s="6" t="s">
        <v>48</v>
      </c>
      <c r="B257" s="6" t="s">
        <v>43</v>
      </c>
      <c r="C257" s="6" t="s">
        <v>49</v>
      </c>
      <c r="D257" s="6" t="s">
        <v>115</v>
      </c>
      <c r="E257" s="6" t="n">
        <v>4</v>
      </c>
      <c r="F257" s="6" t="n">
        <v>4</v>
      </c>
      <c r="G257" s="6" t="s">
        <v>70</v>
      </c>
      <c r="H257" s="11" t="n">
        <v>0.05</v>
      </c>
      <c r="I257" s="6" t="n">
        <v>20</v>
      </c>
      <c r="J257" s="6" t="n">
        <v>0</v>
      </c>
      <c r="K257" s="6" t="n">
        <v>20</v>
      </c>
      <c r="L257" s="6" t="n">
        <v>0</v>
      </c>
      <c r="M257" s="6" t="n">
        <v>20</v>
      </c>
      <c r="N257" s="11" t="n">
        <f aca="false">J257/(J257+K257)</f>
        <v>0</v>
      </c>
      <c r="O257" s="11" t="str">
        <f aca="false">IF(J257+L257=0,"",J257/(J257+L257))</f>
        <v/>
      </c>
      <c r="P257" s="11" t="n">
        <f aca="false">2*J257/(2*J257+L257+K257)</f>
        <v>0</v>
      </c>
      <c r="Q257" s="11" t="n">
        <f aca="false">L257/(L257+M257)</f>
        <v>0</v>
      </c>
      <c r="R257" s="6" t="n">
        <v>0</v>
      </c>
      <c r="S257" s="11"/>
      <c r="T257" s="11" t="n">
        <v>0</v>
      </c>
      <c r="U257" s="11" t="n">
        <v>0.9</v>
      </c>
      <c r="V257" s="11" t="n">
        <v>0.9</v>
      </c>
    </row>
    <row r="258" customFormat="false" ht="15" hidden="false" customHeight="false" outlineLevel="0" collapsed="false">
      <c r="A258" s="6" t="s">
        <v>48</v>
      </c>
      <c r="B258" s="6" t="s">
        <v>43</v>
      </c>
      <c r="C258" s="6" t="s">
        <v>49</v>
      </c>
      <c r="D258" s="6" t="s">
        <v>115</v>
      </c>
      <c r="E258" s="6" t="n">
        <v>4</v>
      </c>
      <c r="F258" s="6" t="n">
        <v>4</v>
      </c>
      <c r="G258" s="6" t="s">
        <v>71</v>
      </c>
      <c r="H258" s="11" t="n">
        <v>0.05</v>
      </c>
      <c r="I258" s="6" t="n">
        <v>20</v>
      </c>
      <c r="J258" s="6" t="n">
        <v>0</v>
      </c>
      <c r="K258" s="6" t="n">
        <v>20</v>
      </c>
      <c r="L258" s="6" t="n">
        <v>0</v>
      </c>
      <c r="M258" s="6" t="n">
        <v>20</v>
      </c>
      <c r="N258" s="11" t="n">
        <f aca="false">J258/(J258+K258)</f>
        <v>0</v>
      </c>
      <c r="O258" s="11" t="str">
        <f aca="false">IF(J258+L258=0,"",J258/(J258+L258))</f>
        <v/>
      </c>
      <c r="P258" s="11" t="n">
        <f aca="false">2*J258/(2*J258+L258+K258)</f>
        <v>0</v>
      </c>
      <c r="Q258" s="11" t="n">
        <f aca="false">L258/(L258+M258)</f>
        <v>0</v>
      </c>
      <c r="R258" s="6" t="n">
        <v>0</v>
      </c>
      <c r="S258" s="11"/>
      <c r="T258" s="11" t="n">
        <v>0</v>
      </c>
      <c r="U258" s="11" t="n">
        <v>0.8</v>
      </c>
      <c r="V258" s="11" t="n">
        <v>0.8</v>
      </c>
    </row>
    <row r="259" customFormat="false" ht="15" hidden="false" customHeight="false" outlineLevel="0" collapsed="false">
      <c r="A259" s="6" t="s">
        <v>48</v>
      </c>
      <c r="B259" s="6" t="s">
        <v>43</v>
      </c>
      <c r="C259" s="6" t="s">
        <v>49</v>
      </c>
      <c r="D259" s="6" t="s">
        <v>115</v>
      </c>
      <c r="E259" s="6" t="n">
        <v>4</v>
      </c>
      <c r="F259" s="6" t="n">
        <v>4</v>
      </c>
      <c r="G259" s="6" t="s">
        <v>72</v>
      </c>
      <c r="H259" s="11" t="n">
        <v>0.05</v>
      </c>
      <c r="I259" s="6" t="n">
        <v>20</v>
      </c>
      <c r="J259" s="6" t="n">
        <v>0</v>
      </c>
      <c r="K259" s="6" t="n">
        <v>20</v>
      </c>
      <c r="L259" s="6" t="n">
        <v>1</v>
      </c>
      <c r="M259" s="6" t="n">
        <v>19</v>
      </c>
      <c r="N259" s="11" t="n">
        <f aca="false">J259/(J259+K259)</f>
        <v>0</v>
      </c>
      <c r="O259" s="11" t="n">
        <f aca="false">IF(J259+L259=0,"",J259/(J259+L259))</f>
        <v>0</v>
      </c>
      <c r="P259" s="11" t="n">
        <f aca="false">2*J259/(2*J259+L259+K259)</f>
        <v>0</v>
      </c>
      <c r="Q259" s="11" t="n">
        <f aca="false">L259/(L259+M259)</f>
        <v>0.05</v>
      </c>
      <c r="R259" s="6" t="n">
        <v>1</v>
      </c>
      <c r="S259" s="11" t="n">
        <v>0</v>
      </c>
      <c r="T259" s="11" t="n">
        <v>0</v>
      </c>
      <c r="U259" s="11" t="n">
        <v>0.9</v>
      </c>
      <c r="V259" s="11" t="n">
        <v>0.9</v>
      </c>
    </row>
    <row r="260" customFormat="false" ht="15" hidden="false" customHeight="false" outlineLevel="0" collapsed="false">
      <c r="A260" s="6" t="s">
        <v>48</v>
      </c>
      <c r="B260" s="6" t="s">
        <v>43</v>
      </c>
      <c r="C260" s="6" t="s">
        <v>49</v>
      </c>
      <c r="D260" s="6" t="s">
        <v>115</v>
      </c>
      <c r="E260" s="6" t="n">
        <v>4</v>
      </c>
      <c r="F260" s="6" t="n">
        <v>4</v>
      </c>
      <c r="G260" s="6" t="s">
        <v>73</v>
      </c>
      <c r="H260" s="11" t="n">
        <v>0.05</v>
      </c>
      <c r="I260" s="6" t="n">
        <v>20</v>
      </c>
      <c r="J260" s="6" t="n">
        <v>0</v>
      </c>
      <c r="K260" s="6" t="n">
        <v>20</v>
      </c>
      <c r="L260" s="6" t="n">
        <v>0</v>
      </c>
      <c r="M260" s="6" t="n">
        <v>20</v>
      </c>
      <c r="N260" s="11" t="n">
        <f aca="false">J260/(J260+K260)</f>
        <v>0</v>
      </c>
      <c r="O260" s="11" t="str">
        <f aca="false">IF(J260+L260=0,"",J260/(J260+L260))</f>
        <v/>
      </c>
      <c r="P260" s="11" t="n">
        <f aca="false">2*J260/(2*J260+L260+K260)</f>
        <v>0</v>
      </c>
      <c r="Q260" s="11" t="n">
        <f aca="false">L260/(L260+M260)</f>
        <v>0</v>
      </c>
      <c r="R260" s="6" t="n">
        <v>1</v>
      </c>
      <c r="S260" s="11" t="n">
        <v>0</v>
      </c>
      <c r="T260" s="11" t="n">
        <v>0</v>
      </c>
      <c r="U260" s="11" t="n">
        <v>0.65</v>
      </c>
      <c r="V260" s="11" t="n">
        <v>0.65</v>
      </c>
    </row>
    <row r="261" customFormat="false" ht="15" hidden="false" customHeight="false" outlineLevel="0" collapsed="false">
      <c r="A261" s="6" t="s">
        <v>48</v>
      </c>
      <c r="B261" s="6" t="s">
        <v>43</v>
      </c>
      <c r="C261" s="6" t="s">
        <v>49</v>
      </c>
      <c r="D261" s="6" t="s">
        <v>115</v>
      </c>
      <c r="E261" s="6" t="n">
        <v>4</v>
      </c>
      <c r="F261" s="6" t="n">
        <v>4</v>
      </c>
      <c r="G261" s="6" t="s">
        <v>74</v>
      </c>
      <c r="H261" s="11" t="n">
        <v>0.05</v>
      </c>
      <c r="I261" s="6" t="n">
        <v>20</v>
      </c>
      <c r="J261" s="6" t="n">
        <v>1</v>
      </c>
      <c r="K261" s="6" t="n">
        <v>19</v>
      </c>
      <c r="L261" s="6" t="n">
        <v>1</v>
      </c>
      <c r="M261" s="6" t="n">
        <v>19</v>
      </c>
      <c r="N261" s="11" t="n">
        <f aca="false">J261/(J261+K261)</f>
        <v>0.05</v>
      </c>
      <c r="O261" s="11" t="n">
        <f aca="false">IF(J261+L261=0,"",J261/(J261+L261))</f>
        <v>0.5</v>
      </c>
      <c r="P261" s="11" t="n">
        <f aca="false">2*J261/(2*J261+L261+K261)</f>
        <v>0.0909090909090909</v>
      </c>
      <c r="Q261" s="11" t="n">
        <f aca="false">L261/(L261+M261)</f>
        <v>0.05</v>
      </c>
      <c r="R261" s="6" t="n">
        <v>1</v>
      </c>
      <c r="S261" s="11" t="n">
        <v>0</v>
      </c>
      <c r="T261" s="11" t="n">
        <v>0.0526315789473684</v>
      </c>
      <c r="U261" s="11" t="n">
        <v>0.85</v>
      </c>
      <c r="V261" s="11" t="n">
        <v>0.9</v>
      </c>
    </row>
    <row r="262" customFormat="false" ht="15" hidden="false" customHeight="false" outlineLevel="0" collapsed="false">
      <c r="A262" s="6" t="s">
        <v>48</v>
      </c>
      <c r="B262" s="6" t="s">
        <v>43</v>
      </c>
      <c r="C262" s="6" t="s">
        <v>49</v>
      </c>
      <c r="D262" s="6" t="s">
        <v>115</v>
      </c>
      <c r="E262" s="6" t="n">
        <v>4</v>
      </c>
      <c r="F262" s="6" t="n">
        <v>4</v>
      </c>
      <c r="G262" s="6" t="s">
        <v>75</v>
      </c>
      <c r="H262" s="11" t="n">
        <v>0.05</v>
      </c>
      <c r="I262" s="6" t="n">
        <v>20</v>
      </c>
      <c r="J262" s="6" t="n">
        <v>0</v>
      </c>
      <c r="K262" s="6" t="n">
        <v>20</v>
      </c>
      <c r="L262" s="6" t="n">
        <v>0</v>
      </c>
      <c r="M262" s="6" t="n">
        <v>20</v>
      </c>
      <c r="N262" s="11" t="n">
        <f aca="false">J262/(J262+K262)</f>
        <v>0</v>
      </c>
      <c r="O262" s="11" t="str">
        <f aca="false">IF(J262+L262=0,"",J262/(J262+L262))</f>
        <v/>
      </c>
      <c r="P262" s="11" t="n">
        <f aca="false">2*J262/(2*J262+L262+K262)</f>
        <v>0</v>
      </c>
      <c r="Q262" s="11" t="n">
        <f aca="false">L262/(L262+M262)</f>
        <v>0</v>
      </c>
      <c r="R262" s="6" t="n">
        <v>1</v>
      </c>
      <c r="S262" s="11" t="n">
        <v>0</v>
      </c>
      <c r="T262" s="11" t="n">
        <v>0</v>
      </c>
      <c r="U262" s="11" t="n">
        <v>0.9</v>
      </c>
      <c r="V262" s="11" t="n">
        <v>0.85</v>
      </c>
    </row>
    <row r="263" customFormat="false" ht="15" hidden="false" customHeight="false" outlineLevel="0" collapsed="false">
      <c r="A263" s="6" t="s">
        <v>48</v>
      </c>
      <c r="B263" s="6" t="s">
        <v>43</v>
      </c>
      <c r="C263" s="6" t="s">
        <v>49</v>
      </c>
      <c r="D263" s="6" t="s">
        <v>115</v>
      </c>
      <c r="E263" s="6" t="n">
        <v>4</v>
      </c>
      <c r="F263" s="6" t="n">
        <v>4</v>
      </c>
      <c r="G263" s="6" t="s">
        <v>76</v>
      </c>
      <c r="H263" s="11" t="n">
        <v>0.05</v>
      </c>
      <c r="I263" s="6" t="n">
        <v>20</v>
      </c>
      <c r="J263" s="6" t="n">
        <v>0</v>
      </c>
      <c r="K263" s="6" t="n">
        <v>20</v>
      </c>
      <c r="L263" s="6" t="n">
        <v>0</v>
      </c>
      <c r="M263" s="6" t="n">
        <v>20</v>
      </c>
      <c r="N263" s="11" t="n">
        <f aca="false">J263/(J263+K263)</f>
        <v>0</v>
      </c>
      <c r="O263" s="11" t="str">
        <f aca="false">IF(J263+L263=0,"",J263/(J263+L263))</f>
        <v/>
      </c>
      <c r="P263" s="11" t="n">
        <f aca="false">2*J263/(2*J263+L263+K263)</f>
        <v>0</v>
      </c>
      <c r="Q263" s="11" t="n">
        <f aca="false">L263/(L263+M263)</f>
        <v>0</v>
      </c>
      <c r="R263" s="6" t="n">
        <v>0</v>
      </c>
      <c r="S263" s="11"/>
      <c r="T263" s="11" t="n">
        <v>0</v>
      </c>
      <c r="U263" s="11" t="n">
        <v>0.95</v>
      </c>
      <c r="V263" s="11" t="n">
        <v>0.95</v>
      </c>
    </row>
    <row r="264" customFormat="false" ht="15" hidden="false" customHeight="false" outlineLevel="0" collapsed="false">
      <c r="A264" s="6" t="s">
        <v>48</v>
      </c>
      <c r="B264" s="6" t="s">
        <v>43</v>
      </c>
      <c r="C264" s="6" t="s">
        <v>49</v>
      </c>
      <c r="D264" s="6" t="s">
        <v>115</v>
      </c>
      <c r="E264" s="6" t="n">
        <v>4</v>
      </c>
      <c r="F264" s="6" t="n">
        <v>4</v>
      </c>
      <c r="G264" s="6" t="s">
        <v>77</v>
      </c>
      <c r="H264" s="11" t="n">
        <v>0.05</v>
      </c>
      <c r="I264" s="6" t="n">
        <v>20</v>
      </c>
      <c r="J264" s="6" t="n">
        <v>1</v>
      </c>
      <c r="K264" s="6" t="n">
        <v>19</v>
      </c>
      <c r="L264" s="6" t="n">
        <v>1</v>
      </c>
      <c r="M264" s="6" t="n">
        <v>19</v>
      </c>
      <c r="N264" s="11" t="n">
        <f aca="false">J264/(J264+K264)</f>
        <v>0.05</v>
      </c>
      <c r="O264" s="11" t="n">
        <f aca="false">IF(J264+L264=0,"",J264/(J264+L264))</f>
        <v>0.5</v>
      </c>
      <c r="P264" s="11" t="n">
        <f aca="false">2*J264/(2*J264+L264+K264)</f>
        <v>0.0909090909090909</v>
      </c>
      <c r="Q264" s="11" t="n">
        <f aca="false">L264/(L264+M264)</f>
        <v>0.05</v>
      </c>
      <c r="R264" s="6" t="n">
        <v>0</v>
      </c>
      <c r="S264" s="11"/>
      <c r="T264" s="11" t="n">
        <v>0.05</v>
      </c>
      <c r="U264" s="11" t="n">
        <v>1</v>
      </c>
      <c r="V264" s="11" t="n">
        <v>1</v>
      </c>
    </row>
    <row r="265" customFormat="false" ht="15" hidden="false" customHeight="false" outlineLevel="0" collapsed="false">
      <c r="A265" s="6" t="s">
        <v>48</v>
      </c>
      <c r="B265" s="6" t="s">
        <v>43</v>
      </c>
      <c r="C265" s="6" t="s">
        <v>49</v>
      </c>
      <c r="D265" s="6" t="s">
        <v>115</v>
      </c>
      <c r="E265" s="6" t="n">
        <v>4</v>
      </c>
      <c r="F265" s="6" t="n">
        <v>4</v>
      </c>
      <c r="G265" s="6" t="s">
        <v>78</v>
      </c>
      <c r="H265" s="11" t="n">
        <v>0.05</v>
      </c>
      <c r="I265" s="6" t="n">
        <v>200</v>
      </c>
      <c r="J265" s="6" t="n">
        <v>6</v>
      </c>
      <c r="K265" s="6" t="n">
        <v>194</v>
      </c>
      <c r="L265" s="6" t="n">
        <v>6</v>
      </c>
      <c r="M265" s="6" t="n">
        <v>194</v>
      </c>
      <c r="N265" s="11" t="n">
        <f aca="false">J265/(J265+K265)</f>
        <v>0.03</v>
      </c>
      <c r="O265" s="11" t="n">
        <f aca="false">IF(J265+L265=0,"",J265/(J265+L265))</f>
        <v>0.5</v>
      </c>
      <c r="P265" s="11" t="n">
        <f aca="false">2*J265/(2*J265+L265+K265)</f>
        <v>0.0566037735849057</v>
      </c>
      <c r="Q265" s="11" t="n">
        <f aca="false">L265/(L265+M265)</f>
        <v>0.03</v>
      </c>
      <c r="R265" s="6" t="n">
        <v>4</v>
      </c>
      <c r="S265" s="11" t="n">
        <v>0</v>
      </c>
      <c r="T265" s="11" t="n">
        <v>0.0306122448979592</v>
      </c>
      <c r="U265" s="11" t="n">
        <v>0.88</v>
      </c>
      <c r="V265" s="11" t="n">
        <v>0.88</v>
      </c>
    </row>
    <row r="266" customFormat="false" ht="15" hidden="false" customHeight="false" outlineLevel="0" collapsed="false">
      <c r="A266" s="6" t="s">
        <v>48</v>
      </c>
      <c r="B266" s="6" t="s">
        <v>43</v>
      </c>
      <c r="C266" s="6" t="s">
        <v>49</v>
      </c>
      <c r="D266" s="6" t="s">
        <v>115</v>
      </c>
      <c r="E266" s="6" t="n">
        <v>4</v>
      </c>
      <c r="F266" s="6" t="n">
        <v>5</v>
      </c>
      <c r="G266" s="6" t="s">
        <v>68</v>
      </c>
      <c r="H266" s="11" t="n">
        <v>0.05</v>
      </c>
      <c r="I266" s="6" t="n">
        <v>20</v>
      </c>
      <c r="J266" s="6" t="n">
        <v>2</v>
      </c>
      <c r="K266" s="6" t="n">
        <v>18</v>
      </c>
      <c r="L266" s="6" t="n">
        <v>2</v>
      </c>
      <c r="M266" s="6" t="n">
        <v>18</v>
      </c>
      <c r="N266" s="11" t="n">
        <f aca="false">J266/(J266+K266)</f>
        <v>0.1</v>
      </c>
      <c r="O266" s="11" t="n">
        <f aca="false">IF(J266+L266=0,"",J266/(J266+L266))</f>
        <v>0.5</v>
      </c>
      <c r="P266" s="11" t="n">
        <f aca="false">2*J266/(2*J266+L266+K266)</f>
        <v>0.166666666666667</v>
      </c>
      <c r="Q266" s="11" t="n">
        <f aca="false">L266/(L266+M266)</f>
        <v>0.1</v>
      </c>
      <c r="R266" s="6" t="n">
        <v>0</v>
      </c>
      <c r="S266" s="11"/>
      <c r="T266" s="11" t="n">
        <v>0.1</v>
      </c>
      <c r="U266" s="11" t="n">
        <v>0.85</v>
      </c>
      <c r="V266" s="11" t="n">
        <v>0.85</v>
      </c>
    </row>
    <row r="267" customFormat="false" ht="15" hidden="false" customHeight="false" outlineLevel="0" collapsed="false">
      <c r="A267" s="6" t="s">
        <v>48</v>
      </c>
      <c r="B267" s="6" t="s">
        <v>43</v>
      </c>
      <c r="C267" s="6" t="s">
        <v>49</v>
      </c>
      <c r="D267" s="6" t="s">
        <v>115</v>
      </c>
      <c r="E267" s="6" t="n">
        <v>4</v>
      </c>
      <c r="F267" s="6" t="n">
        <v>5</v>
      </c>
      <c r="G267" s="6" t="s">
        <v>69</v>
      </c>
      <c r="H267" s="11" t="n">
        <v>0.05</v>
      </c>
      <c r="I267" s="6" t="n">
        <v>20</v>
      </c>
      <c r="J267" s="6" t="n">
        <v>1</v>
      </c>
      <c r="K267" s="6" t="n">
        <v>19</v>
      </c>
      <c r="L267" s="6" t="n">
        <v>1</v>
      </c>
      <c r="M267" s="6" t="n">
        <v>19</v>
      </c>
      <c r="N267" s="11" t="n">
        <f aca="false">J267/(J267+K267)</f>
        <v>0.05</v>
      </c>
      <c r="O267" s="11" t="n">
        <f aca="false">IF(J267+L267=0,"",J267/(J267+L267))</f>
        <v>0.5</v>
      </c>
      <c r="P267" s="11" t="n">
        <f aca="false">2*J267/(2*J267+L267+K267)</f>
        <v>0.0909090909090909</v>
      </c>
      <c r="Q267" s="11" t="n">
        <f aca="false">L267/(L267+M267)</f>
        <v>0.05</v>
      </c>
      <c r="R267" s="6" t="n">
        <v>0</v>
      </c>
      <c r="S267" s="11"/>
      <c r="T267" s="11" t="n">
        <v>0.05</v>
      </c>
      <c r="U267" s="11" t="n">
        <v>1</v>
      </c>
      <c r="V267" s="11" t="n">
        <v>1</v>
      </c>
    </row>
    <row r="268" customFormat="false" ht="15" hidden="false" customHeight="false" outlineLevel="0" collapsed="false">
      <c r="A268" s="6" t="s">
        <v>48</v>
      </c>
      <c r="B268" s="6" t="s">
        <v>43</v>
      </c>
      <c r="C268" s="6" t="s">
        <v>49</v>
      </c>
      <c r="D268" s="6" t="s">
        <v>115</v>
      </c>
      <c r="E268" s="6" t="n">
        <v>4</v>
      </c>
      <c r="F268" s="6" t="n">
        <v>5</v>
      </c>
      <c r="G268" s="6" t="s">
        <v>70</v>
      </c>
      <c r="H268" s="11" t="n">
        <v>0.05</v>
      </c>
      <c r="I268" s="6" t="n">
        <v>20</v>
      </c>
      <c r="J268" s="6" t="n">
        <v>0</v>
      </c>
      <c r="K268" s="6" t="n">
        <v>20</v>
      </c>
      <c r="L268" s="6" t="n">
        <v>0</v>
      </c>
      <c r="M268" s="6" t="n">
        <v>20</v>
      </c>
      <c r="N268" s="11" t="n">
        <f aca="false">J268/(J268+K268)</f>
        <v>0</v>
      </c>
      <c r="O268" s="11" t="str">
        <f aca="false">IF(J268+L268=0,"",J268/(J268+L268))</f>
        <v/>
      </c>
      <c r="P268" s="11" t="n">
        <f aca="false">2*J268/(2*J268+L268+K268)</f>
        <v>0</v>
      </c>
      <c r="Q268" s="11" t="n">
        <f aca="false">L268/(L268+M268)</f>
        <v>0</v>
      </c>
      <c r="R268" s="6" t="n">
        <v>0</v>
      </c>
      <c r="S268" s="11"/>
      <c r="T268" s="11" t="n">
        <v>0</v>
      </c>
      <c r="U268" s="11" t="n">
        <v>0.9</v>
      </c>
      <c r="V268" s="11" t="n">
        <v>0.9</v>
      </c>
    </row>
    <row r="269" customFormat="false" ht="15" hidden="false" customHeight="false" outlineLevel="0" collapsed="false">
      <c r="A269" s="6" t="s">
        <v>48</v>
      </c>
      <c r="B269" s="6" t="s">
        <v>43</v>
      </c>
      <c r="C269" s="6" t="s">
        <v>49</v>
      </c>
      <c r="D269" s="6" t="s">
        <v>115</v>
      </c>
      <c r="E269" s="6" t="n">
        <v>4</v>
      </c>
      <c r="F269" s="6" t="n">
        <v>5</v>
      </c>
      <c r="G269" s="6" t="s">
        <v>71</v>
      </c>
      <c r="H269" s="11" t="n">
        <v>0.05</v>
      </c>
      <c r="I269" s="6" t="n">
        <v>20</v>
      </c>
      <c r="J269" s="6" t="n">
        <v>0</v>
      </c>
      <c r="K269" s="6" t="n">
        <v>20</v>
      </c>
      <c r="L269" s="6" t="n">
        <v>0</v>
      </c>
      <c r="M269" s="6" t="n">
        <v>20</v>
      </c>
      <c r="N269" s="11" t="n">
        <f aca="false">J269/(J269+K269)</f>
        <v>0</v>
      </c>
      <c r="O269" s="11" t="str">
        <f aca="false">IF(J269+L269=0,"",J269/(J269+L269))</f>
        <v/>
      </c>
      <c r="P269" s="11" t="n">
        <f aca="false">2*J269/(2*J269+L269+K269)</f>
        <v>0</v>
      </c>
      <c r="Q269" s="11" t="n">
        <f aca="false">L269/(L269+M269)</f>
        <v>0</v>
      </c>
      <c r="R269" s="6" t="n">
        <v>0</v>
      </c>
      <c r="S269" s="11"/>
      <c r="T269" s="11" t="n">
        <v>0</v>
      </c>
      <c r="U269" s="11" t="n">
        <v>0.8</v>
      </c>
      <c r="V269" s="11" t="n">
        <v>0.8</v>
      </c>
    </row>
    <row r="270" customFormat="false" ht="15" hidden="false" customHeight="false" outlineLevel="0" collapsed="false">
      <c r="A270" s="6" t="s">
        <v>48</v>
      </c>
      <c r="B270" s="6" t="s">
        <v>43</v>
      </c>
      <c r="C270" s="6" t="s">
        <v>49</v>
      </c>
      <c r="D270" s="6" t="s">
        <v>115</v>
      </c>
      <c r="E270" s="6" t="n">
        <v>4</v>
      </c>
      <c r="F270" s="6" t="n">
        <v>5</v>
      </c>
      <c r="G270" s="6" t="s">
        <v>72</v>
      </c>
      <c r="H270" s="11" t="n">
        <v>0.05</v>
      </c>
      <c r="I270" s="6" t="n">
        <v>20</v>
      </c>
      <c r="J270" s="6" t="n">
        <v>0</v>
      </c>
      <c r="K270" s="6" t="n">
        <v>20</v>
      </c>
      <c r="L270" s="6" t="n">
        <v>1</v>
      </c>
      <c r="M270" s="6" t="n">
        <v>19</v>
      </c>
      <c r="N270" s="11" t="n">
        <f aca="false">J270/(J270+K270)</f>
        <v>0</v>
      </c>
      <c r="O270" s="11" t="n">
        <f aca="false">IF(J270+L270=0,"",J270/(J270+L270))</f>
        <v>0</v>
      </c>
      <c r="P270" s="11" t="n">
        <f aca="false">2*J270/(2*J270+L270+K270)</f>
        <v>0</v>
      </c>
      <c r="Q270" s="11" t="n">
        <f aca="false">L270/(L270+M270)</f>
        <v>0.05</v>
      </c>
      <c r="R270" s="6" t="n">
        <v>1</v>
      </c>
      <c r="S270" s="11" t="n">
        <v>0</v>
      </c>
      <c r="T270" s="11" t="n">
        <v>0</v>
      </c>
      <c r="U270" s="11" t="n">
        <v>0.9</v>
      </c>
      <c r="V270" s="11" t="n">
        <v>0.9</v>
      </c>
    </row>
    <row r="271" customFormat="false" ht="15" hidden="false" customHeight="false" outlineLevel="0" collapsed="false">
      <c r="A271" s="6" t="s">
        <v>48</v>
      </c>
      <c r="B271" s="6" t="s">
        <v>43</v>
      </c>
      <c r="C271" s="6" t="s">
        <v>49</v>
      </c>
      <c r="D271" s="6" t="s">
        <v>115</v>
      </c>
      <c r="E271" s="6" t="n">
        <v>4</v>
      </c>
      <c r="F271" s="6" t="n">
        <v>5</v>
      </c>
      <c r="G271" s="6" t="s">
        <v>73</v>
      </c>
      <c r="H271" s="11" t="n">
        <v>0.05</v>
      </c>
      <c r="I271" s="6" t="n">
        <v>20</v>
      </c>
      <c r="J271" s="6" t="n">
        <v>0</v>
      </c>
      <c r="K271" s="6" t="n">
        <v>20</v>
      </c>
      <c r="L271" s="6" t="n">
        <v>0</v>
      </c>
      <c r="M271" s="6" t="n">
        <v>20</v>
      </c>
      <c r="N271" s="11" t="n">
        <f aca="false">J271/(J271+K271)</f>
        <v>0</v>
      </c>
      <c r="O271" s="11" t="str">
        <f aca="false">IF(J271+L271=0,"",J271/(J271+L271))</f>
        <v/>
      </c>
      <c r="P271" s="11" t="n">
        <f aca="false">2*J271/(2*J271+L271+K271)</f>
        <v>0</v>
      </c>
      <c r="Q271" s="11" t="n">
        <f aca="false">L271/(L271+M271)</f>
        <v>0</v>
      </c>
      <c r="R271" s="6" t="n">
        <v>1</v>
      </c>
      <c r="S271" s="11" t="n">
        <v>0</v>
      </c>
      <c r="T271" s="11" t="n">
        <v>0</v>
      </c>
      <c r="U271" s="11" t="n">
        <v>0.65</v>
      </c>
      <c r="V271" s="11" t="n">
        <v>0.65</v>
      </c>
    </row>
    <row r="272" customFormat="false" ht="15" hidden="false" customHeight="false" outlineLevel="0" collapsed="false">
      <c r="A272" s="6" t="s">
        <v>48</v>
      </c>
      <c r="B272" s="6" t="s">
        <v>43</v>
      </c>
      <c r="C272" s="6" t="s">
        <v>49</v>
      </c>
      <c r="D272" s="6" t="s">
        <v>115</v>
      </c>
      <c r="E272" s="6" t="n">
        <v>4</v>
      </c>
      <c r="F272" s="6" t="n">
        <v>5</v>
      </c>
      <c r="G272" s="6" t="s">
        <v>74</v>
      </c>
      <c r="H272" s="11" t="n">
        <v>0.05</v>
      </c>
      <c r="I272" s="6" t="n">
        <v>20</v>
      </c>
      <c r="J272" s="6" t="n">
        <v>1</v>
      </c>
      <c r="K272" s="6" t="n">
        <v>19</v>
      </c>
      <c r="L272" s="6" t="n">
        <v>1</v>
      </c>
      <c r="M272" s="6" t="n">
        <v>19</v>
      </c>
      <c r="N272" s="11" t="n">
        <f aca="false">J272/(J272+K272)</f>
        <v>0.05</v>
      </c>
      <c r="O272" s="11" t="n">
        <f aca="false">IF(J272+L272=0,"",J272/(J272+L272))</f>
        <v>0.5</v>
      </c>
      <c r="P272" s="11" t="n">
        <f aca="false">2*J272/(2*J272+L272+K272)</f>
        <v>0.0909090909090909</v>
      </c>
      <c r="Q272" s="11" t="n">
        <f aca="false">L272/(L272+M272)</f>
        <v>0.05</v>
      </c>
      <c r="R272" s="6" t="n">
        <v>1</v>
      </c>
      <c r="S272" s="11" t="n">
        <v>1</v>
      </c>
      <c r="T272" s="11" t="n">
        <v>0</v>
      </c>
      <c r="U272" s="11" t="n">
        <v>0.85</v>
      </c>
      <c r="V272" s="11" t="n">
        <v>0.8</v>
      </c>
    </row>
    <row r="273" customFormat="false" ht="15" hidden="false" customHeight="false" outlineLevel="0" collapsed="false">
      <c r="A273" s="6" t="s">
        <v>48</v>
      </c>
      <c r="B273" s="6" t="s">
        <v>43</v>
      </c>
      <c r="C273" s="6" t="s">
        <v>49</v>
      </c>
      <c r="D273" s="6" t="s">
        <v>115</v>
      </c>
      <c r="E273" s="6" t="n">
        <v>4</v>
      </c>
      <c r="F273" s="6" t="n">
        <v>5</v>
      </c>
      <c r="G273" s="6" t="s">
        <v>75</v>
      </c>
      <c r="H273" s="11" t="n">
        <v>0.05</v>
      </c>
      <c r="I273" s="6" t="n">
        <v>20</v>
      </c>
      <c r="J273" s="6" t="n">
        <v>0</v>
      </c>
      <c r="K273" s="6" t="n">
        <v>20</v>
      </c>
      <c r="L273" s="6" t="n">
        <v>0</v>
      </c>
      <c r="M273" s="6" t="n">
        <v>20</v>
      </c>
      <c r="N273" s="11" t="n">
        <f aca="false">J273/(J273+K273)</f>
        <v>0</v>
      </c>
      <c r="O273" s="11" t="str">
        <f aca="false">IF(J273+L273=0,"",J273/(J273+L273))</f>
        <v/>
      </c>
      <c r="P273" s="11" t="n">
        <f aca="false">2*J273/(2*J273+L273+K273)</f>
        <v>0</v>
      </c>
      <c r="Q273" s="11" t="n">
        <f aca="false">L273/(L273+M273)</f>
        <v>0</v>
      </c>
      <c r="R273" s="6" t="n">
        <v>0</v>
      </c>
      <c r="S273" s="11"/>
      <c r="T273" s="11" t="n">
        <v>0</v>
      </c>
      <c r="U273" s="11" t="n">
        <v>0.9</v>
      </c>
      <c r="V273" s="11" t="n">
        <v>0.9</v>
      </c>
    </row>
    <row r="274" customFormat="false" ht="15" hidden="false" customHeight="false" outlineLevel="0" collapsed="false">
      <c r="A274" s="6" t="s">
        <v>48</v>
      </c>
      <c r="B274" s="6" t="s">
        <v>43</v>
      </c>
      <c r="C274" s="6" t="s">
        <v>49</v>
      </c>
      <c r="D274" s="6" t="s">
        <v>115</v>
      </c>
      <c r="E274" s="6" t="n">
        <v>4</v>
      </c>
      <c r="F274" s="6" t="n">
        <v>5</v>
      </c>
      <c r="G274" s="6" t="s">
        <v>76</v>
      </c>
      <c r="H274" s="11" t="n">
        <v>0.05</v>
      </c>
      <c r="I274" s="6" t="n">
        <v>20</v>
      </c>
      <c r="J274" s="6" t="n">
        <v>0</v>
      </c>
      <c r="K274" s="6" t="n">
        <v>20</v>
      </c>
      <c r="L274" s="6" t="n">
        <v>0</v>
      </c>
      <c r="M274" s="6" t="n">
        <v>20</v>
      </c>
      <c r="N274" s="11" t="n">
        <f aca="false">J274/(J274+K274)</f>
        <v>0</v>
      </c>
      <c r="O274" s="11" t="str">
        <f aca="false">IF(J274+L274=0,"",J274/(J274+L274))</f>
        <v/>
      </c>
      <c r="P274" s="11" t="n">
        <f aca="false">2*J274/(2*J274+L274+K274)</f>
        <v>0</v>
      </c>
      <c r="Q274" s="11" t="n">
        <f aca="false">L274/(L274+M274)</f>
        <v>0</v>
      </c>
      <c r="R274" s="6" t="n">
        <v>0</v>
      </c>
      <c r="S274" s="11"/>
      <c r="T274" s="11" t="n">
        <v>0</v>
      </c>
      <c r="U274" s="11" t="n">
        <v>0.95</v>
      </c>
      <c r="V274" s="11" t="n">
        <v>0.95</v>
      </c>
    </row>
    <row r="275" customFormat="false" ht="15" hidden="false" customHeight="false" outlineLevel="0" collapsed="false">
      <c r="A275" s="6" t="s">
        <v>48</v>
      </c>
      <c r="B275" s="6" t="s">
        <v>43</v>
      </c>
      <c r="C275" s="6" t="s">
        <v>49</v>
      </c>
      <c r="D275" s="6" t="s">
        <v>115</v>
      </c>
      <c r="E275" s="6" t="n">
        <v>4</v>
      </c>
      <c r="F275" s="6" t="n">
        <v>5</v>
      </c>
      <c r="G275" s="6" t="s">
        <v>77</v>
      </c>
      <c r="H275" s="11" t="n">
        <v>0.05</v>
      </c>
      <c r="I275" s="6" t="n">
        <v>20</v>
      </c>
      <c r="J275" s="6" t="n">
        <v>1</v>
      </c>
      <c r="K275" s="6" t="n">
        <v>19</v>
      </c>
      <c r="L275" s="6" t="n">
        <v>1</v>
      </c>
      <c r="M275" s="6" t="n">
        <v>19</v>
      </c>
      <c r="N275" s="11" t="n">
        <f aca="false">J275/(J275+K275)</f>
        <v>0.05</v>
      </c>
      <c r="O275" s="11" t="n">
        <f aca="false">IF(J275+L275=0,"",J275/(J275+L275))</f>
        <v>0.5</v>
      </c>
      <c r="P275" s="11" t="n">
        <f aca="false">2*J275/(2*J275+L275+K275)</f>
        <v>0.0909090909090909</v>
      </c>
      <c r="Q275" s="11" t="n">
        <f aca="false">L275/(L275+M275)</f>
        <v>0.05</v>
      </c>
      <c r="R275" s="6" t="n">
        <v>0</v>
      </c>
      <c r="S275" s="11"/>
      <c r="T275" s="11" t="n">
        <v>0.05</v>
      </c>
      <c r="U275" s="11" t="n">
        <v>1</v>
      </c>
      <c r="V275" s="11" t="n">
        <v>1</v>
      </c>
    </row>
    <row r="276" customFormat="false" ht="15" hidden="false" customHeight="false" outlineLevel="0" collapsed="false">
      <c r="A276" s="6" t="s">
        <v>48</v>
      </c>
      <c r="B276" s="6" t="s">
        <v>43</v>
      </c>
      <c r="C276" s="6" t="s">
        <v>49</v>
      </c>
      <c r="D276" s="6" t="s">
        <v>115</v>
      </c>
      <c r="E276" s="6" t="n">
        <v>4</v>
      </c>
      <c r="F276" s="6" t="n">
        <v>5</v>
      </c>
      <c r="G276" s="6" t="s">
        <v>78</v>
      </c>
      <c r="H276" s="11" t="n">
        <v>0.05</v>
      </c>
      <c r="I276" s="6" t="n">
        <v>200</v>
      </c>
      <c r="J276" s="6" t="n">
        <v>5</v>
      </c>
      <c r="K276" s="6" t="n">
        <v>195</v>
      </c>
      <c r="L276" s="6" t="n">
        <v>6</v>
      </c>
      <c r="M276" s="6" t="n">
        <v>194</v>
      </c>
      <c r="N276" s="11" t="n">
        <f aca="false">J276/(J276+K276)</f>
        <v>0.025</v>
      </c>
      <c r="O276" s="11" t="n">
        <f aca="false">IF(J276+L276=0,"",J276/(J276+L276))</f>
        <v>0.454545454545455</v>
      </c>
      <c r="P276" s="11" t="n">
        <f aca="false">2*J276/(2*J276+L276+K276)</f>
        <v>0.04739336492891</v>
      </c>
      <c r="Q276" s="11" t="n">
        <f aca="false">L276/(L276+M276)</f>
        <v>0.03</v>
      </c>
      <c r="R276" s="6" t="n">
        <v>3</v>
      </c>
      <c r="S276" s="11" t="n">
        <v>0.333333333333333</v>
      </c>
      <c r="T276" s="11" t="n">
        <v>0.0203045685279188</v>
      </c>
      <c r="U276" s="11" t="n">
        <v>0.88</v>
      </c>
      <c r="V276" s="11" t="n">
        <v>0.875</v>
      </c>
    </row>
    <row r="277" customFormat="false" ht="15" hidden="false" customHeight="false" outlineLevel="0" collapsed="false">
      <c r="A277" s="6" t="s">
        <v>48</v>
      </c>
      <c r="B277" s="6" t="s">
        <v>43</v>
      </c>
      <c r="C277" s="6" t="s">
        <v>49</v>
      </c>
      <c r="D277" s="6" t="s">
        <v>115</v>
      </c>
      <c r="E277" s="6" t="n">
        <v>4</v>
      </c>
      <c r="F277" s="6" t="n">
        <v>6</v>
      </c>
      <c r="G277" s="6" t="s">
        <v>68</v>
      </c>
      <c r="H277" s="11" t="n">
        <v>0.05</v>
      </c>
      <c r="I277" s="6" t="n">
        <v>20</v>
      </c>
      <c r="J277" s="6" t="n">
        <v>2</v>
      </c>
      <c r="K277" s="6" t="n">
        <v>18</v>
      </c>
      <c r="L277" s="6" t="n">
        <v>2</v>
      </c>
      <c r="M277" s="6" t="n">
        <v>18</v>
      </c>
      <c r="N277" s="11" t="n">
        <f aca="false">J277/(J277+K277)</f>
        <v>0.1</v>
      </c>
      <c r="O277" s="11" t="n">
        <f aca="false">IF(J277+L277=0,"",J277/(J277+L277))</f>
        <v>0.5</v>
      </c>
      <c r="P277" s="11" t="n">
        <f aca="false">2*J277/(2*J277+L277+K277)</f>
        <v>0.166666666666667</v>
      </c>
      <c r="Q277" s="11" t="n">
        <f aca="false">L277/(L277+M277)</f>
        <v>0.1</v>
      </c>
      <c r="R277" s="6" t="n">
        <v>1</v>
      </c>
      <c r="S277" s="11" t="n">
        <v>0</v>
      </c>
      <c r="T277" s="11" t="n">
        <v>0.105263157894737</v>
      </c>
      <c r="U277" s="11" t="n">
        <v>0.85</v>
      </c>
      <c r="V277" s="11" t="n">
        <v>0.85</v>
      </c>
    </row>
    <row r="278" customFormat="false" ht="15" hidden="false" customHeight="false" outlineLevel="0" collapsed="false">
      <c r="A278" s="6" t="s">
        <v>48</v>
      </c>
      <c r="B278" s="6" t="s">
        <v>43</v>
      </c>
      <c r="C278" s="6" t="s">
        <v>49</v>
      </c>
      <c r="D278" s="6" t="s">
        <v>115</v>
      </c>
      <c r="E278" s="6" t="n">
        <v>4</v>
      </c>
      <c r="F278" s="6" t="n">
        <v>6</v>
      </c>
      <c r="G278" s="6" t="s">
        <v>69</v>
      </c>
      <c r="H278" s="11" t="n">
        <v>0.05</v>
      </c>
      <c r="I278" s="6" t="n">
        <v>20</v>
      </c>
      <c r="J278" s="6" t="n">
        <v>1</v>
      </c>
      <c r="K278" s="6" t="n">
        <v>19</v>
      </c>
      <c r="L278" s="6" t="n">
        <v>1</v>
      </c>
      <c r="M278" s="6" t="n">
        <v>19</v>
      </c>
      <c r="N278" s="11" t="n">
        <f aca="false">J278/(J278+K278)</f>
        <v>0.05</v>
      </c>
      <c r="O278" s="11" t="n">
        <f aca="false">IF(J278+L278=0,"",J278/(J278+L278))</f>
        <v>0.5</v>
      </c>
      <c r="P278" s="11" t="n">
        <f aca="false">2*J278/(2*J278+L278+K278)</f>
        <v>0.0909090909090909</v>
      </c>
      <c r="Q278" s="11" t="n">
        <f aca="false">L278/(L278+M278)</f>
        <v>0.05</v>
      </c>
      <c r="R278" s="6" t="n">
        <v>0</v>
      </c>
      <c r="S278" s="11"/>
      <c r="T278" s="11" t="n">
        <v>0.05</v>
      </c>
      <c r="U278" s="11" t="n">
        <v>1</v>
      </c>
      <c r="V278" s="11" t="n">
        <v>1</v>
      </c>
    </row>
    <row r="279" customFormat="false" ht="15" hidden="false" customHeight="false" outlineLevel="0" collapsed="false">
      <c r="A279" s="6" t="s">
        <v>48</v>
      </c>
      <c r="B279" s="6" t="s">
        <v>43</v>
      </c>
      <c r="C279" s="6" t="s">
        <v>49</v>
      </c>
      <c r="D279" s="6" t="s">
        <v>115</v>
      </c>
      <c r="E279" s="6" t="n">
        <v>4</v>
      </c>
      <c r="F279" s="6" t="n">
        <v>6</v>
      </c>
      <c r="G279" s="6" t="s">
        <v>70</v>
      </c>
      <c r="H279" s="11" t="n">
        <v>0.05</v>
      </c>
      <c r="I279" s="6" t="n">
        <v>20</v>
      </c>
      <c r="J279" s="6" t="n">
        <v>0</v>
      </c>
      <c r="K279" s="6" t="n">
        <v>20</v>
      </c>
      <c r="L279" s="6" t="n">
        <v>0</v>
      </c>
      <c r="M279" s="6" t="n">
        <v>20</v>
      </c>
      <c r="N279" s="11" t="n">
        <f aca="false">J279/(J279+K279)</f>
        <v>0</v>
      </c>
      <c r="O279" s="11" t="str">
        <f aca="false">IF(J279+L279=0,"",J279/(J279+L279))</f>
        <v/>
      </c>
      <c r="P279" s="11" t="n">
        <f aca="false">2*J279/(2*J279+L279+K279)</f>
        <v>0</v>
      </c>
      <c r="Q279" s="11" t="n">
        <f aca="false">L279/(L279+M279)</f>
        <v>0</v>
      </c>
      <c r="R279" s="6" t="n">
        <v>0</v>
      </c>
      <c r="S279" s="11"/>
      <c r="T279" s="11" t="n">
        <v>0</v>
      </c>
      <c r="U279" s="11" t="n">
        <v>0.9</v>
      </c>
      <c r="V279" s="11" t="n">
        <v>0.9</v>
      </c>
    </row>
    <row r="280" customFormat="false" ht="15" hidden="false" customHeight="false" outlineLevel="0" collapsed="false">
      <c r="A280" s="6" t="s">
        <v>48</v>
      </c>
      <c r="B280" s="6" t="s">
        <v>43</v>
      </c>
      <c r="C280" s="6" t="s">
        <v>49</v>
      </c>
      <c r="D280" s="6" t="s">
        <v>115</v>
      </c>
      <c r="E280" s="6" t="n">
        <v>4</v>
      </c>
      <c r="F280" s="6" t="n">
        <v>6</v>
      </c>
      <c r="G280" s="6" t="s">
        <v>71</v>
      </c>
      <c r="H280" s="11" t="n">
        <v>0.05</v>
      </c>
      <c r="I280" s="6" t="n">
        <v>20</v>
      </c>
      <c r="J280" s="6" t="n">
        <v>0</v>
      </c>
      <c r="K280" s="6" t="n">
        <v>20</v>
      </c>
      <c r="L280" s="6" t="n">
        <v>0</v>
      </c>
      <c r="M280" s="6" t="n">
        <v>20</v>
      </c>
      <c r="N280" s="11" t="n">
        <f aca="false">J280/(J280+K280)</f>
        <v>0</v>
      </c>
      <c r="O280" s="11" t="str">
        <f aca="false">IF(J280+L280=0,"",J280/(J280+L280))</f>
        <v/>
      </c>
      <c r="P280" s="11" t="n">
        <f aca="false">2*J280/(2*J280+L280+K280)</f>
        <v>0</v>
      </c>
      <c r="Q280" s="11" t="n">
        <f aca="false">L280/(L280+M280)</f>
        <v>0</v>
      </c>
      <c r="R280" s="6" t="n">
        <v>0</v>
      </c>
      <c r="S280" s="11"/>
      <c r="T280" s="11" t="n">
        <v>0</v>
      </c>
      <c r="U280" s="11" t="n">
        <v>0.8</v>
      </c>
      <c r="V280" s="11" t="n">
        <v>0.8</v>
      </c>
    </row>
    <row r="281" customFormat="false" ht="15" hidden="false" customHeight="false" outlineLevel="0" collapsed="false">
      <c r="A281" s="6" t="s">
        <v>48</v>
      </c>
      <c r="B281" s="6" t="s">
        <v>43</v>
      </c>
      <c r="C281" s="6" t="s">
        <v>49</v>
      </c>
      <c r="D281" s="6" t="s">
        <v>115</v>
      </c>
      <c r="E281" s="6" t="n">
        <v>4</v>
      </c>
      <c r="F281" s="6" t="n">
        <v>6</v>
      </c>
      <c r="G281" s="6" t="s">
        <v>72</v>
      </c>
      <c r="H281" s="11" t="n">
        <v>0.05</v>
      </c>
      <c r="I281" s="6" t="n">
        <v>20</v>
      </c>
      <c r="J281" s="6" t="n">
        <v>1</v>
      </c>
      <c r="K281" s="6" t="n">
        <v>19</v>
      </c>
      <c r="L281" s="6" t="n">
        <v>1</v>
      </c>
      <c r="M281" s="6" t="n">
        <v>19</v>
      </c>
      <c r="N281" s="11" t="n">
        <f aca="false">J281/(J281+K281)</f>
        <v>0.05</v>
      </c>
      <c r="O281" s="11" t="n">
        <f aca="false">IF(J281+L281=0,"",J281/(J281+L281))</f>
        <v>0.5</v>
      </c>
      <c r="P281" s="11" t="n">
        <f aca="false">2*J281/(2*J281+L281+K281)</f>
        <v>0.0909090909090909</v>
      </c>
      <c r="Q281" s="11" t="n">
        <f aca="false">L281/(L281+M281)</f>
        <v>0.05</v>
      </c>
      <c r="R281" s="6" t="n">
        <v>0</v>
      </c>
      <c r="S281" s="11"/>
      <c r="T281" s="11" t="n">
        <v>0.05</v>
      </c>
      <c r="U281" s="11" t="n">
        <v>0.9</v>
      </c>
      <c r="V281" s="11" t="n">
        <v>0.9</v>
      </c>
    </row>
    <row r="282" customFormat="false" ht="15" hidden="false" customHeight="false" outlineLevel="0" collapsed="false">
      <c r="A282" s="6" t="s">
        <v>48</v>
      </c>
      <c r="B282" s="6" t="s">
        <v>43</v>
      </c>
      <c r="C282" s="6" t="s">
        <v>49</v>
      </c>
      <c r="D282" s="6" t="s">
        <v>115</v>
      </c>
      <c r="E282" s="6" t="n">
        <v>4</v>
      </c>
      <c r="F282" s="6" t="n">
        <v>6</v>
      </c>
      <c r="G282" s="6" t="s">
        <v>73</v>
      </c>
      <c r="H282" s="11" t="n">
        <v>0.05</v>
      </c>
      <c r="I282" s="6" t="n">
        <v>20</v>
      </c>
      <c r="J282" s="6" t="n">
        <v>0</v>
      </c>
      <c r="K282" s="6" t="n">
        <v>20</v>
      </c>
      <c r="L282" s="6" t="n">
        <v>0</v>
      </c>
      <c r="M282" s="6" t="n">
        <v>20</v>
      </c>
      <c r="N282" s="11" t="n">
        <f aca="false">J282/(J282+K282)</f>
        <v>0</v>
      </c>
      <c r="O282" s="11" t="str">
        <f aca="false">IF(J282+L282=0,"",J282/(J282+L282))</f>
        <v/>
      </c>
      <c r="P282" s="11" t="n">
        <f aca="false">2*J282/(2*J282+L282+K282)</f>
        <v>0</v>
      </c>
      <c r="Q282" s="11" t="n">
        <f aca="false">L282/(L282+M282)</f>
        <v>0</v>
      </c>
      <c r="R282" s="6" t="n">
        <v>1</v>
      </c>
      <c r="S282" s="11" t="n">
        <v>0</v>
      </c>
      <c r="T282" s="11" t="n">
        <v>0</v>
      </c>
      <c r="U282" s="11" t="n">
        <v>0.65</v>
      </c>
      <c r="V282" s="11" t="n">
        <v>0.65</v>
      </c>
    </row>
    <row r="283" customFormat="false" ht="15" hidden="false" customHeight="false" outlineLevel="0" collapsed="false">
      <c r="A283" s="6" t="s">
        <v>48</v>
      </c>
      <c r="B283" s="6" t="s">
        <v>43</v>
      </c>
      <c r="C283" s="6" t="s">
        <v>49</v>
      </c>
      <c r="D283" s="6" t="s">
        <v>115</v>
      </c>
      <c r="E283" s="6" t="n">
        <v>4</v>
      </c>
      <c r="F283" s="6" t="n">
        <v>6</v>
      </c>
      <c r="G283" s="6" t="s">
        <v>74</v>
      </c>
      <c r="H283" s="11" t="n">
        <v>0.05</v>
      </c>
      <c r="I283" s="6" t="n">
        <v>20</v>
      </c>
      <c r="J283" s="6" t="n">
        <v>1</v>
      </c>
      <c r="K283" s="6" t="n">
        <v>19</v>
      </c>
      <c r="L283" s="6" t="n">
        <v>1</v>
      </c>
      <c r="M283" s="6" t="n">
        <v>19</v>
      </c>
      <c r="N283" s="11" t="n">
        <f aca="false">J283/(J283+K283)</f>
        <v>0.05</v>
      </c>
      <c r="O283" s="11" t="n">
        <f aca="false">IF(J283+L283=0,"",J283/(J283+L283))</f>
        <v>0.5</v>
      </c>
      <c r="P283" s="11" t="n">
        <f aca="false">2*J283/(2*J283+L283+K283)</f>
        <v>0.0909090909090909</v>
      </c>
      <c r="Q283" s="11" t="n">
        <f aca="false">L283/(L283+M283)</f>
        <v>0.05</v>
      </c>
      <c r="R283" s="6" t="n">
        <v>1</v>
      </c>
      <c r="S283" s="11" t="n">
        <v>0</v>
      </c>
      <c r="T283" s="11" t="n">
        <v>0.0526315789473684</v>
      </c>
      <c r="U283" s="11" t="n">
        <v>0.85</v>
      </c>
      <c r="V283" s="11" t="n">
        <v>0.85</v>
      </c>
    </row>
    <row r="284" customFormat="false" ht="15" hidden="false" customHeight="false" outlineLevel="0" collapsed="false">
      <c r="A284" s="6" t="s">
        <v>48</v>
      </c>
      <c r="B284" s="6" t="s">
        <v>43</v>
      </c>
      <c r="C284" s="6" t="s">
        <v>49</v>
      </c>
      <c r="D284" s="6" t="s">
        <v>115</v>
      </c>
      <c r="E284" s="6" t="n">
        <v>4</v>
      </c>
      <c r="F284" s="6" t="n">
        <v>6</v>
      </c>
      <c r="G284" s="6" t="s">
        <v>75</v>
      </c>
      <c r="H284" s="11" t="n">
        <v>0.05</v>
      </c>
      <c r="I284" s="6" t="n">
        <v>20</v>
      </c>
      <c r="J284" s="6" t="n">
        <v>0</v>
      </c>
      <c r="K284" s="6" t="n">
        <v>20</v>
      </c>
      <c r="L284" s="6" t="n">
        <v>0</v>
      </c>
      <c r="M284" s="6" t="n">
        <v>20</v>
      </c>
      <c r="N284" s="11" t="n">
        <f aca="false">J284/(J284+K284)</f>
        <v>0</v>
      </c>
      <c r="O284" s="11" t="str">
        <f aca="false">IF(J284+L284=0,"",J284/(J284+L284))</f>
        <v/>
      </c>
      <c r="P284" s="11" t="n">
        <f aca="false">2*J284/(2*J284+L284+K284)</f>
        <v>0</v>
      </c>
      <c r="Q284" s="11" t="n">
        <f aca="false">L284/(L284+M284)</f>
        <v>0</v>
      </c>
      <c r="R284" s="6" t="n">
        <v>1</v>
      </c>
      <c r="S284" s="11" t="n">
        <v>0</v>
      </c>
      <c r="T284" s="11" t="n">
        <v>0</v>
      </c>
      <c r="U284" s="11" t="n">
        <v>0.9</v>
      </c>
      <c r="V284" s="11" t="n">
        <v>0.95</v>
      </c>
    </row>
    <row r="285" customFormat="false" ht="15" hidden="false" customHeight="false" outlineLevel="0" collapsed="false">
      <c r="A285" s="6" t="s">
        <v>48</v>
      </c>
      <c r="B285" s="6" t="s">
        <v>43</v>
      </c>
      <c r="C285" s="6" t="s">
        <v>49</v>
      </c>
      <c r="D285" s="6" t="s">
        <v>115</v>
      </c>
      <c r="E285" s="6" t="n">
        <v>4</v>
      </c>
      <c r="F285" s="6" t="n">
        <v>6</v>
      </c>
      <c r="G285" s="6" t="s">
        <v>76</v>
      </c>
      <c r="H285" s="11" t="n">
        <v>0.05</v>
      </c>
      <c r="I285" s="6" t="n">
        <v>20</v>
      </c>
      <c r="J285" s="6" t="n">
        <v>0</v>
      </c>
      <c r="K285" s="6" t="n">
        <v>20</v>
      </c>
      <c r="L285" s="6" t="n">
        <v>0</v>
      </c>
      <c r="M285" s="6" t="n">
        <v>20</v>
      </c>
      <c r="N285" s="11" t="n">
        <f aca="false">J285/(J285+K285)</f>
        <v>0</v>
      </c>
      <c r="O285" s="11" t="str">
        <f aca="false">IF(J285+L285=0,"",J285/(J285+L285))</f>
        <v/>
      </c>
      <c r="P285" s="11" t="n">
        <f aca="false">2*J285/(2*J285+L285+K285)</f>
        <v>0</v>
      </c>
      <c r="Q285" s="11" t="n">
        <f aca="false">L285/(L285+M285)</f>
        <v>0</v>
      </c>
      <c r="R285" s="6" t="n">
        <v>0</v>
      </c>
      <c r="S285" s="11"/>
      <c r="T285" s="11" t="n">
        <v>0</v>
      </c>
      <c r="U285" s="11" t="n">
        <v>0.95</v>
      </c>
      <c r="V285" s="11" t="n">
        <v>0.95</v>
      </c>
    </row>
    <row r="286" customFormat="false" ht="15" hidden="false" customHeight="false" outlineLevel="0" collapsed="false">
      <c r="A286" s="6" t="s">
        <v>48</v>
      </c>
      <c r="B286" s="6" t="s">
        <v>43</v>
      </c>
      <c r="C286" s="6" t="s">
        <v>49</v>
      </c>
      <c r="D286" s="6" t="s">
        <v>115</v>
      </c>
      <c r="E286" s="6" t="n">
        <v>4</v>
      </c>
      <c r="F286" s="6" t="n">
        <v>6</v>
      </c>
      <c r="G286" s="6" t="s">
        <v>77</v>
      </c>
      <c r="H286" s="11" t="n">
        <v>0.05</v>
      </c>
      <c r="I286" s="6" t="n">
        <v>20</v>
      </c>
      <c r="J286" s="6" t="n">
        <v>1</v>
      </c>
      <c r="K286" s="6" t="n">
        <v>19</v>
      </c>
      <c r="L286" s="6" t="n">
        <v>1</v>
      </c>
      <c r="M286" s="6" t="n">
        <v>19</v>
      </c>
      <c r="N286" s="11" t="n">
        <f aca="false">J286/(J286+K286)</f>
        <v>0.05</v>
      </c>
      <c r="O286" s="11" t="n">
        <f aca="false">IF(J286+L286=0,"",J286/(J286+L286))</f>
        <v>0.5</v>
      </c>
      <c r="P286" s="11" t="n">
        <f aca="false">2*J286/(2*J286+L286+K286)</f>
        <v>0.0909090909090909</v>
      </c>
      <c r="Q286" s="11" t="n">
        <f aca="false">L286/(L286+M286)</f>
        <v>0.05</v>
      </c>
      <c r="R286" s="6" t="n">
        <v>0</v>
      </c>
      <c r="S286" s="11"/>
      <c r="T286" s="11" t="n">
        <v>0.05</v>
      </c>
      <c r="U286" s="11" t="n">
        <v>1</v>
      </c>
      <c r="V286" s="11" t="n">
        <v>1</v>
      </c>
    </row>
    <row r="287" customFormat="false" ht="15" hidden="false" customHeight="false" outlineLevel="0" collapsed="false">
      <c r="A287" s="6" t="s">
        <v>48</v>
      </c>
      <c r="B287" s="6" t="s">
        <v>43</v>
      </c>
      <c r="C287" s="6" t="s">
        <v>49</v>
      </c>
      <c r="D287" s="6" t="s">
        <v>115</v>
      </c>
      <c r="E287" s="6" t="n">
        <v>4</v>
      </c>
      <c r="F287" s="6" t="n">
        <v>6</v>
      </c>
      <c r="G287" s="6" t="s">
        <v>78</v>
      </c>
      <c r="H287" s="11" t="n">
        <v>0.05</v>
      </c>
      <c r="I287" s="6" t="n">
        <v>200</v>
      </c>
      <c r="J287" s="6" t="n">
        <v>6</v>
      </c>
      <c r="K287" s="6" t="n">
        <v>194</v>
      </c>
      <c r="L287" s="6" t="n">
        <v>6</v>
      </c>
      <c r="M287" s="6" t="n">
        <v>194</v>
      </c>
      <c r="N287" s="11" t="n">
        <f aca="false">J287/(J287+K287)</f>
        <v>0.03</v>
      </c>
      <c r="O287" s="11" t="n">
        <f aca="false">IF(J287+L287=0,"",J287/(J287+L287))</f>
        <v>0.5</v>
      </c>
      <c r="P287" s="11" t="n">
        <f aca="false">2*J287/(2*J287+L287+K287)</f>
        <v>0.0566037735849057</v>
      </c>
      <c r="Q287" s="11" t="n">
        <f aca="false">L287/(L287+M287)</f>
        <v>0.03</v>
      </c>
      <c r="R287" s="6" t="n">
        <v>4</v>
      </c>
      <c r="S287" s="11" t="n">
        <v>0</v>
      </c>
      <c r="T287" s="11" t="n">
        <v>0.0306122448979592</v>
      </c>
      <c r="U287" s="11" t="n">
        <v>0.88</v>
      </c>
      <c r="V287" s="11" t="n">
        <v>0.885</v>
      </c>
    </row>
    <row r="288" customFormat="false" ht="15" hidden="false" customHeight="false" outlineLevel="0" collapsed="false">
      <c r="A288" s="6" t="s">
        <v>48</v>
      </c>
      <c r="B288" s="6" t="s">
        <v>43</v>
      </c>
      <c r="C288" s="6" t="s">
        <v>49</v>
      </c>
      <c r="D288" s="6" t="s">
        <v>115</v>
      </c>
      <c r="E288" s="6" t="n">
        <v>4</v>
      </c>
      <c r="F288" s="6" t="n">
        <v>7</v>
      </c>
      <c r="G288" s="6" t="s">
        <v>68</v>
      </c>
      <c r="H288" s="11" t="n">
        <v>0.05</v>
      </c>
      <c r="I288" s="6" t="n">
        <v>20</v>
      </c>
      <c r="J288" s="6" t="n">
        <v>20</v>
      </c>
      <c r="K288" s="6" t="n">
        <v>0</v>
      </c>
      <c r="L288" s="6" t="n">
        <v>2</v>
      </c>
      <c r="M288" s="6" t="n">
        <v>18</v>
      </c>
      <c r="N288" s="11" t="n">
        <f aca="false">J288/(J288+K288)</f>
        <v>1</v>
      </c>
      <c r="O288" s="11" t="n">
        <f aca="false">IF(J288+L288=0,"",J288/(J288+L288))</f>
        <v>0.909090909090909</v>
      </c>
      <c r="P288" s="11" t="n">
        <f aca="false">2*J288/(2*J288+L288+K288)</f>
        <v>0.952380952380952</v>
      </c>
      <c r="Q288" s="11" t="n">
        <f aca="false">L288/(L288+M288)</f>
        <v>0.1</v>
      </c>
      <c r="R288" s="6" t="n">
        <v>13</v>
      </c>
      <c r="S288" s="11" t="n">
        <v>1</v>
      </c>
      <c r="T288" s="11" t="n">
        <v>1</v>
      </c>
      <c r="U288" s="11" t="n">
        <v>0.85</v>
      </c>
      <c r="V288" s="11" t="n">
        <v>0.4</v>
      </c>
    </row>
    <row r="289" customFormat="false" ht="15" hidden="false" customHeight="false" outlineLevel="0" collapsed="false">
      <c r="A289" s="6" t="s">
        <v>48</v>
      </c>
      <c r="B289" s="6" t="s">
        <v>43</v>
      </c>
      <c r="C289" s="6" t="s">
        <v>49</v>
      </c>
      <c r="D289" s="6" t="s">
        <v>115</v>
      </c>
      <c r="E289" s="6" t="n">
        <v>4</v>
      </c>
      <c r="F289" s="6" t="n">
        <v>7</v>
      </c>
      <c r="G289" s="6" t="s">
        <v>69</v>
      </c>
      <c r="H289" s="11" t="n">
        <v>0.05</v>
      </c>
      <c r="I289" s="6" t="n">
        <v>20</v>
      </c>
      <c r="J289" s="6" t="n">
        <v>20</v>
      </c>
      <c r="K289" s="6" t="n">
        <v>0</v>
      </c>
      <c r="L289" s="6" t="n">
        <v>1</v>
      </c>
      <c r="M289" s="6" t="n">
        <v>19</v>
      </c>
      <c r="N289" s="11" t="n">
        <f aca="false">J289/(J289+K289)</f>
        <v>1</v>
      </c>
      <c r="O289" s="11" t="n">
        <f aca="false">IF(J289+L289=0,"",J289/(J289+L289))</f>
        <v>0.952380952380952</v>
      </c>
      <c r="P289" s="11" t="n">
        <f aca="false">2*J289/(2*J289+L289+K289)</f>
        <v>0.975609756097561</v>
      </c>
      <c r="Q289" s="11" t="n">
        <f aca="false">L289/(L289+M289)</f>
        <v>0.05</v>
      </c>
      <c r="R289" s="6" t="n">
        <v>20</v>
      </c>
      <c r="S289" s="11" t="n">
        <v>1</v>
      </c>
      <c r="T289" s="11"/>
      <c r="U289" s="11" t="n">
        <v>1</v>
      </c>
      <c r="V289" s="11" t="n">
        <v>0</v>
      </c>
    </row>
    <row r="290" customFormat="false" ht="15" hidden="false" customHeight="false" outlineLevel="0" collapsed="false">
      <c r="A290" s="6" t="s">
        <v>48</v>
      </c>
      <c r="B290" s="6" t="s">
        <v>43</v>
      </c>
      <c r="C290" s="6" t="s">
        <v>49</v>
      </c>
      <c r="D290" s="6" t="s">
        <v>115</v>
      </c>
      <c r="E290" s="6" t="n">
        <v>4</v>
      </c>
      <c r="F290" s="6" t="n">
        <v>7</v>
      </c>
      <c r="G290" s="6" t="s">
        <v>70</v>
      </c>
      <c r="H290" s="11" t="n">
        <v>0.05</v>
      </c>
      <c r="I290" s="6" t="n">
        <v>20</v>
      </c>
      <c r="J290" s="6" t="n">
        <v>20</v>
      </c>
      <c r="K290" s="6" t="n">
        <v>0</v>
      </c>
      <c r="L290" s="6" t="n">
        <v>0</v>
      </c>
      <c r="M290" s="6" t="n">
        <v>20</v>
      </c>
      <c r="N290" s="11" t="n">
        <f aca="false">J290/(J290+K290)</f>
        <v>1</v>
      </c>
      <c r="O290" s="11" t="n">
        <f aca="false">IF(J290+L290=0,"",J290/(J290+L290))</f>
        <v>1</v>
      </c>
      <c r="P290" s="11" t="n">
        <f aca="false">2*J290/(2*J290+L290+K290)</f>
        <v>1</v>
      </c>
      <c r="Q290" s="11" t="n">
        <f aca="false">L290/(L290+M290)</f>
        <v>0</v>
      </c>
      <c r="R290" s="6" t="n">
        <v>7</v>
      </c>
      <c r="S290" s="11" t="n">
        <v>1</v>
      </c>
      <c r="T290" s="11" t="n">
        <v>1</v>
      </c>
      <c r="U290" s="11" t="n">
        <v>0.9</v>
      </c>
      <c r="V290" s="11" t="n">
        <v>0.75</v>
      </c>
    </row>
    <row r="291" customFormat="false" ht="15" hidden="false" customHeight="false" outlineLevel="0" collapsed="false">
      <c r="A291" s="6" t="s">
        <v>48</v>
      </c>
      <c r="B291" s="6" t="s">
        <v>43</v>
      </c>
      <c r="C291" s="6" t="s">
        <v>49</v>
      </c>
      <c r="D291" s="6" t="s">
        <v>115</v>
      </c>
      <c r="E291" s="6" t="n">
        <v>4</v>
      </c>
      <c r="F291" s="6" t="n">
        <v>7</v>
      </c>
      <c r="G291" s="6" t="s">
        <v>71</v>
      </c>
      <c r="H291" s="11" t="n">
        <v>0.05</v>
      </c>
      <c r="I291" s="6" t="n">
        <v>20</v>
      </c>
      <c r="J291" s="6" t="n">
        <v>20</v>
      </c>
      <c r="K291" s="6" t="n">
        <v>0</v>
      </c>
      <c r="L291" s="6" t="n">
        <v>0</v>
      </c>
      <c r="M291" s="6" t="n">
        <v>20</v>
      </c>
      <c r="N291" s="11" t="n">
        <f aca="false">J291/(J291+K291)</f>
        <v>1</v>
      </c>
      <c r="O291" s="11" t="n">
        <f aca="false">IF(J291+L291=0,"",J291/(J291+L291))</f>
        <v>1</v>
      </c>
      <c r="P291" s="11" t="n">
        <f aca="false">2*J291/(2*J291+L291+K291)</f>
        <v>1</v>
      </c>
      <c r="Q291" s="11" t="n">
        <f aca="false">L291/(L291+M291)</f>
        <v>0</v>
      </c>
      <c r="R291" s="6" t="n">
        <v>18</v>
      </c>
      <c r="S291" s="11" t="n">
        <v>1</v>
      </c>
      <c r="T291" s="11" t="n">
        <v>1</v>
      </c>
      <c r="U291" s="11" t="n">
        <v>0.8</v>
      </c>
      <c r="V291" s="11" t="n">
        <v>0</v>
      </c>
    </row>
    <row r="292" customFormat="false" ht="15" hidden="false" customHeight="false" outlineLevel="0" collapsed="false">
      <c r="A292" s="6" t="s">
        <v>48</v>
      </c>
      <c r="B292" s="6" t="s">
        <v>43</v>
      </c>
      <c r="C292" s="6" t="s">
        <v>49</v>
      </c>
      <c r="D292" s="6" t="s">
        <v>115</v>
      </c>
      <c r="E292" s="6" t="n">
        <v>4</v>
      </c>
      <c r="F292" s="6" t="n">
        <v>7</v>
      </c>
      <c r="G292" s="6" t="s">
        <v>72</v>
      </c>
      <c r="H292" s="11" t="n">
        <v>0.05</v>
      </c>
      <c r="I292" s="6" t="n">
        <v>20</v>
      </c>
      <c r="J292" s="6" t="n">
        <v>20</v>
      </c>
      <c r="K292" s="6" t="n">
        <v>0</v>
      </c>
      <c r="L292" s="6" t="n">
        <v>1</v>
      </c>
      <c r="M292" s="6" t="n">
        <v>19</v>
      </c>
      <c r="N292" s="11" t="n">
        <f aca="false">J292/(J292+K292)</f>
        <v>1</v>
      </c>
      <c r="O292" s="11" t="n">
        <f aca="false">IF(J292+L292=0,"",J292/(J292+L292))</f>
        <v>0.952380952380952</v>
      </c>
      <c r="P292" s="11" t="n">
        <f aca="false">2*J292/(2*J292+L292+K292)</f>
        <v>0.975609756097561</v>
      </c>
      <c r="Q292" s="11" t="n">
        <f aca="false">L292/(L292+M292)</f>
        <v>0.05</v>
      </c>
      <c r="R292" s="6" t="n">
        <v>19</v>
      </c>
      <c r="S292" s="11" t="n">
        <v>1</v>
      </c>
      <c r="T292" s="11" t="n">
        <v>1</v>
      </c>
      <c r="U292" s="11" t="n">
        <v>0.9</v>
      </c>
      <c r="V292" s="11" t="n">
        <v>0</v>
      </c>
    </row>
    <row r="293" customFormat="false" ht="15" hidden="false" customHeight="false" outlineLevel="0" collapsed="false">
      <c r="A293" s="6" t="s">
        <v>48</v>
      </c>
      <c r="B293" s="6" t="s">
        <v>43</v>
      </c>
      <c r="C293" s="6" t="s">
        <v>49</v>
      </c>
      <c r="D293" s="6" t="s">
        <v>115</v>
      </c>
      <c r="E293" s="6" t="n">
        <v>4</v>
      </c>
      <c r="F293" s="6" t="n">
        <v>7</v>
      </c>
      <c r="G293" s="6" t="s">
        <v>73</v>
      </c>
      <c r="H293" s="11" t="n">
        <v>0.05</v>
      </c>
      <c r="I293" s="6" t="n">
        <v>20</v>
      </c>
      <c r="J293" s="6" t="n">
        <v>20</v>
      </c>
      <c r="K293" s="6" t="n">
        <v>0</v>
      </c>
      <c r="L293" s="6" t="n">
        <v>0</v>
      </c>
      <c r="M293" s="6" t="n">
        <v>20</v>
      </c>
      <c r="N293" s="11" t="n">
        <f aca="false">J293/(J293+K293)</f>
        <v>1</v>
      </c>
      <c r="O293" s="11" t="n">
        <f aca="false">IF(J293+L293=0,"",J293/(J293+L293))</f>
        <v>1</v>
      </c>
      <c r="P293" s="11" t="n">
        <f aca="false">2*J293/(2*J293+L293+K293)</f>
        <v>1</v>
      </c>
      <c r="Q293" s="11" t="n">
        <f aca="false">L293/(L293+M293)</f>
        <v>0</v>
      </c>
      <c r="R293" s="6" t="n">
        <v>19</v>
      </c>
      <c r="S293" s="11" t="n">
        <v>1</v>
      </c>
      <c r="T293" s="11" t="n">
        <v>1</v>
      </c>
      <c r="U293" s="11" t="n">
        <v>0.65</v>
      </c>
      <c r="V293" s="11" t="n">
        <v>0</v>
      </c>
    </row>
    <row r="294" customFormat="false" ht="15" hidden="false" customHeight="false" outlineLevel="0" collapsed="false">
      <c r="A294" s="6" t="s">
        <v>48</v>
      </c>
      <c r="B294" s="6" t="s">
        <v>43</v>
      </c>
      <c r="C294" s="6" t="s">
        <v>49</v>
      </c>
      <c r="D294" s="6" t="s">
        <v>115</v>
      </c>
      <c r="E294" s="6" t="n">
        <v>4</v>
      </c>
      <c r="F294" s="6" t="n">
        <v>7</v>
      </c>
      <c r="G294" s="6" t="s">
        <v>74</v>
      </c>
      <c r="H294" s="11" t="n">
        <v>0.05</v>
      </c>
      <c r="I294" s="6" t="n">
        <v>20</v>
      </c>
      <c r="J294" s="6" t="n">
        <v>20</v>
      </c>
      <c r="K294" s="6" t="n">
        <v>0</v>
      </c>
      <c r="L294" s="6" t="n">
        <v>1</v>
      </c>
      <c r="M294" s="6" t="n">
        <v>19</v>
      </c>
      <c r="N294" s="11" t="n">
        <f aca="false">J294/(J294+K294)</f>
        <v>1</v>
      </c>
      <c r="O294" s="11" t="n">
        <f aca="false">IF(J294+L294=0,"",J294/(J294+L294))</f>
        <v>0.952380952380952</v>
      </c>
      <c r="P294" s="11" t="n">
        <f aca="false">2*J294/(2*J294+L294+K294)</f>
        <v>0.975609756097561</v>
      </c>
      <c r="Q294" s="11" t="n">
        <f aca="false">L294/(L294+M294)</f>
        <v>0.05</v>
      </c>
      <c r="R294" s="6" t="n">
        <v>17</v>
      </c>
      <c r="S294" s="11" t="n">
        <v>1</v>
      </c>
      <c r="T294" s="11" t="n">
        <v>1</v>
      </c>
      <c r="U294" s="11" t="n">
        <v>0.85</v>
      </c>
      <c r="V294" s="11" t="n">
        <v>0</v>
      </c>
    </row>
    <row r="295" customFormat="false" ht="15" hidden="false" customHeight="false" outlineLevel="0" collapsed="false">
      <c r="A295" s="6" t="s">
        <v>48</v>
      </c>
      <c r="B295" s="6" t="s">
        <v>43</v>
      </c>
      <c r="C295" s="6" t="s">
        <v>49</v>
      </c>
      <c r="D295" s="6" t="s">
        <v>115</v>
      </c>
      <c r="E295" s="6" t="n">
        <v>4</v>
      </c>
      <c r="F295" s="6" t="n">
        <v>7</v>
      </c>
      <c r="G295" s="6" t="s">
        <v>75</v>
      </c>
      <c r="H295" s="11" t="n">
        <v>0.05</v>
      </c>
      <c r="I295" s="6" t="n">
        <v>20</v>
      </c>
      <c r="J295" s="6" t="n">
        <v>20</v>
      </c>
      <c r="K295" s="6" t="n">
        <v>0</v>
      </c>
      <c r="L295" s="6" t="n">
        <v>0</v>
      </c>
      <c r="M295" s="6" t="n">
        <v>20</v>
      </c>
      <c r="N295" s="11" t="n">
        <f aca="false">J295/(J295+K295)</f>
        <v>1</v>
      </c>
      <c r="O295" s="11" t="n">
        <f aca="false">IF(J295+L295=0,"",J295/(J295+L295))</f>
        <v>1</v>
      </c>
      <c r="P295" s="11" t="n">
        <f aca="false">2*J295/(2*J295+L295+K295)</f>
        <v>1</v>
      </c>
      <c r="Q295" s="11" t="n">
        <f aca="false">L295/(L295+M295)</f>
        <v>0</v>
      </c>
      <c r="R295" s="6" t="n">
        <v>20</v>
      </c>
      <c r="S295" s="11" t="n">
        <v>1</v>
      </c>
      <c r="T295" s="11"/>
      <c r="U295" s="11" t="n">
        <v>0.9</v>
      </c>
      <c r="V295" s="11" t="n">
        <v>0</v>
      </c>
    </row>
    <row r="296" customFormat="false" ht="15" hidden="false" customHeight="false" outlineLevel="0" collapsed="false">
      <c r="A296" s="6" t="s">
        <v>48</v>
      </c>
      <c r="B296" s="6" t="s">
        <v>43</v>
      </c>
      <c r="C296" s="6" t="s">
        <v>49</v>
      </c>
      <c r="D296" s="6" t="s">
        <v>115</v>
      </c>
      <c r="E296" s="6" t="n">
        <v>4</v>
      </c>
      <c r="F296" s="6" t="n">
        <v>7</v>
      </c>
      <c r="G296" s="6" t="s">
        <v>76</v>
      </c>
      <c r="H296" s="11" t="n">
        <v>0.05</v>
      </c>
      <c r="I296" s="6" t="n">
        <v>20</v>
      </c>
      <c r="J296" s="6" t="n">
        <v>20</v>
      </c>
      <c r="K296" s="6" t="n">
        <v>0</v>
      </c>
      <c r="L296" s="6" t="n">
        <v>0</v>
      </c>
      <c r="M296" s="6" t="n">
        <v>20</v>
      </c>
      <c r="N296" s="11" t="n">
        <f aca="false">J296/(J296+K296)</f>
        <v>1</v>
      </c>
      <c r="O296" s="11" t="n">
        <f aca="false">IF(J296+L296=0,"",J296/(J296+L296))</f>
        <v>1</v>
      </c>
      <c r="P296" s="11" t="n">
        <f aca="false">2*J296/(2*J296+L296+K296)</f>
        <v>1</v>
      </c>
      <c r="Q296" s="11" t="n">
        <f aca="false">L296/(L296+M296)</f>
        <v>0</v>
      </c>
      <c r="R296" s="6" t="n">
        <v>20</v>
      </c>
      <c r="S296" s="11" t="n">
        <v>1</v>
      </c>
      <c r="T296" s="11"/>
      <c r="U296" s="11" t="n">
        <v>0.95</v>
      </c>
      <c r="V296" s="11" t="n">
        <v>0</v>
      </c>
    </row>
    <row r="297" customFormat="false" ht="15" hidden="false" customHeight="false" outlineLevel="0" collapsed="false">
      <c r="A297" s="6" t="s">
        <v>48</v>
      </c>
      <c r="B297" s="6" t="s">
        <v>43</v>
      </c>
      <c r="C297" s="6" t="s">
        <v>49</v>
      </c>
      <c r="D297" s="6" t="s">
        <v>115</v>
      </c>
      <c r="E297" s="6" t="n">
        <v>4</v>
      </c>
      <c r="F297" s="6" t="n">
        <v>7</v>
      </c>
      <c r="G297" s="6" t="s">
        <v>77</v>
      </c>
      <c r="H297" s="11" t="n">
        <v>0.05</v>
      </c>
      <c r="I297" s="6" t="n">
        <v>20</v>
      </c>
      <c r="J297" s="6" t="n">
        <v>20</v>
      </c>
      <c r="K297" s="6" t="n">
        <v>0</v>
      </c>
      <c r="L297" s="6" t="n">
        <v>1</v>
      </c>
      <c r="M297" s="6" t="n">
        <v>19</v>
      </c>
      <c r="N297" s="11" t="n">
        <f aca="false">J297/(J297+K297)</f>
        <v>1</v>
      </c>
      <c r="O297" s="11" t="n">
        <f aca="false">IF(J297+L297=0,"",J297/(J297+L297))</f>
        <v>0.952380952380952</v>
      </c>
      <c r="P297" s="11" t="n">
        <f aca="false">2*J297/(2*J297+L297+K297)</f>
        <v>0.975609756097561</v>
      </c>
      <c r="Q297" s="11" t="n">
        <f aca="false">L297/(L297+M297)</f>
        <v>0.05</v>
      </c>
      <c r="R297" s="6" t="n">
        <v>20</v>
      </c>
      <c r="S297" s="11" t="n">
        <v>1</v>
      </c>
      <c r="T297" s="11"/>
      <c r="U297" s="11" t="n">
        <v>1</v>
      </c>
      <c r="V297" s="11" t="n">
        <v>0</v>
      </c>
    </row>
    <row r="298" customFormat="false" ht="15" hidden="false" customHeight="false" outlineLevel="0" collapsed="false">
      <c r="A298" s="6" t="s">
        <v>48</v>
      </c>
      <c r="B298" s="6" t="s">
        <v>43</v>
      </c>
      <c r="C298" s="6" t="s">
        <v>49</v>
      </c>
      <c r="D298" s="6" t="s">
        <v>115</v>
      </c>
      <c r="E298" s="6" t="n">
        <v>4</v>
      </c>
      <c r="F298" s="6" t="n">
        <v>7</v>
      </c>
      <c r="G298" s="6" t="s">
        <v>78</v>
      </c>
      <c r="H298" s="11" t="n">
        <v>0.05</v>
      </c>
      <c r="I298" s="6" t="n">
        <v>200</v>
      </c>
      <c r="J298" s="6" t="n">
        <v>200</v>
      </c>
      <c r="K298" s="6" t="n">
        <v>0</v>
      </c>
      <c r="L298" s="6" t="n">
        <v>6</v>
      </c>
      <c r="M298" s="6" t="n">
        <v>194</v>
      </c>
      <c r="N298" s="11" t="n">
        <f aca="false">J298/(J298+K298)</f>
        <v>1</v>
      </c>
      <c r="O298" s="11" t="n">
        <f aca="false">IF(J298+L298=0,"",J298/(J298+L298))</f>
        <v>0.970873786407767</v>
      </c>
      <c r="P298" s="11" t="n">
        <f aca="false">2*J298/(2*J298+L298+K298)</f>
        <v>0.985221674876847</v>
      </c>
      <c r="Q298" s="11" t="n">
        <f aca="false">L298/(L298+M298)</f>
        <v>0.03</v>
      </c>
      <c r="R298" s="6" t="n">
        <v>173</v>
      </c>
      <c r="S298" s="11" t="n">
        <v>1</v>
      </c>
      <c r="T298" s="11" t="n">
        <v>1</v>
      </c>
      <c r="U298" s="11" t="n">
        <v>0.88</v>
      </c>
      <c r="V298" s="11" t="n">
        <v>0.115</v>
      </c>
    </row>
    <row r="299" customFormat="false" ht="15" hidden="false" customHeight="false" outlineLevel="0" collapsed="false">
      <c r="A299" s="6" t="s">
        <v>48</v>
      </c>
      <c r="B299" s="6" t="s">
        <v>43</v>
      </c>
      <c r="C299" s="6" t="s">
        <v>49</v>
      </c>
      <c r="D299" s="6" t="s">
        <v>115</v>
      </c>
      <c r="E299" s="6" t="n">
        <v>4</v>
      </c>
      <c r="F299" s="6" t="n">
        <v>8</v>
      </c>
      <c r="G299" s="6" t="s">
        <v>68</v>
      </c>
      <c r="H299" s="11" t="n">
        <v>0.05</v>
      </c>
      <c r="I299" s="6" t="n">
        <v>20</v>
      </c>
      <c r="J299" s="6" t="n">
        <v>20</v>
      </c>
      <c r="K299" s="6" t="n">
        <v>0</v>
      </c>
      <c r="L299" s="6" t="n">
        <v>2</v>
      </c>
      <c r="M299" s="6" t="n">
        <v>18</v>
      </c>
      <c r="N299" s="11" t="n">
        <f aca="false">J299/(J299+K299)</f>
        <v>1</v>
      </c>
      <c r="O299" s="11" t="n">
        <f aca="false">IF(J299+L299=0,"",J299/(J299+L299))</f>
        <v>0.909090909090909</v>
      </c>
      <c r="P299" s="11" t="n">
        <f aca="false">2*J299/(2*J299+L299+K299)</f>
        <v>0.952380952380952</v>
      </c>
      <c r="Q299" s="11" t="n">
        <f aca="false">L299/(L299+M299)</f>
        <v>0.1</v>
      </c>
      <c r="R299" s="6" t="n">
        <v>19</v>
      </c>
      <c r="S299" s="11" t="n">
        <v>1</v>
      </c>
      <c r="T299" s="11" t="n">
        <v>1</v>
      </c>
      <c r="U299" s="11" t="n">
        <v>0.85</v>
      </c>
      <c r="V299" s="11" t="n">
        <v>0</v>
      </c>
    </row>
    <row r="300" customFormat="false" ht="15" hidden="false" customHeight="false" outlineLevel="0" collapsed="false">
      <c r="A300" s="6" t="s">
        <v>48</v>
      </c>
      <c r="B300" s="6" t="s">
        <v>43</v>
      </c>
      <c r="C300" s="6" t="s">
        <v>49</v>
      </c>
      <c r="D300" s="6" t="s">
        <v>115</v>
      </c>
      <c r="E300" s="6" t="n">
        <v>4</v>
      </c>
      <c r="F300" s="6" t="n">
        <v>8</v>
      </c>
      <c r="G300" s="6" t="s">
        <v>69</v>
      </c>
      <c r="H300" s="11" t="n">
        <v>0.05</v>
      </c>
      <c r="I300" s="6" t="n">
        <v>20</v>
      </c>
      <c r="J300" s="6" t="n">
        <v>20</v>
      </c>
      <c r="K300" s="6" t="n">
        <v>0</v>
      </c>
      <c r="L300" s="6" t="n">
        <v>1</v>
      </c>
      <c r="M300" s="6" t="n">
        <v>19</v>
      </c>
      <c r="N300" s="11" t="n">
        <f aca="false">J300/(J300+K300)</f>
        <v>1</v>
      </c>
      <c r="O300" s="11" t="n">
        <f aca="false">IF(J300+L300=0,"",J300/(J300+L300))</f>
        <v>0.952380952380952</v>
      </c>
      <c r="P300" s="11" t="n">
        <f aca="false">2*J300/(2*J300+L300+K300)</f>
        <v>0.975609756097561</v>
      </c>
      <c r="Q300" s="11" t="n">
        <f aca="false">L300/(L300+M300)</f>
        <v>0.05</v>
      </c>
      <c r="R300" s="6" t="n">
        <v>18</v>
      </c>
      <c r="S300" s="11" t="n">
        <v>1</v>
      </c>
      <c r="T300" s="11" t="n">
        <v>1</v>
      </c>
      <c r="U300" s="11" t="n">
        <v>1</v>
      </c>
      <c r="V300" s="11" t="n">
        <v>0.1</v>
      </c>
    </row>
    <row r="301" customFormat="false" ht="15" hidden="false" customHeight="false" outlineLevel="0" collapsed="false">
      <c r="A301" s="6" t="s">
        <v>48</v>
      </c>
      <c r="B301" s="6" t="s">
        <v>43</v>
      </c>
      <c r="C301" s="6" t="s">
        <v>49</v>
      </c>
      <c r="D301" s="6" t="s">
        <v>115</v>
      </c>
      <c r="E301" s="6" t="n">
        <v>4</v>
      </c>
      <c r="F301" s="6" t="n">
        <v>8</v>
      </c>
      <c r="G301" s="6" t="s">
        <v>70</v>
      </c>
      <c r="H301" s="11" t="n">
        <v>0.05</v>
      </c>
      <c r="I301" s="6" t="n">
        <v>20</v>
      </c>
      <c r="J301" s="6" t="n">
        <v>20</v>
      </c>
      <c r="K301" s="6" t="n">
        <v>0</v>
      </c>
      <c r="L301" s="6" t="n">
        <v>0</v>
      </c>
      <c r="M301" s="6" t="n">
        <v>20</v>
      </c>
      <c r="N301" s="11" t="n">
        <f aca="false">J301/(J301+K301)</f>
        <v>1</v>
      </c>
      <c r="O301" s="11" t="n">
        <f aca="false">IF(J301+L301=0,"",J301/(J301+L301))</f>
        <v>1</v>
      </c>
      <c r="P301" s="11" t="n">
        <f aca="false">2*J301/(2*J301+L301+K301)</f>
        <v>1</v>
      </c>
      <c r="Q301" s="11" t="n">
        <f aca="false">L301/(L301+M301)</f>
        <v>0</v>
      </c>
      <c r="R301" s="6" t="n">
        <v>12</v>
      </c>
      <c r="S301" s="11" t="n">
        <v>1</v>
      </c>
      <c r="T301" s="11" t="n">
        <v>1</v>
      </c>
      <c r="U301" s="11" t="n">
        <v>0.9</v>
      </c>
      <c r="V301" s="11" t="n">
        <v>0.5</v>
      </c>
    </row>
    <row r="302" customFormat="false" ht="15" hidden="false" customHeight="false" outlineLevel="0" collapsed="false">
      <c r="A302" s="6" t="s">
        <v>48</v>
      </c>
      <c r="B302" s="6" t="s">
        <v>43</v>
      </c>
      <c r="C302" s="6" t="s">
        <v>49</v>
      </c>
      <c r="D302" s="6" t="s">
        <v>115</v>
      </c>
      <c r="E302" s="6" t="n">
        <v>4</v>
      </c>
      <c r="F302" s="6" t="n">
        <v>8</v>
      </c>
      <c r="G302" s="6" t="s">
        <v>71</v>
      </c>
      <c r="H302" s="11" t="n">
        <v>0.05</v>
      </c>
      <c r="I302" s="6" t="n">
        <v>20</v>
      </c>
      <c r="J302" s="6" t="n">
        <v>20</v>
      </c>
      <c r="K302" s="6" t="n">
        <v>0</v>
      </c>
      <c r="L302" s="6" t="n">
        <v>0</v>
      </c>
      <c r="M302" s="6" t="n">
        <v>20</v>
      </c>
      <c r="N302" s="11" t="n">
        <f aca="false">J302/(J302+K302)</f>
        <v>1</v>
      </c>
      <c r="O302" s="11" t="n">
        <f aca="false">IF(J302+L302=0,"",J302/(J302+L302))</f>
        <v>1</v>
      </c>
      <c r="P302" s="11" t="n">
        <f aca="false">2*J302/(2*J302+L302+K302)</f>
        <v>1</v>
      </c>
      <c r="Q302" s="11" t="n">
        <f aca="false">L302/(L302+M302)</f>
        <v>0</v>
      </c>
      <c r="R302" s="6" t="n">
        <v>18</v>
      </c>
      <c r="S302" s="11" t="n">
        <v>1</v>
      </c>
      <c r="T302" s="11" t="n">
        <v>1</v>
      </c>
      <c r="U302" s="11" t="n">
        <v>0.8</v>
      </c>
      <c r="V302" s="11" t="n">
        <v>0</v>
      </c>
    </row>
    <row r="303" customFormat="false" ht="15" hidden="false" customHeight="false" outlineLevel="0" collapsed="false">
      <c r="A303" s="6" t="s">
        <v>48</v>
      </c>
      <c r="B303" s="6" t="s">
        <v>43</v>
      </c>
      <c r="C303" s="6" t="s">
        <v>49</v>
      </c>
      <c r="D303" s="6" t="s">
        <v>115</v>
      </c>
      <c r="E303" s="6" t="n">
        <v>4</v>
      </c>
      <c r="F303" s="6" t="n">
        <v>8</v>
      </c>
      <c r="G303" s="6" t="s">
        <v>72</v>
      </c>
      <c r="H303" s="11" t="n">
        <v>0.05</v>
      </c>
      <c r="I303" s="6" t="n">
        <v>20</v>
      </c>
      <c r="J303" s="6" t="n">
        <v>20</v>
      </c>
      <c r="K303" s="6" t="n">
        <v>0</v>
      </c>
      <c r="L303" s="6" t="n">
        <v>1</v>
      </c>
      <c r="M303" s="6" t="n">
        <v>19</v>
      </c>
      <c r="N303" s="11" t="n">
        <f aca="false">J303/(J303+K303)</f>
        <v>1</v>
      </c>
      <c r="O303" s="11" t="n">
        <f aca="false">IF(J303+L303=0,"",J303/(J303+L303))</f>
        <v>0.952380952380952</v>
      </c>
      <c r="P303" s="11" t="n">
        <f aca="false">2*J303/(2*J303+L303+K303)</f>
        <v>0.975609756097561</v>
      </c>
      <c r="Q303" s="11" t="n">
        <f aca="false">L303/(L303+M303)</f>
        <v>0.05</v>
      </c>
      <c r="R303" s="6" t="n">
        <v>19</v>
      </c>
      <c r="S303" s="11" t="n">
        <v>1</v>
      </c>
      <c r="T303" s="11" t="n">
        <v>1</v>
      </c>
      <c r="U303" s="11" t="n">
        <v>0.9</v>
      </c>
      <c r="V303" s="11" t="n">
        <v>0</v>
      </c>
    </row>
    <row r="304" customFormat="false" ht="15" hidden="false" customHeight="false" outlineLevel="0" collapsed="false">
      <c r="A304" s="6" t="s">
        <v>48</v>
      </c>
      <c r="B304" s="6" t="s">
        <v>43</v>
      </c>
      <c r="C304" s="6" t="s">
        <v>49</v>
      </c>
      <c r="D304" s="6" t="s">
        <v>115</v>
      </c>
      <c r="E304" s="6" t="n">
        <v>4</v>
      </c>
      <c r="F304" s="6" t="n">
        <v>8</v>
      </c>
      <c r="G304" s="6" t="s">
        <v>73</v>
      </c>
      <c r="H304" s="11" t="n">
        <v>0.05</v>
      </c>
      <c r="I304" s="6" t="n">
        <v>20</v>
      </c>
      <c r="J304" s="6" t="n">
        <v>20</v>
      </c>
      <c r="K304" s="6" t="n">
        <v>0</v>
      </c>
      <c r="L304" s="6" t="n">
        <v>0</v>
      </c>
      <c r="M304" s="6" t="n">
        <v>20</v>
      </c>
      <c r="N304" s="11" t="n">
        <f aca="false">J304/(J304+K304)</f>
        <v>1</v>
      </c>
      <c r="O304" s="11" t="n">
        <f aca="false">IF(J304+L304=0,"",J304/(J304+L304))</f>
        <v>1</v>
      </c>
      <c r="P304" s="11" t="n">
        <f aca="false">2*J304/(2*J304+L304+K304)</f>
        <v>1</v>
      </c>
      <c r="Q304" s="11" t="n">
        <f aca="false">L304/(L304+M304)</f>
        <v>0</v>
      </c>
      <c r="R304" s="6" t="n">
        <v>19</v>
      </c>
      <c r="S304" s="11" t="n">
        <v>1</v>
      </c>
      <c r="T304" s="11" t="n">
        <v>1</v>
      </c>
      <c r="U304" s="11" t="n">
        <v>0.65</v>
      </c>
      <c r="V304" s="11" t="n">
        <v>0</v>
      </c>
    </row>
    <row r="305" customFormat="false" ht="15" hidden="false" customHeight="false" outlineLevel="0" collapsed="false">
      <c r="A305" s="6" t="s">
        <v>48</v>
      </c>
      <c r="B305" s="6" t="s">
        <v>43</v>
      </c>
      <c r="C305" s="6" t="s">
        <v>49</v>
      </c>
      <c r="D305" s="6" t="s">
        <v>115</v>
      </c>
      <c r="E305" s="6" t="n">
        <v>4</v>
      </c>
      <c r="F305" s="6" t="n">
        <v>8</v>
      </c>
      <c r="G305" s="6" t="s">
        <v>74</v>
      </c>
      <c r="H305" s="11" t="n">
        <v>0.05</v>
      </c>
      <c r="I305" s="6" t="n">
        <v>20</v>
      </c>
      <c r="J305" s="6" t="n">
        <v>20</v>
      </c>
      <c r="K305" s="6" t="n">
        <v>0</v>
      </c>
      <c r="L305" s="6" t="n">
        <v>1</v>
      </c>
      <c r="M305" s="6" t="n">
        <v>19</v>
      </c>
      <c r="N305" s="11" t="n">
        <f aca="false">J305/(J305+K305)</f>
        <v>1</v>
      </c>
      <c r="O305" s="11" t="n">
        <f aca="false">IF(J305+L305=0,"",J305/(J305+L305))</f>
        <v>0.952380952380952</v>
      </c>
      <c r="P305" s="11" t="n">
        <f aca="false">2*J305/(2*J305+L305+K305)</f>
        <v>0.975609756097561</v>
      </c>
      <c r="Q305" s="11" t="n">
        <f aca="false">L305/(L305+M305)</f>
        <v>0.05</v>
      </c>
      <c r="R305" s="6" t="n">
        <v>19</v>
      </c>
      <c r="S305" s="11" t="n">
        <v>1</v>
      </c>
      <c r="T305" s="11" t="n">
        <v>1</v>
      </c>
      <c r="U305" s="11" t="n">
        <v>0.85</v>
      </c>
      <c r="V305" s="11" t="n">
        <v>0</v>
      </c>
    </row>
    <row r="306" customFormat="false" ht="15" hidden="false" customHeight="false" outlineLevel="0" collapsed="false">
      <c r="A306" s="6" t="s">
        <v>48</v>
      </c>
      <c r="B306" s="6" t="s">
        <v>43</v>
      </c>
      <c r="C306" s="6" t="s">
        <v>49</v>
      </c>
      <c r="D306" s="6" t="s">
        <v>115</v>
      </c>
      <c r="E306" s="6" t="n">
        <v>4</v>
      </c>
      <c r="F306" s="6" t="n">
        <v>8</v>
      </c>
      <c r="G306" s="6" t="s">
        <v>75</v>
      </c>
      <c r="H306" s="11" t="n">
        <v>0.05</v>
      </c>
      <c r="I306" s="6" t="n">
        <v>20</v>
      </c>
      <c r="J306" s="6" t="n">
        <v>20</v>
      </c>
      <c r="K306" s="6" t="n">
        <v>0</v>
      </c>
      <c r="L306" s="6" t="n">
        <v>0</v>
      </c>
      <c r="M306" s="6" t="n">
        <v>20</v>
      </c>
      <c r="N306" s="11" t="n">
        <f aca="false">J306/(J306+K306)</f>
        <v>1</v>
      </c>
      <c r="O306" s="11" t="n">
        <f aca="false">IF(J306+L306=0,"",J306/(J306+L306))</f>
        <v>1</v>
      </c>
      <c r="P306" s="11" t="n">
        <f aca="false">2*J306/(2*J306+L306+K306)</f>
        <v>1</v>
      </c>
      <c r="Q306" s="11" t="n">
        <f aca="false">L306/(L306+M306)</f>
        <v>0</v>
      </c>
      <c r="R306" s="6" t="n">
        <v>20</v>
      </c>
      <c r="S306" s="11" t="n">
        <v>1</v>
      </c>
      <c r="T306" s="11"/>
      <c r="U306" s="11" t="n">
        <v>0.9</v>
      </c>
      <c r="V306" s="11" t="n">
        <v>0</v>
      </c>
    </row>
    <row r="307" customFormat="false" ht="15" hidden="false" customHeight="false" outlineLevel="0" collapsed="false">
      <c r="A307" s="6" t="s">
        <v>48</v>
      </c>
      <c r="B307" s="6" t="s">
        <v>43</v>
      </c>
      <c r="C307" s="6" t="s">
        <v>49</v>
      </c>
      <c r="D307" s="6" t="s">
        <v>115</v>
      </c>
      <c r="E307" s="6" t="n">
        <v>4</v>
      </c>
      <c r="F307" s="6" t="n">
        <v>8</v>
      </c>
      <c r="G307" s="6" t="s">
        <v>76</v>
      </c>
      <c r="H307" s="11" t="n">
        <v>0.05</v>
      </c>
      <c r="I307" s="6" t="n">
        <v>20</v>
      </c>
      <c r="J307" s="6" t="n">
        <v>20</v>
      </c>
      <c r="K307" s="6" t="n">
        <v>0</v>
      </c>
      <c r="L307" s="6" t="n">
        <v>0</v>
      </c>
      <c r="M307" s="6" t="n">
        <v>20</v>
      </c>
      <c r="N307" s="11" t="n">
        <f aca="false">J307/(J307+K307)</f>
        <v>1</v>
      </c>
      <c r="O307" s="11" t="n">
        <f aca="false">IF(J307+L307=0,"",J307/(J307+L307))</f>
        <v>1</v>
      </c>
      <c r="P307" s="11" t="n">
        <f aca="false">2*J307/(2*J307+L307+K307)</f>
        <v>1</v>
      </c>
      <c r="Q307" s="11" t="n">
        <f aca="false">L307/(L307+M307)</f>
        <v>0</v>
      </c>
      <c r="R307" s="6" t="n">
        <v>13</v>
      </c>
      <c r="S307" s="11" t="n">
        <v>1</v>
      </c>
      <c r="T307" s="11" t="n">
        <v>1</v>
      </c>
      <c r="U307" s="11" t="n">
        <v>0.95</v>
      </c>
      <c r="V307" s="11" t="n">
        <v>0.35</v>
      </c>
    </row>
    <row r="308" customFormat="false" ht="15" hidden="false" customHeight="false" outlineLevel="0" collapsed="false">
      <c r="A308" s="6" t="s">
        <v>48</v>
      </c>
      <c r="B308" s="6" t="s">
        <v>43</v>
      </c>
      <c r="C308" s="6" t="s">
        <v>49</v>
      </c>
      <c r="D308" s="6" t="s">
        <v>115</v>
      </c>
      <c r="E308" s="6" t="n">
        <v>4</v>
      </c>
      <c r="F308" s="6" t="n">
        <v>8</v>
      </c>
      <c r="G308" s="6" t="s">
        <v>77</v>
      </c>
      <c r="H308" s="11" t="n">
        <v>0.05</v>
      </c>
      <c r="I308" s="6" t="n">
        <v>20</v>
      </c>
      <c r="J308" s="6" t="n">
        <v>20</v>
      </c>
      <c r="K308" s="6" t="n">
        <v>0</v>
      </c>
      <c r="L308" s="6" t="n">
        <v>1</v>
      </c>
      <c r="M308" s="6" t="n">
        <v>19</v>
      </c>
      <c r="N308" s="11" t="n">
        <f aca="false">J308/(J308+K308)</f>
        <v>1</v>
      </c>
      <c r="O308" s="11" t="n">
        <f aca="false">IF(J308+L308=0,"",J308/(J308+L308))</f>
        <v>0.952380952380952</v>
      </c>
      <c r="P308" s="11" t="n">
        <f aca="false">2*J308/(2*J308+L308+K308)</f>
        <v>0.975609756097561</v>
      </c>
      <c r="Q308" s="11" t="n">
        <f aca="false">L308/(L308+M308)</f>
        <v>0.05</v>
      </c>
      <c r="R308" s="6" t="n">
        <v>13</v>
      </c>
      <c r="S308" s="11" t="n">
        <v>1</v>
      </c>
      <c r="T308" s="11" t="n">
        <v>1</v>
      </c>
      <c r="U308" s="11" t="n">
        <v>1</v>
      </c>
      <c r="V308" s="11" t="n">
        <v>0.35</v>
      </c>
    </row>
    <row r="309" customFormat="false" ht="15" hidden="false" customHeight="false" outlineLevel="0" collapsed="false">
      <c r="A309" s="6" t="s">
        <v>48</v>
      </c>
      <c r="B309" s="6" t="s">
        <v>43</v>
      </c>
      <c r="C309" s="6" t="s">
        <v>49</v>
      </c>
      <c r="D309" s="6" t="s">
        <v>115</v>
      </c>
      <c r="E309" s="6" t="n">
        <v>4</v>
      </c>
      <c r="F309" s="6" t="n">
        <v>8</v>
      </c>
      <c r="G309" s="6" t="s">
        <v>78</v>
      </c>
      <c r="H309" s="11" t="n">
        <v>0.05</v>
      </c>
      <c r="I309" s="6" t="n">
        <v>200</v>
      </c>
      <c r="J309" s="6" t="n">
        <v>200</v>
      </c>
      <c r="K309" s="6" t="n">
        <v>0</v>
      </c>
      <c r="L309" s="6" t="n">
        <v>6</v>
      </c>
      <c r="M309" s="6" t="n">
        <v>194</v>
      </c>
      <c r="N309" s="11" t="n">
        <f aca="false">J309/(J309+K309)</f>
        <v>1</v>
      </c>
      <c r="O309" s="11" t="n">
        <f aca="false">IF(J309+L309=0,"",J309/(J309+L309))</f>
        <v>0.970873786407767</v>
      </c>
      <c r="P309" s="11" t="n">
        <f aca="false">2*J309/(2*J309+L309+K309)</f>
        <v>0.985221674876847</v>
      </c>
      <c r="Q309" s="11" t="n">
        <f aca="false">L309/(L309+M309)</f>
        <v>0.03</v>
      </c>
      <c r="R309" s="6" t="n">
        <v>170</v>
      </c>
      <c r="S309" s="11" t="n">
        <v>1</v>
      </c>
      <c r="T309" s="11" t="n">
        <v>1</v>
      </c>
      <c r="U309" s="11" t="n">
        <v>0.88</v>
      </c>
      <c r="V309" s="11" t="n">
        <v>0.13</v>
      </c>
    </row>
    <row r="310" customFormat="false" ht="15" hidden="false" customHeight="false" outlineLevel="0" collapsed="false">
      <c r="A310" s="6" t="s">
        <v>48</v>
      </c>
      <c r="B310" s="6" t="s">
        <v>43</v>
      </c>
      <c r="C310" s="6" t="s">
        <v>49</v>
      </c>
      <c r="D310" s="6" t="s">
        <v>115</v>
      </c>
      <c r="E310" s="6" t="n">
        <v>4</v>
      </c>
      <c r="F310" s="6" t="n">
        <v>9</v>
      </c>
      <c r="G310" s="6" t="s">
        <v>68</v>
      </c>
      <c r="H310" s="11" t="n">
        <v>0.05</v>
      </c>
      <c r="I310" s="6" t="n">
        <v>20</v>
      </c>
      <c r="J310" s="6" t="n">
        <v>20</v>
      </c>
      <c r="K310" s="6" t="n">
        <v>0</v>
      </c>
      <c r="L310" s="6" t="n">
        <v>2</v>
      </c>
      <c r="M310" s="6" t="n">
        <v>18</v>
      </c>
      <c r="N310" s="11" t="n">
        <f aca="false">J310/(J310+K310)</f>
        <v>1</v>
      </c>
      <c r="O310" s="11" t="n">
        <f aca="false">IF(J310+L310=0,"",J310/(J310+L310))</f>
        <v>0.909090909090909</v>
      </c>
      <c r="P310" s="11" t="n">
        <f aca="false">2*J310/(2*J310+L310+K310)</f>
        <v>0.952380952380952</v>
      </c>
      <c r="Q310" s="11" t="n">
        <f aca="false">L310/(L310+M310)</f>
        <v>0.1</v>
      </c>
      <c r="R310" s="6" t="n">
        <v>19</v>
      </c>
      <c r="S310" s="11" t="n">
        <v>1</v>
      </c>
      <c r="T310" s="11" t="n">
        <v>1</v>
      </c>
      <c r="U310" s="11" t="n">
        <v>0.85</v>
      </c>
      <c r="V310" s="11" t="n">
        <v>0.05</v>
      </c>
    </row>
    <row r="311" customFormat="false" ht="15" hidden="false" customHeight="false" outlineLevel="0" collapsed="false">
      <c r="A311" s="6" t="s">
        <v>48</v>
      </c>
      <c r="B311" s="6" t="s">
        <v>43</v>
      </c>
      <c r="C311" s="6" t="s">
        <v>49</v>
      </c>
      <c r="D311" s="6" t="s">
        <v>115</v>
      </c>
      <c r="E311" s="6" t="n">
        <v>4</v>
      </c>
      <c r="F311" s="6" t="n">
        <v>9</v>
      </c>
      <c r="G311" s="6" t="s">
        <v>69</v>
      </c>
      <c r="H311" s="11" t="n">
        <v>0.05</v>
      </c>
      <c r="I311" s="6" t="n">
        <v>20</v>
      </c>
      <c r="J311" s="6" t="n">
        <v>20</v>
      </c>
      <c r="K311" s="6" t="n">
        <v>0</v>
      </c>
      <c r="L311" s="6" t="n">
        <v>1</v>
      </c>
      <c r="M311" s="6" t="n">
        <v>19</v>
      </c>
      <c r="N311" s="11" t="n">
        <f aca="false">J311/(J311+K311)</f>
        <v>1</v>
      </c>
      <c r="O311" s="11" t="n">
        <f aca="false">IF(J311+L311=0,"",J311/(J311+L311))</f>
        <v>0.952380952380952</v>
      </c>
      <c r="P311" s="11" t="n">
        <f aca="false">2*J311/(2*J311+L311+K311)</f>
        <v>0.975609756097561</v>
      </c>
      <c r="Q311" s="11" t="n">
        <f aca="false">L311/(L311+M311)</f>
        <v>0.05</v>
      </c>
      <c r="R311" s="6" t="n">
        <v>20</v>
      </c>
      <c r="S311" s="11" t="n">
        <v>1</v>
      </c>
      <c r="T311" s="11"/>
      <c r="U311" s="11" t="n">
        <v>1</v>
      </c>
      <c r="V311" s="11" t="n">
        <v>0</v>
      </c>
    </row>
    <row r="312" customFormat="false" ht="15" hidden="false" customHeight="false" outlineLevel="0" collapsed="false">
      <c r="A312" s="6" t="s">
        <v>48</v>
      </c>
      <c r="B312" s="6" t="s">
        <v>43</v>
      </c>
      <c r="C312" s="6" t="s">
        <v>49</v>
      </c>
      <c r="D312" s="6" t="s">
        <v>115</v>
      </c>
      <c r="E312" s="6" t="n">
        <v>4</v>
      </c>
      <c r="F312" s="6" t="n">
        <v>9</v>
      </c>
      <c r="G312" s="6" t="s">
        <v>70</v>
      </c>
      <c r="H312" s="11" t="n">
        <v>0.05</v>
      </c>
      <c r="I312" s="6" t="n">
        <v>20</v>
      </c>
      <c r="J312" s="6" t="n">
        <v>20</v>
      </c>
      <c r="K312" s="6" t="n">
        <v>0</v>
      </c>
      <c r="L312" s="6" t="n">
        <v>0</v>
      </c>
      <c r="M312" s="6" t="n">
        <v>20</v>
      </c>
      <c r="N312" s="11" t="n">
        <f aca="false">J312/(J312+K312)</f>
        <v>1</v>
      </c>
      <c r="O312" s="11" t="n">
        <f aca="false">IF(J312+L312=0,"",J312/(J312+L312))</f>
        <v>1</v>
      </c>
      <c r="P312" s="11" t="n">
        <f aca="false">2*J312/(2*J312+L312+K312)</f>
        <v>1</v>
      </c>
      <c r="Q312" s="11" t="n">
        <f aca="false">L312/(L312+M312)</f>
        <v>0</v>
      </c>
      <c r="R312" s="6" t="n">
        <v>19</v>
      </c>
      <c r="S312" s="11" t="n">
        <v>1</v>
      </c>
      <c r="T312" s="11" t="n">
        <v>1</v>
      </c>
      <c r="U312" s="11" t="n">
        <v>0.9</v>
      </c>
      <c r="V312" s="11" t="n">
        <v>0.05</v>
      </c>
    </row>
    <row r="313" customFormat="false" ht="15" hidden="false" customHeight="false" outlineLevel="0" collapsed="false">
      <c r="A313" s="6" t="s">
        <v>48</v>
      </c>
      <c r="B313" s="6" t="s">
        <v>43</v>
      </c>
      <c r="C313" s="6" t="s">
        <v>49</v>
      </c>
      <c r="D313" s="6" t="s">
        <v>115</v>
      </c>
      <c r="E313" s="6" t="n">
        <v>4</v>
      </c>
      <c r="F313" s="6" t="n">
        <v>9</v>
      </c>
      <c r="G313" s="6" t="s">
        <v>71</v>
      </c>
      <c r="H313" s="11" t="n">
        <v>0.05</v>
      </c>
      <c r="I313" s="6" t="n">
        <v>20</v>
      </c>
      <c r="J313" s="6" t="n">
        <v>20</v>
      </c>
      <c r="K313" s="6" t="n">
        <v>0</v>
      </c>
      <c r="L313" s="6" t="n">
        <v>0</v>
      </c>
      <c r="M313" s="6" t="n">
        <v>20</v>
      </c>
      <c r="N313" s="11" t="n">
        <f aca="false">J313/(J313+K313)</f>
        <v>1</v>
      </c>
      <c r="O313" s="11" t="n">
        <f aca="false">IF(J313+L313=0,"",J313/(J313+L313))</f>
        <v>1</v>
      </c>
      <c r="P313" s="11" t="n">
        <f aca="false">2*J313/(2*J313+L313+K313)</f>
        <v>1</v>
      </c>
      <c r="Q313" s="11" t="n">
        <f aca="false">L313/(L313+M313)</f>
        <v>0</v>
      </c>
      <c r="R313" s="6" t="n">
        <v>9</v>
      </c>
      <c r="S313" s="11" t="n">
        <v>1</v>
      </c>
      <c r="T313" s="11" t="n">
        <v>1</v>
      </c>
      <c r="U313" s="11" t="n">
        <v>0.8</v>
      </c>
      <c r="V313" s="11" t="n">
        <v>0.7</v>
      </c>
    </row>
    <row r="314" customFormat="false" ht="15" hidden="false" customHeight="false" outlineLevel="0" collapsed="false">
      <c r="A314" s="6" t="s">
        <v>48</v>
      </c>
      <c r="B314" s="6" t="s">
        <v>43</v>
      </c>
      <c r="C314" s="6" t="s">
        <v>49</v>
      </c>
      <c r="D314" s="6" t="s">
        <v>115</v>
      </c>
      <c r="E314" s="6" t="n">
        <v>4</v>
      </c>
      <c r="F314" s="6" t="n">
        <v>9</v>
      </c>
      <c r="G314" s="6" t="s">
        <v>72</v>
      </c>
      <c r="H314" s="11" t="n">
        <v>0.05</v>
      </c>
      <c r="I314" s="6" t="n">
        <v>20</v>
      </c>
      <c r="J314" s="6" t="n">
        <v>20</v>
      </c>
      <c r="K314" s="6" t="n">
        <v>0</v>
      </c>
      <c r="L314" s="6" t="n">
        <v>1</v>
      </c>
      <c r="M314" s="6" t="n">
        <v>19</v>
      </c>
      <c r="N314" s="11" t="n">
        <f aca="false">J314/(J314+K314)</f>
        <v>1</v>
      </c>
      <c r="O314" s="11" t="n">
        <f aca="false">IF(J314+L314=0,"",J314/(J314+L314))</f>
        <v>0.952380952380952</v>
      </c>
      <c r="P314" s="11" t="n">
        <f aca="false">2*J314/(2*J314+L314+K314)</f>
        <v>0.975609756097561</v>
      </c>
      <c r="Q314" s="11" t="n">
        <f aca="false">L314/(L314+M314)</f>
        <v>0.05</v>
      </c>
      <c r="R314" s="6" t="n">
        <v>18</v>
      </c>
      <c r="S314" s="11" t="n">
        <v>1</v>
      </c>
      <c r="T314" s="11" t="n">
        <v>1</v>
      </c>
      <c r="U314" s="11" t="n">
        <v>0.9</v>
      </c>
      <c r="V314" s="11" t="n">
        <v>0.15</v>
      </c>
    </row>
    <row r="315" customFormat="false" ht="15" hidden="false" customHeight="false" outlineLevel="0" collapsed="false">
      <c r="A315" s="6" t="s">
        <v>48</v>
      </c>
      <c r="B315" s="6" t="s">
        <v>43</v>
      </c>
      <c r="C315" s="6" t="s">
        <v>49</v>
      </c>
      <c r="D315" s="6" t="s">
        <v>115</v>
      </c>
      <c r="E315" s="6" t="n">
        <v>4</v>
      </c>
      <c r="F315" s="6" t="n">
        <v>9</v>
      </c>
      <c r="G315" s="6" t="s">
        <v>73</v>
      </c>
      <c r="H315" s="11" t="n">
        <v>0.05</v>
      </c>
      <c r="I315" s="6" t="n">
        <v>20</v>
      </c>
      <c r="J315" s="6" t="n">
        <v>20</v>
      </c>
      <c r="K315" s="6" t="n">
        <v>0</v>
      </c>
      <c r="L315" s="6" t="n">
        <v>0</v>
      </c>
      <c r="M315" s="6" t="n">
        <v>20</v>
      </c>
      <c r="N315" s="11" t="n">
        <f aca="false">J315/(J315+K315)</f>
        <v>1</v>
      </c>
      <c r="O315" s="11" t="n">
        <f aca="false">IF(J315+L315=0,"",J315/(J315+L315))</f>
        <v>1</v>
      </c>
      <c r="P315" s="11" t="n">
        <f aca="false">2*J315/(2*J315+L315+K315)</f>
        <v>1</v>
      </c>
      <c r="Q315" s="11" t="n">
        <f aca="false">L315/(L315+M315)</f>
        <v>0</v>
      </c>
      <c r="R315" s="6" t="n">
        <v>20</v>
      </c>
      <c r="S315" s="11" t="n">
        <v>1</v>
      </c>
      <c r="T315" s="11"/>
      <c r="U315" s="11" t="n">
        <v>0.65</v>
      </c>
      <c r="V315" s="11" t="n">
        <v>0</v>
      </c>
    </row>
    <row r="316" customFormat="false" ht="15" hidden="false" customHeight="false" outlineLevel="0" collapsed="false">
      <c r="A316" s="6" t="s">
        <v>48</v>
      </c>
      <c r="B316" s="6" t="s">
        <v>43</v>
      </c>
      <c r="C316" s="6" t="s">
        <v>49</v>
      </c>
      <c r="D316" s="6" t="s">
        <v>115</v>
      </c>
      <c r="E316" s="6" t="n">
        <v>4</v>
      </c>
      <c r="F316" s="6" t="n">
        <v>9</v>
      </c>
      <c r="G316" s="6" t="s">
        <v>74</v>
      </c>
      <c r="H316" s="11" t="n">
        <v>0.05</v>
      </c>
      <c r="I316" s="6" t="n">
        <v>20</v>
      </c>
      <c r="J316" s="6" t="n">
        <v>20</v>
      </c>
      <c r="K316" s="6" t="n">
        <v>0</v>
      </c>
      <c r="L316" s="6" t="n">
        <v>1</v>
      </c>
      <c r="M316" s="6" t="n">
        <v>19</v>
      </c>
      <c r="N316" s="11" t="n">
        <f aca="false">J316/(J316+K316)</f>
        <v>1</v>
      </c>
      <c r="O316" s="11" t="n">
        <f aca="false">IF(J316+L316=0,"",J316/(J316+L316))</f>
        <v>0.952380952380952</v>
      </c>
      <c r="P316" s="11" t="n">
        <f aca="false">2*J316/(2*J316+L316+K316)</f>
        <v>0.975609756097561</v>
      </c>
      <c r="Q316" s="11" t="n">
        <f aca="false">L316/(L316+M316)</f>
        <v>0.05</v>
      </c>
      <c r="R316" s="6" t="n">
        <v>20</v>
      </c>
      <c r="S316" s="11" t="n">
        <v>1</v>
      </c>
      <c r="T316" s="11"/>
      <c r="U316" s="11" t="n">
        <v>0.85</v>
      </c>
      <c r="V316" s="11" t="n">
        <v>0</v>
      </c>
    </row>
    <row r="317" customFormat="false" ht="15" hidden="false" customHeight="false" outlineLevel="0" collapsed="false">
      <c r="A317" s="6" t="s">
        <v>48</v>
      </c>
      <c r="B317" s="6" t="s">
        <v>43</v>
      </c>
      <c r="C317" s="6" t="s">
        <v>49</v>
      </c>
      <c r="D317" s="6" t="s">
        <v>115</v>
      </c>
      <c r="E317" s="6" t="n">
        <v>4</v>
      </c>
      <c r="F317" s="6" t="n">
        <v>9</v>
      </c>
      <c r="G317" s="6" t="s">
        <v>75</v>
      </c>
      <c r="H317" s="11" t="n">
        <v>0.05</v>
      </c>
      <c r="I317" s="6" t="n">
        <v>20</v>
      </c>
      <c r="J317" s="6" t="n">
        <v>20</v>
      </c>
      <c r="K317" s="6" t="n">
        <v>0</v>
      </c>
      <c r="L317" s="6" t="n">
        <v>0</v>
      </c>
      <c r="M317" s="6" t="n">
        <v>20</v>
      </c>
      <c r="N317" s="11" t="n">
        <f aca="false">J317/(J317+K317)</f>
        <v>1</v>
      </c>
      <c r="O317" s="11" t="n">
        <f aca="false">IF(J317+L317=0,"",J317/(J317+L317))</f>
        <v>1</v>
      </c>
      <c r="P317" s="11" t="n">
        <f aca="false">2*J317/(2*J317+L317+K317)</f>
        <v>1</v>
      </c>
      <c r="Q317" s="11" t="n">
        <f aca="false">L317/(L317+M317)</f>
        <v>0</v>
      </c>
      <c r="R317" s="6" t="n">
        <v>20</v>
      </c>
      <c r="S317" s="11" t="n">
        <v>1</v>
      </c>
      <c r="T317" s="11"/>
      <c r="U317" s="11" t="n">
        <v>0.9</v>
      </c>
      <c r="V317" s="11" t="n">
        <v>0</v>
      </c>
    </row>
    <row r="318" customFormat="false" ht="15" hidden="false" customHeight="false" outlineLevel="0" collapsed="false">
      <c r="A318" s="6" t="s">
        <v>48</v>
      </c>
      <c r="B318" s="6" t="s">
        <v>43</v>
      </c>
      <c r="C318" s="6" t="s">
        <v>49</v>
      </c>
      <c r="D318" s="6" t="s">
        <v>115</v>
      </c>
      <c r="E318" s="6" t="n">
        <v>4</v>
      </c>
      <c r="F318" s="6" t="n">
        <v>9</v>
      </c>
      <c r="G318" s="6" t="s">
        <v>76</v>
      </c>
      <c r="H318" s="11" t="n">
        <v>0.05</v>
      </c>
      <c r="I318" s="6" t="n">
        <v>20</v>
      </c>
      <c r="J318" s="6" t="n">
        <v>20</v>
      </c>
      <c r="K318" s="6" t="n">
        <v>0</v>
      </c>
      <c r="L318" s="6" t="n">
        <v>0</v>
      </c>
      <c r="M318" s="6" t="n">
        <v>20</v>
      </c>
      <c r="N318" s="11" t="n">
        <f aca="false">J318/(J318+K318)</f>
        <v>1</v>
      </c>
      <c r="O318" s="11" t="n">
        <f aca="false">IF(J318+L318=0,"",J318/(J318+L318))</f>
        <v>1</v>
      </c>
      <c r="P318" s="11" t="n">
        <f aca="false">2*J318/(2*J318+L318+K318)</f>
        <v>1</v>
      </c>
      <c r="Q318" s="11" t="n">
        <f aca="false">L318/(L318+M318)</f>
        <v>0</v>
      </c>
      <c r="R318" s="6" t="n">
        <v>14</v>
      </c>
      <c r="S318" s="11" t="n">
        <v>1</v>
      </c>
      <c r="T318" s="11" t="n">
        <v>1</v>
      </c>
      <c r="U318" s="11" t="n">
        <v>0.95</v>
      </c>
      <c r="V318" s="11" t="n">
        <v>0.3</v>
      </c>
    </row>
    <row r="319" customFormat="false" ht="15" hidden="false" customHeight="false" outlineLevel="0" collapsed="false">
      <c r="A319" s="6" t="s">
        <v>48</v>
      </c>
      <c r="B319" s="6" t="s">
        <v>43</v>
      </c>
      <c r="C319" s="6" t="s">
        <v>49</v>
      </c>
      <c r="D319" s="6" t="s">
        <v>115</v>
      </c>
      <c r="E319" s="6" t="n">
        <v>4</v>
      </c>
      <c r="F319" s="6" t="n">
        <v>9</v>
      </c>
      <c r="G319" s="6" t="s">
        <v>77</v>
      </c>
      <c r="H319" s="11" t="n">
        <v>0.05</v>
      </c>
      <c r="I319" s="6" t="n">
        <v>20</v>
      </c>
      <c r="J319" s="6" t="n">
        <v>20</v>
      </c>
      <c r="K319" s="6" t="n">
        <v>0</v>
      </c>
      <c r="L319" s="6" t="n">
        <v>1</v>
      </c>
      <c r="M319" s="6" t="n">
        <v>19</v>
      </c>
      <c r="N319" s="11" t="n">
        <f aca="false">J319/(J319+K319)</f>
        <v>1</v>
      </c>
      <c r="O319" s="11" t="n">
        <f aca="false">IF(J319+L319=0,"",J319/(J319+L319))</f>
        <v>0.952380952380952</v>
      </c>
      <c r="P319" s="11" t="n">
        <f aca="false">2*J319/(2*J319+L319+K319)</f>
        <v>0.975609756097561</v>
      </c>
      <c r="Q319" s="11" t="n">
        <f aca="false">L319/(L319+M319)</f>
        <v>0.05</v>
      </c>
      <c r="R319" s="6" t="n">
        <v>20</v>
      </c>
      <c r="S319" s="11" t="n">
        <v>1</v>
      </c>
      <c r="T319" s="11"/>
      <c r="U319" s="11" t="n">
        <v>1</v>
      </c>
      <c r="V319" s="11" t="n">
        <v>0</v>
      </c>
    </row>
    <row r="320" customFormat="false" ht="15" hidden="false" customHeight="false" outlineLevel="0" collapsed="false">
      <c r="A320" s="6" t="s">
        <v>48</v>
      </c>
      <c r="B320" s="6" t="s">
        <v>43</v>
      </c>
      <c r="C320" s="6" t="s">
        <v>49</v>
      </c>
      <c r="D320" s="6" t="s">
        <v>115</v>
      </c>
      <c r="E320" s="6" t="n">
        <v>4</v>
      </c>
      <c r="F320" s="6" t="n">
        <v>9</v>
      </c>
      <c r="G320" s="6" t="s">
        <v>78</v>
      </c>
      <c r="H320" s="11" t="n">
        <v>0.05</v>
      </c>
      <c r="I320" s="6" t="n">
        <v>200</v>
      </c>
      <c r="J320" s="6" t="n">
        <v>200</v>
      </c>
      <c r="K320" s="6" t="n">
        <v>0</v>
      </c>
      <c r="L320" s="6" t="n">
        <v>6</v>
      </c>
      <c r="M320" s="6" t="n">
        <v>194</v>
      </c>
      <c r="N320" s="11" t="n">
        <f aca="false">J320/(J320+K320)</f>
        <v>1</v>
      </c>
      <c r="O320" s="11" t="n">
        <f aca="false">IF(J320+L320=0,"",J320/(J320+L320))</f>
        <v>0.970873786407767</v>
      </c>
      <c r="P320" s="11" t="n">
        <f aca="false">2*J320/(2*J320+L320+K320)</f>
        <v>0.985221674876847</v>
      </c>
      <c r="Q320" s="11" t="n">
        <f aca="false">L320/(L320+M320)</f>
        <v>0.03</v>
      </c>
      <c r="R320" s="6" t="n">
        <v>179</v>
      </c>
      <c r="S320" s="11" t="n">
        <v>1</v>
      </c>
      <c r="T320" s="11" t="n">
        <v>1</v>
      </c>
      <c r="U320" s="11" t="n">
        <v>0.88</v>
      </c>
      <c r="V320" s="11" t="n">
        <v>0.125</v>
      </c>
    </row>
    <row r="321" customFormat="false" ht="15" hidden="false" customHeight="false" outlineLevel="0" collapsed="false">
      <c r="A321" s="6" t="s">
        <v>48</v>
      </c>
      <c r="B321" s="6" t="s">
        <v>43</v>
      </c>
      <c r="C321" s="6" t="s">
        <v>49</v>
      </c>
      <c r="D321" s="6" t="s">
        <v>115</v>
      </c>
      <c r="E321" s="6" t="n">
        <v>4</v>
      </c>
      <c r="F321" s="6" t="n">
        <v>10</v>
      </c>
      <c r="G321" s="6" t="s">
        <v>68</v>
      </c>
      <c r="H321" s="11" t="n">
        <v>0.05</v>
      </c>
      <c r="I321" s="6" t="n">
        <v>20</v>
      </c>
      <c r="J321" s="6" t="n">
        <v>2</v>
      </c>
      <c r="K321" s="6" t="n">
        <v>18</v>
      </c>
      <c r="L321" s="6" t="n">
        <v>2</v>
      </c>
      <c r="M321" s="6" t="n">
        <v>18</v>
      </c>
      <c r="N321" s="11" t="n">
        <f aca="false">J321/(J321+K321)</f>
        <v>0.1</v>
      </c>
      <c r="O321" s="11" t="n">
        <f aca="false">IF(J321+L321=0,"",J321/(J321+L321))</f>
        <v>0.5</v>
      </c>
      <c r="P321" s="11" t="n">
        <f aca="false">2*J321/(2*J321+L321+K321)</f>
        <v>0.166666666666667</v>
      </c>
      <c r="Q321" s="11" t="n">
        <f aca="false">L321/(L321+M321)</f>
        <v>0.1</v>
      </c>
      <c r="R321" s="6" t="n">
        <v>0</v>
      </c>
      <c r="S321" s="11"/>
      <c r="T321" s="11" t="n">
        <v>0.1</v>
      </c>
      <c r="U321" s="11" t="n">
        <v>0.85</v>
      </c>
      <c r="V321" s="11" t="n">
        <v>0.85</v>
      </c>
    </row>
    <row r="322" customFormat="false" ht="15" hidden="false" customHeight="false" outlineLevel="0" collapsed="false">
      <c r="A322" s="6" t="s">
        <v>48</v>
      </c>
      <c r="B322" s="6" t="s">
        <v>43</v>
      </c>
      <c r="C322" s="6" t="s">
        <v>49</v>
      </c>
      <c r="D322" s="6" t="s">
        <v>115</v>
      </c>
      <c r="E322" s="6" t="n">
        <v>4</v>
      </c>
      <c r="F322" s="6" t="n">
        <v>10</v>
      </c>
      <c r="G322" s="6" t="s">
        <v>69</v>
      </c>
      <c r="H322" s="11" t="n">
        <v>0.05</v>
      </c>
      <c r="I322" s="6" t="n">
        <v>20</v>
      </c>
      <c r="J322" s="6" t="n">
        <v>1</v>
      </c>
      <c r="K322" s="6" t="n">
        <v>19</v>
      </c>
      <c r="L322" s="6" t="n">
        <v>1</v>
      </c>
      <c r="M322" s="6" t="n">
        <v>19</v>
      </c>
      <c r="N322" s="11" t="n">
        <f aca="false">J322/(J322+K322)</f>
        <v>0.05</v>
      </c>
      <c r="O322" s="11" t="n">
        <f aca="false">IF(J322+L322=0,"",J322/(J322+L322))</f>
        <v>0.5</v>
      </c>
      <c r="P322" s="11" t="n">
        <f aca="false">2*J322/(2*J322+L322+K322)</f>
        <v>0.0909090909090909</v>
      </c>
      <c r="Q322" s="11" t="n">
        <f aca="false">L322/(L322+M322)</f>
        <v>0.05</v>
      </c>
      <c r="R322" s="6" t="n">
        <v>0</v>
      </c>
      <c r="S322" s="11"/>
      <c r="T322" s="11" t="n">
        <v>0.05</v>
      </c>
      <c r="U322" s="11" t="n">
        <v>1</v>
      </c>
      <c r="V322" s="11" t="n">
        <v>1</v>
      </c>
    </row>
    <row r="323" customFormat="false" ht="15" hidden="false" customHeight="false" outlineLevel="0" collapsed="false">
      <c r="A323" s="6" t="s">
        <v>48</v>
      </c>
      <c r="B323" s="6" t="s">
        <v>43</v>
      </c>
      <c r="C323" s="6" t="s">
        <v>49</v>
      </c>
      <c r="D323" s="6" t="s">
        <v>115</v>
      </c>
      <c r="E323" s="6" t="n">
        <v>4</v>
      </c>
      <c r="F323" s="6" t="n">
        <v>10</v>
      </c>
      <c r="G323" s="6" t="s">
        <v>70</v>
      </c>
      <c r="H323" s="11" t="n">
        <v>0.05</v>
      </c>
      <c r="I323" s="6" t="n">
        <v>20</v>
      </c>
      <c r="J323" s="6" t="n">
        <v>0</v>
      </c>
      <c r="K323" s="6" t="n">
        <v>20</v>
      </c>
      <c r="L323" s="6" t="n">
        <v>0</v>
      </c>
      <c r="M323" s="6" t="n">
        <v>20</v>
      </c>
      <c r="N323" s="11" t="n">
        <f aca="false">J323/(J323+K323)</f>
        <v>0</v>
      </c>
      <c r="O323" s="11" t="str">
        <f aca="false">IF(J323+L323=0,"",J323/(J323+L323))</f>
        <v/>
      </c>
      <c r="P323" s="11" t="n">
        <f aca="false">2*J323/(2*J323+L323+K323)</f>
        <v>0</v>
      </c>
      <c r="Q323" s="11" t="n">
        <f aca="false">L323/(L323+M323)</f>
        <v>0</v>
      </c>
      <c r="R323" s="6" t="n">
        <v>0</v>
      </c>
      <c r="S323" s="11"/>
      <c r="T323" s="11" t="n">
        <v>0</v>
      </c>
      <c r="U323" s="11" t="n">
        <v>0.9</v>
      </c>
      <c r="V323" s="11" t="n">
        <v>0.9</v>
      </c>
    </row>
    <row r="324" customFormat="false" ht="15" hidden="false" customHeight="false" outlineLevel="0" collapsed="false">
      <c r="A324" s="6" t="s">
        <v>48</v>
      </c>
      <c r="B324" s="6" t="s">
        <v>43</v>
      </c>
      <c r="C324" s="6" t="s">
        <v>49</v>
      </c>
      <c r="D324" s="6" t="s">
        <v>115</v>
      </c>
      <c r="E324" s="6" t="n">
        <v>4</v>
      </c>
      <c r="F324" s="6" t="n">
        <v>10</v>
      </c>
      <c r="G324" s="6" t="s">
        <v>71</v>
      </c>
      <c r="H324" s="11" t="n">
        <v>0.05</v>
      </c>
      <c r="I324" s="6" t="n">
        <v>20</v>
      </c>
      <c r="J324" s="6" t="n">
        <v>0</v>
      </c>
      <c r="K324" s="6" t="n">
        <v>20</v>
      </c>
      <c r="L324" s="6" t="n">
        <v>0</v>
      </c>
      <c r="M324" s="6" t="n">
        <v>20</v>
      </c>
      <c r="N324" s="11" t="n">
        <f aca="false">J324/(J324+K324)</f>
        <v>0</v>
      </c>
      <c r="O324" s="11" t="str">
        <f aca="false">IF(J324+L324=0,"",J324/(J324+L324))</f>
        <v/>
      </c>
      <c r="P324" s="11" t="n">
        <f aca="false">2*J324/(2*J324+L324+K324)</f>
        <v>0</v>
      </c>
      <c r="Q324" s="11" t="n">
        <f aca="false">L324/(L324+M324)</f>
        <v>0</v>
      </c>
      <c r="R324" s="6" t="n">
        <v>0</v>
      </c>
      <c r="S324" s="11"/>
      <c r="T324" s="11" t="n">
        <v>0</v>
      </c>
      <c r="U324" s="11" t="n">
        <v>0.8</v>
      </c>
      <c r="V324" s="11" t="n">
        <v>0.8</v>
      </c>
    </row>
    <row r="325" customFormat="false" ht="15" hidden="false" customHeight="false" outlineLevel="0" collapsed="false">
      <c r="A325" s="6" t="s">
        <v>48</v>
      </c>
      <c r="B325" s="6" t="s">
        <v>43</v>
      </c>
      <c r="C325" s="6" t="s">
        <v>49</v>
      </c>
      <c r="D325" s="6" t="s">
        <v>115</v>
      </c>
      <c r="E325" s="6" t="n">
        <v>4</v>
      </c>
      <c r="F325" s="6" t="n">
        <v>10</v>
      </c>
      <c r="G325" s="6" t="s">
        <v>72</v>
      </c>
      <c r="H325" s="11" t="n">
        <v>0.05</v>
      </c>
      <c r="I325" s="6" t="n">
        <v>20</v>
      </c>
      <c r="J325" s="6" t="n">
        <v>1</v>
      </c>
      <c r="K325" s="6" t="n">
        <v>19</v>
      </c>
      <c r="L325" s="6" t="n">
        <v>1</v>
      </c>
      <c r="M325" s="6" t="n">
        <v>19</v>
      </c>
      <c r="N325" s="11" t="n">
        <f aca="false">J325/(J325+K325)</f>
        <v>0.05</v>
      </c>
      <c r="O325" s="11" t="n">
        <f aca="false">IF(J325+L325=0,"",J325/(J325+L325))</f>
        <v>0.5</v>
      </c>
      <c r="P325" s="11" t="n">
        <f aca="false">2*J325/(2*J325+L325+K325)</f>
        <v>0.0909090909090909</v>
      </c>
      <c r="Q325" s="11" t="n">
        <f aca="false">L325/(L325+M325)</f>
        <v>0.05</v>
      </c>
      <c r="R325" s="6" t="n">
        <v>0</v>
      </c>
      <c r="S325" s="11"/>
      <c r="T325" s="11" t="n">
        <v>0.05</v>
      </c>
      <c r="U325" s="11" t="n">
        <v>0.9</v>
      </c>
      <c r="V325" s="11" t="n">
        <v>0.9</v>
      </c>
    </row>
    <row r="326" customFormat="false" ht="15" hidden="false" customHeight="false" outlineLevel="0" collapsed="false">
      <c r="A326" s="6" t="s">
        <v>48</v>
      </c>
      <c r="B326" s="6" t="s">
        <v>43</v>
      </c>
      <c r="C326" s="6" t="s">
        <v>49</v>
      </c>
      <c r="D326" s="6" t="s">
        <v>115</v>
      </c>
      <c r="E326" s="6" t="n">
        <v>4</v>
      </c>
      <c r="F326" s="6" t="n">
        <v>10</v>
      </c>
      <c r="G326" s="6" t="s">
        <v>73</v>
      </c>
      <c r="H326" s="11" t="n">
        <v>0.05</v>
      </c>
      <c r="I326" s="6" t="n">
        <v>20</v>
      </c>
      <c r="J326" s="6" t="n">
        <v>0</v>
      </c>
      <c r="K326" s="6" t="n">
        <v>20</v>
      </c>
      <c r="L326" s="6" t="n">
        <v>0</v>
      </c>
      <c r="M326" s="6" t="n">
        <v>20</v>
      </c>
      <c r="N326" s="11" t="n">
        <f aca="false">J326/(J326+K326)</f>
        <v>0</v>
      </c>
      <c r="O326" s="11" t="str">
        <f aca="false">IF(J326+L326=0,"",J326/(J326+L326))</f>
        <v/>
      </c>
      <c r="P326" s="11" t="n">
        <f aca="false">2*J326/(2*J326+L326+K326)</f>
        <v>0</v>
      </c>
      <c r="Q326" s="11" t="n">
        <f aca="false">L326/(L326+M326)</f>
        <v>0</v>
      </c>
      <c r="R326" s="6" t="n">
        <v>0</v>
      </c>
      <c r="S326" s="11"/>
      <c r="T326" s="11" t="n">
        <v>0</v>
      </c>
      <c r="U326" s="11" t="n">
        <v>0.65</v>
      </c>
      <c r="V326" s="11" t="n">
        <v>0.65</v>
      </c>
    </row>
    <row r="327" customFormat="false" ht="15" hidden="false" customHeight="false" outlineLevel="0" collapsed="false">
      <c r="A327" s="6" t="s">
        <v>48</v>
      </c>
      <c r="B327" s="6" t="s">
        <v>43</v>
      </c>
      <c r="C327" s="6" t="s">
        <v>49</v>
      </c>
      <c r="D327" s="6" t="s">
        <v>115</v>
      </c>
      <c r="E327" s="6" t="n">
        <v>4</v>
      </c>
      <c r="F327" s="6" t="n">
        <v>10</v>
      </c>
      <c r="G327" s="6" t="s">
        <v>74</v>
      </c>
      <c r="H327" s="11" t="n">
        <v>0.05</v>
      </c>
      <c r="I327" s="6" t="n">
        <v>20</v>
      </c>
      <c r="J327" s="6" t="n">
        <v>1</v>
      </c>
      <c r="K327" s="6" t="n">
        <v>19</v>
      </c>
      <c r="L327" s="6" t="n">
        <v>1</v>
      </c>
      <c r="M327" s="6" t="n">
        <v>19</v>
      </c>
      <c r="N327" s="11" t="n">
        <f aca="false">J327/(J327+K327)</f>
        <v>0.05</v>
      </c>
      <c r="O327" s="11" t="n">
        <f aca="false">IF(J327+L327=0,"",J327/(J327+L327))</f>
        <v>0.5</v>
      </c>
      <c r="P327" s="11" t="n">
        <f aca="false">2*J327/(2*J327+L327+K327)</f>
        <v>0.0909090909090909</v>
      </c>
      <c r="Q327" s="11" t="n">
        <f aca="false">L327/(L327+M327)</f>
        <v>0.05</v>
      </c>
      <c r="R327" s="6" t="n">
        <v>0</v>
      </c>
      <c r="S327" s="11"/>
      <c r="T327" s="11" t="n">
        <v>0.05</v>
      </c>
      <c r="U327" s="11" t="n">
        <v>0.85</v>
      </c>
      <c r="V327" s="11" t="n">
        <v>0.85</v>
      </c>
    </row>
    <row r="328" customFormat="false" ht="15" hidden="false" customHeight="false" outlineLevel="0" collapsed="false">
      <c r="A328" s="6" t="s">
        <v>48</v>
      </c>
      <c r="B328" s="6" t="s">
        <v>43</v>
      </c>
      <c r="C328" s="6" t="s">
        <v>49</v>
      </c>
      <c r="D328" s="6" t="s">
        <v>115</v>
      </c>
      <c r="E328" s="6" t="n">
        <v>4</v>
      </c>
      <c r="F328" s="6" t="n">
        <v>10</v>
      </c>
      <c r="G328" s="6" t="s">
        <v>75</v>
      </c>
      <c r="H328" s="11" t="n">
        <v>0.05</v>
      </c>
      <c r="I328" s="6" t="n">
        <v>20</v>
      </c>
      <c r="J328" s="6" t="n">
        <v>0</v>
      </c>
      <c r="K328" s="6" t="n">
        <v>20</v>
      </c>
      <c r="L328" s="6" t="n">
        <v>0</v>
      </c>
      <c r="M328" s="6" t="n">
        <v>20</v>
      </c>
      <c r="N328" s="11" t="n">
        <f aca="false">J328/(J328+K328)</f>
        <v>0</v>
      </c>
      <c r="O328" s="11" t="str">
        <f aca="false">IF(J328+L328=0,"",J328/(J328+L328))</f>
        <v/>
      </c>
      <c r="P328" s="11" t="n">
        <f aca="false">2*J328/(2*J328+L328+K328)</f>
        <v>0</v>
      </c>
      <c r="Q328" s="11" t="n">
        <f aca="false">L328/(L328+M328)</f>
        <v>0</v>
      </c>
      <c r="R328" s="6" t="n">
        <v>0</v>
      </c>
      <c r="S328" s="11"/>
      <c r="T328" s="11" t="n">
        <v>0</v>
      </c>
      <c r="U328" s="11" t="n">
        <v>0.9</v>
      </c>
      <c r="V328" s="11" t="n">
        <v>0.9</v>
      </c>
    </row>
    <row r="329" customFormat="false" ht="15" hidden="false" customHeight="false" outlineLevel="0" collapsed="false">
      <c r="A329" s="6" t="s">
        <v>48</v>
      </c>
      <c r="B329" s="6" t="s">
        <v>43</v>
      </c>
      <c r="C329" s="6" t="s">
        <v>49</v>
      </c>
      <c r="D329" s="6" t="s">
        <v>115</v>
      </c>
      <c r="E329" s="6" t="n">
        <v>4</v>
      </c>
      <c r="F329" s="6" t="n">
        <v>10</v>
      </c>
      <c r="G329" s="6" t="s">
        <v>76</v>
      </c>
      <c r="H329" s="11" t="n">
        <v>0.05</v>
      </c>
      <c r="I329" s="6" t="n">
        <v>20</v>
      </c>
      <c r="J329" s="6" t="n">
        <v>0</v>
      </c>
      <c r="K329" s="6" t="n">
        <v>20</v>
      </c>
      <c r="L329" s="6" t="n">
        <v>0</v>
      </c>
      <c r="M329" s="6" t="n">
        <v>20</v>
      </c>
      <c r="N329" s="11" t="n">
        <f aca="false">J329/(J329+K329)</f>
        <v>0</v>
      </c>
      <c r="O329" s="11" t="str">
        <f aca="false">IF(J329+L329=0,"",J329/(J329+L329))</f>
        <v/>
      </c>
      <c r="P329" s="11" t="n">
        <f aca="false">2*J329/(2*J329+L329+K329)</f>
        <v>0</v>
      </c>
      <c r="Q329" s="11" t="n">
        <f aca="false">L329/(L329+M329)</f>
        <v>0</v>
      </c>
      <c r="R329" s="6" t="n">
        <v>0</v>
      </c>
      <c r="S329" s="11"/>
      <c r="T329" s="11" t="n">
        <v>0</v>
      </c>
      <c r="U329" s="11" t="n">
        <v>0.95</v>
      </c>
      <c r="V329" s="11" t="n">
        <v>0.95</v>
      </c>
    </row>
    <row r="330" customFormat="false" ht="15" hidden="false" customHeight="false" outlineLevel="0" collapsed="false">
      <c r="A330" s="6" t="s">
        <v>48</v>
      </c>
      <c r="B330" s="6" t="s">
        <v>43</v>
      </c>
      <c r="C330" s="6" t="s">
        <v>49</v>
      </c>
      <c r="D330" s="6" t="s">
        <v>115</v>
      </c>
      <c r="E330" s="6" t="n">
        <v>4</v>
      </c>
      <c r="F330" s="6" t="n">
        <v>10</v>
      </c>
      <c r="G330" s="6" t="s">
        <v>77</v>
      </c>
      <c r="H330" s="11" t="n">
        <v>0.05</v>
      </c>
      <c r="I330" s="6" t="n">
        <v>20</v>
      </c>
      <c r="J330" s="6" t="n">
        <v>1</v>
      </c>
      <c r="K330" s="6" t="n">
        <v>19</v>
      </c>
      <c r="L330" s="6" t="n">
        <v>1</v>
      </c>
      <c r="M330" s="6" t="n">
        <v>19</v>
      </c>
      <c r="N330" s="11" t="n">
        <f aca="false">J330/(J330+K330)</f>
        <v>0.05</v>
      </c>
      <c r="O330" s="11" t="n">
        <f aca="false">IF(J330+L330=0,"",J330/(J330+L330))</f>
        <v>0.5</v>
      </c>
      <c r="P330" s="11" t="n">
        <f aca="false">2*J330/(2*J330+L330+K330)</f>
        <v>0.0909090909090909</v>
      </c>
      <c r="Q330" s="11" t="n">
        <f aca="false">L330/(L330+M330)</f>
        <v>0.05</v>
      </c>
      <c r="R330" s="6" t="n">
        <v>0</v>
      </c>
      <c r="S330" s="11"/>
      <c r="T330" s="11" t="n">
        <v>0.05</v>
      </c>
      <c r="U330" s="11" t="n">
        <v>1</v>
      </c>
      <c r="V330" s="11" t="n">
        <v>1</v>
      </c>
    </row>
    <row r="331" customFormat="false" ht="15" hidden="false" customHeight="false" outlineLevel="0" collapsed="false">
      <c r="A331" s="6" t="s">
        <v>48</v>
      </c>
      <c r="B331" s="6" t="s">
        <v>43</v>
      </c>
      <c r="C331" s="6" t="s">
        <v>49</v>
      </c>
      <c r="D331" s="6" t="s">
        <v>115</v>
      </c>
      <c r="E331" s="6" t="n">
        <v>4</v>
      </c>
      <c r="F331" s="6" t="n">
        <v>10</v>
      </c>
      <c r="G331" s="6" t="s">
        <v>78</v>
      </c>
      <c r="H331" s="11" t="n">
        <v>0.05</v>
      </c>
      <c r="I331" s="6" t="n">
        <v>200</v>
      </c>
      <c r="J331" s="6" t="n">
        <v>6</v>
      </c>
      <c r="K331" s="6" t="n">
        <v>194</v>
      </c>
      <c r="L331" s="6" t="n">
        <v>6</v>
      </c>
      <c r="M331" s="6" t="n">
        <v>194</v>
      </c>
      <c r="N331" s="11" t="n">
        <f aca="false">J331/(J331+K331)</f>
        <v>0.03</v>
      </c>
      <c r="O331" s="11" t="n">
        <f aca="false">IF(J331+L331=0,"",J331/(J331+L331))</f>
        <v>0.5</v>
      </c>
      <c r="P331" s="11" t="n">
        <f aca="false">2*J331/(2*J331+L331+K331)</f>
        <v>0.0566037735849057</v>
      </c>
      <c r="Q331" s="11" t="n">
        <f aca="false">L331/(L331+M331)</f>
        <v>0.03</v>
      </c>
      <c r="R331" s="6" t="n">
        <v>0</v>
      </c>
      <c r="S331" s="11"/>
      <c r="T331" s="11" t="n">
        <v>0.03</v>
      </c>
      <c r="U331" s="11" t="n">
        <v>0.88</v>
      </c>
      <c r="V331" s="11" t="n">
        <v>0.88</v>
      </c>
    </row>
    <row r="332" customFormat="false" ht="15" hidden="false" customHeight="false" outlineLevel="0" collapsed="false">
      <c r="A332" s="6" t="s">
        <v>50</v>
      </c>
      <c r="B332" s="6" t="s">
        <v>43</v>
      </c>
      <c r="C332" s="6" t="s">
        <v>51</v>
      </c>
      <c r="D332" s="6" t="s">
        <v>115</v>
      </c>
      <c r="E332" s="6" t="n">
        <v>1</v>
      </c>
      <c r="F332" s="6" t="n">
        <v>1</v>
      </c>
      <c r="G332" s="6" t="s">
        <v>68</v>
      </c>
      <c r="H332" s="11" t="n">
        <v>0.05</v>
      </c>
      <c r="I332" s="6" t="n">
        <v>20</v>
      </c>
      <c r="J332" s="6" t="n">
        <v>2</v>
      </c>
      <c r="K332" s="6" t="n">
        <v>18</v>
      </c>
      <c r="L332" s="6" t="n">
        <v>2</v>
      </c>
      <c r="M332" s="6" t="n">
        <v>18</v>
      </c>
      <c r="N332" s="11" t="n">
        <f aca="false">J332/(J332+K332)</f>
        <v>0.1</v>
      </c>
      <c r="O332" s="11" t="n">
        <f aca="false">IF(J332+L332=0,"",J332/(J332+L332))</f>
        <v>0.5</v>
      </c>
      <c r="P332" s="11" t="n">
        <f aca="false">2*J332/(2*J332+L332+K332)</f>
        <v>0.166666666666667</v>
      </c>
      <c r="Q332" s="11" t="n">
        <f aca="false">L332/(L332+M332)</f>
        <v>0.1</v>
      </c>
      <c r="R332" s="6" t="n">
        <v>0</v>
      </c>
      <c r="S332" s="11"/>
      <c r="T332" s="11" t="n">
        <v>0.1</v>
      </c>
      <c r="U332" s="11" t="n">
        <v>0.85</v>
      </c>
      <c r="V332" s="11" t="n">
        <v>0.85</v>
      </c>
    </row>
    <row r="333" customFormat="false" ht="15" hidden="false" customHeight="false" outlineLevel="0" collapsed="false">
      <c r="A333" s="6" t="s">
        <v>50</v>
      </c>
      <c r="B333" s="6" t="s">
        <v>43</v>
      </c>
      <c r="C333" s="6" t="s">
        <v>51</v>
      </c>
      <c r="D333" s="6" t="s">
        <v>115</v>
      </c>
      <c r="E333" s="6" t="n">
        <v>1</v>
      </c>
      <c r="F333" s="6" t="n">
        <v>1</v>
      </c>
      <c r="G333" s="6" t="s">
        <v>69</v>
      </c>
      <c r="H333" s="11" t="n">
        <v>0.05</v>
      </c>
      <c r="I333" s="6" t="n">
        <v>20</v>
      </c>
      <c r="J333" s="6" t="n">
        <v>1</v>
      </c>
      <c r="K333" s="6" t="n">
        <v>19</v>
      </c>
      <c r="L333" s="6" t="n">
        <v>1</v>
      </c>
      <c r="M333" s="6" t="n">
        <v>19</v>
      </c>
      <c r="N333" s="11" t="n">
        <f aca="false">J333/(J333+K333)</f>
        <v>0.05</v>
      </c>
      <c r="O333" s="11" t="n">
        <f aca="false">IF(J333+L333=0,"",J333/(J333+L333))</f>
        <v>0.5</v>
      </c>
      <c r="P333" s="11" t="n">
        <f aca="false">2*J333/(2*J333+L333+K333)</f>
        <v>0.0909090909090909</v>
      </c>
      <c r="Q333" s="11" t="n">
        <f aca="false">L333/(L333+M333)</f>
        <v>0.05</v>
      </c>
      <c r="R333" s="6" t="n">
        <v>0</v>
      </c>
      <c r="S333" s="11"/>
      <c r="T333" s="11" t="n">
        <v>0.05</v>
      </c>
      <c r="U333" s="11" t="n">
        <v>1</v>
      </c>
      <c r="V333" s="11" t="n">
        <v>1</v>
      </c>
    </row>
    <row r="334" customFormat="false" ht="15" hidden="false" customHeight="false" outlineLevel="0" collapsed="false">
      <c r="A334" s="6" t="s">
        <v>50</v>
      </c>
      <c r="B334" s="6" t="s">
        <v>43</v>
      </c>
      <c r="C334" s="6" t="s">
        <v>51</v>
      </c>
      <c r="D334" s="6" t="s">
        <v>115</v>
      </c>
      <c r="E334" s="6" t="n">
        <v>1</v>
      </c>
      <c r="F334" s="6" t="n">
        <v>1</v>
      </c>
      <c r="G334" s="6" t="s">
        <v>70</v>
      </c>
      <c r="H334" s="11" t="n">
        <v>0.05</v>
      </c>
      <c r="I334" s="6" t="n">
        <v>20</v>
      </c>
      <c r="J334" s="6" t="n">
        <v>0</v>
      </c>
      <c r="K334" s="6" t="n">
        <v>20</v>
      </c>
      <c r="L334" s="6" t="n">
        <v>0</v>
      </c>
      <c r="M334" s="6" t="n">
        <v>20</v>
      </c>
      <c r="N334" s="11" t="n">
        <f aca="false">J334/(J334+K334)</f>
        <v>0</v>
      </c>
      <c r="O334" s="11" t="str">
        <f aca="false">IF(J334+L334=0,"",J334/(J334+L334))</f>
        <v/>
      </c>
      <c r="P334" s="11" t="n">
        <f aca="false">2*J334/(2*J334+L334+K334)</f>
        <v>0</v>
      </c>
      <c r="Q334" s="11" t="n">
        <f aca="false">L334/(L334+M334)</f>
        <v>0</v>
      </c>
      <c r="R334" s="6" t="n">
        <v>0</v>
      </c>
      <c r="S334" s="11"/>
      <c r="T334" s="11" t="n">
        <v>0</v>
      </c>
      <c r="U334" s="11" t="n">
        <v>0.9</v>
      </c>
      <c r="V334" s="11" t="n">
        <v>0.9</v>
      </c>
    </row>
    <row r="335" customFormat="false" ht="15" hidden="false" customHeight="false" outlineLevel="0" collapsed="false">
      <c r="A335" s="6" t="s">
        <v>50</v>
      </c>
      <c r="B335" s="6" t="s">
        <v>43</v>
      </c>
      <c r="C335" s="6" t="s">
        <v>51</v>
      </c>
      <c r="D335" s="6" t="s">
        <v>115</v>
      </c>
      <c r="E335" s="6" t="n">
        <v>1</v>
      </c>
      <c r="F335" s="6" t="n">
        <v>1</v>
      </c>
      <c r="G335" s="6" t="s">
        <v>71</v>
      </c>
      <c r="H335" s="11" t="n">
        <v>0.05</v>
      </c>
      <c r="I335" s="6" t="n">
        <v>20</v>
      </c>
      <c r="J335" s="6" t="n">
        <v>0</v>
      </c>
      <c r="K335" s="6" t="n">
        <v>20</v>
      </c>
      <c r="L335" s="6" t="n">
        <v>0</v>
      </c>
      <c r="M335" s="6" t="n">
        <v>20</v>
      </c>
      <c r="N335" s="11" t="n">
        <f aca="false">J335/(J335+K335)</f>
        <v>0</v>
      </c>
      <c r="O335" s="11" t="str">
        <f aca="false">IF(J335+L335=0,"",J335/(J335+L335))</f>
        <v/>
      </c>
      <c r="P335" s="11" t="n">
        <f aca="false">2*J335/(2*J335+L335+K335)</f>
        <v>0</v>
      </c>
      <c r="Q335" s="11" t="n">
        <f aca="false">L335/(L335+M335)</f>
        <v>0</v>
      </c>
      <c r="R335" s="6" t="n">
        <v>0</v>
      </c>
      <c r="S335" s="11"/>
      <c r="T335" s="11" t="n">
        <v>0</v>
      </c>
      <c r="U335" s="11" t="n">
        <v>0.8</v>
      </c>
      <c r="V335" s="11" t="n">
        <v>0.8</v>
      </c>
    </row>
    <row r="336" customFormat="false" ht="15" hidden="false" customHeight="false" outlineLevel="0" collapsed="false">
      <c r="A336" s="6" t="s">
        <v>50</v>
      </c>
      <c r="B336" s="6" t="s">
        <v>43</v>
      </c>
      <c r="C336" s="6" t="s">
        <v>51</v>
      </c>
      <c r="D336" s="6" t="s">
        <v>115</v>
      </c>
      <c r="E336" s="6" t="n">
        <v>1</v>
      </c>
      <c r="F336" s="6" t="n">
        <v>1</v>
      </c>
      <c r="G336" s="6" t="s">
        <v>72</v>
      </c>
      <c r="H336" s="11" t="n">
        <v>0.05</v>
      </c>
      <c r="I336" s="6" t="n">
        <v>20</v>
      </c>
      <c r="J336" s="6" t="n">
        <v>1</v>
      </c>
      <c r="K336" s="6" t="n">
        <v>19</v>
      </c>
      <c r="L336" s="6" t="n">
        <v>1</v>
      </c>
      <c r="M336" s="6" t="n">
        <v>19</v>
      </c>
      <c r="N336" s="11" t="n">
        <f aca="false">J336/(J336+K336)</f>
        <v>0.05</v>
      </c>
      <c r="O336" s="11" t="n">
        <f aca="false">IF(J336+L336=0,"",J336/(J336+L336))</f>
        <v>0.5</v>
      </c>
      <c r="P336" s="11" t="n">
        <f aca="false">2*J336/(2*J336+L336+K336)</f>
        <v>0.0909090909090909</v>
      </c>
      <c r="Q336" s="11" t="n">
        <f aca="false">L336/(L336+M336)</f>
        <v>0.05</v>
      </c>
      <c r="R336" s="6" t="n">
        <v>0</v>
      </c>
      <c r="S336" s="11"/>
      <c r="T336" s="11" t="n">
        <v>0.05</v>
      </c>
      <c r="U336" s="11" t="n">
        <v>0.9</v>
      </c>
      <c r="V336" s="11" t="n">
        <v>0.9</v>
      </c>
    </row>
    <row r="337" customFormat="false" ht="15" hidden="false" customHeight="false" outlineLevel="0" collapsed="false">
      <c r="A337" s="6" t="s">
        <v>50</v>
      </c>
      <c r="B337" s="6" t="s">
        <v>43</v>
      </c>
      <c r="C337" s="6" t="s">
        <v>51</v>
      </c>
      <c r="D337" s="6" t="s">
        <v>115</v>
      </c>
      <c r="E337" s="6" t="n">
        <v>1</v>
      </c>
      <c r="F337" s="6" t="n">
        <v>1</v>
      </c>
      <c r="G337" s="6" t="s">
        <v>73</v>
      </c>
      <c r="H337" s="11" t="n">
        <v>0.05</v>
      </c>
      <c r="I337" s="6" t="n">
        <v>20</v>
      </c>
      <c r="J337" s="6" t="n">
        <v>0</v>
      </c>
      <c r="K337" s="6" t="n">
        <v>20</v>
      </c>
      <c r="L337" s="6" t="n">
        <v>0</v>
      </c>
      <c r="M337" s="6" t="n">
        <v>20</v>
      </c>
      <c r="N337" s="11" t="n">
        <f aca="false">J337/(J337+K337)</f>
        <v>0</v>
      </c>
      <c r="O337" s="11" t="str">
        <f aca="false">IF(J337+L337=0,"",J337/(J337+L337))</f>
        <v/>
      </c>
      <c r="P337" s="11" t="n">
        <f aca="false">2*J337/(2*J337+L337+K337)</f>
        <v>0</v>
      </c>
      <c r="Q337" s="11" t="n">
        <f aca="false">L337/(L337+M337)</f>
        <v>0</v>
      </c>
      <c r="R337" s="6" t="n">
        <v>0</v>
      </c>
      <c r="S337" s="11"/>
      <c r="T337" s="11" t="n">
        <v>0</v>
      </c>
      <c r="U337" s="11" t="n">
        <v>0.65</v>
      </c>
      <c r="V337" s="11" t="n">
        <v>0.65</v>
      </c>
    </row>
    <row r="338" customFormat="false" ht="15" hidden="false" customHeight="false" outlineLevel="0" collapsed="false">
      <c r="A338" s="6" t="s">
        <v>50</v>
      </c>
      <c r="B338" s="6" t="s">
        <v>43</v>
      </c>
      <c r="C338" s="6" t="s">
        <v>51</v>
      </c>
      <c r="D338" s="6" t="s">
        <v>115</v>
      </c>
      <c r="E338" s="6" t="n">
        <v>1</v>
      </c>
      <c r="F338" s="6" t="n">
        <v>1</v>
      </c>
      <c r="G338" s="6" t="s">
        <v>74</v>
      </c>
      <c r="H338" s="11" t="n">
        <v>0.05</v>
      </c>
      <c r="I338" s="6" t="n">
        <v>20</v>
      </c>
      <c r="J338" s="6" t="n">
        <v>1</v>
      </c>
      <c r="K338" s="6" t="n">
        <v>19</v>
      </c>
      <c r="L338" s="6" t="n">
        <v>1</v>
      </c>
      <c r="M338" s="6" t="n">
        <v>19</v>
      </c>
      <c r="N338" s="11" t="n">
        <f aca="false">J338/(J338+K338)</f>
        <v>0.05</v>
      </c>
      <c r="O338" s="11" t="n">
        <f aca="false">IF(J338+L338=0,"",J338/(J338+L338))</f>
        <v>0.5</v>
      </c>
      <c r="P338" s="11" t="n">
        <f aca="false">2*J338/(2*J338+L338+K338)</f>
        <v>0.0909090909090909</v>
      </c>
      <c r="Q338" s="11" t="n">
        <f aca="false">L338/(L338+M338)</f>
        <v>0.05</v>
      </c>
      <c r="R338" s="6" t="n">
        <v>0</v>
      </c>
      <c r="S338" s="11"/>
      <c r="T338" s="11" t="n">
        <v>0.05</v>
      </c>
      <c r="U338" s="11" t="n">
        <v>0.85</v>
      </c>
      <c r="V338" s="11" t="n">
        <v>0.85</v>
      </c>
    </row>
    <row r="339" customFormat="false" ht="15" hidden="false" customHeight="false" outlineLevel="0" collapsed="false">
      <c r="A339" s="6" t="s">
        <v>50</v>
      </c>
      <c r="B339" s="6" t="s">
        <v>43</v>
      </c>
      <c r="C339" s="6" t="s">
        <v>51</v>
      </c>
      <c r="D339" s="6" t="s">
        <v>115</v>
      </c>
      <c r="E339" s="6" t="n">
        <v>1</v>
      </c>
      <c r="F339" s="6" t="n">
        <v>1</v>
      </c>
      <c r="G339" s="6" t="s">
        <v>75</v>
      </c>
      <c r="H339" s="11" t="n">
        <v>0.05</v>
      </c>
      <c r="I339" s="6" t="n">
        <v>20</v>
      </c>
      <c r="J339" s="6" t="n">
        <v>0</v>
      </c>
      <c r="K339" s="6" t="n">
        <v>20</v>
      </c>
      <c r="L339" s="6" t="n">
        <v>0</v>
      </c>
      <c r="M339" s="6" t="n">
        <v>20</v>
      </c>
      <c r="N339" s="11" t="n">
        <f aca="false">J339/(J339+K339)</f>
        <v>0</v>
      </c>
      <c r="O339" s="11" t="str">
        <f aca="false">IF(J339+L339=0,"",J339/(J339+L339))</f>
        <v/>
      </c>
      <c r="P339" s="11" t="n">
        <f aca="false">2*J339/(2*J339+L339+K339)</f>
        <v>0</v>
      </c>
      <c r="Q339" s="11" t="n">
        <f aca="false">L339/(L339+M339)</f>
        <v>0</v>
      </c>
      <c r="R339" s="6" t="n">
        <v>0</v>
      </c>
      <c r="S339" s="11"/>
      <c r="T339" s="11" t="n">
        <v>0</v>
      </c>
      <c r="U339" s="11" t="n">
        <v>0.9</v>
      </c>
      <c r="V339" s="11" t="n">
        <v>0.9</v>
      </c>
    </row>
    <row r="340" customFormat="false" ht="15" hidden="false" customHeight="false" outlineLevel="0" collapsed="false">
      <c r="A340" s="6" t="s">
        <v>50</v>
      </c>
      <c r="B340" s="6" t="s">
        <v>43</v>
      </c>
      <c r="C340" s="6" t="s">
        <v>51</v>
      </c>
      <c r="D340" s="6" t="s">
        <v>115</v>
      </c>
      <c r="E340" s="6" t="n">
        <v>1</v>
      </c>
      <c r="F340" s="6" t="n">
        <v>1</v>
      </c>
      <c r="G340" s="6" t="s">
        <v>76</v>
      </c>
      <c r="H340" s="11" t="n">
        <v>0.05</v>
      </c>
      <c r="I340" s="6" t="n">
        <v>20</v>
      </c>
      <c r="J340" s="6" t="n">
        <v>0</v>
      </c>
      <c r="K340" s="6" t="n">
        <v>20</v>
      </c>
      <c r="L340" s="6" t="n">
        <v>0</v>
      </c>
      <c r="M340" s="6" t="n">
        <v>20</v>
      </c>
      <c r="N340" s="11" t="n">
        <f aca="false">J340/(J340+K340)</f>
        <v>0</v>
      </c>
      <c r="O340" s="11" t="str">
        <f aca="false">IF(J340+L340=0,"",J340/(J340+L340))</f>
        <v/>
      </c>
      <c r="P340" s="11" t="n">
        <f aca="false">2*J340/(2*J340+L340+K340)</f>
        <v>0</v>
      </c>
      <c r="Q340" s="11" t="n">
        <f aca="false">L340/(L340+M340)</f>
        <v>0</v>
      </c>
      <c r="R340" s="6" t="n">
        <v>0</v>
      </c>
      <c r="S340" s="11"/>
      <c r="T340" s="11" t="n">
        <v>0</v>
      </c>
      <c r="U340" s="11" t="n">
        <v>0.95</v>
      </c>
      <c r="V340" s="11" t="n">
        <v>0.95</v>
      </c>
    </row>
    <row r="341" customFormat="false" ht="15" hidden="false" customHeight="false" outlineLevel="0" collapsed="false">
      <c r="A341" s="6" t="s">
        <v>50</v>
      </c>
      <c r="B341" s="6" t="s">
        <v>43</v>
      </c>
      <c r="C341" s="6" t="s">
        <v>51</v>
      </c>
      <c r="D341" s="6" t="s">
        <v>115</v>
      </c>
      <c r="E341" s="6" t="n">
        <v>1</v>
      </c>
      <c r="F341" s="6" t="n">
        <v>1</v>
      </c>
      <c r="G341" s="6" t="s">
        <v>77</v>
      </c>
      <c r="H341" s="11" t="n">
        <v>0.05</v>
      </c>
      <c r="I341" s="6" t="n">
        <v>20</v>
      </c>
      <c r="J341" s="6" t="n">
        <v>1</v>
      </c>
      <c r="K341" s="6" t="n">
        <v>19</v>
      </c>
      <c r="L341" s="6" t="n">
        <v>1</v>
      </c>
      <c r="M341" s="6" t="n">
        <v>19</v>
      </c>
      <c r="N341" s="11" t="n">
        <f aca="false">J341/(J341+K341)</f>
        <v>0.05</v>
      </c>
      <c r="O341" s="11" t="n">
        <f aca="false">IF(J341+L341=0,"",J341/(J341+L341))</f>
        <v>0.5</v>
      </c>
      <c r="P341" s="11" t="n">
        <f aca="false">2*J341/(2*J341+L341+K341)</f>
        <v>0.0909090909090909</v>
      </c>
      <c r="Q341" s="11" t="n">
        <f aca="false">L341/(L341+M341)</f>
        <v>0.05</v>
      </c>
      <c r="R341" s="6" t="n">
        <v>0</v>
      </c>
      <c r="S341" s="11"/>
      <c r="T341" s="11" t="n">
        <v>0.05</v>
      </c>
      <c r="U341" s="11" t="n">
        <v>1</v>
      </c>
      <c r="V341" s="11" t="n">
        <v>1</v>
      </c>
    </row>
    <row r="342" customFormat="false" ht="15" hidden="false" customHeight="false" outlineLevel="0" collapsed="false">
      <c r="A342" s="6" t="s">
        <v>50</v>
      </c>
      <c r="B342" s="6" t="s">
        <v>43</v>
      </c>
      <c r="C342" s="6" t="s">
        <v>51</v>
      </c>
      <c r="D342" s="6" t="s">
        <v>115</v>
      </c>
      <c r="E342" s="6" t="n">
        <v>1</v>
      </c>
      <c r="F342" s="6" t="n">
        <v>1</v>
      </c>
      <c r="G342" s="6" t="s">
        <v>78</v>
      </c>
      <c r="H342" s="11" t="n">
        <v>0.05</v>
      </c>
      <c r="I342" s="6" t="n">
        <v>200</v>
      </c>
      <c r="J342" s="6" t="n">
        <v>6</v>
      </c>
      <c r="K342" s="6" t="n">
        <v>194</v>
      </c>
      <c r="L342" s="6" t="n">
        <v>6</v>
      </c>
      <c r="M342" s="6" t="n">
        <v>194</v>
      </c>
      <c r="N342" s="11" t="n">
        <f aca="false">J342/(J342+K342)</f>
        <v>0.03</v>
      </c>
      <c r="O342" s="11" t="n">
        <f aca="false">IF(J342+L342=0,"",J342/(J342+L342))</f>
        <v>0.5</v>
      </c>
      <c r="P342" s="11" t="n">
        <f aca="false">2*J342/(2*J342+L342+K342)</f>
        <v>0.0566037735849057</v>
      </c>
      <c r="Q342" s="11" t="n">
        <f aca="false">L342/(L342+M342)</f>
        <v>0.03</v>
      </c>
      <c r="R342" s="6" t="n">
        <v>0</v>
      </c>
      <c r="S342" s="11"/>
      <c r="T342" s="11" t="n">
        <v>0.03</v>
      </c>
      <c r="U342" s="11" t="n">
        <v>0.88</v>
      </c>
      <c r="V342" s="11" t="n">
        <v>0.88</v>
      </c>
    </row>
    <row r="343" customFormat="false" ht="15" hidden="false" customHeight="false" outlineLevel="0" collapsed="false">
      <c r="A343" s="6" t="s">
        <v>50</v>
      </c>
      <c r="B343" s="6" t="s">
        <v>43</v>
      </c>
      <c r="C343" s="6" t="s">
        <v>51</v>
      </c>
      <c r="D343" s="6" t="s">
        <v>115</v>
      </c>
      <c r="E343" s="6" t="n">
        <v>1</v>
      </c>
      <c r="F343" s="6" t="n">
        <v>2</v>
      </c>
      <c r="G343" s="6" t="s">
        <v>68</v>
      </c>
      <c r="H343" s="11" t="n">
        <v>0.05</v>
      </c>
      <c r="I343" s="6" t="n">
        <v>20</v>
      </c>
      <c r="J343" s="6" t="n">
        <v>2</v>
      </c>
      <c r="K343" s="6" t="n">
        <v>18</v>
      </c>
      <c r="L343" s="6" t="n">
        <v>2</v>
      </c>
      <c r="M343" s="6" t="n">
        <v>18</v>
      </c>
      <c r="N343" s="11" t="n">
        <f aca="false">J343/(J343+K343)</f>
        <v>0.1</v>
      </c>
      <c r="O343" s="11" t="n">
        <f aca="false">IF(J343+L343=0,"",J343/(J343+L343))</f>
        <v>0.5</v>
      </c>
      <c r="P343" s="11" t="n">
        <f aca="false">2*J343/(2*J343+L343+K343)</f>
        <v>0.166666666666667</v>
      </c>
      <c r="Q343" s="11" t="n">
        <f aca="false">L343/(L343+M343)</f>
        <v>0.1</v>
      </c>
      <c r="R343" s="6" t="n">
        <v>0</v>
      </c>
      <c r="S343" s="11"/>
      <c r="T343" s="11" t="n">
        <v>0.1</v>
      </c>
      <c r="U343" s="11" t="n">
        <v>0.85</v>
      </c>
      <c r="V343" s="11" t="n">
        <v>0.85</v>
      </c>
    </row>
    <row r="344" customFormat="false" ht="15" hidden="false" customHeight="false" outlineLevel="0" collapsed="false">
      <c r="A344" s="6" t="s">
        <v>50</v>
      </c>
      <c r="B344" s="6" t="s">
        <v>43</v>
      </c>
      <c r="C344" s="6" t="s">
        <v>51</v>
      </c>
      <c r="D344" s="6" t="s">
        <v>115</v>
      </c>
      <c r="E344" s="6" t="n">
        <v>1</v>
      </c>
      <c r="F344" s="6" t="n">
        <v>2</v>
      </c>
      <c r="G344" s="6" t="s">
        <v>69</v>
      </c>
      <c r="H344" s="11" t="n">
        <v>0.05</v>
      </c>
      <c r="I344" s="6" t="n">
        <v>20</v>
      </c>
      <c r="J344" s="6" t="n">
        <v>1</v>
      </c>
      <c r="K344" s="6" t="n">
        <v>19</v>
      </c>
      <c r="L344" s="6" t="n">
        <v>1</v>
      </c>
      <c r="M344" s="6" t="n">
        <v>19</v>
      </c>
      <c r="N344" s="11" t="n">
        <f aca="false">J344/(J344+K344)</f>
        <v>0.05</v>
      </c>
      <c r="O344" s="11" t="n">
        <f aca="false">IF(J344+L344=0,"",J344/(J344+L344))</f>
        <v>0.5</v>
      </c>
      <c r="P344" s="11" t="n">
        <f aca="false">2*J344/(2*J344+L344+K344)</f>
        <v>0.0909090909090909</v>
      </c>
      <c r="Q344" s="11" t="n">
        <f aca="false">L344/(L344+M344)</f>
        <v>0.05</v>
      </c>
      <c r="R344" s="6" t="n">
        <v>0</v>
      </c>
      <c r="S344" s="11"/>
      <c r="T344" s="11" t="n">
        <v>0.05</v>
      </c>
      <c r="U344" s="11" t="n">
        <v>1</v>
      </c>
      <c r="V344" s="11" t="n">
        <v>1</v>
      </c>
    </row>
    <row r="345" customFormat="false" ht="15" hidden="false" customHeight="false" outlineLevel="0" collapsed="false">
      <c r="A345" s="6" t="s">
        <v>50</v>
      </c>
      <c r="B345" s="6" t="s">
        <v>43</v>
      </c>
      <c r="C345" s="6" t="s">
        <v>51</v>
      </c>
      <c r="D345" s="6" t="s">
        <v>115</v>
      </c>
      <c r="E345" s="6" t="n">
        <v>1</v>
      </c>
      <c r="F345" s="6" t="n">
        <v>2</v>
      </c>
      <c r="G345" s="6" t="s">
        <v>70</v>
      </c>
      <c r="H345" s="11" t="n">
        <v>0.05</v>
      </c>
      <c r="I345" s="6" t="n">
        <v>20</v>
      </c>
      <c r="J345" s="6" t="n">
        <v>0</v>
      </c>
      <c r="K345" s="6" t="n">
        <v>20</v>
      </c>
      <c r="L345" s="6" t="n">
        <v>0</v>
      </c>
      <c r="M345" s="6" t="n">
        <v>20</v>
      </c>
      <c r="N345" s="11" t="n">
        <f aca="false">J345/(J345+K345)</f>
        <v>0</v>
      </c>
      <c r="O345" s="11" t="str">
        <f aca="false">IF(J345+L345=0,"",J345/(J345+L345))</f>
        <v/>
      </c>
      <c r="P345" s="11" t="n">
        <f aca="false">2*J345/(2*J345+L345+K345)</f>
        <v>0</v>
      </c>
      <c r="Q345" s="11" t="n">
        <f aca="false">L345/(L345+M345)</f>
        <v>0</v>
      </c>
      <c r="R345" s="6" t="n">
        <v>0</v>
      </c>
      <c r="S345" s="11"/>
      <c r="T345" s="11" t="n">
        <v>0</v>
      </c>
      <c r="U345" s="11" t="n">
        <v>0.9</v>
      </c>
      <c r="V345" s="11" t="n">
        <v>0.9</v>
      </c>
    </row>
    <row r="346" customFormat="false" ht="15" hidden="false" customHeight="false" outlineLevel="0" collapsed="false">
      <c r="A346" s="6" t="s">
        <v>50</v>
      </c>
      <c r="B346" s="6" t="s">
        <v>43</v>
      </c>
      <c r="C346" s="6" t="s">
        <v>51</v>
      </c>
      <c r="D346" s="6" t="s">
        <v>115</v>
      </c>
      <c r="E346" s="6" t="n">
        <v>1</v>
      </c>
      <c r="F346" s="6" t="n">
        <v>2</v>
      </c>
      <c r="G346" s="6" t="s">
        <v>71</v>
      </c>
      <c r="H346" s="11" t="n">
        <v>0.05</v>
      </c>
      <c r="I346" s="6" t="n">
        <v>20</v>
      </c>
      <c r="J346" s="6" t="n">
        <v>0</v>
      </c>
      <c r="K346" s="6" t="n">
        <v>20</v>
      </c>
      <c r="L346" s="6" t="n">
        <v>0</v>
      </c>
      <c r="M346" s="6" t="n">
        <v>20</v>
      </c>
      <c r="N346" s="11" t="n">
        <f aca="false">J346/(J346+K346)</f>
        <v>0</v>
      </c>
      <c r="O346" s="11" t="str">
        <f aca="false">IF(J346+L346=0,"",J346/(J346+L346))</f>
        <v/>
      </c>
      <c r="P346" s="11" t="n">
        <f aca="false">2*J346/(2*J346+L346+K346)</f>
        <v>0</v>
      </c>
      <c r="Q346" s="11" t="n">
        <f aca="false">L346/(L346+M346)</f>
        <v>0</v>
      </c>
      <c r="R346" s="6" t="n">
        <v>0</v>
      </c>
      <c r="S346" s="11"/>
      <c r="T346" s="11" t="n">
        <v>0</v>
      </c>
      <c r="U346" s="11" t="n">
        <v>0.8</v>
      </c>
      <c r="V346" s="11" t="n">
        <v>0.8</v>
      </c>
    </row>
    <row r="347" customFormat="false" ht="15" hidden="false" customHeight="false" outlineLevel="0" collapsed="false">
      <c r="A347" s="6" t="s">
        <v>50</v>
      </c>
      <c r="B347" s="6" t="s">
        <v>43</v>
      </c>
      <c r="C347" s="6" t="s">
        <v>51</v>
      </c>
      <c r="D347" s="6" t="s">
        <v>115</v>
      </c>
      <c r="E347" s="6" t="n">
        <v>1</v>
      </c>
      <c r="F347" s="6" t="n">
        <v>2</v>
      </c>
      <c r="G347" s="6" t="s">
        <v>72</v>
      </c>
      <c r="H347" s="11" t="n">
        <v>0.05</v>
      </c>
      <c r="I347" s="6" t="n">
        <v>20</v>
      </c>
      <c r="J347" s="6" t="n">
        <v>1</v>
      </c>
      <c r="K347" s="6" t="n">
        <v>19</v>
      </c>
      <c r="L347" s="6" t="n">
        <v>1</v>
      </c>
      <c r="M347" s="6" t="n">
        <v>19</v>
      </c>
      <c r="N347" s="11" t="n">
        <f aca="false">J347/(J347+K347)</f>
        <v>0.05</v>
      </c>
      <c r="O347" s="11" t="n">
        <f aca="false">IF(J347+L347=0,"",J347/(J347+L347))</f>
        <v>0.5</v>
      </c>
      <c r="P347" s="11" t="n">
        <f aca="false">2*J347/(2*J347+L347+K347)</f>
        <v>0.0909090909090909</v>
      </c>
      <c r="Q347" s="11" t="n">
        <f aca="false">L347/(L347+M347)</f>
        <v>0.05</v>
      </c>
      <c r="R347" s="6" t="n">
        <v>0</v>
      </c>
      <c r="S347" s="11"/>
      <c r="T347" s="11" t="n">
        <v>0.05</v>
      </c>
      <c r="U347" s="11" t="n">
        <v>0.9</v>
      </c>
      <c r="V347" s="11" t="n">
        <v>0.9</v>
      </c>
    </row>
    <row r="348" customFormat="false" ht="15" hidden="false" customHeight="false" outlineLevel="0" collapsed="false">
      <c r="A348" s="6" t="s">
        <v>50</v>
      </c>
      <c r="B348" s="6" t="s">
        <v>43</v>
      </c>
      <c r="C348" s="6" t="s">
        <v>51</v>
      </c>
      <c r="D348" s="6" t="s">
        <v>115</v>
      </c>
      <c r="E348" s="6" t="n">
        <v>1</v>
      </c>
      <c r="F348" s="6" t="n">
        <v>2</v>
      </c>
      <c r="G348" s="6" t="s">
        <v>73</v>
      </c>
      <c r="H348" s="11" t="n">
        <v>0.05</v>
      </c>
      <c r="I348" s="6" t="n">
        <v>20</v>
      </c>
      <c r="J348" s="6" t="n">
        <v>0</v>
      </c>
      <c r="K348" s="6" t="n">
        <v>20</v>
      </c>
      <c r="L348" s="6" t="n">
        <v>0</v>
      </c>
      <c r="M348" s="6" t="n">
        <v>20</v>
      </c>
      <c r="N348" s="11" t="n">
        <f aca="false">J348/(J348+K348)</f>
        <v>0</v>
      </c>
      <c r="O348" s="11" t="str">
        <f aca="false">IF(J348+L348=0,"",J348/(J348+L348))</f>
        <v/>
      </c>
      <c r="P348" s="11" t="n">
        <f aca="false">2*J348/(2*J348+L348+K348)</f>
        <v>0</v>
      </c>
      <c r="Q348" s="11" t="n">
        <f aca="false">L348/(L348+M348)</f>
        <v>0</v>
      </c>
      <c r="R348" s="6" t="n">
        <v>0</v>
      </c>
      <c r="S348" s="11"/>
      <c r="T348" s="11" t="n">
        <v>0</v>
      </c>
      <c r="U348" s="11" t="n">
        <v>0.65</v>
      </c>
      <c r="V348" s="11" t="n">
        <v>0.65</v>
      </c>
    </row>
    <row r="349" customFormat="false" ht="15" hidden="false" customHeight="false" outlineLevel="0" collapsed="false">
      <c r="A349" s="6" t="s">
        <v>50</v>
      </c>
      <c r="B349" s="6" t="s">
        <v>43</v>
      </c>
      <c r="C349" s="6" t="s">
        <v>51</v>
      </c>
      <c r="D349" s="6" t="s">
        <v>115</v>
      </c>
      <c r="E349" s="6" t="n">
        <v>1</v>
      </c>
      <c r="F349" s="6" t="n">
        <v>2</v>
      </c>
      <c r="G349" s="6" t="s">
        <v>74</v>
      </c>
      <c r="H349" s="11" t="n">
        <v>0.05</v>
      </c>
      <c r="I349" s="6" t="n">
        <v>20</v>
      </c>
      <c r="J349" s="6" t="n">
        <v>1</v>
      </c>
      <c r="K349" s="6" t="n">
        <v>19</v>
      </c>
      <c r="L349" s="6" t="n">
        <v>1</v>
      </c>
      <c r="M349" s="6" t="n">
        <v>19</v>
      </c>
      <c r="N349" s="11" t="n">
        <f aca="false">J349/(J349+K349)</f>
        <v>0.05</v>
      </c>
      <c r="O349" s="11" t="n">
        <f aca="false">IF(J349+L349=0,"",J349/(J349+L349))</f>
        <v>0.5</v>
      </c>
      <c r="P349" s="11" t="n">
        <f aca="false">2*J349/(2*J349+L349+K349)</f>
        <v>0.0909090909090909</v>
      </c>
      <c r="Q349" s="11" t="n">
        <f aca="false">L349/(L349+M349)</f>
        <v>0.05</v>
      </c>
      <c r="R349" s="6" t="n">
        <v>0</v>
      </c>
      <c r="S349" s="11"/>
      <c r="T349" s="11" t="n">
        <v>0.05</v>
      </c>
      <c r="U349" s="11" t="n">
        <v>0.85</v>
      </c>
      <c r="V349" s="11" t="n">
        <v>0.85</v>
      </c>
    </row>
    <row r="350" customFormat="false" ht="15" hidden="false" customHeight="false" outlineLevel="0" collapsed="false">
      <c r="A350" s="6" t="s">
        <v>50</v>
      </c>
      <c r="B350" s="6" t="s">
        <v>43</v>
      </c>
      <c r="C350" s="6" t="s">
        <v>51</v>
      </c>
      <c r="D350" s="6" t="s">
        <v>115</v>
      </c>
      <c r="E350" s="6" t="n">
        <v>1</v>
      </c>
      <c r="F350" s="6" t="n">
        <v>2</v>
      </c>
      <c r="G350" s="6" t="s">
        <v>75</v>
      </c>
      <c r="H350" s="11" t="n">
        <v>0.05</v>
      </c>
      <c r="I350" s="6" t="n">
        <v>20</v>
      </c>
      <c r="J350" s="6" t="n">
        <v>0</v>
      </c>
      <c r="K350" s="6" t="n">
        <v>20</v>
      </c>
      <c r="L350" s="6" t="n">
        <v>0</v>
      </c>
      <c r="M350" s="6" t="n">
        <v>20</v>
      </c>
      <c r="N350" s="11" t="n">
        <f aca="false">J350/(J350+K350)</f>
        <v>0</v>
      </c>
      <c r="O350" s="11" t="str">
        <f aca="false">IF(J350+L350=0,"",J350/(J350+L350))</f>
        <v/>
      </c>
      <c r="P350" s="11" t="n">
        <f aca="false">2*J350/(2*J350+L350+K350)</f>
        <v>0</v>
      </c>
      <c r="Q350" s="11" t="n">
        <f aca="false">L350/(L350+M350)</f>
        <v>0</v>
      </c>
      <c r="R350" s="6" t="n">
        <v>0</v>
      </c>
      <c r="S350" s="11"/>
      <c r="T350" s="11" t="n">
        <v>0</v>
      </c>
      <c r="U350" s="11" t="n">
        <v>0.9</v>
      </c>
      <c r="V350" s="11" t="n">
        <v>0.9</v>
      </c>
    </row>
    <row r="351" customFormat="false" ht="15" hidden="false" customHeight="false" outlineLevel="0" collapsed="false">
      <c r="A351" s="6" t="s">
        <v>50</v>
      </c>
      <c r="B351" s="6" t="s">
        <v>43</v>
      </c>
      <c r="C351" s="6" t="s">
        <v>51</v>
      </c>
      <c r="D351" s="6" t="s">
        <v>115</v>
      </c>
      <c r="E351" s="6" t="n">
        <v>1</v>
      </c>
      <c r="F351" s="6" t="n">
        <v>2</v>
      </c>
      <c r="G351" s="6" t="s">
        <v>76</v>
      </c>
      <c r="H351" s="11" t="n">
        <v>0.05</v>
      </c>
      <c r="I351" s="6" t="n">
        <v>20</v>
      </c>
      <c r="J351" s="6" t="n">
        <v>0</v>
      </c>
      <c r="K351" s="6" t="n">
        <v>20</v>
      </c>
      <c r="L351" s="6" t="n">
        <v>0</v>
      </c>
      <c r="M351" s="6" t="n">
        <v>20</v>
      </c>
      <c r="N351" s="11" t="n">
        <f aca="false">J351/(J351+K351)</f>
        <v>0</v>
      </c>
      <c r="O351" s="11" t="str">
        <f aca="false">IF(J351+L351=0,"",J351/(J351+L351))</f>
        <v/>
      </c>
      <c r="P351" s="11" t="n">
        <f aca="false">2*J351/(2*J351+L351+K351)</f>
        <v>0</v>
      </c>
      <c r="Q351" s="11" t="n">
        <f aca="false">L351/(L351+M351)</f>
        <v>0</v>
      </c>
      <c r="R351" s="6" t="n">
        <v>0</v>
      </c>
      <c r="S351" s="11"/>
      <c r="T351" s="11" t="n">
        <v>0</v>
      </c>
      <c r="U351" s="11" t="n">
        <v>0.95</v>
      </c>
      <c r="V351" s="11" t="n">
        <v>0.95</v>
      </c>
    </row>
    <row r="352" customFormat="false" ht="15" hidden="false" customHeight="false" outlineLevel="0" collapsed="false">
      <c r="A352" s="6" t="s">
        <v>50</v>
      </c>
      <c r="B352" s="6" t="s">
        <v>43</v>
      </c>
      <c r="C352" s="6" t="s">
        <v>51</v>
      </c>
      <c r="D352" s="6" t="s">
        <v>115</v>
      </c>
      <c r="E352" s="6" t="n">
        <v>1</v>
      </c>
      <c r="F352" s="6" t="n">
        <v>2</v>
      </c>
      <c r="G352" s="6" t="s">
        <v>77</v>
      </c>
      <c r="H352" s="11" t="n">
        <v>0.05</v>
      </c>
      <c r="I352" s="6" t="n">
        <v>20</v>
      </c>
      <c r="J352" s="6" t="n">
        <v>1</v>
      </c>
      <c r="K352" s="6" t="n">
        <v>19</v>
      </c>
      <c r="L352" s="6" t="n">
        <v>1</v>
      </c>
      <c r="M352" s="6" t="n">
        <v>19</v>
      </c>
      <c r="N352" s="11" t="n">
        <f aca="false">J352/(J352+K352)</f>
        <v>0.05</v>
      </c>
      <c r="O352" s="11" t="n">
        <f aca="false">IF(J352+L352=0,"",J352/(J352+L352))</f>
        <v>0.5</v>
      </c>
      <c r="P352" s="11" t="n">
        <f aca="false">2*J352/(2*J352+L352+K352)</f>
        <v>0.0909090909090909</v>
      </c>
      <c r="Q352" s="11" t="n">
        <f aca="false">L352/(L352+M352)</f>
        <v>0.05</v>
      </c>
      <c r="R352" s="6" t="n">
        <v>0</v>
      </c>
      <c r="S352" s="11"/>
      <c r="T352" s="11" t="n">
        <v>0.05</v>
      </c>
      <c r="U352" s="11" t="n">
        <v>1</v>
      </c>
      <c r="V352" s="11" t="n">
        <v>1</v>
      </c>
    </row>
    <row r="353" customFormat="false" ht="15" hidden="false" customHeight="false" outlineLevel="0" collapsed="false">
      <c r="A353" s="6" t="s">
        <v>50</v>
      </c>
      <c r="B353" s="6" t="s">
        <v>43</v>
      </c>
      <c r="C353" s="6" t="s">
        <v>51</v>
      </c>
      <c r="D353" s="6" t="s">
        <v>115</v>
      </c>
      <c r="E353" s="6" t="n">
        <v>1</v>
      </c>
      <c r="F353" s="6" t="n">
        <v>2</v>
      </c>
      <c r="G353" s="6" t="s">
        <v>78</v>
      </c>
      <c r="H353" s="11" t="n">
        <v>0.05</v>
      </c>
      <c r="I353" s="6" t="n">
        <v>200</v>
      </c>
      <c r="J353" s="6" t="n">
        <v>6</v>
      </c>
      <c r="K353" s="6" t="n">
        <v>194</v>
      </c>
      <c r="L353" s="6" t="n">
        <v>6</v>
      </c>
      <c r="M353" s="6" t="n">
        <v>194</v>
      </c>
      <c r="N353" s="11" t="n">
        <f aca="false">J353/(J353+K353)</f>
        <v>0.03</v>
      </c>
      <c r="O353" s="11" t="n">
        <f aca="false">IF(J353+L353=0,"",J353/(J353+L353))</f>
        <v>0.5</v>
      </c>
      <c r="P353" s="11" t="n">
        <f aca="false">2*J353/(2*J353+L353+K353)</f>
        <v>0.0566037735849057</v>
      </c>
      <c r="Q353" s="11" t="n">
        <f aca="false">L353/(L353+M353)</f>
        <v>0.03</v>
      </c>
      <c r="R353" s="6" t="n">
        <v>0</v>
      </c>
      <c r="S353" s="11"/>
      <c r="T353" s="11" t="n">
        <v>0.03</v>
      </c>
      <c r="U353" s="11" t="n">
        <v>0.88</v>
      </c>
      <c r="V353" s="11" t="n">
        <v>0.88</v>
      </c>
    </row>
    <row r="354" customFormat="false" ht="15" hidden="false" customHeight="false" outlineLevel="0" collapsed="false">
      <c r="A354" s="6" t="s">
        <v>50</v>
      </c>
      <c r="B354" s="6" t="s">
        <v>43</v>
      </c>
      <c r="C354" s="6" t="s">
        <v>51</v>
      </c>
      <c r="D354" s="6" t="s">
        <v>115</v>
      </c>
      <c r="E354" s="6" t="n">
        <v>1</v>
      </c>
      <c r="F354" s="6" t="n">
        <v>3</v>
      </c>
      <c r="G354" s="6" t="s">
        <v>68</v>
      </c>
      <c r="H354" s="11" t="n">
        <v>0.05</v>
      </c>
      <c r="I354" s="6" t="n">
        <v>20</v>
      </c>
      <c r="J354" s="6" t="n">
        <v>2</v>
      </c>
      <c r="K354" s="6" t="n">
        <v>18</v>
      </c>
      <c r="L354" s="6" t="n">
        <v>2</v>
      </c>
      <c r="M354" s="6" t="n">
        <v>18</v>
      </c>
      <c r="N354" s="11" t="n">
        <f aca="false">J354/(J354+K354)</f>
        <v>0.1</v>
      </c>
      <c r="O354" s="11" t="n">
        <f aca="false">IF(J354+L354=0,"",J354/(J354+L354))</f>
        <v>0.5</v>
      </c>
      <c r="P354" s="11" t="n">
        <f aca="false">2*J354/(2*J354+L354+K354)</f>
        <v>0.166666666666667</v>
      </c>
      <c r="Q354" s="11" t="n">
        <f aca="false">L354/(L354+M354)</f>
        <v>0.1</v>
      </c>
      <c r="R354" s="6" t="n">
        <v>0</v>
      </c>
      <c r="S354" s="11"/>
      <c r="T354" s="11" t="n">
        <v>0.1</v>
      </c>
      <c r="U354" s="11" t="n">
        <v>0.85</v>
      </c>
      <c r="V354" s="11" t="n">
        <v>0.85</v>
      </c>
    </row>
    <row r="355" customFormat="false" ht="15" hidden="false" customHeight="false" outlineLevel="0" collapsed="false">
      <c r="A355" s="6" t="s">
        <v>50</v>
      </c>
      <c r="B355" s="6" t="s">
        <v>43</v>
      </c>
      <c r="C355" s="6" t="s">
        <v>51</v>
      </c>
      <c r="D355" s="6" t="s">
        <v>115</v>
      </c>
      <c r="E355" s="6" t="n">
        <v>1</v>
      </c>
      <c r="F355" s="6" t="n">
        <v>3</v>
      </c>
      <c r="G355" s="6" t="s">
        <v>69</v>
      </c>
      <c r="H355" s="11" t="n">
        <v>0.05</v>
      </c>
      <c r="I355" s="6" t="n">
        <v>20</v>
      </c>
      <c r="J355" s="6" t="n">
        <v>1</v>
      </c>
      <c r="K355" s="6" t="n">
        <v>19</v>
      </c>
      <c r="L355" s="6" t="n">
        <v>1</v>
      </c>
      <c r="M355" s="6" t="n">
        <v>19</v>
      </c>
      <c r="N355" s="11" t="n">
        <f aca="false">J355/(J355+K355)</f>
        <v>0.05</v>
      </c>
      <c r="O355" s="11" t="n">
        <f aca="false">IF(J355+L355=0,"",J355/(J355+L355))</f>
        <v>0.5</v>
      </c>
      <c r="P355" s="11" t="n">
        <f aca="false">2*J355/(2*J355+L355+K355)</f>
        <v>0.0909090909090909</v>
      </c>
      <c r="Q355" s="11" t="n">
        <f aca="false">L355/(L355+M355)</f>
        <v>0.05</v>
      </c>
      <c r="R355" s="6" t="n">
        <v>0</v>
      </c>
      <c r="S355" s="11"/>
      <c r="T355" s="11" t="n">
        <v>0.05</v>
      </c>
      <c r="U355" s="11" t="n">
        <v>1</v>
      </c>
      <c r="V355" s="11" t="n">
        <v>1</v>
      </c>
    </row>
    <row r="356" customFormat="false" ht="15" hidden="false" customHeight="false" outlineLevel="0" collapsed="false">
      <c r="A356" s="6" t="s">
        <v>50</v>
      </c>
      <c r="B356" s="6" t="s">
        <v>43</v>
      </c>
      <c r="C356" s="6" t="s">
        <v>51</v>
      </c>
      <c r="D356" s="6" t="s">
        <v>115</v>
      </c>
      <c r="E356" s="6" t="n">
        <v>1</v>
      </c>
      <c r="F356" s="6" t="n">
        <v>3</v>
      </c>
      <c r="G356" s="6" t="s">
        <v>70</v>
      </c>
      <c r="H356" s="11" t="n">
        <v>0.05</v>
      </c>
      <c r="I356" s="6" t="n">
        <v>20</v>
      </c>
      <c r="J356" s="6" t="n">
        <v>0</v>
      </c>
      <c r="K356" s="6" t="n">
        <v>20</v>
      </c>
      <c r="L356" s="6" t="n">
        <v>0</v>
      </c>
      <c r="M356" s="6" t="n">
        <v>20</v>
      </c>
      <c r="N356" s="11" t="n">
        <f aca="false">J356/(J356+K356)</f>
        <v>0</v>
      </c>
      <c r="O356" s="11" t="str">
        <f aca="false">IF(J356+L356=0,"",J356/(J356+L356))</f>
        <v/>
      </c>
      <c r="P356" s="11" t="n">
        <f aca="false">2*J356/(2*J356+L356+K356)</f>
        <v>0</v>
      </c>
      <c r="Q356" s="11" t="n">
        <f aca="false">L356/(L356+M356)</f>
        <v>0</v>
      </c>
      <c r="R356" s="6" t="n">
        <v>0</v>
      </c>
      <c r="S356" s="11"/>
      <c r="T356" s="11" t="n">
        <v>0</v>
      </c>
      <c r="U356" s="11" t="n">
        <v>0.9</v>
      </c>
      <c r="V356" s="11" t="n">
        <v>0.9</v>
      </c>
    </row>
    <row r="357" customFormat="false" ht="15" hidden="false" customHeight="false" outlineLevel="0" collapsed="false">
      <c r="A357" s="6" t="s">
        <v>50</v>
      </c>
      <c r="B357" s="6" t="s">
        <v>43</v>
      </c>
      <c r="C357" s="6" t="s">
        <v>51</v>
      </c>
      <c r="D357" s="6" t="s">
        <v>115</v>
      </c>
      <c r="E357" s="6" t="n">
        <v>1</v>
      </c>
      <c r="F357" s="6" t="n">
        <v>3</v>
      </c>
      <c r="G357" s="6" t="s">
        <v>71</v>
      </c>
      <c r="H357" s="11" t="n">
        <v>0.05</v>
      </c>
      <c r="I357" s="6" t="n">
        <v>20</v>
      </c>
      <c r="J357" s="6" t="n">
        <v>0</v>
      </c>
      <c r="K357" s="6" t="n">
        <v>20</v>
      </c>
      <c r="L357" s="6" t="n">
        <v>0</v>
      </c>
      <c r="M357" s="6" t="n">
        <v>20</v>
      </c>
      <c r="N357" s="11" t="n">
        <f aca="false">J357/(J357+K357)</f>
        <v>0</v>
      </c>
      <c r="O357" s="11" t="str">
        <f aca="false">IF(J357+L357=0,"",J357/(J357+L357))</f>
        <v/>
      </c>
      <c r="P357" s="11" t="n">
        <f aca="false">2*J357/(2*J357+L357+K357)</f>
        <v>0</v>
      </c>
      <c r="Q357" s="11" t="n">
        <f aca="false">L357/(L357+M357)</f>
        <v>0</v>
      </c>
      <c r="R357" s="6" t="n">
        <v>0</v>
      </c>
      <c r="S357" s="11"/>
      <c r="T357" s="11" t="n">
        <v>0</v>
      </c>
      <c r="U357" s="11" t="n">
        <v>0.8</v>
      </c>
      <c r="V357" s="11" t="n">
        <v>0.8</v>
      </c>
    </row>
    <row r="358" customFormat="false" ht="15" hidden="false" customHeight="false" outlineLevel="0" collapsed="false">
      <c r="A358" s="6" t="s">
        <v>50</v>
      </c>
      <c r="B358" s="6" t="s">
        <v>43</v>
      </c>
      <c r="C358" s="6" t="s">
        <v>51</v>
      </c>
      <c r="D358" s="6" t="s">
        <v>115</v>
      </c>
      <c r="E358" s="6" t="n">
        <v>1</v>
      </c>
      <c r="F358" s="6" t="n">
        <v>3</v>
      </c>
      <c r="G358" s="6" t="s">
        <v>72</v>
      </c>
      <c r="H358" s="11" t="n">
        <v>0.05</v>
      </c>
      <c r="I358" s="6" t="n">
        <v>20</v>
      </c>
      <c r="J358" s="6" t="n">
        <v>1</v>
      </c>
      <c r="K358" s="6" t="n">
        <v>19</v>
      </c>
      <c r="L358" s="6" t="n">
        <v>1</v>
      </c>
      <c r="M358" s="6" t="n">
        <v>19</v>
      </c>
      <c r="N358" s="11" t="n">
        <f aca="false">J358/(J358+K358)</f>
        <v>0.05</v>
      </c>
      <c r="O358" s="11" t="n">
        <f aca="false">IF(J358+L358=0,"",J358/(J358+L358))</f>
        <v>0.5</v>
      </c>
      <c r="P358" s="11" t="n">
        <f aca="false">2*J358/(2*J358+L358+K358)</f>
        <v>0.0909090909090909</v>
      </c>
      <c r="Q358" s="11" t="n">
        <f aca="false">L358/(L358+M358)</f>
        <v>0.05</v>
      </c>
      <c r="R358" s="6" t="n">
        <v>0</v>
      </c>
      <c r="S358" s="11"/>
      <c r="T358" s="11" t="n">
        <v>0.05</v>
      </c>
      <c r="U358" s="11" t="n">
        <v>0.9</v>
      </c>
      <c r="V358" s="11" t="n">
        <v>0.9</v>
      </c>
    </row>
    <row r="359" customFormat="false" ht="15" hidden="false" customHeight="false" outlineLevel="0" collapsed="false">
      <c r="A359" s="6" t="s">
        <v>50</v>
      </c>
      <c r="B359" s="6" t="s">
        <v>43</v>
      </c>
      <c r="C359" s="6" t="s">
        <v>51</v>
      </c>
      <c r="D359" s="6" t="s">
        <v>115</v>
      </c>
      <c r="E359" s="6" t="n">
        <v>1</v>
      </c>
      <c r="F359" s="6" t="n">
        <v>3</v>
      </c>
      <c r="G359" s="6" t="s">
        <v>73</v>
      </c>
      <c r="H359" s="11" t="n">
        <v>0.05</v>
      </c>
      <c r="I359" s="6" t="n">
        <v>20</v>
      </c>
      <c r="J359" s="6" t="n">
        <v>0</v>
      </c>
      <c r="K359" s="6" t="n">
        <v>20</v>
      </c>
      <c r="L359" s="6" t="n">
        <v>0</v>
      </c>
      <c r="M359" s="6" t="n">
        <v>20</v>
      </c>
      <c r="N359" s="11" t="n">
        <f aca="false">J359/(J359+K359)</f>
        <v>0</v>
      </c>
      <c r="O359" s="11" t="str">
        <f aca="false">IF(J359+L359=0,"",J359/(J359+L359))</f>
        <v/>
      </c>
      <c r="P359" s="11" t="n">
        <f aca="false">2*J359/(2*J359+L359+K359)</f>
        <v>0</v>
      </c>
      <c r="Q359" s="11" t="n">
        <f aca="false">L359/(L359+M359)</f>
        <v>0</v>
      </c>
      <c r="R359" s="6" t="n">
        <v>0</v>
      </c>
      <c r="S359" s="11"/>
      <c r="T359" s="11" t="n">
        <v>0</v>
      </c>
      <c r="U359" s="11" t="n">
        <v>0.65</v>
      </c>
      <c r="V359" s="11" t="n">
        <v>0.65</v>
      </c>
    </row>
    <row r="360" customFormat="false" ht="15" hidden="false" customHeight="false" outlineLevel="0" collapsed="false">
      <c r="A360" s="6" t="s">
        <v>50</v>
      </c>
      <c r="B360" s="6" t="s">
        <v>43</v>
      </c>
      <c r="C360" s="6" t="s">
        <v>51</v>
      </c>
      <c r="D360" s="6" t="s">
        <v>115</v>
      </c>
      <c r="E360" s="6" t="n">
        <v>1</v>
      </c>
      <c r="F360" s="6" t="n">
        <v>3</v>
      </c>
      <c r="G360" s="6" t="s">
        <v>74</v>
      </c>
      <c r="H360" s="11" t="n">
        <v>0.05</v>
      </c>
      <c r="I360" s="6" t="n">
        <v>20</v>
      </c>
      <c r="J360" s="6" t="n">
        <v>1</v>
      </c>
      <c r="K360" s="6" t="n">
        <v>19</v>
      </c>
      <c r="L360" s="6" t="n">
        <v>1</v>
      </c>
      <c r="M360" s="6" t="n">
        <v>19</v>
      </c>
      <c r="N360" s="11" t="n">
        <f aca="false">J360/(J360+K360)</f>
        <v>0.05</v>
      </c>
      <c r="O360" s="11" t="n">
        <f aca="false">IF(J360+L360=0,"",J360/(J360+L360))</f>
        <v>0.5</v>
      </c>
      <c r="P360" s="11" t="n">
        <f aca="false">2*J360/(2*J360+L360+K360)</f>
        <v>0.0909090909090909</v>
      </c>
      <c r="Q360" s="11" t="n">
        <f aca="false">L360/(L360+M360)</f>
        <v>0.05</v>
      </c>
      <c r="R360" s="6" t="n">
        <v>0</v>
      </c>
      <c r="S360" s="11"/>
      <c r="T360" s="11" t="n">
        <v>0.05</v>
      </c>
      <c r="U360" s="11" t="n">
        <v>0.85</v>
      </c>
      <c r="V360" s="11" t="n">
        <v>0.85</v>
      </c>
    </row>
    <row r="361" customFormat="false" ht="15" hidden="false" customHeight="false" outlineLevel="0" collapsed="false">
      <c r="A361" s="6" t="s">
        <v>50</v>
      </c>
      <c r="B361" s="6" t="s">
        <v>43</v>
      </c>
      <c r="C361" s="6" t="s">
        <v>51</v>
      </c>
      <c r="D361" s="6" t="s">
        <v>115</v>
      </c>
      <c r="E361" s="6" t="n">
        <v>1</v>
      </c>
      <c r="F361" s="6" t="n">
        <v>3</v>
      </c>
      <c r="G361" s="6" t="s">
        <v>75</v>
      </c>
      <c r="H361" s="11" t="n">
        <v>0.05</v>
      </c>
      <c r="I361" s="6" t="n">
        <v>20</v>
      </c>
      <c r="J361" s="6" t="n">
        <v>0</v>
      </c>
      <c r="K361" s="6" t="n">
        <v>20</v>
      </c>
      <c r="L361" s="6" t="n">
        <v>0</v>
      </c>
      <c r="M361" s="6" t="n">
        <v>20</v>
      </c>
      <c r="N361" s="11" t="n">
        <f aca="false">J361/(J361+K361)</f>
        <v>0</v>
      </c>
      <c r="O361" s="11" t="str">
        <f aca="false">IF(J361+L361=0,"",J361/(J361+L361))</f>
        <v/>
      </c>
      <c r="P361" s="11" t="n">
        <f aca="false">2*J361/(2*J361+L361+K361)</f>
        <v>0</v>
      </c>
      <c r="Q361" s="11" t="n">
        <f aca="false">L361/(L361+M361)</f>
        <v>0</v>
      </c>
      <c r="R361" s="6" t="n">
        <v>0</v>
      </c>
      <c r="S361" s="11"/>
      <c r="T361" s="11" t="n">
        <v>0</v>
      </c>
      <c r="U361" s="11" t="n">
        <v>0.9</v>
      </c>
      <c r="V361" s="11" t="n">
        <v>0.9</v>
      </c>
    </row>
    <row r="362" customFormat="false" ht="15" hidden="false" customHeight="false" outlineLevel="0" collapsed="false">
      <c r="A362" s="6" t="s">
        <v>50</v>
      </c>
      <c r="B362" s="6" t="s">
        <v>43</v>
      </c>
      <c r="C362" s="6" t="s">
        <v>51</v>
      </c>
      <c r="D362" s="6" t="s">
        <v>115</v>
      </c>
      <c r="E362" s="6" t="n">
        <v>1</v>
      </c>
      <c r="F362" s="6" t="n">
        <v>3</v>
      </c>
      <c r="G362" s="6" t="s">
        <v>76</v>
      </c>
      <c r="H362" s="11" t="n">
        <v>0.05</v>
      </c>
      <c r="I362" s="6" t="n">
        <v>20</v>
      </c>
      <c r="J362" s="6" t="n">
        <v>0</v>
      </c>
      <c r="K362" s="6" t="n">
        <v>20</v>
      </c>
      <c r="L362" s="6" t="n">
        <v>0</v>
      </c>
      <c r="M362" s="6" t="n">
        <v>20</v>
      </c>
      <c r="N362" s="11" t="n">
        <f aca="false">J362/(J362+K362)</f>
        <v>0</v>
      </c>
      <c r="O362" s="11" t="str">
        <f aca="false">IF(J362+L362=0,"",J362/(J362+L362))</f>
        <v/>
      </c>
      <c r="P362" s="11" t="n">
        <f aca="false">2*J362/(2*J362+L362+K362)</f>
        <v>0</v>
      </c>
      <c r="Q362" s="11" t="n">
        <f aca="false">L362/(L362+M362)</f>
        <v>0</v>
      </c>
      <c r="R362" s="6" t="n">
        <v>0</v>
      </c>
      <c r="S362" s="11"/>
      <c r="T362" s="11" t="n">
        <v>0</v>
      </c>
      <c r="U362" s="11" t="n">
        <v>0.95</v>
      </c>
      <c r="V362" s="11" t="n">
        <v>0.95</v>
      </c>
    </row>
    <row r="363" customFormat="false" ht="15" hidden="false" customHeight="false" outlineLevel="0" collapsed="false">
      <c r="A363" s="6" t="s">
        <v>50</v>
      </c>
      <c r="B363" s="6" t="s">
        <v>43</v>
      </c>
      <c r="C363" s="6" t="s">
        <v>51</v>
      </c>
      <c r="D363" s="6" t="s">
        <v>115</v>
      </c>
      <c r="E363" s="6" t="n">
        <v>1</v>
      </c>
      <c r="F363" s="6" t="n">
        <v>3</v>
      </c>
      <c r="G363" s="6" t="s">
        <v>77</v>
      </c>
      <c r="H363" s="11" t="n">
        <v>0.05</v>
      </c>
      <c r="I363" s="6" t="n">
        <v>20</v>
      </c>
      <c r="J363" s="6" t="n">
        <v>1</v>
      </c>
      <c r="K363" s="6" t="n">
        <v>19</v>
      </c>
      <c r="L363" s="6" t="n">
        <v>1</v>
      </c>
      <c r="M363" s="6" t="n">
        <v>19</v>
      </c>
      <c r="N363" s="11" t="n">
        <f aca="false">J363/(J363+K363)</f>
        <v>0.05</v>
      </c>
      <c r="O363" s="11" t="n">
        <f aca="false">IF(J363+L363=0,"",J363/(J363+L363))</f>
        <v>0.5</v>
      </c>
      <c r="P363" s="11" t="n">
        <f aca="false">2*J363/(2*J363+L363+K363)</f>
        <v>0.0909090909090909</v>
      </c>
      <c r="Q363" s="11" t="n">
        <f aca="false">L363/(L363+M363)</f>
        <v>0.05</v>
      </c>
      <c r="R363" s="6" t="n">
        <v>0</v>
      </c>
      <c r="S363" s="11"/>
      <c r="T363" s="11" t="n">
        <v>0.05</v>
      </c>
      <c r="U363" s="11" t="n">
        <v>1</v>
      </c>
      <c r="V363" s="11" t="n">
        <v>1</v>
      </c>
    </row>
    <row r="364" customFormat="false" ht="15" hidden="false" customHeight="false" outlineLevel="0" collapsed="false">
      <c r="A364" s="6" t="s">
        <v>50</v>
      </c>
      <c r="B364" s="6" t="s">
        <v>43</v>
      </c>
      <c r="C364" s="6" t="s">
        <v>51</v>
      </c>
      <c r="D364" s="6" t="s">
        <v>115</v>
      </c>
      <c r="E364" s="6" t="n">
        <v>1</v>
      </c>
      <c r="F364" s="6" t="n">
        <v>3</v>
      </c>
      <c r="G364" s="6" t="s">
        <v>78</v>
      </c>
      <c r="H364" s="11" t="n">
        <v>0.05</v>
      </c>
      <c r="I364" s="6" t="n">
        <v>200</v>
      </c>
      <c r="J364" s="6" t="n">
        <v>6</v>
      </c>
      <c r="K364" s="6" t="n">
        <v>194</v>
      </c>
      <c r="L364" s="6" t="n">
        <v>6</v>
      </c>
      <c r="M364" s="6" t="n">
        <v>194</v>
      </c>
      <c r="N364" s="11" t="n">
        <f aca="false">J364/(J364+K364)</f>
        <v>0.03</v>
      </c>
      <c r="O364" s="11" t="n">
        <f aca="false">IF(J364+L364=0,"",J364/(J364+L364))</f>
        <v>0.5</v>
      </c>
      <c r="P364" s="11" t="n">
        <f aca="false">2*J364/(2*J364+L364+K364)</f>
        <v>0.0566037735849057</v>
      </c>
      <c r="Q364" s="11" t="n">
        <f aca="false">L364/(L364+M364)</f>
        <v>0.03</v>
      </c>
      <c r="R364" s="6" t="n">
        <v>0</v>
      </c>
      <c r="S364" s="11"/>
      <c r="T364" s="11" t="n">
        <v>0.03</v>
      </c>
      <c r="U364" s="11" t="n">
        <v>0.88</v>
      </c>
      <c r="V364" s="11" t="n">
        <v>0.88</v>
      </c>
    </row>
    <row r="365" customFormat="false" ht="15" hidden="false" customHeight="false" outlineLevel="0" collapsed="false">
      <c r="A365" s="6" t="s">
        <v>50</v>
      </c>
      <c r="B365" s="6" t="s">
        <v>43</v>
      </c>
      <c r="C365" s="6" t="s">
        <v>51</v>
      </c>
      <c r="D365" s="6" t="s">
        <v>115</v>
      </c>
      <c r="E365" s="6" t="n">
        <v>1</v>
      </c>
      <c r="F365" s="6" t="n">
        <v>4</v>
      </c>
      <c r="G365" s="6" t="s">
        <v>68</v>
      </c>
      <c r="H365" s="11" t="n">
        <v>0.05</v>
      </c>
      <c r="I365" s="6" t="n">
        <v>20</v>
      </c>
      <c r="J365" s="6" t="n">
        <v>20</v>
      </c>
      <c r="K365" s="6" t="n">
        <v>0</v>
      </c>
      <c r="L365" s="6" t="n">
        <v>2</v>
      </c>
      <c r="M365" s="6" t="n">
        <v>18</v>
      </c>
      <c r="N365" s="11" t="n">
        <f aca="false">J365/(J365+K365)</f>
        <v>1</v>
      </c>
      <c r="O365" s="11" t="n">
        <f aca="false">IF(J365+L365=0,"",J365/(J365+L365))</f>
        <v>0.909090909090909</v>
      </c>
      <c r="P365" s="11" t="n">
        <f aca="false">2*J365/(2*J365+L365+K365)</f>
        <v>0.952380952380952</v>
      </c>
      <c r="Q365" s="11" t="n">
        <f aca="false">L365/(L365+M365)</f>
        <v>0.1</v>
      </c>
      <c r="R365" s="6" t="n">
        <v>18</v>
      </c>
      <c r="S365" s="11" t="n">
        <v>1</v>
      </c>
      <c r="T365" s="11" t="n">
        <v>1</v>
      </c>
      <c r="U365" s="11" t="n">
        <v>0.85</v>
      </c>
      <c r="V365" s="11" t="n">
        <v>0</v>
      </c>
    </row>
    <row r="366" customFormat="false" ht="15" hidden="false" customHeight="false" outlineLevel="0" collapsed="false">
      <c r="A366" s="6" t="s">
        <v>50</v>
      </c>
      <c r="B366" s="6" t="s">
        <v>43</v>
      </c>
      <c r="C366" s="6" t="s">
        <v>51</v>
      </c>
      <c r="D366" s="6" t="s">
        <v>115</v>
      </c>
      <c r="E366" s="6" t="n">
        <v>1</v>
      </c>
      <c r="F366" s="6" t="n">
        <v>4</v>
      </c>
      <c r="G366" s="6" t="s">
        <v>69</v>
      </c>
      <c r="H366" s="11" t="n">
        <v>0.05</v>
      </c>
      <c r="I366" s="6" t="n">
        <v>20</v>
      </c>
      <c r="J366" s="6" t="n">
        <v>20</v>
      </c>
      <c r="K366" s="6" t="n">
        <v>0</v>
      </c>
      <c r="L366" s="6" t="n">
        <v>1</v>
      </c>
      <c r="M366" s="6" t="n">
        <v>19</v>
      </c>
      <c r="N366" s="11" t="n">
        <f aca="false">J366/(J366+K366)</f>
        <v>1</v>
      </c>
      <c r="O366" s="11" t="n">
        <f aca="false">IF(J366+L366=0,"",J366/(J366+L366))</f>
        <v>0.952380952380952</v>
      </c>
      <c r="P366" s="11" t="n">
        <f aca="false">2*J366/(2*J366+L366+K366)</f>
        <v>0.975609756097561</v>
      </c>
      <c r="Q366" s="11" t="n">
        <f aca="false">L366/(L366+M366)</f>
        <v>0.05</v>
      </c>
      <c r="R366" s="6" t="n">
        <v>20</v>
      </c>
      <c r="S366" s="11" t="n">
        <v>1</v>
      </c>
      <c r="T366" s="11"/>
      <c r="U366" s="11" t="n">
        <v>1</v>
      </c>
      <c r="V366" s="11" t="n">
        <v>0</v>
      </c>
    </row>
    <row r="367" customFormat="false" ht="15" hidden="false" customHeight="false" outlineLevel="0" collapsed="false">
      <c r="A367" s="6" t="s">
        <v>50</v>
      </c>
      <c r="B367" s="6" t="s">
        <v>43</v>
      </c>
      <c r="C367" s="6" t="s">
        <v>51</v>
      </c>
      <c r="D367" s="6" t="s">
        <v>115</v>
      </c>
      <c r="E367" s="6" t="n">
        <v>1</v>
      </c>
      <c r="F367" s="6" t="n">
        <v>4</v>
      </c>
      <c r="G367" s="6" t="s">
        <v>70</v>
      </c>
      <c r="H367" s="11" t="n">
        <v>0.05</v>
      </c>
      <c r="I367" s="6" t="n">
        <v>20</v>
      </c>
      <c r="J367" s="6" t="n">
        <v>20</v>
      </c>
      <c r="K367" s="6" t="n">
        <v>0</v>
      </c>
      <c r="L367" s="6" t="n">
        <v>0</v>
      </c>
      <c r="M367" s="6" t="n">
        <v>20</v>
      </c>
      <c r="N367" s="11" t="n">
        <f aca="false">J367/(J367+K367)</f>
        <v>1</v>
      </c>
      <c r="O367" s="11" t="n">
        <f aca="false">IF(J367+L367=0,"",J367/(J367+L367))</f>
        <v>1</v>
      </c>
      <c r="P367" s="11" t="n">
        <f aca="false">2*J367/(2*J367+L367+K367)</f>
        <v>1</v>
      </c>
      <c r="Q367" s="11" t="n">
        <f aca="false">L367/(L367+M367)</f>
        <v>0</v>
      </c>
      <c r="R367" s="6" t="n">
        <v>20</v>
      </c>
      <c r="S367" s="11" t="n">
        <v>1</v>
      </c>
      <c r="T367" s="11"/>
      <c r="U367" s="11" t="n">
        <v>0.9</v>
      </c>
      <c r="V367" s="11" t="n">
        <v>0</v>
      </c>
    </row>
    <row r="368" customFormat="false" ht="15" hidden="false" customHeight="false" outlineLevel="0" collapsed="false">
      <c r="A368" s="6" t="s">
        <v>50</v>
      </c>
      <c r="B368" s="6" t="s">
        <v>43</v>
      </c>
      <c r="C368" s="6" t="s">
        <v>51</v>
      </c>
      <c r="D368" s="6" t="s">
        <v>115</v>
      </c>
      <c r="E368" s="6" t="n">
        <v>1</v>
      </c>
      <c r="F368" s="6" t="n">
        <v>4</v>
      </c>
      <c r="G368" s="6" t="s">
        <v>71</v>
      </c>
      <c r="H368" s="11" t="n">
        <v>0.05</v>
      </c>
      <c r="I368" s="6" t="n">
        <v>20</v>
      </c>
      <c r="J368" s="6" t="n">
        <v>20</v>
      </c>
      <c r="K368" s="6" t="n">
        <v>0</v>
      </c>
      <c r="L368" s="6" t="n">
        <v>0</v>
      </c>
      <c r="M368" s="6" t="n">
        <v>20</v>
      </c>
      <c r="N368" s="11" t="n">
        <f aca="false">J368/(J368+K368)</f>
        <v>1</v>
      </c>
      <c r="O368" s="11" t="n">
        <f aca="false">IF(J368+L368=0,"",J368/(J368+L368))</f>
        <v>1</v>
      </c>
      <c r="P368" s="11" t="n">
        <f aca="false">2*J368/(2*J368+L368+K368)</f>
        <v>1</v>
      </c>
      <c r="Q368" s="11" t="n">
        <f aca="false">L368/(L368+M368)</f>
        <v>0</v>
      </c>
      <c r="R368" s="6" t="n">
        <v>20</v>
      </c>
      <c r="S368" s="11" t="n">
        <v>1</v>
      </c>
      <c r="T368" s="11"/>
      <c r="U368" s="11" t="n">
        <v>0.8</v>
      </c>
      <c r="V368" s="11" t="n">
        <v>0</v>
      </c>
    </row>
    <row r="369" customFormat="false" ht="15" hidden="false" customHeight="false" outlineLevel="0" collapsed="false">
      <c r="A369" s="6" t="s">
        <v>50</v>
      </c>
      <c r="B369" s="6" t="s">
        <v>43</v>
      </c>
      <c r="C369" s="6" t="s">
        <v>51</v>
      </c>
      <c r="D369" s="6" t="s">
        <v>115</v>
      </c>
      <c r="E369" s="6" t="n">
        <v>1</v>
      </c>
      <c r="F369" s="6" t="n">
        <v>4</v>
      </c>
      <c r="G369" s="6" t="s">
        <v>72</v>
      </c>
      <c r="H369" s="11" t="n">
        <v>0.05</v>
      </c>
      <c r="I369" s="6" t="n">
        <v>20</v>
      </c>
      <c r="J369" s="6" t="n">
        <v>20</v>
      </c>
      <c r="K369" s="6" t="n">
        <v>0</v>
      </c>
      <c r="L369" s="6" t="n">
        <v>1</v>
      </c>
      <c r="M369" s="6" t="n">
        <v>19</v>
      </c>
      <c r="N369" s="11" t="n">
        <f aca="false">J369/(J369+K369)</f>
        <v>1</v>
      </c>
      <c r="O369" s="11" t="n">
        <f aca="false">IF(J369+L369=0,"",J369/(J369+L369))</f>
        <v>0.952380952380952</v>
      </c>
      <c r="P369" s="11" t="n">
        <f aca="false">2*J369/(2*J369+L369+K369)</f>
        <v>0.975609756097561</v>
      </c>
      <c r="Q369" s="11" t="n">
        <f aca="false">L369/(L369+M369)</f>
        <v>0.05</v>
      </c>
      <c r="R369" s="6" t="n">
        <v>20</v>
      </c>
      <c r="S369" s="11" t="n">
        <v>1</v>
      </c>
      <c r="T369" s="11"/>
      <c r="U369" s="11" t="n">
        <v>0.9</v>
      </c>
      <c r="V369" s="11" t="n">
        <v>0</v>
      </c>
    </row>
    <row r="370" customFormat="false" ht="15" hidden="false" customHeight="false" outlineLevel="0" collapsed="false">
      <c r="A370" s="6" t="s">
        <v>50</v>
      </c>
      <c r="B370" s="6" t="s">
        <v>43</v>
      </c>
      <c r="C370" s="6" t="s">
        <v>51</v>
      </c>
      <c r="D370" s="6" t="s">
        <v>115</v>
      </c>
      <c r="E370" s="6" t="n">
        <v>1</v>
      </c>
      <c r="F370" s="6" t="n">
        <v>4</v>
      </c>
      <c r="G370" s="6" t="s">
        <v>73</v>
      </c>
      <c r="H370" s="11" t="n">
        <v>0.05</v>
      </c>
      <c r="I370" s="6" t="n">
        <v>20</v>
      </c>
      <c r="J370" s="6" t="n">
        <v>20</v>
      </c>
      <c r="K370" s="6" t="n">
        <v>0</v>
      </c>
      <c r="L370" s="6" t="n">
        <v>0</v>
      </c>
      <c r="M370" s="6" t="n">
        <v>20</v>
      </c>
      <c r="N370" s="11" t="n">
        <f aca="false">J370/(J370+K370)</f>
        <v>1</v>
      </c>
      <c r="O370" s="11" t="n">
        <f aca="false">IF(J370+L370=0,"",J370/(J370+L370))</f>
        <v>1</v>
      </c>
      <c r="P370" s="11" t="n">
        <f aca="false">2*J370/(2*J370+L370+K370)</f>
        <v>1</v>
      </c>
      <c r="Q370" s="11" t="n">
        <f aca="false">L370/(L370+M370)</f>
        <v>0</v>
      </c>
      <c r="R370" s="6" t="n">
        <v>20</v>
      </c>
      <c r="S370" s="11" t="n">
        <v>1</v>
      </c>
      <c r="T370" s="11"/>
      <c r="U370" s="11" t="n">
        <v>0.65</v>
      </c>
      <c r="V370" s="11" t="n">
        <v>0</v>
      </c>
    </row>
    <row r="371" customFormat="false" ht="15" hidden="false" customHeight="false" outlineLevel="0" collapsed="false">
      <c r="A371" s="6" t="s">
        <v>50</v>
      </c>
      <c r="B371" s="6" t="s">
        <v>43</v>
      </c>
      <c r="C371" s="6" t="s">
        <v>51</v>
      </c>
      <c r="D371" s="6" t="s">
        <v>115</v>
      </c>
      <c r="E371" s="6" t="n">
        <v>1</v>
      </c>
      <c r="F371" s="6" t="n">
        <v>4</v>
      </c>
      <c r="G371" s="6" t="s">
        <v>74</v>
      </c>
      <c r="H371" s="11" t="n">
        <v>0.05</v>
      </c>
      <c r="I371" s="6" t="n">
        <v>20</v>
      </c>
      <c r="J371" s="6" t="n">
        <v>20</v>
      </c>
      <c r="K371" s="6" t="n">
        <v>0</v>
      </c>
      <c r="L371" s="6" t="n">
        <v>1</v>
      </c>
      <c r="M371" s="6" t="n">
        <v>19</v>
      </c>
      <c r="N371" s="11" t="n">
        <f aca="false">J371/(J371+K371)</f>
        <v>1</v>
      </c>
      <c r="O371" s="11" t="n">
        <f aca="false">IF(J371+L371=0,"",J371/(J371+L371))</f>
        <v>0.952380952380952</v>
      </c>
      <c r="P371" s="11" t="n">
        <f aca="false">2*J371/(2*J371+L371+K371)</f>
        <v>0.975609756097561</v>
      </c>
      <c r="Q371" s="11" t="n">
        <f aca="false">L371/(L371+M371)</f>
        <v>0.05</v>
      </c>
      <c r="R371" s="6" t="n">
        <v>20</v>
      </c>
      <c r="S371" s="11" t="n">
        <v>1</v>
      </c>
      <c r="T371" s="11"/>
      <c r="U371" s="11" t="n">
        <v>0.85</v>
      </c>
      <c r="V371" s="11" t="n">
        <v>0</v>
      </c>
    </row>
    <row r="372" customFormat="false" ht="15" hidden="false" customHeight="false" outlineLevel="0" collapsed="false">
      <c r="A372" s="6" t="s">
        <v>50</v>
      </c>
      <c r="B372" s="6" t="s">
        <v>43</v>
      </c>
      <c r="C372" s="6" t="s">
        <v>51</v>
      </c>
      <c r="D372" s="6" t="s">
        <v>115</v>
      </c>
      <c r="E372" s="6" t="n">
        <v>1</v>
      </c>
      <c r="F372" s="6" t="n">
        <v>4</v>
      </c>
      <c r="G372" s="6" t="s">
        <v>75</v>
      </c>
      <c r="H372" s="11" t="n">
        <v>0.05</v>
      </c>
      <c r="I372" s="6" t="n">
        <v>20</v>
      </c>
      <c r="J372" s="6" t="n">
        <v>20</v>
      </c>
      <c r="K372" s="6" t="n">
        <v>0</v>
      </c>
      <c r="L372" s="6" t="n">
        <v>0</v>
      </c>
      <c r="M372" s="6" t="n">
        <v>20</v>
      </c>
      <c r="N372" s="11" t="n">
        <f aca="false">J372/(J372+K372)</f>
        <v>1</v>
      </c>
      <c r="O372" s="11" t="n">
        <f aca="false">IF(J372+L372=0,"",J372/(J372+L372))</f>
        <v>1</v>
      </c>
      <c r="P372" s="11" t="n">
        <f aca="false">2*J372/(2*J372+L372+K372)</f>
        <v>1</v>
      </c>
      <c r="Q372" s="11" t="n">
        <f aca="false">L372/(L372+M372)</f>
        <v>0</v>
      </c>
      <c r="R372" s="6" t="n">
        <v>20</v>
      </c>
      <c r="S372" s="11" t="n">
        <v>1</v>
      </c>
      <c r="T372" s="11"/>
      <c r="U372" s="11" t="n">
        <v>0.9</v>
      </c>
      <c r="V372" s="11" t="n">
        <v>0</v>
      </c>
    </row>
    <row r="373" customFormat="false" ht="15" hidden="false" customHeight="false" outlineLevel="0" collapsed="false">
      <c r="A373" s="6" t="s">
        <v>50</v>
      </c>
      <c r="B373" s="6" t="s">
        <v>43</v>
      </c>
      <c r="C373" s="6" t="s">
        <v>51</v>
      </c>
      <c r="D373" s="6" t="s">
        <v>115</v>
      </c>
      <c r="E373" s="6" t="n">
        <v>1</v>
      </c>
      <c r="F373" s="6" t="n">
        <v>4</v>
      </c>
      <c r="G373" s="6" t="s">
        <v>76</v>
      </c>
      <c r="H373" s="11" t="n">
        <v>0.05</v>
      </c>
      <c r="I373" s="6" t="n">
        <v>20</v>
      </c>
      <c r="J373" s="6" t="n">
        <v>20</v>
      </c>
      <c r="K373" s="6" t="n">
        <v>0</v>
      </c>
      <c r="L373" s="6" t="n">
        <v>0</v>
      </c>
      <c r="M373" s="6" t="n">
        <v>20</v>
      </c>
      <c r="N373" s="11" t="n">
        <f aca="false">J373/(J373+K373)</f>
        <v>1</v>
      </c>
      <c r="O373" s="11" t="n">
        <f aca="false">IF(J373+L373=0,"",J373/(J373+L373))</f>
        <v>1</v>
      </c>
      <c r="P373" s="11" t="n">
        <f aca="false">2*J373/(2*J373+L373+K373)</f>
        <v>1</v>
      </c>
      <c r="Q373" s="11" t="n">
        <f aca="false">L373/(L373+M373)</f>
        <v>0</v>
      </c>
      <c r="R373" s="6" t="n">
        <v>1</v>
      </c>
      <c r="S373" s="11" t="n">
        <v>1</v>
      </c>
      <c r="T373" s="11" t="n">
        <v>1</v>
      </c>
      <c r="U373" s="11" t="n">
        <v>0.95</v>
      </c>
      <c r="V373" s="11" t="n">
        <v>1</v>
      </c>
    </row>
    <row r="374" customFormat="false" ht="15" hidden="false" customHeight="false" outlineLevel="0" collapsed="false">
      <c r="A374" s="6" t="s">
        <v>50</v>
      </c>
      <c r="B374" s="6" t="s">
        <v>43</v>
      </c>
      <c r="C374" s="6" t="s">
        <v>51</v>
      </c>
      <c r="D374" s="6" t="s">
        <v>115</v>
      </c>
      <c r="E374" s="6" t="n">
        <v>1</v>
      </c>
      <c r="F374" s="6" t="n">
        <v>4</v>
      </c>
      <c r="G374" s="6" t="s">
        <v>77</v>
      </c>
      <c r="H374" s="11" t="n">
        <v>0.05</v>
      </c>
      <c r="I374" s="6" t="n">
        <v>20</v>
      </c>
      <c r="J374" s="6" t="n">
        <v>20</v>
      </c>
      <c r="K374" s="6" t="n">
        <v>0</v>
      </c>
      <c r="L374" s="6" t="n">
        <v>1</v>
      </c>
      <c r="M374" s="6" t="n">
        <v>19</v>
      </c>
      <c r="N374" s="11" t="n">
        <f aca="false">J374/(J374+K374)</f>
        <v>1</v>
      </c>
      <c r="O374" s="11" t="n">
        <f aca="false">IF(J374+L374=0,"",J374/(J374+L374))</f>
        <v>0.952380952380952</v>
      </c>
      <c r="P374" s="11" t="n">
        <f aca="false">2*J374/(2*J374+L374+K374)</f>
        <v>0.975609756097561</v>
      </c>
      <c r="Q374" s="11" t="n">
        <f aca="false">L374/(L374+M374)</f>
        <v>0.05</v>
      </c>
      <c r="R374" s="6" t="n">
        <v>20</v>
      </c>
      <c r="S374" s="11" t="n">
        <v>1</v>
      </c>
      <c r="T374" s="11"/>
      <c r="U374" s="11" t="n">
        <v>1</v>
      </c>
      <c r="V374" s="11" t="n">
        <v>0</v>
      </c>
    </row>
    <row r="375" customFormat="false" ht="15" hidden="false" customHeight="false" outlineLevel="0" collapsed="false">
      <c r="A375" s="6" t="s">
        <v>50</v>
      </c>
      <c r="B375" s="6" t="s">
        <v>43</v>
      </c>
      <c r="C375" s="6" t="s">
        <v>51</v>
      </c>
      <c r="D375" s="6" t="s">
        <v>115</v>
      </c>
      <c r="E375" s="6" t="n">
        <v>1</v>
      </c>
      <c r="F375" s="6" t="n">
        <v>4</v>
      </c>
      <c r="G375" s="6" t="s">
        <v>78</v>
      </c>
      <c r="H375" s="11" t="n">
        <v>0.05</v>
      </c>
      <c r="I375" s="6" t="n">
        <v>200</v>
      </c>
      <c r="J375" s="6" t="n">
        <v>200</v>
      </c>
      <c r="K375" s="6" t="n">
        <v>0</v>
      </c>
      <c r="L375" s="6" t="n">
        <v>6</v>
      </c>
      <c r="M375" s="6" t="n">
        <v>194</v>
      </c>
      <c r="N375" s="11" t="n">
        <f aca="false">J375/(J375+K375)</f>
        <v>1</v>
      </c>
      <c r="O375" s="11" t="n">
        <f aca="false">IF(J375+L375=0,"",J375/(J375+L375))</f>
        <v>0.970873786407767</v>
      </c>
      <c r="P375" s="11" t="n">
        <f aca="false">2*J375/(2*J375+L375+K375)</f>
        <v>0.985221674876847</v>
      </c>
      <c r="Q375" s="11" t="n">
        <f aca="false">L375/(L375+M375)</f>
        <v>0.03</v>
      </c>
      <c r="R375" s="6" t="n">
        <v>179</v>
      </c>
      <c r="S375" s="11" t="n">
        <v>1</v>
      </c>
      <c r="T375" s="11" t="n">
        <v>1</v>
      </c>
      <c r="U375" s="11" t="n">
        <v>0.88</v>
      </c>
      <c r="V375" s="11" t="n">
        <v>0.1</v>
      </c>
    </row>
    <row r="376" customFormat="false" ht="15" hidden="false" customHeight="false" outlineLevel="0" collapsed="false">
      <c r="A376" s="6" t="s">
        <v>50</v>
      </c>
      <c r="B376" s="6" t="s">
        <v>43</v>
      </c>
      <c r="C376" s="6" t="s">
        <v>51</v>
      </c>
      <c r="D376" s="6" t="s">
        <v>115</v>
      </c>
      <c r="E376" s="6" t="n">
        <v>1</v>
      </c>
      <c r="F376" s="6" t="n">
        <v>5</v>
      </c>
      <c r="G376" s="6" t="s">
        <v>68</v>
      </c>
      <c r="H376" s="11" t="n">
        <v>0.05</v>
      </c>
      <c r="I376" s="6" t="n">
        <v>20</v>
      </c>
      <c r="J376" s="6" t="n">
        <v>2</v>
      </c>
      <c r="K376" s="6" t="n">
        <v>18</v>
      </c>
      <c r="L376" s="6" t="n">
        <v>2</v>
      </c>
      <c r="M376" s="6" t="n">
        <v>18</v>
      </c>
      <c r="N376" s="11" t="n">
        <f aca="false">J376/(J376+K376)</f>
        <v>0.1</v>
      </c>
      <c r="O376" s="11" t="n">
        <f aca="false">IF(J376+L376=0,"",J376/(J376+L376))</f>
        <v>0.5</v>
      </c>
      <c r="P376" s="11" t="n">
        <f aca="false">2*J376/(2*J376+L376+K376)</f>
        <v>0.166666666666667</v>
      </c>
      <c r="Q376" s="11" t="n">
        <f aca="false">L376/(L376+M376)</f>
        <v>0.1</v>
      </c>
      <c r="R376" s="6" t="n">
        <v>0</v>
      </c>
      <c r="S376" s="11"/>
      <c r="T376" s="11" t="n">
        <v>0.1</v>
      </c>
      <c r="U376" s="11" t="n">
        <v>0.85</v>
      </c>
      <c r="V376" s="11" t="n">
        <v>0.85</v>
      </c>
    </row>
    <row r="377" customFormat="false" ht="15" hidden="false" customHeight="false" outlineLevel="0" collapsed="false">
      <c r="A377" s="6" t="s">
        <v>50</v>
      </c>
      <c r="B377" s="6" t="s">
        <v>43</v>
      </c>
      <c r="C377" s="6" t="s">
        <v>51</v>
      </c>
      <c r="D377" s="6" t="s">
        <v>115</v>
      </c>
      <c r="E377" s="6" t="n">
        <v>1</v>
      </c>
      <c r="F377" s="6" t="n">
        <v>5</v>
      </c>
      <c r="G377" s="6" t="s">
        <v>69</v>
      </c>
      <c r="H377" s="11" t="n">
        <v>0.05</v>
      </c>
      <c r="I377" s="6" t="n">
        <v>20</v>
      </c>
      <c r="J377" s="6" t="n">
        <v>1</v>
      </c>
      <c r="K377" s="6" t="n">
        <v>19</v>
      </c>
      <c r="L377" s="6" t="n">
        <v>1</v>
      </c>
      <c r="M377" s="6" t="n">
        <v>19</v>
      </c>
      <c r="N377" s="11" t="n">
        <f aca="false">J377/(J377+K377)</f>
        <v>0.05</v>
      </c>
      <c r="O377" s="11" t="n">
        <f aca="false">IF(J377+L377=0,"",J377/(J377+L377))</f>
        <v>0.5</v>
      </c>
      <c r="P377" s="11" t="n">
        <f aca="false">2*J377/(2*J377+L377+K377)</f>
        <v>0.0909090909090909</v>
      </c>
      <c r="Q377" s="11" t="n">
        <f aca="false">L377/(L377+M377)</f>
        <v>0.05</v>
      </c>
      <c r="R377" s="6" t="n">
        <v>0</v>
      </c>
      <c r="S377" s="11"/>
      <c r="T377" s="11" t="n">
        <v>0.05</v>
      </c>
      <c r="U377" s="11" t="n">
        <v>1</v>
      </c>
      <c r="V377" s="11" t="n">
        <v>1</v>
      </c>
    </row>
    <row r="378" customFormat="false" ht="15" hidden="false" customHeight="false" outlineLevel="0" collapsed="false">
      <c r="A378" s="6" t="s">
        <v>50</v>
      </c>
      <c r="B378" s="6" t="s">
        <v>43</v>
      </c>
      <c r="C378" s="6" t="s">
        <v>51</v>
      </c>
      <c r="D378" s="6" t="s">
        <v>115</v>
      </c>
      <c r="E378" s="6" t="n">
        <v>1</v>
      </c>
      <c r="F378" s="6" t="n">
        <v>5</v>
      </c>
      <c r="G378" s="6" t="s">
        <v>70</v>
      </c>
      <c r="H378" s="11" t="n">
        <v>0.05</v>
      </c>
      <c r="I378" s="6" t="n">
        <v>20</v>
      </c>
      <c r="J378" s="6" t="n">
        <v>0</v>
      </c>
      <c r="K378" s="6" t="n">
        <v>20</v>
      </c>
      <c r="L378" s="6" t="n">
        <v>0</v>
      </c>
      <c r="M378" s="6" t="n">
        <v>20</v>
      </c>
      <c r="N378" s="11" t="n">
        <f aca="false">J378/(J378+K378)</f>
        <v>0</v>
      </c>
      <c r="O378" s="11" t="str">
        <f aca="false">IF(J378+L378=0,"",J378/(J378+L378))</f>
        <v/>
      </c>
      <c r="P378" s="11" t="n">
        <f aca="false">2*J378/(2*J378+L378+K378)</f>
        <v>0</v>
      </c>
      <c r="Q378" s="11" t="n">
        <f aca="false">L378/(L378+M378)</f>
        <v>0</v>
      </c>
      <c r="R378" s="6" t="n">
        <v>0</v>
      </c>
      <c r="S378" s="11"/>
      <c r="T378" s="11" t="n">
        <v>0</v>
      </c>
      <c r="U378" s="11" t="n">
        <v>0.9</v>
      </c>
      <c r="V378" s="11" t="n">
        <v>0.9</v>
      </c>
    </row>
    <row r="379" customFormat="false" ht="15" hidden="false" customHeight="false" outlineLevel="0" collapsed="false">
      <c r="A379" s="6" t="s">
        <v>50</v>
      </c>
      <c r="B379" s="6" t="s">
        <v>43</v>
      </c>
      <c r="C379" s="6" t="s">
        <v>51</v>
      </c>
      <c r="D379" s="6" t="s">
        <v>115</v>
      </c>
      <c r="E379" s="6" t="n">
        <v>1</v>
      </c>
      <c r="F379" s="6" t="n">
        <v>5</v>
      </c>
      <c r="G379" s="6" t="s">
        <v>71</v>
      </c>
      <c r="H379" s="11" t="n">
        <v>0.05</v>
      </c>
      <c r="I379" s="6" t="n">
        <v>20</v>
      </c>
      <c r="J379" s="6" t="n">
        <v>0</v>
      </c>
      <c r="K379" s="6" t="n">
        <v>20</v>
      </c>
      <c r="L379" s="6" t="n">
        <v>0</v>
      </c>
      <c r="M379" s="6" t="n">
        <v>20</v>
      </c>
      <c r="N379" s="11" t="n">
        <f aca="false">J379/(J379+K379)</f>
        <v>0</v>
      </c>
      <c r="O379" s="11" t="str">
        <f aca="false">IF(J379+L379=0,"",J379/(J379+L379))</f>
        <v/>
      </c>
      <c r="P379" s="11" t="n">
        <f aca="false">2*J379/(2*J379+L379+K379)</f>
        <v>0</v>
      </c>
      <c r="Q379" s="11" t="n">
        <f aca="false">L379/(L379+M379)</f>
        <v>0</v>
      </c>
      <c r="R379" s="6" t="n">
        <v>0</v>
      </c>
      <c r="S379" s="11"/>
      <c r="T379" s="11" t="n">
        <v>0</v>
      </c>
      <c r="U379" s="11" t="n">
        <v>0.8</v>
      </c>
      <c r="V379" s="11" t="n">
        <v>0.8</v>
      </c>
    </row>
    <row r="380" customFormat="false" ht="15" hidden="false" customHeight="false" outlineLevel="0" collapsed="false">
      <c r="A380" s="6" t="s">
        <v>50</v>
      </c>
      <c r="B380" s="6" t="s">
        <v>43</v>
      </c>
      <c r="C380" s="6" t="s">
        <v>51</v>
      </c>
      <c r="D380" s="6" t="s">
        <v>115</v>
      </c>
      <c r="E380" s="6" t="n">
        <v>1</v>
      </c>
      <c r="F380" s="6" t="n">
        <v>5</v>
      </c>
      <c r="G380" s="6" t="s">
        <v>72</v>
      </c>
      <c r="H380" s="11" t="n">
        <v>0.05</v>
      </c>
      <c r="I380" s="6" t="n">
        <v>20</v>
      </c>
      <c r="J380" s="6" t="n">
        <v>1</v>
      </c>
      <c r="K380" s="6" t="n">
        <v>19</v>
      </c>
      <c r="L380" s="6" t="n">
        <v>1</v>
      </c>
      <c r="M380" s="6" t="n">
        <v>19</v>
      </c>
      <c r="N380" s="11" t="n">
        <f aca="false">J380/(J380+K380)</f>
        <v>0.05</v>
      </c>
      <c r="O380" s="11" t="n">
        <f aca="false">IF(J380+L380=0,"",J380/(J380+L380))</f>
        <v>0.5</v>
      </c>
      <c r="P380" s="11" t="n">
        <f aca="false">2*J380/(2*J380+L380+K380)</f>
        <v>0.0909090909090909</v>
      </c>
      <c r="Q380" s="11" t="n">
        <f aca="false">L380/(L380+M380)</f>
        <v>0.05</v>
      </c>
      <c r="R380" s="6" t="n">
        <v>0</v>
      </c>
      <c r="S380" s="11"/>
      <c r="T380" s="11" t="n">
        <v>0.05</v>
      </c>
      <c r="U380" s="11" t="n">
        <v>0.9</v>
      </c>
      <c r="V380" s="11" t="n">
        <v>0.9</v>
      </c>
    </row>
    <row r="381" customFormat="false" ht="15" hidden="false" customHeight="false" outlineLevel="0" collapsed="false">
      <c r="A381" s="6" t="s">
        <v>50</v>
      </c>
      <c r="B381" s="6" t="s">
        <v>43</v>
      </c>
      <c r="C381" s="6" t="s">
        <v>51</v>
      </c>
      <c r="D381" s="6" t="s">
        <v>115</v>
      </c>
      <c r="E381" s="6" t="n">
        <v>1</v>
      </c>
      <c r="F381" s="6" t="n">
        <v>5</v>
      </c>
      <c r="G381" s="6" t="s">
        <v>73</v>
      </c>
      <c r="H381" s="11" t="n">
        <v>0.05</v>
      </c>
      <c r="I381" s="6" t="n">
        <v>20</v>
      </c>
      <c r="J381" s="6" t="n">
        <v>0</v>
      </c>
      <c r="K381" s="6" t="n">
        <v>20</v>
      </c>
      <c r="L381" s="6" t="n">
        <v>0</v>
      </c>
      <c r="M381" s="6" t="n">
        <v>20</v>
      </c>
      <c r="N381" s="11" t="n">
        <f aca="false">J381/(J381+K381)</f>
        <v>0</v>
      </c>
      <c r="O381" s="11" t="str">
        <f aca="false">IF(J381+L381=0,"",J381/(J381+L381))</f>
        <v/>
      </c>
      <c r="P381" s="11" t="n">
        <f aca="false">2*J381/(2*J381+L381+K381)</f>
        <v>0</v>
      </c>
      <c r="Q381" s="11" t="n">
        <f aca="false">L381/(L381+M381)</f>
        <v>0</v>
      </c>
      <c r="R381" s="6" t="n">
        <v>0</v>
      </c>
      <c r="S381" s="11"/>
      <c r="T381" s="11" t="n">
        <v>0</v>
      </c>
      <c r="U381" s="11" t="n">
        <v>0.65</v>
      </c>
      <c r="V381" s="11" t="n">
        <v>0.65</v>
      </c>
    </row>
    <row r="382" customFormat="false" ht="15" hidden="false" customHeight="false" outlineLevel="0" collapsed="false">
      <c r="A382" s="6" t="s">
        <v>50</v>
      </c>
      <c r="B382" s="6" t="s">
        <v>43</v>
      </c>
      <c r="C382" s="6" t="s">
        <v>51</v>
      </c>
      <c r="D382" s="6" t="s">
        <v>115</v>
      </c>
      <c r="E382" s="6" t="n">
        <v>1</v>
      </c>
      <c r="F382" s="6" t="n">
        <v>5</v>
      </c>
      <c r="G382" s="6" t="s">
        <v>74</v>
      </c>
      <c r="H382" s="11" t="n">
        <v>0.05</v>
      </c>
      <c r="I382" s="6" t="n">
        <v>20</v>
      </c>
      <c r="J382" s="6" t="n">
        <v>1</v>
      </c>
      <c r="K382" s="6" t="n">
        <v>19</v>
      </c>
      <c r="L382" s="6" t="n">
        <v>1</v>
      </c>
      <c r="M382" s="6" t="n">
        <v>19</v>
      </c>
      <c r="N382" s="11" t="n">
        <f aca="false">J382/(J382+K382)</f>
        <v>0.05</v>
      </c>
      <c r="O382" s="11" t="n">
        <f aca="false">IF(J382+L382=0,"",J382/(J382+L382))</f>
        <v>0.5</v>
      </c>
      <c r="P382" s="11" t="n">
        <f aca="false">2*J382/(2*J382+L382+K382)</f>
        <v>0.0909090909090909</v>
      </c>
      <c r="Q382" s="11" t="n">
        <f aca="false">L382/(L382+M382)</f>
        <v>0.05</v>
      </c>
      <c r="R382" s="6" t="n">
        <v>0</v>
      </c>
      <c r="S382" s="11"/>
      <c r="T382" s="11" t="n">
        <v>0.05</v>
      </c>
      <c r="U382" s="11" t="n">
        <v>0.85</v>
      </c>
      <c r="V382" s="11" t="n">
        <v>0.85</v>
      </c>
    </row>
    <row r="383" customFormat="false" ht="15" hidden="false" customHeight="false" outlineLevel="0" collapsed="false">
      <c r="A383" s="6" t="s">
        <v>50</v>
      </c>
      <c r="B383" s="6" t="s">
        <v>43</v>
      </c>
      <c r="C383" s="6" t="s">
        <v>51</v>
      </c>
      <c r="D383" s="6" t="s">
        <v>115</v>
      </c>
      <c r="E383" s="6" t="n">
        <v>1</v>
      </c>
      <c r="F383" s="6" t="n">
        <v>5</v>
      </c>
      <c r="G383" s="6" t="s">
        <v>75</v>
      </c>
      <c r="H383" s="11" t="n">
        <v>0.05</v>
      </c>
      <c r="I383" s="6" t="n">
        <v>20</v>
      </c>
      <c r="J383" s="6" t="n">
        <v>0</v>
      </c>
      <c r="K383" s="6" t="n">
        <v>20</v>
      </c>
      <c r="L383" s="6" t="n">
        <v>0</v>
      </c>
      <c r="M383" s="6" t="n">
        <v>20</v>
      </c>
      <c r="N383" s="11" t="n">
        <f aca="false">J383/(J383+K383)</f>
        <v>0</v>
      </c>
      <c r="O383" s="11" t="str">
        <f aca="false">IF(J383+L383=0,"",J383/(J383+L383))</f>
        <v/>
      </c>
      <c r="P383" s="11" t="n">
        <f aca="false">2*J383/(2*J383+L383+K383)</f>
        <v>0</v>
      </c>
      <c r="Q383" s="11" t="n">
        <f aca="false">L383/(L383+M383)</f>
        <v>0</v>
      </c>
      <c r="R383" s="6" t="n">
        <v>0</v>
      </c>
      <c r="S383" s="11"/>
      <c r="T383" s="11" t="n">
        <v>0</v>
      </c>
      <c r="U383" s="11" t="n">
        <v>0.9</v>
      </c>
      <c r="V383" s="11" t="n">
        <v>0.9</v>
      </c>
    </row>
    <row r="384" customFormat="false" ht="15" hidden="false" customHeight="false" outlineLevel="0" collapsed="false">
      <c r="A384" s="6" t="s">
        <v>50</v>
      </c>
      <c r="B384" s="6" t="s">
        <v>43</v>
      </c>
      <c r="C384" s="6" t="s">
        <v>51</v>
      </c>
      <c r="D384" s="6" t="s">
        <v>115</v>
      </c>
      <c r="E384" s="6" t="n">
        <v>1</v>
      </c>
      <c r="F384" s="6" t="n">
        <v>5</v>
      </c>
      <c r="G384" s="6" t="s">
        <v>76</v>
      </c>
      <c r="H384" s="11" t="n">
        <v>0.05</v>
      </c>
      <c r="I384" s="6" t="n">
        <v>20</v>
      </c>
      <c r="J384" s="6" t="n">
        <v>0</v>
      </c>
      <c r="K384" s="6" t="n">
        <v>20</v>
      </c>
      <c r="L384" s="6" t="n">
        <v>0</v>
      </c>
      <c r="M384" s="6" t="n">
        <v>20</v>
      </c>
      <c r="N384" s="11" t="n">
        <f aca="false">J384/(J384+K384)</f>
        <v>0</v>
      </c>
      <c r="O384" s="11" t="str">
        <f aca="false">IF(J384+L384=0,"",J384/(J384+L384))</f>
        <v/>
      </c>
      <c r="P384" s="11" t="n">
        <f aca="false">2*J384/(2*J384+L384+K384)</f>
        <v>0</v>
      </c>
      <c r="Q384" s="11" t="n">
        <f aca="false">L384/(L384+M384)</f>
        <v>0</v>
      </c>
      <c r="R384" s="6" t="n">
        <v>0</v>
      </c>
      <c r="S384" s="11"/>
      <c r="T384" s="11" t="n">
        <v>0</v>
      </c>
      <c r="U384" s="11" t="n">
        <v>0.95</v>
      </c>
      <c r="V384" s="11" t="n">
        <v>0.95</v>
      </c>
    </row>
    <row r="385" customFormat="false" ht="15" hidden="false" customHeight="false" outlineLevel="0" collapsed="false">
      <c r="A385" s="6" t="s">
        <v>50</v>
      </c>
      <c r="B385" s="6" t="s">
        <v>43</v>
      </c>
      <c r="C385" s="6" t="s">
        <v>51</v>
      </c>
      <c r="D385" s="6" t="s">
        <v>115</v>
      </c>
      <c r="E385" s="6" t="n">
        <v>1</v>
      </c>
      <c r="F385" s="6" t="n">
        <v>5</v>
      </c>
      <c r="G385" s="6" t="s">
        <v>77</v>
      </c>
      <c r="H385" s="11" t="n">
        <v>0.05</v>
      </c>
      <c r="I385" s="6" t="n">
        <v>20</v>
      </c>
      <c r="J385" s="6" t="n">
        <v>1</v>
      </c>
      <c r="K385" s="6" t="n">
        <v>19</v>
      </c>
      <c r="L385" s="6" t="n">
        <v>1</v>
      </c>
      <c r="M385" s="6" t="n">
        <v>19</v>
      </c>
      <c r="N385" s="11" t="n">
        <f aca="false">J385/(J385+K385)</f>
        <v>0.05</v>
      </c>
      <c r="O385" s="11" t="n">
        <f aca="false">IF(J385+L385=0,"",J385/(J385+L385))</f>
        <v>0.5</v>
      </c>
      <c r="P385" s="11" t="n">
        <f aca="false">2*J385/(2*J385+L385+K385)</f>
        <v>0.0909090909090909</v>
      </c>
      <c r="Q385" s="11" t="n">
        <f aca="false">L385/(L385+M385)</f>
        <v>0.05</v>
      </c>
      <c r="R385" s="6" t="n">
        <v>0</v>
      </c>
      <c r="S385" s="11"/>
      <c r="T385" s="11" t="n">
        <v>0.05</v>
      </c>
      <c r="U385" s="11" t="n">
        <v>1</v>
      </c>
      <c r="V385" s="11" t="n">
        <v>1</v>
      </c>
    </row>
    <row r="386" customFormat="false" ht="15" hidden="false" customHeight="false" outlineLevel="0" collapsed="false">
      <c r="A386" s="6" t="s">
        <v>50</v>
      </c>
      <c r="B386" s="6" t="s">
        <v>43</v>
      </c>
      <c r="C386" s="6" t="s">
        <v>51</v>
      </c>
      <c r="D386" s="6" t="s">
        <v>115</v>
      </c>
      <c r="E386" s="6" t="n">
        <v>1</v>
      </c>
      <c r="F386" s="6" t="n">
        <v>5</v>
      </c>
      <c r="G386" s="6" t="s">
        <v>78</v>
      </c>
      <c r="H386" s="11" t="n">
        <v>0.05</v>
      </c>
      <c r="I386" s="6" t="n">
        <v>200</v>
      </c>
      <c r="J386" s="6" t="n">
        <v>6</v>
      </c>
      <c r="K386" s="6" t="n">
        <v>194</v>
      </c>
      <c r="L386" s="6" t="n">
        <v>6</v>
      </c>
      <c r="M386" s="6" t="n">
        <v>194</v>
      </c>
      <c r="N386" s="11" t="n">
        <f aca="false">J386/(J386+K386)</f>
        <v>0.03</v>
      </c>
      <c r="O386" s="11" t="n">
        <f aca="false">IF(J386+L386=0,"",J386/(J386+L386))</f>
        <v>0.5</v>
      </c>
      <c r="P386" s="11" t="n">
        <f aca="false">2*J386/(2*J386+L386+K386)</f>
        <v>0.0566037735849057</v>
      </c>
      <c r="Q386" s="11" t="n">
        <f aca="false">L386/(L386+M386)</f>
        <v>0.03</v>
      </c>
      <c r="R386" s="6" t="n">
        <v>0</v>
      </c>
      <c r="S386" s="11"/>
      <c r="T386" s="11" t="n">
        <v>0.03</v>
      </c>
      <c r="U386" s="11" t="n">
        <v>0.88</v>
      </c>
      <c r="V386" s="11" t="n">
        <v>0.88</v>
      </c>
    </row>
    <row r="387" customFormat="false" ht="15" hidden="false" customHeight="false" outlineLevel="0" collapsed="false">
      <c r="A387" s="6" t="s">
        <v>50</v>
      </c>
      <c r="B387" s="6" t="s">
        <v>43</v>
      </c>
      <c r="C387" s="6" t="s">
        <v>51</v>
      </c>
      <c r="D387" s="6" t="s">
        <v>115</v>
      </c>
      <c r="E387" s="6" t="n">
        <v>1</v>
      </c>
      <c r="F387" s="6" t="n">
        <v>6</v>
      </c>
      <c r="G387" s="6" t="s">
        <v>68</v>
      </c>
      <c r="H387" s="11" t="n">
        <v>0.05</v>
      </c>
      <c r="I387" s="6" t="n">
        <v>20</v>
      </c>
      <c r="J387" s="6" t="n">
        <v>2</v>
      </c>
      <c r="K387" s="6" t="n">
        <v>18</v>
      </c>
      <c r="L387" s="6" t="n">
        <v>2</v>
      </c>
      <c r="M387" s="6" t="n">
        <v>18</v>
      </c>
      <c r="N387" s="11" t="n">
        <f aca="false">J387/(J387+K387)</f>
        <v>0.1</v>
      </c>
      <c r="O387" s="11" t="n">
        <f aca="false">IF(J387+L387=0,"",J387/(J387+L387))</f>
        <v>0.5</v>
      </c>
      <c r="P387" s="11" t="n">
        <f aca="false">2*J387/(2*J387+L387+K387)</f>
        <v>0.166666666666667</v>
      </c>
      <c r="Q387" s="11" t="n">
        <f aca="false">L387/(L387+M387)</f>
        <v>0.1</v>
      </c>
      <c r="R387" s="6" t="n">
        <v>0</v>
      </c>
      <c r="S387" s="11"/>
      <c r="T387" s="11" t="n">
        <v>0.1</v>
      </c>
      <c r="U387" s="11" t="n">
        <v>0.85</v>
      </c>
      <c r="V387" s="11" t="n">
        <v>0.85</v>
      </c>
    </row>
    <row r="388" customFormat="false" ht="15" hidden="false" customHeight="false" outlineLevel="0" collapsed="false">
      <c r="A388" s="6" t="s">
        <v>50</v>
      </c>
      <c r="B388" s="6" t="s">
        <v>43</v>
      </c>
      <c r="C388" s="6" t="s">
        <v>51</v>
      </c>
      <c r="D388" s="6" t="s">
        <v>115</v>
      </c>
      <c r="E388" s="6" t="n">
        <v>1</v>
      </c>
      <c r="F388" s="6" t="n">
        <v>6</v>
      </c>
      <c r="G388" s="6" t="s">
        <v>69</v>
      </c>
      <c r="H388" s="11" t="n">
        <v>0.05</v>
      </c>
      <c r="I388" s="6" t="n">
        <v>20</v>
      </c>
      <c r="J388" s="6" t="n">
        <v>1</v>
      </c>
      <c r="K388" s="6" t="n">
        <v>19</v>
      </c>
      <c r="L388" s="6" t="n">
        <v>1</v>
      </c>
      <c r="M388" s="6" t="n">
        <v>19</v>
      </c>
      <c r="N388" s="11" t="n">
        <f aca="false">J388/(J388+K388)</f>
        <v>0.05</v>
      </c>
      <c r="O388" s="11" t="n">
        <f aca="false">IF(J388+L388=0,"",J388/(J388+L388))</f>
        <v>0.5</v>
      </c>
      <c r="P388" s="11" t="n">
        <f aca="false">2*J388/(2*J388+L388+K388)</f>
        <v>0.0909090909090909</v>
      </c>
      <c r="Q388" s="11" t="n">
        <f aca="false">L388/(L388+M388)</f>
        <v>0.05</v>
      </c>
      <c r="R388" s="6" t="n">
        <v>0</v>
      </c>
      <c r="S388" s="11"/>
      <c r="T388" s="11" t="n">
        <v>0.05</v>
      </c>
      <c r="U388" s="11" t="n">
        <v>1</v>
      </c>
      <c r="V388" s="11" t="n">
        <v>1</v>
      </c>
    </row>
    <row r="389" customFormat="false" ht="15" hidden="false" customHeight="false" outlineLevel="0" collapsed="false">
      <c r="A389" s="6" t="s">
        <v>50</v>
      </c>
      <c r="B389" s="6" t="s">
        <v>43</v>
      </c>
      <c r="C389" s="6" t="s">
        <v>51</v>
      </c>
      <c r="D389" s="6" t="s">
        <v>115</v>
      </c>
      <c r="E389" s="6" t="n">
        <v>1</v>
      </c>
      <c r="F389" s="6" t="n">
        <v>6</v>
      </c>
      <c r="G389" s="6" t="s">
        <v>70</v>
      </c>
      <c r="H389" s="11" t="n">
        <v>0.05</v>
      </c>
      <c r="I389" s="6" t="n">
        <v>20</v>
      </c>
      <c r="J389" s="6" t="n">
        <v>0</v>
      </c>
      <c r="K389" s="6" t="n">
        <v>20</v>
      </c>
      <c r="L389" s="6" t="n">
        <v>0</v>
      </c>
      <c r="M389" s="6" t="n">
        <v>20</v>
      </c>
      <c r="N389" s="11" t="n">
        <f aca="false">J389/(J389+K389)</f>
        <v>0</v>
      </c>
      <c r="O389" s="11" t="str">
        <f aca="false">IF(J389+L389=0,"",J389/(J389+L389))</f>
        <v/>
      </c>
      <c r="P389" s="11" t="n">
        <f aca="false">2*J389/(2*J389+L389+K389)</f>
        <v>0</v>
      </c>
      <c r="Q389" s="11" t="n">
        <f aca="false">L389/(L389+M389)</f>
        <v>0</v>
      </c>
      <c r="R389" s="6" t="n">
        <v>0</v>
      </c>
      <c r="S389" s="11"/>
      <c r="T389" s="11" t="n">
        <v>0</v>
      </c>
      <c r="U389" s="11" t="n">
        <v>0.9</v>
      </c>
      <c r="V389" s="11" t="n">
        <v>0.9</v>
      </c>
    </row>
    <row r="390" customFormat="false" ht="15" hidden="false" customHeight="false" outlineLevel="0" collapsed="false">
      <c r="A390" s="6" t="s">
        <v>50</v>
      </c>
      <c r="B390" s="6" t="s">
        <v>43</v>
      </c>
      <c r="C390" s="6" t="s">
        <v>51</v>
      </c>
      <c r="D390" s="6" t="s">
        <v>115</v>
      </c>
      <c r="E390" s="6" t="n">
        <v>1</v>
      </c>
      <c r="F390" s="6" t="n">
        <v>6</v>
      </c>
      <c r="G390" s="6" t="s">
        <v>71</v>
      </c>
      <c r="H390" s="11" t="n">
        <v>0.05</v>
      </c>
      <c r="I390" s="6" t="n">
        <v>20</v>
      </c>
      <c r="J390" s="6" t="n">
        <v>0</v>
      </c>
      <c r="K390" s="6" t="n">
        <v>20</v>
      </c>
      <c r="L390" s="6" t="n">
        <v>0</v>
      </c>
      <c r="M390" s="6" t="n">
        <v>20</v>
      </c>
      <c r="N390" s="11" t="n">
        <f aca="false">J390/(J390+K390)</f>
        <v>0</v>
      </c>
      <c r="O390" s="11" t="str">
        <f aca="false">IF(J390+L390=0,"",J390/(J390+L390))</f>
        <v/>
      </c>
      <c r="P390" s="11" t="n">
        <f aca="false">2*J390/(2*J390+L390+K390)</f>
        <v>0</v>
      </c>
      <c r="Q390" s="11" t="n">
        <f aca="false">L390/(L390+M390)</f>
        <v>0</v>
      </c>
      <c r="R390" s="6" t="n">
        <v>0</v>
      </c>
      <c r="S390" s="11"/>
      <c r="T390" s="11" t="n">
        <v>0</v>
      </c>
      <c r="U390" s="11" t="n">
        <v>0.8</v>
      </c>
      <c r="V390" s="11" t="n">
        <v>0.8</v>
      </c>
    </row>
    <row r="391" customFormat="false" ht="15" hidden="false" customHeight="false" outlineLevel="0" collapsed="false">
      <c r="A391" s="6" t="s">
        <v>50</v>
      </c>
      <c r="B391" s="6" t="s">
        <v>43</v>
      </c>
      <c r="C391" s="6" t="s">
        <v>51</v>
      </c>
      <c r="D391" s="6" t="s">
        <v>115</v>
      </c>
      <c r="E391" s="6" t="n">
        <v>1</v>
      </c>
      <c r="F391" s="6" t="n">
        <v>6</v>
      </c>
      <c r="G391" s="6" t="s">
        <v>72</v>
      </c>
      <c r="H391" s="11" t="n">
        <v>0.05</v>
      </c>
      <c r="I391" s="6" t="n">
        <v>20</v>
      </c>
      <c r="J391" s="6" t="n">
        <v>1</v>
      </c>
      <c r="K391" s="6" t="n">
        <v>19</v>
      </c>
      <c r="L391" s="6" t="n">
        <v>1</v>
      </c>
      <c r="M391" s="6" t="n">
        <v>19</v>
      </c>
      <c r="N391" s="11" t="n">
        <f aca="false">J391/(J391+K391)</f>
        <v>0.05</v>
      </c>
      <c r="O391" s="11" t="n">
        <f aca="false">IF(J391+L391=0,"",J391/(J391+L391))</f>
        <v>0.5</v>
      </c>
      <c r="P391" s="11" t="n">
        <f aca="false">2*J391/(2*J391+L391+K391)</f>
        <v>0.0909090909090909</v>
      </c>
      <c r="Q391" s="11" t="n">
        <f aca="false">L391/(L391+M391)</f>
        <v>0.05</v>
      </c>
      <c r="R391" s="6" t="n">
        <v>0</v>
      </c>
      <c r="S391" s="11"/>
      <c r="T391" s="11" t="n">
        <v>0.05</v>
      </c>
      <c r="U391" s="11" t="n">
        <v>0.9</v>
      </c>
      <c r="V391" s="11" t="n">
        <v>0.9</v>
      </c>
    </row>
    <row r="392" customFormat="false" ht="15" hidden="false" customHeight="false" outlineLevel="0" collapsed="false">
      <c r="A392" s="6" t="s">
        <v>50</v>
      </c>
      <c r="B392" s="6" t="s">
        <v>43</v>
      </c>
      <c r="C392" s="6" t="s">
        <v>51</v>
      </c>
      <c r="D392" s="6" t="s">
        <v>115</v>
      </c>
      <c r="E392" s="6" t="n">
        <v>1</v>
      </c>
      <c r="F392" s="6" t="n">
        <v>6</v>
      </c>
      <c r="G392" s="6" t="s">
        <v>73</v>
      </c>
      <c r="H392" s="11" t="n">
        <v>0.05</v>
      </c>
      <c r="I392" s="6" t="n">
        <v>20</v>
      </c>
      <c r="J392" s="6" t="n">
        <v>0</v>
      </c>
      <c r="K392" s="6" t="n">
        <v>20</v>
      </c>
      <c r="L392" s="6" t="n">
        <v>0</v>
      </c>
      <c r="M392" s="6" t="n">
        <v>20</v>
      </c>
      <c r="N392" s="11" t="n">
        <f aca="false">J392/(J392+K392)</f>
        <v>0</v>
      </c>
      <c r="O392" s="11" t="str">
        <f aca="false">IF(J392+L392=0,"",J392/(J392+L392))</f>
        <v/>
      </c>
      <c r="P392" s="11" t="n">
        <f aca="false">2*J392/(2*J392+L392+K392)</f>
        <v>0</v>
      </c>
      <c r="Q392" s="11" t="n">
        <f aca="false">L392/(L392+M392)</f>
        <v>0</v>
      </c>
      <c r="R392" s="6" t="n">
        <v>0</v>
      </c>
      <c r="S392" s="11"/>
      <c r="T392" s="11" t="n">
        <v>0</v>
      </c>
      <c r="U392" s="11" t="n">
        <v>0.65</v>
      </c>
      <c r="V392" s="11" t="n">
        <v>0.65</v>
      </c>
    </row>
    <row r="393" customFormat="false" ht="15" hidden="false" customHeight="false" outlineLevel="0" collapsed="false">
      <c r="A393" s="6" t="s">
        <v>50</v>
      </c>
      <c r="B393" s="6" t="s">
        <v>43</v>
      </c>
      <c r="C393" s="6" t="s">
        <v>51</v>
      </c>
      <c r="D393" s="6" t="s">
        <v>115</v>
      </c>
      <c r="E393" s="6" t="n">
        <v>1</v>
      </c>
      <c r="F393" s="6" t="n">
        <v>6</v>
      </c>
      <c r="G393" s="6" t="s">
        <v>74</v>
      </c>
      <c r="H393" s="11" t="n">
        <v>0.05</v>
      </c>
      <c r="I393" s="6" t="n">
        <v>20</v>
      </c>
      <c r="J393" s="6" t="n">
        <v>1</v>
      </c>
      <c r="K393" s="6" t="n">
        <v>19</v>
      </c>
      <c r="L393" s="6" t="n">
        <v>1</v>
      </c>
      <c r="M393" s="6" t="n">
        <v>19</v>
      </c>
      <c r="N393" s="11" t="n">
        <f aca="false">J393/(J393+K393)</f>
        <v>0.05</v>
      </c>
      <c r="O393" s="11" t="n">
        <f aca="false">IF(J393+L393=0,"",J393/(J393+L393))</f>
        <v>0.5</v>
      </c>
      <c r="P393" s="11" t="n">
        <f aca="false">2*J393/(2*J393+L393+K393)</f>
        <v>0.0909090909090909</v>
      </c>
      <c r="Q393" s="11" t="n">
        <f aca="false">L393/(L393+M393)</f>
        <v>0.05</v>
      </c>
      <c r="R393" s="6" t="n">
        <v>0</v>
      </c>
      <c r="S393" s="11"/>
      <c r="T393" s="11" t="n">
        <v>0.05</v>
      </c>
      <c r="U393" s="11" t="n">
        <v>0.85</v>
      </c>
      <c r="V393" s="11" t="n">
        <v>0.85</v>
      </c>
    </row>
    <row r="394" customFormat="false" ht="15" hidden="false" customHeight="false" outlineLevel="0" collapsed="false">
      <c r="A394" s="6" t="s">
        <v>50</v>
      </c>
      <c r="B394" s="6" t="s">
        <v>43</v>
      </c>
      <c r="C394" s="6" t="s">
        <v>51</v>
      </c>
      <c r="D394" s="6" t="s">
        <v>115</v>
      </c>
      <c r="E394" s="6" t="n">
        <v>1</v>
      </c>
      <c r="F394" s="6" t="n">
        <v>6</v>
      </c>
      <c r="G394" s="6" t="s">
        <v>75</v>
      </c>
      <c r="H394" s="11" t="n">
        <v>0.05</v>
      </c>
      <c r="I394" s="6" t="n">
        <v>20</v>
      </c>
      <c r="J394" s="6" t="n">
        <v>0</v>
      </c>
      <c r="K394" s="6" t="n">
        <v>20</v>
      </c>
      <c r="L394" s="6" t="n">
        <v>0</v>
      </c>
      <c r="M394" s="6" t="n">
        <v>20</v>
      </c>
      <c r="N394" s="11" t="n">
        <f aca="false">J394/(J394+K394)</f>
        <v>0</v>
      </c>
      <c r="O394" s="11" t="str">
        <f aca="false">IF(J394+L394=0,"",J394/(J394+L394))</f>
        <v/>
      </c>
      <c r="P394" s="11" t="n">
        <f aca="false">2*J394/(2*J394+L394+K394)</f>
        <v>0</v>
      </c>
      <c r="Q394" s="11" t="n">
        <f aca="false">L394/(L394+M394)</f>
        <v>0</v>
      </c>
      <c r="R394" s="6" t="n">
        <v>0</v>
      </c>
      <c r="S394" s="11"/>
      <c r="T394" s="11" t="n">
        <v>0</v>
      </c>
      <c r="U394" s="11" t="n">
        <v>0.9</v>
      </c>
      <c r="V394" s="11" t="n">
        <v>0.9</v>
      </c>
    </row>
    <row r="395" customFormat="false" ht="15" hidden="false" customHeight="false" outlineLevel="0" collapsed="false">
      <c r="A395" s="6" t="s">
        <v>50</v>
      </c>
      <c r="B395" s="6" t="s">
        <v>43</v>
      </c>
      <c r="C395" s="6" t="s">
        <v>51</v>
      </c>
      <c r="D395" s="6" t="s">
        <v>115</v>
      </c>
      <c r="E395" s="6" t="n">
        <v>1</v>
      </c>
      <c r="F395" s="6" t="n">
        <v>6</v>
      </c>
      <c r="G395" s="6" t="s">
        <v>76</v>
      </c>
      <c r="H395" s="11" t="n">
        <v>0.05</v>
      </c>
      <c r="I395" s="6" t="n">
        <v>20</v>
      </c>
      <c r="J395" s="6" t="n">
        <v>0</v>
      </c>
      <c r="K395" s="6" t="n">
        <v>20</v>
      </c>
      <c r="L395" s="6" t="n">
        <v>0</v>
      </c>
      <c r="M395" s="6" t="n">
        <v>20</v>
      </c>
      <c r="N395" s="11" t="n">
        <f aca="false">J395/(J395+K395)</f>
        <v>0</v>
      </c>
      <c r="O395" s="11" t="str">
        <f aca="false">IF(J395+L395=0,"",J395/(J395+L395))</f>
        <v/>
      </c>
      <c r="P395" s="11" t="n">
        <f aca="false">2*J395/(2*J395+L395+K395)</f>
        <v>0</v>
      </c>
      <c r="Q395" s="11" t="n">
        <f aca="false">L395/(L395+M395)</f>
        <v>0</v>
      </c>
      <c r="R395" s="6" t="n">
        <v>0</v>
      </c>
      <c r="S395" s="11"/>
      <c r="T395" s="11" t="n">
        <v>0</v>
      </c>
      <c r="U395" s="11" t="n">
        <v>0.95</v>
      </c>
      <c r="V395" s="11" t="n">
        <v>0.95</v>
      </c>
    </row>
    <row r="396" customFormat="false" ht="15" hidden="false" customHeight="false" outlineLevel="0" collapsed="false">
      <c r="A396" s="6" t="s">
        <v>50</v>
      </c>
      <c r="B396" s="6" t="s">
        <v>43</v>
      </c>
      <c r="C396" s="6" t="s">
        <v>51</v>
      </c>
      <c r="D396" s="6" t="s">
        <v>115</v>
      </c>
      <c r="E396" s="6" t="n">
        <v>1</v>
      </c>
      <c r="F396" s="6" t="n">
        <v>6</v>
      </c>
      <c r="G396" s="6" t="s">
        <v>77</v>
      </c>
      <c r="H396" s="11" t="n">
        <v>0.05</v>
      </c>
      <c r="I396" s="6" t="n">
        <v>20</v>
      </c>
      <c r="J396" s="6" t="n">
        <v>1</v>
      </c>
      <c r="K396" s="6" t="n">
        <v>19</v>
      </c>
      <c r="L396" s="6" t="n">
        <v>1</v>
      </c>
      <c r="M396" s="6" t="n">
        <v>19</v>
      </c>
      <c r="N396" s="11" t="n">
        <f aca="false">J396/(J396+K396)</f>
        <v>0.05</v>
      </c>
      <c r="O396" s="11" t="n">
        <f aca="false">IF(J396+L396=0,"",J396/(J396+L396))</f>
        <v>0.5</v>
      </c>
      <c r="P396" s="11" t="n">
        <f aca="false">2*J396/(2*J396+L396+K396)</f>
        <v>0.0909090909090909</v>
      </c>
      <c r="Q396" s="11" t="n">
        <f aca="false">L396/(L396+M396)</f>
        <v>0.05</v>
      </c>
      <c r="R396" s="6" t="n">
        <v>0</v>
      </c>
      <c r="S396" s="11"/>
      <c r="T396" s="11" t="n">
        <v>0.05</v>
      </c>
      <c r="U396" s="11" t="n">
        <v>1</v>
      </c>
      <c r="V396" s="11" t="n">
        <v>1</v>
      </c>
    </row>
    <row r="397" customFormat="false" ht="15" hidden="false" customHeight="false" outlineLevel="0" collapsed="false">
      <c r="A397" s="6" t="s">
        <v>50</v>
      </c>
      <c r="B397" s="6" t="s">
        <v>43</v>
      </c>
      <c r="C397" s="6" t="s">
        <v>51</v>
      </c>
      <c r="D397" s="6" t="s">
        <v>115</v>
      </c>
      <c r="E397" s="6" t="n">
        <v>1</v>
      </c>
      <c r="F397" s="6" t="n">
        <v>6</v>
      </c>
      <c r="G397" s="6" t="s">
        <v>78</v>
      </c>
      <c r="H397" s="11" t="n">
        <v>0.05</v>
      </c>
      <c r="I397" s="6" t="n">
        <v>200</v>
      </c>
      <c r="J397" s="6" t="n">
        <v>6</v>
      </c>
      <c r="K397" s="6" t="n">
        <v>194</v>
      </c>
      <c r="L397" s="6" t="n">
        <v>6</v>
      </c>
      <c r="M397" s="6" t="n">
        <v>194</v>
      </c>
      <c r="N397" s="11" t="n">
        <f aca="false">J397/(J397+K397)</f>
        <v>0.03</v>
      </c>
      <c r="O397" s="11" t="n">
        <f aca="false">IF(J397+L397=0,"",J397/(J397+L397))</f>
        <v>0.5</v>
      </c>
      <c r="P397" s="11" t="n">
        <f aca="false">2*J397/(2*J397+L397+K397)</f>
        <v>0.0566037735849057</v>
      </c>
      <c r="Q397" s="11" t="n">
        <f aca="false">L397/(L397+M397)</f>
        <v>0.03</v>
      </c>
      <c r="R397" s="6" t="n">
        <v>0</v>
      </c>
      <c r="S397" s="11"/>
      <c r="T397" s="11" t="n">
        <v>0.03</v>
      </c>
      <c r="U397" s="11" t="n">
        <v>0.88</v>
      </c>
      <c r="V397" s="11" t="n">
        <v>0.88</v>
      </c>
    </row>
    <row r="398" customFormat="false" ht="15" hidden="false" customHeight="false" outlineLevel="0" collapsed="false">
      <c r="A398" s="6" t="s">
        <v>50</v>
      </c>
      <c r="B398" s="6" t="s">
        <v>43</v>
      </c>
      <c r="C398" s="6" t="s">
        <v>51</v>
      </c>
      <c r="D398" s="6" t="s">
        <v>115</v>
      </c>
      <c r="E398" s="6" t="n">
        <v>1</v>
      </c>
      <c r="F398" s="6" t="n">
        <v>7</v>
      </c>
      <c r="G398" s="6" t="s">
        <v>68</v>
      </c>
      <c r="H398" s="11" t="n">
        <v>0.05</v>
      </c>
      <c r="I398" s="6" t="n">
        <v>20</v>
      </c>
      <c r="J398" s="6" t="n">
        <v>2</v>
      </c>
      <c r="K398" s="6" t="n">
        <v>18</v>
      </c>
      <c r="L398" s="6" t="n">
        <v>2</v>
      </c>
      <c r="M398" s="6" t="n">
        <v>18</v>
      </c>
      <c r="N398" s="11" t="n">
        <f aca="false">J398/(J398+K398)</f>
        <v>0.1</v>
      </c>
      <c r="O398" s="11" t="n">
        <f aca="false">IF(J398+L398=0,"",J398/(J398+L398))</f>
        <v>0.5</v>
      </c>
      <c r="P398" s="11" t="n">
        <f aca="false">2*J398/(2*J398+L398+K398)</f>
        <v>0.166666666666667</v>
      </c>
      <c r="Q398" s="11" t="n">
        <f aca="false">L398/(L398+M398)</f>
        <v>0.1</v>
      </c>
      <c r="R398" s="6" t="n">
        <v>0</v>
      </c>
      <c r="S398" s="11"/>
      <c r="T398" s="11" t="n">
        <v>0.1</v>
      </c>
      <c r="U398" s="11" t="n">
        <v>0.85</v>
      </c>
      <c r="V398" s="11" t="n">
        <v>0.85</v>
      </c>
    </row>
    <row r="399" customFormat="false" ht="15" hidden="false" customHeight="false" outlineLevel="0" collapsed="false">
      <c r="A399" s="6" t="s">
        <v>50</v>
      </c>
      <c r="B399" s="6" t="s">
        <v>43</v>
      </c>
      <c r="C399" s="6" t="s">
        <v>51</v>
      </c>
      <c r="D399" s="6" t="s">
        <v>115</v>
      </c>
      <c r="E399" s="6" t="n">
        <v>1</v>
      </c>
      <c r="F399" s="6" t="n">
        <v>7</v>
      </c>
      <c r="G399" s="6" t="s">
        <v>69</v>
      </c>
      <c r="H399" s="11" t="n">
        <v>0.05</v>
      </c>
      <c r="I399" s="6" t="n">
        <v>20</v>
      </c>
      <c r="J399" s="6" t="n">
        <v>1</v>
      </c>
      <c r="K399" s="6" t="n">
        <v>19</v>
      </c>
      <c r="L399" s="6" t="n">
        <v>1</v>
      </c>
      <c r="M399" s="6" t="n">
        <v>19</v>
      </c>
      <c r="N399" s="11" t="n">
        <f aca="false">J399/(J399+K399)</f>
        <v>0.05</v>
      </c>
      <c r="O399" s="11" t="n">
        <f aca="false">IF(J399+L399=0,"",J399/(J399+L399))</f>
        <v>0.5</v>
      </c>
      <c r="P399" s="11" t="n">
        <f aca="false">2*J399/(2*J399+L399+K399)</f>
        <v>0.0909090909090909</v>
      </c>
      <c r="Q399" s="11" t="n">
        <f aca="false">L399/(L399+M399)</f>
        <v>0.05</v>
      </c>
      <c r="R399" s="6" t="n">
        <v>0</v>
      </c>
      <c r="S399" s="11"/>
      <c r="T399" s="11" t="n">
        <v>0.05</v>
      </c>
      <c r="U399" s="11" t="n">
        <v>1</v>
      </c>
      <c r="V399" s="11" t="n">
        <v>1</v>
      </c>
    </row>
    <row r="400" customFormat="false" ht="15" hidden="false" customHeight="false" outlineLevel="0" collapsed="false">
      <c r="A400" s="6" t="s">
        <v>50</v>
      </c>
      <c r="B400" s="6" t="s">
        <v>43</v>
      </c>
      <c r="C400" s="6" t="s">
        <v>51</v>
      </c>
      <c r="D400" s="6" t="s">
        <v>115</v>
      </c>
      <c r="E400" s="6" t="n">
        <v>1</v>
      </c>
      <c r="F400" s="6" t="n">
        <v>7</v>
      </c>
      <c r="G400" s="6" t="s">
        <v>70</v>
      </c>
      <c r="H400" s="11" t="n">
        <v>0.05</v>
      </c>
      <c r="I400" s="6" t="n">
        <v>20</v>
      </c>
      <c r="J400" s="6" t="n">
        <v>0</v>
      </c>
      <c r="K400" s="6" t="n">
        <v>20</v>
      </c>
      <c r="L400" s="6" t="n">
        <v>0</v>
      </c>
      <c r="M400" s="6" t="n">
        <v>20</v>
      </c>
      <c r="N400" s="11" t="n">
        <f aca="false">J400/(J400+K400)</f>
        <v>0</v>
      </c>
      <c r="O400" s="11" t="str">
        <f aca="false">IF(J400+L400=0,"",J400/(J400+L400))</f>
        <v/>
      </c>
      <c r="P400" s="11" t="n">
        <f aca="false">2*J400/(2*J400+L400+K400)</f>
        <v>0</v>
      </c>
      <c r="Q400" s="11" t="n">
        <f aca="false">L400/(L400+M400)</f>
        <v>0</v>
      </c>
      <c r="R400" s="6" t="n">
        <v>0</v>
      </c>
      <c r="S400" s="11"/>
      <c r="T400" s="11" t="n">
        <v>0</v>
      </c>
      <c r="U400" s="11" t="n">
        <v>0.9</v>
      </c>
      <c r="V400" s="11" t="n">
        <v>0.9</v>
      </c>
    </row>
    <row r="401" customFormat="false" ht="15" hidden="false" customHeight="false" outlineLevel="0" collapsed="false">
      <c r="A401" s="6" t="s">
        <v>50</v>
      </c>
      <c r="B401" s="6" t="s">
        <v>43</v>
      </c>
      <c r="C401" s="6" t="s">
        <v>51</v>
      </c>
      <c r="D401" s="6" t="s">
        <v>115</v>
      </c>
      <c r="E401" s="6" t="n">
        <v>1</v>
      </c>
      <c r="F401" s="6" t="n">
        <v>7</v>
      </c>
      <c r="G401" s="6" t="s">
        <v>71</v>
      </c>
      <c r="H401" s="11" t="n">
        <v>0.05</v>
      </c>
      <c r="I401" s="6" t="n">
        <v>20</v>
      </c>
      <c r="J401" s="6" t="n">
        <v>0</v>
      </c>
      <c r="K401" s="6" t="n">
        <v>20</v>
      </c>
      <c r="L401" s="6" t="n">
        <v>0</v>
      </c>
      <c r="M401" s="6" t="n">
        <v>20</v>
      </c>
      <c r="N401" s="11" t="n">
        <f aca="false">J401/(J401+K401)</f>
        <v>0</v>
      </c>
      <c r="O401" s="11" t="str">
        <f aca="false">IF(J401+L401=0,"",J401/(J401+L401))</f>
        <v/>
      </c>
      <c r="P401" s="11" t="n">
        <f aca="false">2*J401/(2*J401+L401+K401)</f>
        <v>0</v>
      </c>
      <c r="Q401" s="11" t="n">
        <f aca="false">L401/(L401+M401)</f>
        <v>0</v>
      </c>
      <c r="R401" s="6" t="n">
        <v>0</v>
      </c>
      <c r="S401" s="11"/>
      <c r="T401" s="11" t="n">
        <v>0</v>
      </c>
      <c r="U401" s="11" t="n">
        <v>0.8</v>
      </c>
      <c r="V401" s="11" t="n">
        <v>0.8</v>
      </c>
    </row>
    <row r="402" customFormat="false" ht="15" hidden="false" customHeight="false" outlineLevel="0" collapsed="false">
      <c r="A402" s="6" t="s">
        <v>50</v>
      </c>
      <c r="B402" s="6" t="s">
        <v>43</v>
      </c>
      <c r="C402" s="6" t="s">
        <v>51</v>
      </c>
      <c r="D402" s="6" t="s">
        <v>115</v>
      </c>
      <c r="E402" s="6" t="n">
        <v>1</v>
      </c>
      <c r="F402" s="6" t="n">
        <v>7</v>
      </c>
      <c r="G402" s="6" t="s">
        <v>72</v>
      </c>
      <c r="H402" s="11" t="n">
        <v>0.05</v>
      </c>
      <c r="I402" s="6" t="n">
        <v>20</v>
      </c>
      <c r="J402" s="6" t="n">
        <v>1</v>
      </c>
      <c r="K402" s="6" t="n">
        <v>19</v>
      </c>
      <c r="L402" s="6" t="n">
        <v>1</v>
      </c>
      <c r="M402" s="6" t="n">
        <v>19</v>
      </c>
      <c r="N402" s="11" t="n">
        <f aca="false">J402/(J402+K402)</f>
        <v>0.05</v>
      </c>
      <c r="O402" s="11" t="n">
        <f aca="false">IF(J402+L402=0,"",J402/(J402+L402))</f>
        <v>0.5</v>
      </c>
      <c r="P402" s="11" t="n">
        <f aca="false">2*J402/(2*J402+L402+K402)</f>
        <v>0.0909090909090909</v>
      </c>
      <c r="Q402" s="11" t="n">
        <f aca="false">L402/(L402+M402)</f>
        <v>0.05</v>
      </c>
      <c r="R402" s="6" t="n">
        <v>0</v>
      </c>
      <c r="S402" s="11"/>
      <c r="T402" s="11" t="n">
        <v>0.05</v>
      </c>
      <c r="U402" s="11" t="n">
        <v>0.9</v>
      </c>
      <c r="V402" s="11" t="n">
        <v>0.9</v>
      </c>
    </row>
    <row r="403" customFormat="false" ht="15" hidden="false" customHeight="false" outlineLevel="0" collapsed="false">
      <c r="A403" s="6" t="s">
        <v>50</v>
      </c>
      <c r="B403" s="6" t="s">
        <v>43</v>
      </c>
      <c r="C403" s="6" t="s">
        <v>51</v>
      </c>
      <c r="D403" s="6" t="s">
        <v>115</v>
      </c>
      <c r="E403" s="6" t="n">
        <v>1</v>
      </c>
      <c r="F403" s="6" t="n">
        <v>7</v>
      </c>
      <c r="G403" s="6" t="s">
        <v>73</v>
      </c>
      <c r="H403" s="11" t="n">
        <v>0.05</v>
      </c>
      <c r="I403" s="6" t="n">
        <v>20</v>
      </c>
      <c r="J403" s="6" t="n">
        <v>0</v>
      </c>
      <c r="K403" s="6" t="n">
        <v>20</v>
      </c>
      <c r="L403" s="6" t="n">
        <v>0</v>
      </c>
      <c r="M403" s="6" t="n">
        <v>20</v>
      </c>
      <c r="N403" s="11" t="n">
        <f aca="false">J403/(J403+K403)</f>
        <v>0</v>
      </c>
      <c r="O403" s="11" t="str">
        <f aca="false">IF(J403+L403=0,"",J403/(J403+L403))</f>
        <v/>
      </c>
      <c r="P403" s="11" t="n">
        <f aca="false">2*J403/(2*J403+L403+K403)</f>
        <v>0</v>
      </c>
      <c r="Q403" s="11" t="n">
        <f aca="false">L403/(L403+M403)</f>
        <v>0</v>
      </c>
      <c r="R403" s="6" t="n">
        <v>0</v>
      </c>
      <c r="S403" s="11"/>
      <c r="T403" s="11" t="n">
        <v>0</v>
      </c>
      <c r="U403" s="11" t="n">
        <v>0.65</v>
      </c>
      <c r="V403" s="11" t="n">
        <v>0.65</v>
      </c>
    </row>
    <row r="404" customFormat="false" ht="15" hidden="false" customHeight="false" outlineLevel="0" collapsed="false">
      <c r="A404" s="6" t="s">
        <v>50</v>
      </c>
      <c r="B404" s="6" t="s">
        <v>43</v>
      </c>
      <c r="C404" s="6" t="s">
        <v>51</v>
      </c>
      <c r="D404" s="6" t="s">
        <v>115</v>
      </c>
      <c r="E404" s="6" t="n">
        <v>1</v>
      </c>
      <c r="F404" s="6" t="n">
        <v>7</v>
      </c>
      <c r="G404" s="6" t="s">
        <v>74</v>
      </c>
      <c r="H404" s="11" t="n">
        <v>0.05</v>
      </c>
      <c r="I404" s="6" t="n">
        <v>20</v>
      </c>
      <c r="J404" s="6" t="n">
        <v>1</v>
      </c>
      <c r="K404" s="6" t="n">
        <v>19</v>
      </c>
      <c r="L404" s="6" t="n">
        <v>1</v>
      </c>
      <c r="M404" s="6" t="n">
        <v>19</v>
      </c>
      <c r="N404" s="11" t="n">
        <f aca="false">J404/(J404+K404)</f>
        <v>0.05</v>
      </c>
      <c r="O404" s="11" t="n">
        <f aca="false">IF(J404+L404=0,"",J404/(J404+L404))</f>
        <v>0.5</v>
      </c>
      <c r="P404" s="11" t="n">
        <f aca="false">2*J404/(2*J404+L404+K404)</f>
        <v>0.0909090909090909</v>
      </c>
      <c r="Q404" s="11" t="n">
        <f aca="false">L404/(L404+M404)</f>
        <v>0.05</v>
      </c>
      <c r="R404" s="6" t="n">
        <v>0</v>
      </c>
      <c r="S404" s="11"/>
      <c r="T404" s="11" t="n">
        <v>0.05</v>
      </c>
      <c r="U404" s="11" t="n">
        <v>0.85</v>
      </c>
      <c r="V404" s="11" t="n">
        <v>0.85</v>
      </c>
    </row>
    <row r="405" customFormat="false" ht="15" hidden="false" customHeight="false" outlineLevel="0" collapsed="false">
      <c r="A405" s="6" t="s">
        <v>50</v>
      </c>
      <c r="B405" s="6" t="s">
        <v>43</v>
      </c>
      <c r="C405" s="6" t="s">
        <v>51</v>
      </c>
      <c r="D405" s="6" t="s">
        <v>115</v>
      </c>
      <c r="E405" s="6" t="n">
        <v>1</v>
      </c>
      <c r="F405" s="6" t="n">
        <v>7</v>
      </c>
      <c r="G405" s="6" t="s">
        <v>75</v>
      </c>
      <c r="H405" s="11" t="n">
        <v>0.05</v>
      </c>
      <c r="I405" s="6" t="n">
        <v>20</v>
      </c>
      <c r="J405" s="6" t="n">
        <v>0</v>
      </c>
      <c r="K405" s="6" t="n">
        <v>20</v>
      </c>
      <c r="L405" s="6" t="n">
        <v>0</v>
      </c>
      <c r="M405" s="6" t="n">
        <v>20</v>
      </c>
      <c r="N405" s="11" t="n">
        <f aca="false">J405/(J405+K405)</f>
        <v>0</v>
      </c>
      <c r="O405" s="11" t="str">
        <f aca="false">IF(J405+L405=0,"",J405/(J405+L405))</f>
        <v/>
      </c>
      <c r="P405" s="11" t="n">
        <f aca="false">2*J405/(2*J405+L405+K405)</f>
        <v>0</v>
      </c>
      <c r="Q405" s="11" t="n">
        <f aca="false">L405/(L405+M405)</f>
        <v>0</v>
      </c>
      <c r="R405" s="6" t="n">
        <v>0</v>
      </c>
      <c r="S405" s="11"/>
      <c r="T405" s="11" t="n">
        <v>0</v>
      </c>
      <c r="U405" s="11" t="n">
        <v>0.9</v>
      </c>
      <c r="V405" s="11" t="n">
        <v>0.9</v>
      </c>
    </row>
    <row r="406" customFormat="false" ht="15" hidden="false" customHeight="false" outlineLevel="0" collapsed="false">
      <c r="A406" s="6" t="s">
        <v>50</v>
      </c>
      <c r="B406" s="6" t="s">
        <v>43</v>
      </c>
      <c r="C406" s="6" t="s">
        <v>51</v>
      </c>
      <c r="D406" s="6" t="s">
        <v>115</v>
      </c>
      <c r="E406" s="6" t="n">
        <v>1</v>
      </c>
      <c r="F406" s="6" t="n">
        <v>7</v>
      </c>
      <c r="G406" s="6" t="s">
        <v>76</v>
      </c>
      <c r="H406" s="11" t="n">
        <v>0.05</v>
      </c>
      <c r="I406" s="6" t="n">
        <v>20</v>
      </c>
      <c r="J406" s="6" t="n">
        <v>0</v>
      </c>
      <c r="K406" s="6" t="n">
        <v>20</v>
      </c>
      <c r="L406" s="6" t="n">
        <v>0</v>
      </c>
      <c r="M406" s="6" t="n">
        <v>20</v>
      </c>
      <c r="N406" s="11" t="n">
        <f aca="false">J406/(J406+K406)</f>
        <v>0</v>
      </c>
      <c r="O406" s="11" t="str">
        <f aca="false">IF(J406+L406=0,"",J406/(J406+L406))</f>
        <v/>
      </c>
      <c r="P406" s="11" t="n">
        <f aca="false">2*J406/(2*J406+L406+K406)</f>
        <v>0</v>
      </c>
      <c r="Q406" s="11" t="n">
        <f aca="false">L406/(L406+M406)</f>
        <v>0</v>
      </c>
      <c r="R406" s="6" t="n">
        <v>0</v>
      </c>
      <c r="S406" s="11"/>
      <c r="T406" s="11" t="n">
        <v>0</v>
      </c>
      <c r="U406" s="11" t="n">
        <v>0.95</v>
      </c>
      <c r="V406" s="11" t="n">
        <v>0.95</v>
      </c>
    </row>
    <row r="407" customFormat="false" ht="15" hidden="false" customHeight="false" outlineLevel="0" collapsed="false">
      <c r="A407" s="6" t="s">
        <v>50</v>
      </c>
      <c r="B407" s="6" t="s">
        <v>43</v>
      </c>
      <c r="C407" s="6" t="s">
        <v>51</v>
      </c>
      <c r="D407" s="6" t="s">
        <v>115</v>
      </c>
      <c r="E407" s="6" t="n">
        <v>1</v>
      </c>
      <c r="F407" s="6" t="n">
        <v>7</v>
      </c>
      <c r="G407" s="6" t="s">
        <v>77</v>
      </c>
      <c r="H407" s="11" t="n">
        <v>0.05</v>
      </c>
      <c r="I407" s="6" t="n">
        <v>20</v>
      </c>
      <c r="J407" s="6" t="n">
        <v>1</v>
      </c>
      <c r="K407" s="6" t="n">
        <v>19</v>
      </c>
      <c r="L407" s="6" t="n">
        <v>1</v>
      </c>
      <c r="M407" s="6" t="n">
        <v>19</v>
      </c>
      <c r="N407" s="11" t="n">
        <f aca="false">J407/(J407+K407)</f>
        <v>0.05</v>
      </c>
      <c r="O407" s="11" t="n">
        <f aca="false">IF(J407+L407=0,"",J407/(J407+L407))</f>
        <v>0.5</v>
      </c>
      <c r="P407" s="11" t="n">
        <f aca="false">2*J407/(2*J407+L407+K407)</f>
        <v>0.0909090909090909</v>
      </c>
      <c r="Q407" s="11" t="n">
        <f aca="false">L407/(L407+M407)</f>
        <v>0.05</v>
      </c>
      <c r="R407" s="6" t="n">
        <v>0</v>
      </c>
      <c r="S407" s="11"/>
      <c r="T407" s="11" t="n">
        <v>0.05</v>
      </c>
      <c r="U407" s="11" t="n">
        <v>1</v>
      </c>
      <c r="V407" s="11" t="n">
        <v>1</v>
      </c>
    </row>
    <row r="408" customFormat="false" ht="15" hidden="false" customHeight="false" outlineLevel="0" collapsed="false">
      <c r="A408" s="6" t="s">
        <v>50</v>
      </c>
      <c r="B408" s="6" t="s">
        <v>43</v>
      </c>
      <c r="C408" s="6" t="s">
        <v>51</v>
      </c>
      <c r="D408" s="6" t="s">
        <v>115</v>
      </c>
      <c r="E408" s="6" t="n">
        <v>1</v>
      </c>
      <c r="F408" s="6" t="n">
        <v>7</v>
      </c>
      <c r="G408" s="6" t="s">
        <v>78</v>
      </c>
      <c r="H408" s="11" t="n">
        <v>0.05</v>
      </c>
      <c r="I408" s="6" t="n">
        <v>200</v>
      </c>
      <c r="J408" s="6" t="n">
        <v>6</v>
      </c>
      <c r="K408" s="6" t="n">
        <v>194</v>
      </c>
      <c r="L408" s="6" t="n">
        <v>6</v>
      </c>
      <c r="M408" s="6" t="n">
        <v>194</v>
      </c>
      <c r="N408" s="11" t="n">
        <f aca="false">J408/(J408+K408)</f>
        <v>0.03</v>
      </c>
      <c r="O408" s="11" t="n">
        <f aca="false">IF(J408+L408=0,"",J408/(J408+L408))</f>
        <v>0.5</v>
      </c>
      <c r="P408" s="11" t="n">
        <f aca="false">2*J408/(2*J408+L408+K408)</f>
        <v>0.0566037735849057</v>
      </c>
      <c r="Q408" s="11" t="n">
        <f aca="false">L408/(L408+M408)</f>
        <v>0.03</v>
      </c>
      <c r="R408" s="6" t="n">
        <v>0</v>
      </c>
      <c r="S408" s="11"/>
      <c r="T408" s="11" t="n">
        <v>0.03</v>
      </c>
      <c r="U408" s="11" t="n">
        <v>0.88</v>
      </c>
      <c r="V408" s="11" t="n">
        <v>0.88</v>
      </c>
    </row>
    <row r="409" customFormat="false" ht="15" hidden="false" customHeight="false" outlineLevel="0" collapsed="false">
      <c r="A409" s="6" t="s">
        <v>50</v>
      </c>
      <c r="B409" s="6" t="s">
        <v>43</v>
      </c>
      <c r="C409" s="6" t="s">
        <v>51</v>
      </c>
      <c r="D409" s="6" t="s">
        <v>115</v>
      </c>
      <c r="E409" s="6" t="n">
        <v>1</v>
      </c>
      <c r="F409" s="6" t="n">
        <v>8</v>
      </c>
      <c r="G409" s="6" t="s">
        <v>68</v>
      </c>
      <c r="H409" s="11" t="n">
        <v>0.05</v>
      </c>
      <c r="I409" s="6" t="n">
        <v>20</v>
      </c>
      <c r="J409" s="6" t="n">
        <v>2</v>
      </c>
      <c r="K409" s="6" t="n">
        <v>18</v>
      </c>
      <c r="L409" s="6" t="n">
        <v>2</v>
      </c>
      <c r="M409" s="6" t="n">
        <v>18</v>
      </c>
      <c r="N409" s="11" t="n">
        <f aca="false">J409/(J409+K409)</f>
        <v>0.1</v>
      </c>
      <c r="O409" s="11" t="n">
        <f aca="false">IF(J409+L409=0,"",J409/(J409+L409))</f>
        <v>0.5</v>
      </c>
      <c r="P409" s="11" t="n">
        <f aca="false">2*J409/(2*J409+L409+K409)</f>
        <v>0.166666666666667</v>
      </c>
      <c r="Q409" s="11" t="n">
        <f aca="false">L409/(L409+M409)</f>
        <v>0.1</v>
      </c>
      <c r="R409" s="6" t="n">
        <v>0</v>
      </c>
      <c r="S409" s="11"/>
      <c r="T409" s="11" t="n">
        <v>0.1</v>
      </c>
      <c r="U409" s="11" t="n">
        <v>0.85</v>
      </c>
      <c r="V409" s="11" t="n">
        <v>0.85</v>
      </c>
    </row>
    <row r="410" customFormat="false" ht="15" hidden="false" customHeight="false" outlineLevel="0" collapsed="false">
      <c r="A410" s="6" t="s">
        <v>50</v>
      </c>
      <c r="B410" s="6" t="s">
        <v>43</v>
      </c>
      <c r="C410" s="6" t="s">
        <v>51</v>
      </c>
      <c r="D410" s="6" t="s">
        <v>115</v>
      </c>
      <c r="E410" s="6" t="n">
        <v>1</v>
      </c>
      <c r="F410" s="6" t="n">
        <v>8</v>
      </c>
      <c r="G410" s="6" t="s">
        <v>69</v>
      </c>
      <c r="H410" s="11" t="n">
        <v>0.05</v>
      </c>
      <c r="I410" s="6" t="n">
        <v>20</v>
      </c>
      <c r="J410" s="6" t="n">
        <v>1</v>
      </c>
      <c r="K410" s="6" t="n">
        <v>19</v>
      </c>
      <c r="L410" s="6" t="n">
        <v>1</v>
      </c>
      <c r="M410" s="6" t="n">
        <v>19</v>
      </c>
      <c r="N410" s="11" t="n">
        <f aca="false">J410/(J410+K410)</f>
        <v>0.05</v>
      </c>
      <c r="O410" s="11" t="n">
        <f aca="false">IF(J410+L410=0,"",J410/(J410+L410))</f>
        <v>0.5</v>
      </c>
      <c r="P410" s="11" t="n">
        <f aca="false">2*J410/(2*J410+L410+K410)</f>
        <v>0.0909090909090909</v>
      </c>
      <c r="Q410" s="11" t="n">
        <f aca="false">L410/(L410+M410)</f>
        <v>0.05</v>
      </c>
      <c r="R410" s="6" t="n">
        <v>0</v>
      </c>
      <c r="S410" s="11"/>
      <c r="T410" s="11" t="n">
        <v>0.05</v>
      </c>
      <c r="U410" s="11" t="n">
        <v>1</v>
      </c>
      <c r="V410" s="11" t="n">
        <v>1</v>
      </c>
    </row>
    <row r="411" customFormat="false" ht="15" hidden="false" customHeight="false" outlineLevel="0" collapsed="false">
      <c r="A411" s="6" t="s">
        <v>50</v>
      </c>
      <c r="B411" s="6" t="s">
        <v>43</v>
      </c>
      <c r="C411" s="6" t="s">
        <v>51</v>
      </c>
      <c r="D411" s="6" t="s">
        <v>115</v>
      </c>
      <c r="E411" s="6" t="n">
        <v>1</v>
      </c>
      <c r="F411" s="6" t="n">
        <v>8</v>
      </c>
      <c r="G411" s="6" t="s">
        <v>70</v>
      </c>
      <c r="H411" s="11" t="n">
        <v>0.05</v>
      </c>
      <c r="I411" s="6" t="n">
        <v>20</v>
      </c>
      <c r="J411" s="6" t="n">
        <v>0</v>
      </c>
      <c r="K411" s="6" t="n">
        <v>20</v>
      </c>
      <c r="L411" s="6" t="n">
        <v>0</v>
      </c>
      <c r="M411" s="6" t="n">
        <v>20</v>
      </c>
      <c r="N411" s="11" t="n">
        <f aca="false">J411/(J411+K411)</f>
        <v>0</v>
      </c>
      <c r="O411" s="11" t="str">
        <f aca="false">IF(J411+L411=0,"",J411/(J411+L411))</f>
        <v/>
      </c>
      <c r="P411" s="11" t="n">
        <f aca="false">2*J411/(2*J411+L411+K411)</f>
        <v>0</v>
      </c>
      <c r="Q411" s="11" t="n">
        <f aca="false">L411/(L411+M411)</f>
        <v>0</v>
      </c>
      <c r="R411" s="6" t="n">
        <v>0</v>
      </c>
      <c r="S411" s="11"/>
      <c r="T411" s="11" t="n">
        <v>0</v>
      </c>
      <c r="U411" s="11" t="n">
        <v>0.9</v>
      </c>
      <c r="V411" s="11" t="n">
        <v>0.9</v>
      </c>
    </row>
    <row r="412" customFormat="false" ht="15" hidden="false" customHeight="false" outlineLevel="0" collapsed="false">
      <c r="A412" s="6" t="s">
        <v>50</v>
      </c>
      <c r="B412" s="6" t="s">
        <v>43</v>
      </c>
      <c r="C412" s="6" t="s">
        <v>51</v>
      </c>
      <c r="D412" s="6" t="s">
        <v>115</v>
      </c>
      <c r="E412" s="6" t="n">
        <v>1</v>
      </c>
      <c r="F412" s="6" t="n">
        <v>8</v>
      </c>
      <c r="G412" s="6" t="s">
        <v>71</v>
      </c>
      <c r="H412" s="11" t="n">
        <v>0.05</v>
      </c>
      <c r="I412" s="6" t="n">
        <v>20</v>
      </c>
      <c r="J412" s="6" t="n">
        <v>0</v>
      </c>
      <c r="K412" s="6" t="n">
        <v>20</v>
      </c>
      <c r="L412" s="6" t="n">
        <v>0</v>
      </c>
      <c r="M412" s="6" t="n">
        <v>20</v>
      </c>
      <c r="N412" s="11" t="n">
        <f aca="false">J412/(J412+K412)</f>
        <v>0</v>
      </c>
      <c r="O412" s="11" t="str">
        <f aca="false">IF(J412+L412=0,"",J412/(J412+L412))</f>
        <v/>
      </c>
      <c r="P412" s="11" t="n">
        <f aca="false">2*J412/(2*J412+L412+K412)</f>
        <v>0</v>
      </c>
      <c r="Q412" s="11" t="n">
        <f aca="false">L412/(L412+M412)</f>
        <v>0</v>
      </c>
      <c r="R412" s="6" t="n">
        <v>0</v>
      </c>
      <c r="S412" s="11"/>
      <c r="T412" s="11" t="n">
        <v>0</v>
      </c>
      <c r="U412" s="11" t="n">
        <v>0.8</v>
      </c>
      <c r="V412" s="11" t="n">
        <v>0.8</v>
      </c>
    </row>
    <row r="413" customFormat="false" ht="15" hidden="false" customHeight="false" outlineLevel="0" collapsed="false">
      <c r="A413" s="6" t="s">
        <v>50</v>
      </c>
      <c r="B413" s="6" t="s">
        <v>43</v>
      </c>
      <c r="C413" s="6" t="s">
        <v>51</v>
      </c>
      <c r="D413" s="6" t="s">
        <v>115</v>
      </c>
      <c r="E413" s="6" t="n">
        <v>1</v>
      </c>
      <c r="F413" s="6" t="n">
        <v>8</v>
      </c>
      <c r="G413" s="6" t="s">
        <v>72</v>
      </c>
      <c r="H413" s="11" t="n">
        <v>0.05</v>
      </c>
      <c r="I413" s="6" t="n">
        <v>20</v>
      </c>
      <c r="J413" s="6" t="n">
        <v>1</v>
      </c>
      <c r="K413" s="6" t="n">
        <v>19</v>
      </c>
      <c r="L413" s="6" t="n">
        <v>1</v>
      </c>
      <c r="M413" s="6" t="n">
        <v>19</v>
      </c>
      <c r="N413" s="11" t="n">
        <f aca="false">J413/(J413+K413)</f>
        <v>0.05</v>
      </c>
      <c r="O413" s="11" t="n">
        <f aca="false">IF(J413+L413=0,"",J413/(J413+L413))</f>
        <v>0.5</v>
      </c>
      <c r="P413" s="11" t="n">
        <f aca="false">2*J413/(2*J413+L413+K413)</f>
        <v>0.0909090909090909</v>
      </c>
      <c r="Q413" s="11" t="n">
        <f aca="false">L413/(L413+M413)</f>
        <v>0.05</v>
      </c>
      <c r="R413" s="6" t="n">
        <v>0</v>
      </c>
      <c r="S413" s="11"/>
      <c r="T413" s="11" t="n">
        <v>0.05</v>
      </c>
      <c r="U413" s="11" t="n">
        <v>0.9</v>
      </c>
      <c r="V413" s="11" t="n">
        <v>0.9</v>
      </c>
    </row>
    <row r="414" customFormat="false" ht="15" hidden="false" customHeight="false" outlineLevel="0" collapsed="false">
      <c r="A414" s="6" t="s">
        <v>50</v>
      </c>
      <c r="B414" s="6" t="s">
        <v>43</v>
      </c>
      <c r="C414" s="6" t="s">
        <v>51</v>
      </c>
      <c r="D414" s="6" t="s">
        <v>115</v>
      </c>
      <c r="E414" s="6" t="n">
        <v>1</v>
      </c>
      <c r="F414" s="6" t="n">
        <v>8</v>
      </c>
      <c r="G414" s="6" t="s">
        <v>73</v>
      </c>
      <c r="H414" s="11" t="n">
        <v>0.05</v>
      </c>
      <c r="I414" s="6" t="n">
        <v>20</v>
      </c>
      <c r="J414" s="6" t="n">
        <v>0</v>
      </c>
      <c r="K414" s="6" t="n">
        <v>20</v>
      </c>
      <c r="L414" s="6" t="n">
        <v>0</v>
      </c>
      <c r="M414" s="6" t="n">
        <v>20</v>
      </c>
      <c r="N414" s="11" t="n">
        <f aca="false">J414/(J414+K414)</f>
        <v>0</v>
      </c>
      <c r="O414" s="11" t="str">
        <f aca="false">IF(J414+L414=0,"",J414/(J414+L414))</f>
        <v/>
      </c>
      <c r="P414" s="11" t="n">
        <f aca="false">2*J414/(2*J414+L414+K414)</f>
        <v>0</v>
      </c>
      <c r="Q414" s="11" t="n">
        <f aca="false">L414/(L414+M414)</f>
        <v>0</v>
      </c>
      <c r="R414" s="6" t="n">
        <v>0</v>
      </c>
      <c r="S414" s="11"/>
      <c r="T414" s="11" t="n">
        <v>0</v>
      </c>
      <c r="U414" s="11" t="n">
        <v>0.65</v>
      </c>
      <c r="V414" s="11" t="n">
        <v>0.65</v>
      </c>
    </row>
    <row r="415" customFormat="false" ht="15" hidden="false" customHeight="false" outlineLevel="0" collapsed="false">
      <c r="A415" s="6" t="s">
        <v>50</v>
      </c>
      <c r="B415" s="6" t="s">
        <v>43</v>
      </c>
      <c r="C415" s="6" t="s">
        <v>51</v>
      </c>
      <c r="D415" s="6" t="s">
        <v>115</v>
      </c>
      <c r="E415" s="6" t="n">
        <v>1</v>
      </c>
      <c r="F415" s="6" t="n">
        <v>8</v>
      </c>
      <c r="G415" s="6" t="s">
        <v>74</v>
      </c>
      <c r="H415" s="11" t="n">
        <v>0.05</v>
      </c>
      <c r="I415" s="6" t="n">
        <v>20</v>
      </c>
      <c r="J415" s="6" t="n">
        <v>1</v>
      </c>
      <c r="K415" s="6" t="n">
        <v>19</v>
      </c>
      <c r="L415" s="6" t="n">
        <v>1</v>
      </c>
      <c r="M415" s="6" t="n">
        <v>19</v>
      </c>
      <c r="N415" s="11" t="n">
        <f aca="false">J415/(J415+K415)</f>
        <v>0.05</v>
      </c>
      <c r="O415" s="11" t="n">
        <f aca="false">IF(J415+L415=0,"",J415/(J415+L415))</f>
        <v>0.5</v>
      </c>
      <c r="P415" s="11" t="n">
        <f aca="false">2*J415/(2*J415+L415+K415)</f>
        <v>0.0909090909090909</v>
      </c>
      <c r="Q415" s="11" t="n">
        <f aca="false">L415/(L415+M415)</f>
        <v>0.05</v>
      </c>
      <c r="R415" s="6" t="n">
        <v>0</v>
      </c>
      <c r="S415" s="11"/>
      <c r="T415" s="11" t="n">
        <v>0.05</v>
      </c>
      <c r="U415" s="11" t="n">
        <v>0.85</v>
      </c>
      <c r="V415" s="11" t="n">
        <v>0.85</v>
      </c>
    </row>
    <row r="416" customFormat="false" ht="15" hidden="false" customHeight="false" outlineLevel="0" collapsed="false">
      <c r="A416" s="6" t="s">
        <v>50</v>
      </c>
      <c r="B416" s="6" t="s">
        <v>43</v>
      </c>
      <c r="C416" s="6" t="s">
        <v>51</v>
      </c>
      <c r="D416" s="6" t="s">
        <v>115</v>
      </c>
      <c r="E416" s="6" t="n">
        <v>1</v>
      </c>
      <c r="F416" s="6" t="n">
        <v>8</v>
      </c>
      <c r="G416" s="6" t="s">
        <v>75</v>
      </c>
      <c r="H416" s="11" t="n">
        <v>0.05</v>
      </c>
      <c r="I416" s="6" t="n">
        <v>20</v>
      </c>
      <c r="J416" s="6" t="n">
        <v>0</v>
      </c>
      <c r="K416" s="6" t="n">
        <v>20</v>
      </c>
      <c r="L416" s="6" t="n">
        <v>0</v>
      </c>
      <c r="M416" s="6" t="n">
        <v>20</v>
      </c>
      <c r="N416" s="11" t="n">
        <f aca="false">J416/(J416+K416)</f>
        <v>0</v>
      </c>
      <c r="O416" s="11" t="str">
        <f aca="false">IF(J416+L416=0,"",J416/(J416+L416))</f>
        <v/>
      </c>
      <c r="P416" s="11" t="n">
        <f aca="false">2*J416/(2*J416+L416+K416)</f>
        <v>0</v>
      </c>
      <c r="Q416" s="11" t="n">
        <f aca="false">L416/(L416+M416)</f>
        <v>0</v>
      </c>
      <c r="R416" s="6" t="n">
        <v>0</v>
      </c>
      <c r="S416" s="11"/>
      <c r="T416" s="11" t="n">
        <v>0</v>
      </c>
      <c r="U416" s="11" t="n">
        <v>0.9</v>
      </c>
      <c r="V416" s="11" t="n">
        <v>0.9</v>
      </c>
    </row>
    <row r="417" customFormat="false" ht="15" hidden="false" customHeight="false" outlineLevel="0" collapsed="false">
      <c r="A417" s="6" t="s">
        <v>50</v>
      </c>
      <c r="B417" s="6" t="s">
        <v>43</v>
      </c>
      <c r="C417" s="6" t="s">
        <v>51</v>
      </c>
      <c r="D417" s="6" t="s">
        <v>115</v>
      </c>
      <c r="E417" s="6" t="n">
        <v>1</v>
      </c>
      <c r="F417" s="6" t="n">
        <v>8</v>
      </c>
      <c r="G417" s="6" t="s">
        <v>76</v>
      </c>
      <c r="H417" s="11" t="n">
        <v>0.05</v>
      </c>
      <c r="I417" s="6" t="n">
        <v>20</v>
      </c>
      <c r="J417" s="6" t="n">
        <v>0</v>
      </c>
      <c r="K417" s="6" t="n">
        <v>20</v>
      </c>
      <c r="L417" s="6" t="n">
        <v>0</v>
      </c>
      <c r="M417" s="6" t="n">
        <v>20</v>
      </c>
      <c r="N417" s="11" t="n">
        <f aca="false">J417/(J417+K417)</f>
        <v>0</v>
      </c>
      <c r="O417" s="11" t="str">
        <f aca="false">IF(J417+L417=0,"",J417/(J417+L417))</f>
        <v/>
      </c>
      <c r="P417" s="11" t="n">
        <f aca="false">2*J417/(2*J417+L417+K417)</f>
        <v>0</v>
      </c>
      <c r="Q417" s="11" t="n">
        <f aca="false">L417/(L417+M417)</f>
        <v>0</v>
      </c>
      <c r="R417" s="6" t="n">
        <v>0</v>
      </c>
      <c r="S417" s="11"/>
      <c r="T417" s="11" t="n">
        <v>0</v>
      </c>
      <c r="U417" s="11" t="n">
        <v>0.95</v>
      </c>
      <c r="V417" s="11" t="n">
        <v>0.95</v>
      </c>
    </row>
    <row r="418" customFormat="false" ht="15" hidden="false" customHeight="false" outlineLevel="0" collapsed="false">
      <c r="A418" s="6" t="s">
        <v>50</v>
      </c>
      <c r="B418" s="6" t="s">
        <v>43</v>
      </c>
      <c r="C418" s="6" t="s">
        <v>51</v>
      </c>
      <c r="D418" s="6" t="s">
        <v>115</v>
      </c>
      <c r="E418" s="6" t="n">
        <v>1</v>
      </c>
      <c r="F418" s="6" t="n">
        <v>8</v>
      </c>
      <c r="G418" s="6" t="s">
        <v>77</v>
      </c>
      <c r="H418" s="11" t="n">
        <v>0.05</v>
      </c>
      <c r="I418" s="6" t="n">
        <v>20</v>
      </c>
      <c r="J418" s="6" t="n">
        <v>1</v>
      </c>
      <c r="K418" s="6" t="n">
        <v>19</v>
      </c>
      <c r="L418" s="6" t="n">
        <v>1</v>
      </c>
      <c r="M418" s="6" t="n">
        <v>19</v>
      </c>
      <c r="N418" s="11" t="n">
        <f aca="false">J418/(J418+K418)</f>
        <v>0.05</v>
      </c>
      <c r="O418" s="11" t="n">
        <f aca="false">IF(J418+L418=0,"",J418/(J418+L418))</f>
        <v>0.5</v>
      </c>
      <c r="P418" s="11" t="n">
        <f aca="false">2*J418/(2*J418+L418+K418)</f>
        <v>0.0909090909090909</v>
      </c>
      <c r="Q418" s="11" t="n">
        <f aca="false">L418/(L418+M418)</f>
        <v>0.05</v>
      </c>
      <c r="R418" s="6" t="n">
        <v>0</v>
      </c>
      <c r="S418" s="11"/>
      <c r="T418" s="11" t="n">
        <v>0.05</v>
      </c>
      <c r="U418" s="11" t="n">
        <v>1</v>
      </c>
      <c r="V418" s="11" t="n">
        <v>1</v>
      </c>
    </row>
    <row r="419" customFormat="false" ht="15" hidden="false" customHeight="false" outlineLevel="0" collapsed="false">
      <c r="A419" s="6" t="s">
        <v>50</v>
      </c>
      <c r="B419" s="6" t="s">
        <v>43</v>
      </c>
      <c r="C419" s="6" t="s">
        <v>51</v>
      </c>
      <c r="D419" s="6" t="s">
        <v>115</v>
      </c>
      <c r="E419" s="6" t="n">
        <v>1</v>
      </c>
      <c r="F419" s="6" t="n">
        <v>8</v>
      </c>
      <c r="G419" s="6" t="s">
        <v>78</v>
      </c>
      <c r="H419" s="11" t="n">
        <v>0.05</v>
      </c>
      <c r="I419" s="6" t="n">
        <v>200</v>
      </c>
      <c r="J419" s="6" t="n">
        <v>6</v>
      </c>
      <c r="K419" s="6" t="n">
        <v>194</v>
      </c>
      <c r="L419" s="6" t="n">
        <v>6</v>
      </c>
      <c r="M419" s="6" t="n">
        <v>194</v>
      </c>
      <c r="N419" s="11" t="n">
        <f aca="false">J419/(J419+K419)</f>
        <v>0.03</v>
      </c>
      <c r="O419" s="11" t="n">
        <f aca="false">IF(J419+L419=0,"",J419/(J419+L419))</f>
        <v>0.5</v>
      </c>
      <c r="P419" s="11" t="n">
        <f aca="false">2*J419/(2*J419+L419+K419)</f>
        <v>0.0566037735849057</v>
      </c>
      <c r="Q419" s="11" t="n">
        <f aca="false">L419/(L419+M419)</f>
        <v>0.03</v>
      </c>
      <c r="R419" s="6" t="n">
        <v>0</v>
      </c>
      <c r="S419" s="11"/>
      <c r="T419" s="11" t="n">
        <v>0.03</v>
      </c>
      <c r="U419" s="11" t="n">
        <v>0.88</v>
      </c>
      <c r="V419" s="11" t="n">
        <v>0.88</v>
      </c>
    </row>
    <row r="420" customFormat="false" ht="15" hidden="false" customHeight="false" outlineLevel="0" collapsed="false">
      <c r="A420" s="6" t="s">
        <v>50</v>
      </c>
      <c r="B420" s="6" t="s">
        <v>43</v>
      </c>
      <c r="C420" s="6" t="s">
        <v>51</v>
      </c>
      <c r="D420" s="6" t="s">
        <v>115</v>
      </c>
      <c r="E420" s="6" t="n">
        <v>1</v>
      </c>
      <c r="F420" s="6" t="n">
        <v>9</v>
      </c>
      <c r="G420" s="6" t="s">
        <v>68</v>
      </c>
      <c r="H420" s="11" t="n">
        <v>0.05</v>
      </c>
      <c r="I420" s="6" t="n">
        <v>20</v>
      </c>
      <c r="J420" s="6" t="n">
        <v>20</v>
      </c>
      <c r="K420" s="6" t="n">
        <v>0</v>
      </c>
      <c r="L420" s="6" t="n">
        <v>2</v>
      </c>
      <c r="M420" s="6" t="n">
        <v>18</v>
      </c>
      <c r="N420" s="11" t="n">
        <f aca="false">J420/(J420+K420)</f>
        <v>1</v>
      </c>
      <c r="O420" s="11" t="n">
        <f aca="false">IF(J420+L420=0,"",J420/(J420+L420))</f>
        <v>0.909090909090909</v>
      </c>
      <c r="P420" s="11" t="n">
        <f aca="false">2*J420/(2*J420+L420+K420)</f>
        <v>0.952380952380952</v>
      </c>
      <c r="Q420" s="11" t="n">
        <f aca="false">L420/(L420+M420)</f>
        <v>0.1</v>
      </c>
      <c r="R420" s="6" t="n">
        <v>20</v>
      </c>
      <c r="S420" s="11" t="n">
        <v>1</v>
      </c>
      <c r="T420" s="11"/>
      <c r="U420" s="11" t="n">
        <v>0.85</v>
      </c>
      <c r="V420" s="11" t="n">
        <v>0</v>
      </c>
    </row>
    <row r="421" customFormat="false" ht="15" hidden="false" customHeight="false" outlineLevel="0" collapsed="false">
      <c r="A421" s="6" t="s">
        <v>50</v>
      </c>
      <c r="B421" s="6" t="s">
        <v>43</v>
      </c>
      <c r="C421" s="6" t="s">
        <v>51</v>
      </c>
      <c r="D421" s="6" t="s">
        <v>115</v>
      </c>
      <c r="E421" s="6" t="n">
        <v>1</v>
      </c>
      <c r="F421" s="6" t="n">
        <v>9</v>
      </c>
      <c r="G421" s="6" t="s">
        <v>69</v>
      </c>
      <c r="H421" s="11" t="n">
        <v>0.05</v>
      </c>
      <c r="I421" s="6" t="n">
        <v>20</v>
      </c>
      <c r="J421" s="6" t="n">
        <v>20</v>
      </c>
      <c r="K421" s="6" t="n">
        <v>0</v>
      </c>
      <c r="L421" s="6" t="n">
        <v>1</v>
      </c>
      <c r="M421" s="6" t="n">
        <v>19</v>
      </c>
      <c r="N421" s="11" t="n">
        <f aca="false">J421/(J421+K421)</f>
        <v>1</v>
      </c>
      <c r="O421" s="11" t="n">
        <f aca="false">IF(J421+L421=0,"",J421/(J421+L421))</f>
        <v>0.952380952380952</v>
      </c>
      <c r="P421" s="11" t="n">
        <f aca="false">2*J421/(2*J421+L421+K421)</f>
        <v>0.975609756097561</v>
      </c>
      <c r="Q421" s="11" t="n">
        <f aca="false">L421/(L421+M421)</f>
        <v>0.05</v>
      </c>
      <c r="R421" s="6" t="n">
        <v>20</v>
      </c>
      <c r="S421" s="11" t="n">
        <v>1</v>
      </c>
      <c r="T421" s="11"/>
      <c r="U421" s="11" t="n">
        <v>1</v>
      </c>
      <c r="V421" s="11" t="n">
        <v>0</v>
      </c>
    </row>
    <row r="422" customFormat="false" ht="15" hidden="false" customHeight="false" outlineLevel="0" collapsed="false">
      <c r="A422" s="6" t="s">
        <v>50</v>
      </c>
      <c r="B422" s="6" t="s">
        <v>43</v>
      </c>
      <c r="C422" s="6" t="s">
        <v>51</v>
      </c>
      <c r="D422" s="6" t="s">
        <v>115</v>
      </c>
      <c r="E422" s="6" t="n">
        <v>1</v>
      </c>
      <c r="F422" s="6" t="n">
        <v>9</v>
      </c>
      <c r="G422" s="6" t="s">
        <v>70</v>
      </c>
      <c r="H422" s="11" t="n">
        <v>0.05</v>
      </c>
      <c r="I422" s="6" t="n">
        <v>20</v>
      </c>
      <c r="J422" s="6" t="n">
        <v>20</v>
      </c>
      <c r="K422" s="6" t="n">
        <v>0</v>
      </c>
      <c r="L422" s="6" t="n">
        <v>0</v>
      </c>
      <c r="M422" s="6" t="n">
        <v>20</v>
      </c>
      <c r="N422" s="11" t="n">
        <f aca="false">J422/(J422+K422)</f>
        <v>1</v>
      </c>
      <c r="O422" s="11" t="n">
        <f aca="false">IF(J422+L422=0,"",J422/(J422+L422))</f>
        <v>1</v>
      </c>
      <c r="P422" s="11" t="n">
        <f aca="false">2*J422/(2*J422+L422+K422)</f>
        <v>1</v>
      </c>
      <c r="Q422" s="11" t="n">
        <f aca="false">L422/(L422+M422)</f>
        <v>0</v>
      </c>
      <c r="R422" s="6" t="n">
        <v>20</v>
      </c>
      <c r="S422" s="11" t="n">
        <v>1</v>
      </c>
      <c r="T422" s="11"/>
      <c r="U422" s="11" t="n">
        <v>0.9</v>
      </c>
      <c r="V422" s="11" t="n">
        <v>0</v>
      </c>
    </row>
    <row r="423" customFormat="false" ht="15" hidden="false" customHeight="false" outlineLevel="0" collapsed="false">
      <c r="A423" s="6" t="s">
        <v>50</v>
      </c>
      <c r="B423" s="6" t="s">
        <v>43</v>
      </c>
      <c r="C423" s="6" t="s">
        <v>51</v>
      </c>
      <c r="D423" s="6" t="s">
        <v>115</v>
      </c>
      <c r="E423" s="6" t="n">
        <v>1</v>
      </c>
      <c r="F423" s="6" t="n">
        <v>9</v>
      </c>
      <c r="G423" s="6" t="s">
        <v>71</v>
      </c>
      <c r="H423" s="11" t="n">
        <v>0.05</v>
      </c>
      <c r="I423" s="6" t="n">
        <v>20</v>
      </c>
      <c r="J423" s="6" t="n">
        <v>20</v>
      </c>
      <c r="K423" s="6" t="n">
        <v>0</v>
      </c>
      <c r="L423" s="6" t="n">
        <v>0</v>
      </c>
      <c r="M423" s="6" t="n">
        <v>20</v>
      </c>
      <c r="N423" s="11" t="n">
        <f aca="false">J423/(J423+K423)</f>
        <v>1</v>
      </c>
      <c r="O423" s="11" t="n">
        <f aca="false">IF(J423+L423=0,"",J423/(J423+L423))</f>
        <v>1</v>
      </c>
      <c r="P423" s="11" t="n">
        <f aca="false">2*J423/(2*J423+L423+K423)</f>
        <v>1</v>
      </c>
      <c r="Q423" s="11" t="n">
        <f aca="false">L423/(L423+M423)</f>
        <v>0</v>
      </c>
      <c r="R423" s="6" t="n">
        <v>20</v>
      </c>
      <c r="S423" s="11" t="n">
        <v>1</v>
      </c>
      <c r="T423" s="11"/>
      <c r="U423" s="11" t="n">
        <v>0.8</v>
      </c>
      <c r="V423" s="11" t="n">
        <v>0</v>
      </c>
    </row>
    <row r="424" customFormat="false" ht="15" hidden="false" customHeight="false" outlineLevel="0" collapsed="false">
      <c r="A424" s="6" t="s">
        <v>50</v>
      </c>
      <c r="B424" s="6" t="s">
        <v>43</v>
      </c>
      <c r="C424" s="6" t="s">
        <v>51</v>
      </c>
      <c r="D424" s="6" t="s">
        <v>115</v>
      </c>
      <c r="E424" s="6" t="n">
        <v>1</v>
      </c>
      <c r="F424" s="6" t="n">
        <v>9</v>
      </c>
      <c r="G424" s="6" t="s">
        <v>72</v>
      </c>
      <c r="H424" s="11" t="n">
        <v>0.05</v>
      </c>
      <c r="I424" s="6" t="n">
        <v>20</v>
      </c>
      <c r="J424" s="6" t="n">
        <v>18</v>
      </c>
      <c r="K424" s="6" t="n">
        <v>2</v>
      </c>
      <c r="L424" s="6" t="n">
        <v>1</v>
      </c>
      <c r="M424" s="6" t="n">
        <v>19</v>
      </c>
      <c r="N424" s="11" t="n">
        <f aca="false">J424/(J424+K424)</f>
        <v>0.9</v>
      </c>
      <c r="O424" s="11" t="n">
        <f aca="false">IF(J424+L424=0,"",J424/(J424+L424))</f>
        <v>0.947368421052632</v>
      </c>
      <c r="P424" s="11" t="n">
        <f aca="false">2*J424/(2*J424+L424+K424)</f>
        <v>0.923076923076923</v>
      </c>
      <c r="Q424" s="11" t="n">
        <f aca="false">L424/(L424+M424)</f>
        <v>0.05</v>
      </c>
      <c r="R424" s="6" t="n">
        <v>18</v>
      </c>
      <c r="S424" s="11" t="n">
        <v>1</v>
      </c>
      <c r="T424" s="11" t="n">
        <v>0</v>
      </c>
      <c r="U424" s="11" t="n">
        <v>0.9</v>
      </c>
      <c r="V424" s="11" t="n">
        <v>0.05</v>
      </c>
    </row>
    <row r="425" customFormat="false" ht="15" hidden="false" customHeight="false" outlineLevel="0" collapsed="false">
      <c r="A425" s="6" t="s">
        <v>50</v>
      </c>
      <c r="B425" s="6" t="s">
        <v>43</v>
      </c>
      <c r="C425" s="6" t="s">
        <v>51</v>
      </c>
      <c r="D425" s="6" t="s">
        <v>115</v>
      </c>
      <c r="E425" s="6" t="n">
        <v>1</v>
      </c>
      <c r="F425" s="6" t="n">
        <v>9</v>
      </c>
      <c r="G425" s="6" t="s">
        <v>73</v>
      </c>
      <c r="H425" s="11" t="n">
        <v>0.05</v>
      </c>
      <c r="I425" s="6" t="n">
        <v>20</v>
      </c>
      <c r="J425" s="6" t="n">
        <v>19</v>
      </c>
      <c r="K425" s="6" t="n">
        <v>1</v>
      </c>
      <c r="L425" s="6" t="n">
        <v>0</v>
      </c>
      <c r="M425" s="6" t="n">
        <v>20</v>
      </c>
      <c r="N425" s="11" t="n">
        <f aca="false">J425/(J425+K425)</f>
        <v>0.95</v>
      </c>
      <c r="O425" s="11" t="n">
        <f aca="false">IF(J425+L425=0,"",J425/(J425+L425))</f>
        <v>1</v>
      </c>
      <c r="P425" s="11" t="n">
        <f aca="false">2*J425/(2*J425+L425+K425)</f>
        <v>0.974358974358974</v>
      </c>
      <c r="Q425" s="11" t="n">
        <f aca="false">L425/(L425+M425)</f>
        <v>0</v>
      </c>
      <c r="R425" s="6" t="n">
        <v>19</v>
      </c>
      <c r="S425" s="11" t="n">
        <v>1</v>
      </c>
      <c r="T425" s="11" t="n">
        <v>0</v>
      </c>
      <c r="U425" s="11" t="n">
        <v>0.65</v>
      </c>
      <c r="V425" s="11" t="n">
        <v>0.05</v>
      </c>
    </row>
    <row r="426" customFormat="false" ht="15" hidden="false" customHeight="false" outlineLevel="0" collapsed="false">
      <c r="A426" s="6" t="s">
        <v>50</v>
      </c>
      <c r="B426" s="6" t="s">
        <v>43</v>
      </c>
      <c r="C426" s="6" t="s">
        <v>51</v>
      </c>
      <c r="D426" s="6" t="s">
        <v>115</v>
      </c>
      <c r="E426" s="6" t="n">
        <v>1</v>
      </c>
      <c r="F426" s="6" t="n">
        <v>9</v>
      </c>
      <c r="G426" s="6" t="s">
        <v>74</v>
      </c>
      <c r="H426" s="11" t="n">
        <v>0.05</v>
      </c>
      <c r="I426" s="6" t="n">
        <v>20</v>
      </c>
      <c r="J426" s="6" t="n">
        <v>18</v>
      </c>
      <c r="K426" s="6" t="n">
        <v>2</v>
      </c>
      <c r="L426" s="6" t="n">
        <v>1</v>
      </c>
      <c r="M426" s="6" t="n">
        <v>19</v>
      </c>
      <c r="N426" s="11" t="n">
        <f aca="false">J426/(J426+K426)</f>
        <v>0.9</v>
      </c>
      <c r="O426" s="11" t="n">
        <f aca="false">IF(J426+L426=0,"",J426/(J426+L426))</f>
        <v>0.947368421052632</v>
      </c>
      <c r="P426" s="11" t="n">
        <f aca="false">2*J426/(2*J426+L426+K426)</f>
        <v>0.923076923076923</v>
      </c>
      <c r="Q426" s="11" t="n">
        <f aca="false">L426/(L426+M426)</f>
        <v>0.05</v>
      </c>
      <c r="R426" s="6" t="n">
        <v>18</v>
      </c>
      <c r="S426" s="11" t="n">
        <v>1</v>
      </c>
      <c r="T426" s="11" t="n">
        <v>0</v>
      </c>
      <c r="U426" s="11" t="n">
        <v>0.85</v>
      </c>
      <c r="V426" s="11" t="n">
        <v>0.1</v>
      </c>
    </row>
    <row r="427" customFormat="false" ht="15" hidden="false" customHeight="false" outlineLevel="0" collapsed="false">
      <c r="A427" s="6" t="s">
        <v>50</v>
      </c>
      <c r="B427" s="6" t="s">
        <v>43</v>
      </c>
      <c r="C427" s="6" t="s">
        <v>51</v>
      </c>
      <c r="D427" s="6" t="s">
        <v>115</v>
      </c>
      <c r="E427" s="6" t="n">
        <v>1</v>
      </c>
      <c r="F427" s="6" t="n">
        <v>9</v>
      </c>
      <c r="G427" s="6" t="s">
        <v>75</v>
      </c>
      <c r="H427" s="11" t="n">
        <v>0.05</v>
      </c>
      <c r="I427" s="6" t="n">
        <v>20</v>
      </c>
      <c r="J427" s="6" t="n">
        <v>20</v>
      </c>
      <c r="K427" s="6" t="n">
        <v>0</v>
      </c>
      <c r="L427" s="6" t="n">
        <v>0</v>
      </c>
      <c r="M427" s="6" t="n">
        <v>20</v>
      </c>
      <c r="N427" s="11" t="n">
        <f aca="false">J427/(J427+K427)</f>
        <v>1</v>
      </c>
      <c r="O427" s="11" t="n">
        <f aca="false">IF(J427+L427=0,"",J427/(J427+L427))</f>
        <v>1</v>
      </c>
      <c r="P427" s="11" t="n">
        <f aca="false">2*J427/(2*J427+L427+K427)</f>
        <v>1</v>
      </c>
      <c r="Q427" s="11" t="n">
        <f aca="false">L427/(L427+M427)</f>
        <v>0</v>
      </c>
      <c r="R427" s="6" t="n">
        <v>5</v>
      </c>
      <c r="S427" s="11" t="n">
        <v>1</v>
      </c>
      <c r="T427" s="11" t="n">
        <v>1</v>
      </c>
      <c r="U427" s="11" t="n">
        <v>0.9</v>
      </c>
      <c r="V427" s="11" t="n">
        <v>0.85</v>
      </c>
    </row>
    <row r="428" customFormat="false" ht="15" hidden="false" customHeight="false" outlineLevel="0" collapsed="false">
      <c r="A428" s="6" t="s">
        <v>50</v>
      </c>
      <c r="B428" s="6" t="s">
        <v>43</v>
      </c>
      <c r="C428" s="6" t="s">
        <v>51</v>
      </c>
      <c r="D428" s="6" t="s">
        <v>115</v>
      </c>
      <c r="E428" s="6" t="n">
        <v>1</v>
      </c>
      <c r="F428" s="6" t="n">
        <v>9</v>
      </c>
      <c r="G428" s="6" t="s">
        <v>76</v>
      </c>
      <c r="H428" s="11" t="n">
        <v>0.05</v>
      </c>
      <c r="I428" s="6" t="n">
        <v>20</v>
      </c>
      <c r="J428" s="6" t="n">
        <v>18</v>
      </c>
      <c r="K428" s="6" t="n">
        <v>2</v>
      </c>
      <c r="L428" s="6" t="n">
        <v>0</v>
      </c>
      <c r="M428" s="6" t="n">
        <v>20</v>
      </c>
      <c r="N428" s="11" t="n">
        <f aca="false">J428/(J428+K428)</f>
        <v>0.9</v>
      </c>
      <c r="O428" s="11" t="n">
        <f aca="false">IF(J428+L428=0,"",J428/(J428+L428))</f>
        <v>1</v>
      </c>
      <c r="P428" s="11" t="n">
        <f aca="false">2*J428/(2*J428+L428+K428)</f>
        <v>0.947368421052632</v>
      </c>
      <c r="Q428" s="11" t="n">
        <f aca="false">L428/(L428+M428)</f>
        <v>0</v>
      </c>
      <c r="R428" s="6" t="n">
        <v>18</v>
      </c>
      <c r="S428" s="11" t="n">
        <v>1</v>
      </c>
      <c r="T428" s="11" t="n">
        <v>0</v>
      </c>
      <c r="U428" s="11" t="n">
        <v>0.95</v>
      </c>
      <c r="V428" s="11" t="n">
        <v>0.1</v>
      </c>
    </row>
    <row r="429" customFormat="false" ht="15" hidden="false" customHeight="false" outlineLevel="0" collapsed="false">
      <c r="A429" s="6" t="s">
        <v>50</v>
      </c>
      <c r="B429" s="6" t="s">
        <v>43</v>
      </c>
      <c r="C429" s="6" t="s">
        <v>51</v>
      </c>
      <c r="D429" s="6" t="s">
        <v>115</v>
      </c>
      <c r="E429" s="6" t="n">
        <v>1</v>
      </c>
      <c r="F429" s="6" t="n">
        <v>9</v>
      </c>
      <c r="G429" s="6" t="s">
        <v>77</v>
      </c>
      <c r="H429" s="11" t="n">
        <v>0.05</v>
      </c>
      <c r="I429" s="6" t="n">
        <v>20</v>
      </c>
      <c r="J429" s="6" t="n">
        <v>19</v>
      </c>
      <c r="K429" s="6" t="n">
        <v>1</v>
      </c>
      <c r="L429" s="6" t="n">
        <v>1</v>
      </c>
      <c r="M429" s="6" t="n">
        <v>19</v>
      </c>
      <c r="N429" s="11" t="n">
        <f aca="false">J429/(J429+K429)</f>
        <v>0.95</v>
      </c>
      <c r="O429" s="11" t="n">
        <f aca="false">IF(J429+L429=0,"",J429/(J429+L429))</f>
        <v>0.95</v>
      </c>
      <c r="P429" s="11" t="n">
        <f aca="false">2*J429/(2*J429+L429+K429)</f>
        <v>0.95</v>
      </c>
      <c r="Q429" s="11" t="n">
        <f aca="false">L429/(L429+M429)</f>
        <v>0.05</v>
      </c>
      <c r="R429" s="6" t="n">
        <v>19</v>
      </c>
      <c r="S429" s="11" t="n">
        <v>1</v>
      </c>
      <c r="T429" s="11" t="n">
        <v>0</v>
      </c>
      <c r="U429" s="11" t="n">
        <v>1</v>
      </c>
      <c r="V429" s="11" t="n">
        <v>0.05</v>
      </c>
    </row>
    <row r="430" customFormat="false" ht="15" hidden="false" customHeight="false" outlineLevel="0" collapsed="false">
      <c r="A430" s="6" t="s">
        <v>50</v>
      </c>
      <c r="B430" s="6" t="s">
        <v>43</v>
      </c>
      <c r="C430" s="6" t="s">
        <v>51</v>
      </c>
      <c r="D430" s="6" t="s">
        <v>115</v>
      </c>
      <c r="E430" s="6" t="n">
        <v>1</v>
      </c>
      <c r="F430" s="6" t="n">
        <v>9</v>
      </c>
      <c r="G430" s="6" t="s">
        <v>78</v>
      </c>
      <c r="H430" s="11" t="n">
        <v>0.05</v>
      </c>
      <c r="I430" s="6" t="n">
        <v>200</v>
      </c>
      <c r="J430" s="6" t="n">
        <v>192</v>
      </c>
      <c r="K430" s="6" t="n">
        <v>8</v>
      </c>
      <c r="L430" s="6" t="n">
        <v>6</v>
      </c>
      <c r="M430" s="6" t="n">
        <v>194</v>
      </c>
      <c r="N430" s="11" t="n">
        <f aca="false">J430/(J430+K430)</f>
        <v>0.96</v>
      </c>
      <c r="O430" s="11" t="n">
        <f aca="false">IF(J430+L430=0,"",J430/(J430+L430))</f>
        <v>0.96969696969697</v>
      </c>
      <c r="P430" s="11" t="n">
        <f aca="false">2*J430/(2*J430+L430+K430)</f>
        <v>0.964824120603015</v>
      </c>
      <c r="Q430" s="11" t="n">
        <f aca="false">L430/(L430+M430)</f>
        <v>0.03</v>
      </c>
      <c r="R430" s="6" t="n">
        <v>177</v>
      </c>
      <c r="S430" s="11" t="n">
        <v>1</v>
      </c>
      <c r="T430" s="11" t="n">
        <v>0.652173913043478</v>
      </c>
      <c r="U430" s="11" t="n">
        <v>0.88</v>
      </c>
      <c r="V430" s="11" t="n">
        <v>0.12</v>
      </c>
    </row>
    <row r="431" customFormat="false" ht="15" hidden="false" customHeight="false" outlineLevel="0" collapsed="false">
      <c r="A431" s="6" t="s">
        <v>50</v>
      </c>
      <c r="B431" s="6" t="s">
        <v>43</v>
      </c>
      <c r="C431" s="6" t="s">
        <v>51</v>
      </c>
      <c r="D431" s="6" t="s">
        <v>115</v>
      </c>
      <c r="E431" s="6" t="n">
        <v>1</v>
      </c>
      <c r="F431" s="6" t="n">
        <v>10</v>
      </c>
      <c r="G431" s="6" t="s">
        <v>68</v>
      </c>
      <c r="H431" s="11" t="n">
        <v>0.05</v>
      </c>
      <c r="I431" s="6" t="n">
        <v>20</v>
      </c>
      <c r="J431" s="6" t="n">
        <v>2</v>
      </c>
      <c r="K431" s="6" t="n">
        <v>18</v>
      </c>
      <c r="L431" s="6" t="n">
        <v>2</v>
      </c>
      <c r="M431" s="6" t="n">
        <v>18</v>
      </c>
      <c r="N431" s="11" t="n">
        <f aca="false">J431/(J431+K431)</f>
        <v>0.1</v>
      </c>
      <c r="O431" s="11" t="n">
        <f aca="false">IF(J431+L431=0,"",J431/(J431+L431))</f>
        <v>0.5</v>
      </c>
      <c r="P431" s="11" t="n">
        <f aca="false">2*J431/(2*J431+L431+K431)</f>
        <v>0.166666666666667</v>
      </c>
      <c r="Q431" s="11" t="n">
        <f aca="false">L431/(L431+M431)</f>
        <v>0.1</v>
      </c>
      <c r="R431" s="6" t="n">
        <v>0</v>
      </c>
      <c r="S431" s="11"/>
      <c r="T431" s="11" t="n">
        <v>0.1</v>
      </c>
      <c r="U431" s="11" t="n">
        <v>0.85</v>
      </c>
      <c r="V431" s="11" t="n">
        <v>0.85</v>
      </c>
    </row>
    <row r="432" customFormat="false" ht="15" hidden="false" customHeight="false" outlineLevel="0" collapsed="false">
      <c r="A432" s="6" t="s">
        <v>50</v>
      </c>
      <c r="B432" s="6" t="s">
        <v>43</v>
      </c>
      <c r="C432" s="6" t="s">
        <v>51</v>
      </c>
      <c r="D432" s="6" t="s">
        <v>115</v>
      </c>
      <c r="E432" s="6" t="n">
        <v>1</v>
      </c>
      <c r="F432" s="6" t="n">
        <v>10</v>
      </c>
      <c r="G432" s="6" t="s">
        <v>69</v>
      </c>
      <c r="H432" s="11" t="n">
        <v>0.05</v>
      </c>
      <c r="I432" s="6" t="n">
        <v>20</v>
      </c>
      <c r="J432" s="6" t="n">
        <v>1</v>
      </c>
      <c r="K432" s="6" t="n">
        <v>19</v>
      </c>
      <c r="L432" s="6" t="n">
        <v>1</v>
      </c>
      <c r="M432" s="6" t="n">
        <v>19</v>
      </c>
      <c r="N432" s="11" t="n">
        <f aca="false">J432/(J432+K432)</f>
        <v>0.05</v>
      </c>
      <c r="O432" s="11" t="n">
        <f aca="false">IF(J432+L432=0,"",J432/(J432+L432))</f>
        <v>0.5</v>
      </c>
      <c r="P432" s="11" t="n">
        <f aca="false">2*J432/(2*J432+L432+K432)</f>
        <v>0.0909090909090909</v>
      </c>
      <c r="Q432" s="11" t="n">
        <f aca="false">L432/(L432+M432)</f>
        <v>0.05</v>
      </c>
      <c r="R432" s="6" t="n">
        <v>0</v>
      </c>
      <c r="S432" s="11"/>
      <c r="T432" s="11" t="n">
        <v>0.05</v>
      </c>
      <c r="U432" s="11" t="n">
        <v>1</v>
      </c>
      <c r="V432" s="11" t="n">
        <v>1</v>
      </c>
    </row>
    <row r="433" customFormat="false" ht="15" hidden="false" customHeight="false" outlineLevel="0" collapsed="false">
      <c r="A433" s="6" t="s">
        <v>50</v>
      </c>
      <c r="B433" s="6" t="s">
        <v>43</v>
      </c>
      <c r="C433" s="6" t="s">
        <v>51</v>
      </c>
      <c r="D433" s="6" t="s">
        <v>115</v>
      </c>
      <c r="E433" s="6" t="n">
        <v>1</v>
      </c>
      <c r="F433" s="6" t="n">
        <v>10</v>
      </c>
      <c r="G433" s="6" t="s">
        <v>70</v>
      </c>
      <c r="H433" s="11" t="n">
        <v>0.05</v>
      </c>
      <c r="I433" s="6" t="n">
        <v>20</v>
      </c>
      <c r="J433" s="6" t="n">
        <v>0</v>
      </c>
      <c r="K433" s="6" t="n">
        <v>20</v>
      </c>
      <c r="L433" s="6" t="n">
        <v>0</v>
      </c>
      <c r="M433" s="6" t="n">
        <v>20</v>
      </c>
      <c r="N433" s="11" t="n">
        <f aca="false">J433/(J433+K433)</f>
        <v>0</v>
      </c>
      <c r="O433" s="11" t="str">
        <f aca="false">IF(J433+L433=0,"",J433/(J433+L433))</f>
        <v/>
      </c>
      <c r="P433" s="11" t="n">
        <f aca="false">2*J433/(2*J433+L433+K433)</f>
        <v>0</v>
      </c>
      <c r="Q433" s="11" t="n">
        <f aca="false">L433/(L433+M433)</f>
        <v>0</v>
      </c>
      <c r="R433" s="6" t="n">
        <v>0</v>
      </c>
      <c r="S433" s="11"/>
      <c r="T433" s="11" t="n">
        <v>0</v>
      </c>
      <c r="U433" s="11" t="n">
        <v>0.9</v>
      </c>
      <c r="V433" s="11" t="n">
        <v>0.9</v>
      </c>
    </row>
    <row r="434" customFormat="false" ht="15" hidden="false" customHeight="false" outlineLevel="0" collapsed="false">
      <c r="A434" s="6" t="s">
        <v>50</v>
      </c>
      <c r="B434" s="6" t="s">
        <v>43</v>
      </c>
      <c r="C434" s="6" t="s">
        <v>51</v>
      </c>
      <c r="D434" s="6" t="s">
        <v>115</v>
      </c>
      <c r="E434" s="6" t="n">
        <v>1</v>
      </c>
      <c r="F434" s="6" t="n">
        <v>10</v>
      </c>
      <c r="G434" s="6" t="s">
        <v>71</v>
      </c>
      <c r="H434" s="11" t="n">
        <v>0.05</v>
      </c>
      <c r="I434" s="6" t="n">
        <v>20</v>
      </c>
      <c r="J434" s="6" t="n">
        <v>0</v>
      </c>
      <c r="K434" s="6" t="n">
        <v>20</v>
      </c>
      <c r="L434" s="6" t="n">
        <v>0</v>
      </c>
      <c r="M434" s="6" t="n">
        <v>20</v>
      </c>
      <c r="N434" s="11" t="n">
        <f aca="false">J434/(J434+K434)</f>
        <v>0</v>
      </c>
      <c r="O434" s="11" t="str">
        <f aca="false">IF(J434+L434=0,"",J434/(J434+L434))</f>
        <v/>
      </c>
      <c r="P434" s="11" t="n">
        <f aca="false">2*J434/(2*J434+L434+K434)</f>
        <v>0</v>
      </c>
      <c r="Q434" s="11" t="n">
        <f aca="false">L434/(L434+M434)</f>
        <v>0</v>
      </c>
      <c r="R434" s="6" t="n">
        <v>0</v>
      </c>
      <c r="S434" s="11"/>
      <c r="T434" s="11" t="n">
        <v>0</v>
      </c>
      <c r="U434" s="11" t="n">
        <v>0.8</v>
      </c>
      <c r="V434" s="11" t="n">
        <v>0.8</v>
      </c>
    </row>
    <row r="435" customFormat="false" ht="15" hidden="false" customHeight="false" outlineLevel="0" collapsed="false">
      <c r="A435" s="6" t="s">
        <v>50</v>
      </c>
      <c r="B435" s="6" t="s">
        <v>43</v>
      </c>
      <c r="C435" s="6" t="s">
        <v>51</v>
      </c>
      <c r="D435" s="6" t="s">
        <v>115</v>
      </c>
      <c r="E435" s="6" t="n">
        <v>1</v>
      </c>
      <c r="F435" s="6" t="n">
        <v>10</v>
      </c>
      <c r="G435" s="6" t="s">
        <v>72</v>
      </c>
      <c r="H435" s="11" t="n">
        <v>0.05</v>
      </c>
      <c r="I435" s="6" t="n">
        <v>20</v>
      </c>
      <c r="J435" s="6" t="n">
        <v>1</v>
      </c>
      <c r="K435" s="6" t="n">
        <v>19</v>
      </c>
      <c r="L435" s="6" t="n">
        <v>1</v>
      </c>
      <c r="M435" s="6" t="n">
        <v>19</v>
      </c>
      <c r="N435" s="11" t="n">
        <f aca="false">J435/(J435+K435)</f>
        <v>0.05</v>
      </c>
      <c r="O435" s="11" t="n">
        <f aca="false">IF(J435+L435=0,"",J435/(J435+L435))</f>
        <v>0.5</v>
      </c>
      <c r="P435" s="11" t="n">
        <f aca="false">2*J435/(2*J435+L435+K435)</f>
        <v>0.0909090909090909</v>
      </c>
      <c r="Q435" s="11" t="n">
        <f aca="false">L435/(L435+M435)</f>
        <v>0.05</v>
      </c>
      <c r="R435" s="6" t="n">
        <v>0</v>
      </c>
      <c r="S435" s="11"/>
      <c r="T435" s="11" t="n">
        <v>0.05</v>
      </c>
      <c r="U435" s="11" t="n">
        <v>0.9</v>
      </c>
      <c r="V435" s="11" t="n">
        <v>0.9</v>
      </c>
    </row>
    <row r="436" customFormat="false" ht="15" hidden="false" customHeight="false" outlineLevel="0" collapsed="false">
      <c r="A436" s="6" t="s">
        <v>50</v>
      </c>
      <c r="B436" s="6" t="s">
        <v>43</v>
      </c>
      <c r="C436" s="6" t="s">
        <v>51</v>
      </c>
      <c r="D436" s="6" t="s">
        <v>115</v>
      </c>
      <c r="E436" s="6" t="n">
        <v>1</v>
      </c>
      <c r="F436" s="6" t="n">
        <v>10</v>
      </c>
      <c r="G436" s="6" t="s">
        <v>73</v>
      </c>
      <c r="H436" s="11" t="n">
        <v>0.05</v>
      </c>
      <c r="I436" s="6" t="n">
        <v>20</v>
      </c>
      <c r="J436" s="6" t="n">
        <v>0</v>
      </c>
      <c r="K436" s="6" t="n">
        <v>20</v>
      </c>
      <c r="L436" s="6" t="n">
        <v>0</v>
      </c>
      <c r="M436" s="6" t="n">
        <v>20</v>
      </c>
      <c r="N436" s="11" t="n">
        <f aca="false">J436/(J436+K436)</f>
        <v>0</v>
      </c>
      <c r="O436" s="11" t="str">
        <f aca="false">IF(J436+L436=0,"",J436/(J436+L436))</f>
        <v/>
      </c>
      <c r="P436" s="11" t="n">
        <f aca="false">2*J436/(2*J436+L436+K436)</f>
        <v>0</v>
      </c>
      <c r="Q436" s="11" t="n">
        <f aca="false">L436/(L436+M436)</f>
        <v>0</v>
      </c>
      <c r="R436" s="6" t="n">
        <v>0</v>
      </c>
      <c r="S436" s="11"/>
      <c r="T436" s="11" t="n">
        <v>0</v>
      </c>
      <c r="U436" s="11" t="n">
        <v>0.65</v>
      </c>
      <c r="V436" s="11" t="n">
        <v>0.65</v>
      </c>
    </row>
    <row r="437" customFormat="false" ht="15" hidden="false" customHeight="false" outlineLevel="0" collapsed="false">
      <c r="A437" s="6" t="s">
        <v>50</v>
      </c>
      <c r="B437" s="6" t="s">
        <v>43</v>
      </c>
      <c r="C437" s="6" t="s">
        <v>51</v>
      </c>
      <c r="D437" s="6" t="s">
        <v>115</v>
      </c>
      <c r="E437" s="6" t="n">
        <v>1</v>
      </c>
      <c r="F437" s="6" t="n">
        <v>10</v>
      </c>
      <c r="G437" s="6" t="s">
        <v>74</v>
      </c>
      <c r="H437" s="11" t="n">
        <v>0.05</v>
      </c>
      <c r="I437" s="6" t="n">
        <v>20</v>
      </c>
      <c r="J437" s="6" t="n">
        <v>1</v>
      </c>
      <c r="K437" s="6" t="n">
        <v>19</v>
      </c>
      <c r="L437" s="6" t="n">
        <v>1</v>
      </c>
      <c r="M437" s="6" t="n">
        <v>19</v>
      </c>
      <c r="N437" s="11" t="n">
        <f aca="false">J437/(J437+K437)</f>
        <v>0.05</v>
      </c>
      <c r="O437" s="11" t="n">
        <f aca="false">IF(J437+L437=0,"",J437/(J437+L437))</f>
        <v>0.5</v>
      </c>
      <c r="P437" s="11" t="n">
        <f aca="false">2*J437/(2*J437+L437+K437)</f>
        <v>0.0909090909090909</v>
      </c>
      <c r="Q437" s="11" t="n">
        <f aca="false">L437/(L437+M437)</f>
        <v>0.05</v>
      </c>
      <c r="R437" s="6" t="n">
        <v>0</v>
      </c>
      <c r="S437" s="11"/>
      <c r="T437" s="11" t="n">
        <v>0.05</v>
      </c>
      <c r="U437" s="11" t="n">
        <v>0.85</v>
      </c>
      <c r="V437" s="11" t="n">
        <v>0.85</v>
      </c>
    </row>
    <row r="438" customFormat="false" ht="15" hidden="false" customHeight="false" outlineLevel="0" collapsed="false">
      <c r="A438" s="6" t="s">
        <v>50</v>
      </c>
      <c r="B438" s="6" t="s">
        <v>43</v>
      </c>
      <c r="C438" s="6" t="s">
        <v>51</v>
      </c>
      <c r="D438" s="6" t="s">
        <v>115</v>
      </c>
      <c r="E438" s="6" t="n">
        <v>1</v>
      </c>
      <c r="F438" s="6" t="n">
        <v>10</v>
      </c>
      <c r="G438" s="6" t="s">
        <v>75</v>
      </c>
      <c r="H438" s="11" t="n">
        <v>0.05</v>
      </c>
      <c r="I438" s="6" t="n">
        <v>20</v>
      </c>
      <c r="J438" s="6" t="n">
        <v>0</v>
      </c>
      <c r="K438" s="6" t="n">
        <v>20</v>
      </c>
      <c r="L438" s="6" t="n">
        <v>0</v>
      </c>
      <c r="M438" s="6" t="n">
        <v>20</v>
      </c>
      <c r="N438" s="11" t="n">
        <f aca="false">J438/(J438+K438)</f>
        <v>0</v>
      </c>
      <c r="O438" s="11" t="str">
        <f aca="false">IF(J438+L438=0,"",J438/(J438+L438))</f>
        <v/>
      </c>
      <c r="P438" s="11" t="n">
        <f aca="false">2*J438/(2*J438+L438+K438)</f>
        <v>0</v>
      </c>
      <c r="Q438" s="11" t="n">
        <f aca="false">L438/(L438+M438)</f>
        <v>0</v>
      </c>
      <c r="R438" s="6" t="n">
        <v>0</v>
      </c>
      <c r="S438" s="11"/>
      <c r="T438" s="11" t="n">
        <v>0</v>
      </c>
      <c r="U438" s="11" t="n">
        <v>0.9</v>
      </c>
      <c r="V438" s="11" t="n">
        <v>0.9</v>
      </c>
    </row>
    <row r="439" customFormat="false" ht="15" hidden="false" customHeight="false" outlineLevel="0" collapsed="false">
      <c r="A439" s="6" t="s">
        <v>50</v>
      </c>
      <c r="B439" s="6" t="s">
        <v>43</v>
      </c>
      <c r="C439" s="6" t="s">
        <v>51</v>
      </c>
      <c r="D439" s="6" t="s">
        <v>115</v>
      </c>
      <c r="E439" s="6" t="n">
        <v>1</v>
      </c>
      <c r="F439" s="6" t="n">
        <v>10</v>
      </c>
      <c r="G439" s="6" t="s">
        <v>76</v>
      </c>
      <c r="H439" s="11" t="n">
        <v>0.05</v>
      </c>
      <c r="I439" s="6" t="n">
        <v>20</v>
      </c>
      <c r="J439" s="6" t="n">
        <v>0</v>
      </c>
      <c r="K439" s="6" t="n">
        <v>20</v>
      </c>
      <c r="L439" s="6" t="n">
        <v>0</v>
      </c>
      <c r="M439" s="6" t="n">
        <v>20</v>
      </c>
      <c r="N439" s="11" t="n">
        <f aca="false">J439/(J439+K439)</f>
        <v>0</v>
      </c>
      <c r="O439" s="11" t="str">
        <f aca="false">IF(J439+L439=0,"",J439/(J439+L439))</f>
        <v/>
      </c>
      <c r="P439" s="11" t="n">
        <f aca="false">2*J439/(2*J439+L439+K439)</f>
        <v>0</v>
      </c>
      <c r="Q439" s="11" t="n">
        <f aca="false">L439/(L439+M439)</f>
        <v>0</v>
      </c>
      <c r="R439" s="6" t="n">
        <v>0</v>
      </c>
      <c r="S439" s="11"/>
      <c r="T439" s="11" t="n">
        <v>0</v>
      </c>
      <c r="U439" s="11" t="n">
        <v>0.95</v>
      </c>
      <c r="V439" s="11" t="n">
        <v>0.95</v>
      </c>
    </row>
    <row r="440" customFormat="false" ht="15" hidden="false" customHeight="false" outlineLevel="0" collapsed="false">
      <c r="A440" s="6" t="s">
        <v>50</v>
      </c>
      <c r="B440" s="6" t="s">
        <v>43</v>
      </c>
      <c r="C440" s="6" t="s">
        <v>51</v>
      </c>
      <c r="D440" s="6" t="s">
        <v>115</v>
      </c>
      <c r="E440" s="6" t="n">
        <v>1</v>
      </c>
      <c r="F440" s="6" t="n">
        <v>10</v>
      </c>
      <c r="G440" s="6" t="s">
        <v>77</v>
      </c>
      <c r="H440" s="11" t="n">
        <v>0.05</v>
      </c>
      <c r="I440" s="6" t="n">
        <v>20</v>
      </c>
      <c r="J440" s="6" t="n">
        <v>1</v>
      </c>
      <c r="K440" s="6" t="n">
        <v>19</v>
      </c>
      <c r="L440" s="6" t="n">
        <v>1</v>
      </c>
      <c r="M440" s="6" t="n">
        <v>19</v>
      </c>
      <c r="N440" s="11" t="n">
        <f aca="false">J440/(J440+K440)</f>
        <v>0.05</v>
      </c>
      <c r="O440" s="11" t="n">
        <f aca="false">IF(J440+L440=0,"",J440/(J440+L440))</f>
        <v>0.5</v>
      </c>
      <c r="P440" s="11" t="n">
        <f aca="false">2*J440/(2*J440+L440+K440)</f>
        <v>0.0909090909090909</v>
      </c>
      <c r="Q440" s="11" t="n">
        <f aca="false">L440/(L440+M440)</f>
        <v>0.05</v>
      </c>
      <c r="R440" s="6" t="n">
        <v>0</v>
      </c>
      <c r="S440" s="11"/>
      <c r="T440" s="11" t="n">
        <v>0.05</v>
      </c>
      <c r="U440" s="11" t="n">
        <v>1</v>
      </c>
      <c r="V440" s="11" t="n">
        <v>1</v>
      </c>
    </row>
    <row r="441" customFormat="false" ht="15" hidden="false" customHeight="false" outlineLevel="0" collapsed="false">
      <c r="A441" s="6" t="s">
        <v>50</v>
      </c>
      <c r="B441" s="6" t="s">
        <v>43</v>
      </c>
      <c r="C441" s="6" t="s">
        <v>51</v>
      </c>
      <c r="D441" s="6" t="s">
        <v>115</v>
      </c>
      <c r="E441" s="6" t="n">
        <v>1</v>
      </c>
      <c r="F441" s="6" t="n">
        <v>10</v>
      </c>
      <c r="G441" s="6" t="s">
        <v>78</v>
      </c>
      <c r="H441" s="11" t="n">
        <v>0.05</v>
      </c>
      <c r="I441" s="6" t="n">
        <v>200</v>
      </c>
      <c r="J441" s="6" t="n">
        <v>6</v>
      </c>
      <c r="K441" s="6" t="n">
        <v>194</v>
      </c>
      <c r="L441" s="6" t="n">
        <v>6</v>
      </c>
      <c r="M441" s="6" t="n">
        <v>194</v>
      </c>
      <c r="N441" s="11" t="n">
        <f aca="false">J441/(J441+K441)</f>
        <v>0.03</v>
      </c>
      <c r="O441" s="11" t="n">
        <f aca="false">IF(J441+L441=0,"",J441/(J441+L441))</f>
        <v>0.5</v>
      </c>
      <c r="P441" s="11" t="n">
        <f aca="false">2*J441/(2*J441+L441+K441)</f>
        <v>0.0566037735849057</v>
      </c>
      <c r="Q441" s="11" t="n">
        <f aca="false">L441/(L441+M441)</f>
        <v>0.03</v>
      </c>
      <c r="R441" s="6" t="n">
        <v>0</v>
      </c>
      <c r="S441" s="11"/>
      <c r="T441" s="11" t="n">
        <v>0.03</v>
      </c>
      <c r="U441" s="11" t="n">
        <v>0.88</v>
      </c>
      <c r="V441" s="11" t="n">
        <v>0.88</v>
      </c>
    </row>
    <row r="442" customFormat="false" ht="15" hidden="false" customHeight="false" outlineLevel="0" collapsed="false">
      <c r="A442" s="6" t="s">
        <v>52</v>
      </c>
      <c r="B442" s="6" t="s">
        <v>43</v>
      </c>
      <c r="C442" s="6" t="s">
        <v>51</v>
      </c>
      <c r="D442" s="6" t="s">
        <v>116</v>
      </c>
      <c r="E442" s="6" t="n">
        <v>16</v>
      </c>
      <c r="F442" s="6" t="n">
        <v>1</v>
      </c>
      <c r="G442" s="6" t="s">
        <v>68</v>
      </c>
      <c r="H442" s="11" t="n">
        <v>0.05</v>
      </c>
      <c r="I442" s="6" t="n">
        <v>20</v>
      </c>
      <c r="J442" s="6" t="n">
        <v>1</v>
      </c>
      <c r="K442" s="6" t="n">
        <v>19</v>
      </c>
      <c r="L442" s="6" t="n">
        <v>2</v>
      </c>
      <c r="M442" s="6" t="n">
        <v>18</v>
      </c>
      <c r="N442" s="11" t="n">
        <f aca="false">J442/(J442+K442)</f>
        <v>0.05</v>
      </c>
      <c r="O442" s="11" t="n">
        <f aca="false">IF(J442+L442=0,"",J442/(J442+L442))</f>
        <v>0.333333333333333</v>
      </c>
      <c r="P442" s="11" t="n">
        <f aca="false">2*J442/(2*J442+L442+K442)</f>
        <v>0.0869565217391304</v>
      </c>
      <c r="Q442" s="11" t="n">
        <f aca="false">L442/(L442+M442)</f>
        <v>0.1</v>
      </c>
      <c r="R442" s="6" t="n">
        <v>0</v>
      </c>
      <c r="S442" s="11"/>
      <c r="T442" s="11" t="n">
        <v>0.05</v>
      </c>
      <c r="U442" s="11" t="n">
        <v>0.85</v>
      </c>
      <c r="V442" s="11" t="n">
        <v>0.85</v>
      </c>
    </row>
    <row r="443" customFormat="false" ht="15" hidden="false" customHeight="false" outlineLevel="0" collapsed="false">
      <c r="A443" s="6" t="s">
        <v>52</v>
      </c>
      <c r="B443" s="6" t="s">
        <v>43</v>
      </c>
      <c r="C443" s="6" t="s">
        <v>51</v>
      </c>
      <c r="D443" s="6" t="s">
        <v>116</v>
      </c>
      <c r="E443" s="6" t="n">
        <v>16</v>
      </c>
      <c r="F443" s="6" t="n">
        <v>1</v>
      </c>
      <c r="G443" s="6" t="s">
        <v>69</v>
      </c>
      <c r="H443" s="11" t="n">
        <v>0.05</v>
      </c>
      <c r="I443" s="6" t="n">
        <v>20</v>
      </c>
      <c r="J443" s="6" t="n">
        <v>1</v>
      </c>
      <c r="K443" s="6" t="n">
        <v>19</v>
      </c>
      <c r="L443" s="6" t="n">
        <v>1</v>
      </c>
      <c r="M443" s="6" t="n">
        <v>19</v>
      </c>
      <c r="N443" s="11" t="n">
        <f aca="false">J443/(J443+K443)</f>
        <v>0.05</v>
      </c>
      <c r="O443" s="11" t="n">
        <f aca="false">IF(J443+L443=0,"",J443/(J443+L443))</f>
        <v>0.5</v>
      </c>
      <c r="P443" s="11" t="n">
        <f aca="false">2*J443/(2*J443+L443+K443)</f>
        <v>0.0909090909090909</v>
      </c>
      <c r="Q443" s="11" t="n">
        <f aca="false">L443/(L443+M443)</f>
        <v>0.05</v>
      </c>
      <c r="R443" s="6" t="n">
        <v>0</v>
      </c>
      <c r="S443" s="11"/>
      <c r="T443" s="11" t="n">
        <v>0.05</v>
      </c>
      <c r="U443" s="11" t="n">
        <v>1</v>
      </c>
      <c r="V443" s="11" t="n">
        <v>1</v>
      </c>
    </row>
    <row r="444" customFormat="false" ht="15" hidden="false" customHeight="false" outlineLevel="0" collapsed="false">
      <c r="A444" s="6" t="s">
        <v>52</v>
      </c>
      <c r="B444" s="6" t="s">
        <v>43</v>
      </c>
      <c r="C444" s="6" t="s">
        <v>51</v>
      </c>
      <c r="D444" s="6" t="s">
        <v>116</v>
      </c>
      <c r="E444" s="6" t="n">
        <v>16</v>
      </c>
      <c r="F444" s="6" t="n">
        <v>1</v>
      </c>
      <c r="G444" s="6" t="s">
        <v>70</v>
      </c>
      <c r="H444" s="11" t="n">
        <v>0.05</v>
      </c>
      <c r="I444" s="6" t="n">
        <v>20</v>
      </c>
      <c r="J444" s="6" t="n">
        <v>0</v>
      </c>
      <c r="K444" s="6" t="n">
        <v>20</v>
      </c>
      <c r="L444" s="6" t="n">
        <v>0</v>
      </c>
      <c r="M444" s="6" t="n">
        <v>20</v>
      </c>
      <c r="N444" s="11" t="n">
        <f aca="false">J444/(J444+K444)</f>
        <v>0</v>
      </c>
      <c r="O444" s="11" t="str">
        <f aca="false">IF(J444+L444=0,"",J444/(J444+L444))</f>
        <v/>
      </c>
      <c r="P444" s="11" t="n">
        <f aca="false">2*J444/(2*J444+L444+K444)</f>
        <v>0</v>
      </c>
      <c r="Q444" s="11" t="n">
        <f aca="false">L444/(L444+M444)</f>
        <v>0</v>
      </c>
      <c r="R444" s="6" t="n">
        <v>0</v>
      </c>
      <c r="S444" s="11"/>
      <c r="T444" s="11" t="n">
        <v>0</v>
      </c>
      <c r="U444" s="11" t="n">
        <v>0.9</v>
      </c>
      <c r="V444" s="11" t="n">
        <v>0.9</v>
      </c>
    </row>
    <row r="445" customFormat="false" ht="15" hidden="false" customHeight="false" outlineLevel="0" collapsed="false">
      <c r="A445" s="6" t="s">
        <v>52</v>
      </c>
      <c r="B445" s="6" t="s">
        <v>43</v>
      </c>
      <c r="C445" s="6" t="s">
        <v>51</v>
      </c>
      <c r="D445" s="6" t="s">
        <v>116</v>
      </c>
      <c r="E445" s="6" t="n">
        <v>16</v>
      </c>
      <c r="F445" s="6" t="n">
        <v>1</v>
      </c>
      <c r="G445" s="6" t="s">
        <v>71</v>
      </c>
      <c r="H445" s="11" t="n">
        <v>0.05</v>
      </c>
      <c r="I445" s="6" t="n">
        <v>20</v>
      </c>
      <c r="J445" s="6" t="n">
        <v>0</v>
      </c>
      <c r="K445" s="6" t="n">
        <v>20</v>
      </c>
      <c r="L445" s="6" t="n">
        <v>0</v>
      </c>
      <c r="M445" s="6" t="n">
        <v>20</v>
      </c>
      <c r="N445" s="11" t="n">
        <f aca="false">J445/(J445+K445)</f>
        <v>0</v>
      </c>
      <c r="O445" s="11" t="str">
        <f aca="false">IF(J445+L445=0,"",J445/(J445+L445))</f>
        <v/>
      </c>
      <c r="P445" s="11" t="n">
        <f aca="false">2*J445/(2*J445+L445+K445)</f>
        <v>0</v>
      </c>
      <c r="Q445" s="11" t="n">
        <f aca="false">L445/(L445+M445)</f>
        <v>0</v>
      </c>
      <c r="R445" s="6" t="n">
        <v>0</v>
      </c>
      <c r="S445" s="11"/>
      <c r="T445" s="11" t="n">
        <v>0</v>
      </c>
      <c r="U445" s="11" t="n">
        <v>0.8</v>
      </c>
      <c r="V445" s="11" t="n">
        <v>0.8</v>
      </c>
    </row>
    <row r="446" customFormat="false" ht="15" hidden="false" customHeight="false" outlineLevel="0" collapsed="false">
      <c r="A446" s="6" t="s">
        <v>52</v>
      </c>
      <c r="B446" s="6" t="s">
        <v>43</v>
      </c>
      <c r="C446" s="6" t="s">
        <v>51</v>
      </c>
      <c r="D446" s="6" t="s">
        <v>116</v>
      </c>
      <c r="E446" s="6" t="n">
        <v>16</v>
      </c>
      <c r="F446" s="6" t="n">
        <v>1</v>
      </c>
      <c r="G446" s="6" t="s">
        <v>72</v>
      </c>
      <c r="H446" s="11" t="n">
        <v>0.05</v>
      </c>
      <c r="I446" s="6" t="n">
        <v>20</v>
      </c>
      <c r="J446" s="6" t="n">
        <v>1</v>
      </c>
      <c r="K446" s="6" t="n">
        <v>19</v>
      </c>
      <c r="L446" s="6" t="n">
        <v>1</v>
      </c>
      <c r="M446" s="6" t="n">
        <v>19</v>
      </c>
      <c r="N446" s="11" t="n">
        <f aca="false">J446/(J446+K446)</f>
        <v>0.05</v>
      </c>
      <c r="O446" s="11" t="n">
        <f aca="false">IF(J446+L446=0,"",J446/(J446+L446))</f>
        <v>0.5</v>
      </c>
      <c r="P446" s="11" t="n">
        <f aca="false">2*J446/(2*J446+L446+K446)</f>
        <v>0.0909090909090909</v>
      </c>
      <c r="Q446" s="11" t="n">
        <f aca="false">L446/(L446+M446)</f>
        <v>0.05</v>
      </c>
      <c r="R446" s="6" t="n">
        <v>0</v>
      </c>
      <c r="S446" s="11"/>
      <c r="T446" s="11" t="n">
        <v>0.05</v>
      </c>
      <c r="U446" s="11" t="n">
        <v>0.9</v>
      </c>
      <c r="V446" s="11" t="n">
        <v>0.9</v>
      </c>
    </row>
    <row r="447" customFormat="false" ht="15" hidden="false" customHeight="false" outlineLevel="0" collapsed="false">
      <c r="A447" s="6" t="s">
        <v>52</v>
      </c>
      <c r="B447" s="6" t="s">
        <v>43</v>
      </c>
      <c r="C447" s="6" t="s">
        <v>51</v>
      </c>
      <c r="D447" s="6" t="s">
        <v>116</v>
      </c>
      <c r="E447" s="6" t="n">
        <v>16</v>
      </c>
      <c r="F447" s="6" t="n">
        <v>1</v>
      </c>
      <c r="G447" s="6" t="s">
        <v>73</v>
      </c>
      <c r="H447" s="11" t="n">
        <v>0.05</v>
      </c>
      <c r="I447" s="6" t="n">
        <v>20</v>
      </c>
      <c r="J447" s="6" t="n">
        <v>0</v>
      </c>
      <c r="K447" s="6" t="n">
        <v>20</v>
      </c>
      <c r="L447" s="6" t="n">
        <v>0</v>
      </c>
      <c r="M447" s="6" t="n">
        <v>20</v>
      </c>
      <c r="N447" s="11" t="n">
        <f aca="false">J447/(J447+K447)</f>
        <v>0</v>
      </c>
      <c r="O447" s="11" t="str">
        <f aca="false">IF(J447+L447=0,"",J447/(J447+L447))</f>
        <v/>
      </c>
      <c r="P447" s="11" t="n">
        <f aca="false">2*J447/(2*J447+L447+K447)</f>
        <v>0</v>
      </c>
      <c r="Q447" s="11" t="n">
        <f aca="false">L447/(L447+M447)</f>
        <v>0</v>
      </c>
      <c r="R447" s="6" t="n">
        <v>1</v>
      </c>
      <c r="S447" s="11" t="n">
        <v>0</v>
      </c>
      <c r="T447" s="11" t="n">
        <v>0</v>
      </c>
      <c r="U447" s="11" t="n">
        <v>0.65</v>
      </c>
      <c r="V447" s="11" t="n">
        <v>0.65</v>
      </c>
    </row>
    <row r="448" customFormat="false" ht="15" hidden="false" customHeight="false" outlineLevel="0" collapsed="false">
      <c r="A448" s="6" t="s">
        <v>52</v>
      </c>
      <c r="B448" s="6" t="s">
        <v>43</v>
      </c>
      <c r="C448" s="6" t="s">
        <v>51</v>
      </c>
      <c r="D448" s="6" t="s">
        <v>116</v>
      </c>
      <c r="E448" s="6" t="n">
        <v>16</v>
      </c>
      <c r="F448" s="6" t="n">
        <v>1</v>
      </c>
      <c r="G448" s="6" t="s">
        <v>74</v>
      </c>
      <c r="H448" s="11" t="n">
        <v>0.05</v>
      </c>
      <c r="I448" s="6" t="n">
        <v>20</v>
      </c>
      <c r="J448" s="6" t="n">
        <v>1</v>
      </c>
      <c r="K448" s="6" t="n">
        <v>19</v>
      </c>
      <c r="L448" s="6" t="n">
        <v>1</v>
      </c>
      <c r="M448" s="6" t="n">
        <v>19</v>
      </c>
      <c r="N448" s="11" t="n">
        <f aca="false">J448/(J448+K448)</f>
        <v>0.05</v>
      </c>
      <c r="O448" s="11" t="n">
        <f aca="false">IF(J448+L448=0,"",J448/(J448+L448))</f>
        <v>0.5</v>
      </c>
      <c r="P448" s="11" t="n">
        <f aca="false">2*J448/(2*J448+L448+K448)</f>
        <v>0.0909090909090909</v>
      </c>
      <c r="Q448" s="11" t="n">
        <f aca="false">L448/(L448+M448)</f>
        <v>0.05</v>
      </c>
      <c r="R448" s="6" t="n">
        <v>3</v>
      </c>
      <c r="S448" s="11" t="n">
        <v>0</v>
      </c>
      <c r="T448" s="11" t="n">
        <v>0.0588235294117647</v>
      </c>
      <c r="U448" s="11" t="n">
        <v>0.85</v>
      </c>
      <c r="V448" s="11" t="n">
        <v>0.95</v>
      </c>
    </row>
    <row r="449" customFormat="false" ht="15" hidden="false" customHeight="false" outlineLevel="0" collapsed="false">
      <c r="A449" s="6" t="s">
        <v>52</v>
      </c>
      <c r="B449" s="6" t="s">
        <v>43</v>
      </c>
      <c r="C449" s="6" t="s">
        <v>51</v>
      </c>
      <c r="D449" s="6" t="s">
        <v>116</v>
      </c>
      <c r="E449" s="6" t="n">
        <v>16</v>
      </c>
      <c r="F449" s="6" t="n">
        <v>1</v>
      </c>
      <c r="G449" s="6" t="s">
        <v>75</v>
      </c>
      <c r="H449" s="11" t="n">
        <v>0.05</v>
      </c>
      <c r="I449" s="6" t="n">
        <v>20</v>
      </c>
      <c r="J449" s="6" t="n">
        <v>0</v>
      </c>
      <c r="K449" s="6" t="n">
        <v>20</v>
      </c>
      <c r="L449" s="6" t="n">
        <v>0</v>
      </c>
      <c r="M449" s="6" t="n">
        <v>20</v>
      </c>
      <c r="N449" s="11" t="n">
        <f aca="false">J449/(J449+K449)</f>
        <v>0</v>
      </c>
      <c r="O449" s="11" t="str">
        <f aca="false">IF(J449+L449=0,"",J449/(J449+L449))</f>
        <v/>
      </c>
      <c r="P449" s="11" t="n">
        <f aca="false">2*J449/(2*J449+L449+K449)</f>
        <v>0</v>
      </c>
      <c r="Q449" s="11" t="n">
        <f aca="false">L449/(L449+M449)</f>
        <v>0</v>
      </c>
      <c r="R449" s="6" t="n">
        <v>0</v>
      </c>
      <c r="S449" s="11"/>
      <c r="T449" s="11" t="n">
        <v>0</v>
      </c>
      <c r="U449" s="11" t="n">
        <v>0.9</v>
      </c>
      <c r="V449" s="11" t="n">
        <v>0.9</v>
      </c>
    </row>
    <row r="450" customFormat="false" ht="15" hidden="false" customHeight="false" outlineLevel="0" collapsed="false">
      <c r="A450" s="6" t="s">
        <v>52</v>
      </c>
      <c r="B450" s="6" t="s">
        <v>43</v>
      </c>
      <c r="C450" s="6" t="s">
        <v>51</v>
      </c>
      <c r="D450" s="6" t="s">
        <v>116</v>
      </c>
      <c r="E450" s="6" t="n">
        <v>16</v>
      </c>
      <c r="F450" s="6" t="n">
        <v>1</v>
      </c>
      <c r="G450" s="6" t="s">
        <v>76</v>
      </c>
      <c r="H450" s="11" t="n">
        <v>0.05</v>
      </c>
      <c r="I450" s="6" t="n">
        <v>20</v>
      </c>
      <c r="J450" s="6" t="n">
        <v>0</v>
      </c>
      <c r="K450" s="6" t="n">
        <v>20</v>
      </c>
      <c r="L450" s="6" t="n">
        <v>0</v>
      </c>
      <c r="M450" s="6" t="n">
        <v>20</v>
      </c>
      <c r="N450" s="11" t="n">
        <f aca="false">J450/(J450+K450)</f>
        <v>0</v>
      </c>
      <c r="O450" s="11" t="str">
        <f aca="false">IF(J450+L450=0,"",J450/(J450+L450))</f>
        <v/>
      </c>
      <c r="P450" s="11" t="n">
        <f aca="false">2*J450/(2*J450+L450+K450)</f>
        <v>0</v>
      </c>
      <c r="Q450" s="11" t="n">
        <f aca="false">L450/(L450+M450)</f>
        <v>0</v>
      </c>
      <c r="R450" s="6" t="n">
        <v>0</v>
      </c>
      <c r="S450" s="11"/>
      <c r="T450" s="11" t="n">
        <v>0</v>
      </c>
      <c r="U450" s="11" t="n">
        <v>0.95</v>
      </c>
      <c r="V450" s="11" t="n">
        <v>0.95</v>
      </c>
    </row>
    <row r="451" customFormat="false" ht="15" hidden="false" customHeight="false" outlineLevel="0" collapsed="false">
      <c r="A451" s="6" t="s">
        <v>52</v>
      </c>
      <c r="B451" s="6" t="s">
        <v>43</v>
      </c>
      <c r="C451" s="6" t="s">
        <v>51</v>
      </c>
      <c r="D451" s="6" t="s">
        <v>116</v>
      </c>
      <c r="E451" s="6" t="n">
        <v>16</v>
      </c>
      <c r="F451" s="6" t="n">
        <v>1</v>
      </c>
      <c r="G451" s="6" t="s">
        <v>77</v>
      </c>
      <c r="H451" s="11" t="n">
        <v>0.05</v>
      </c>
      <c r="I451" s="6" t="n">
        <v>20</v>
      </c>
      <c r="J451" s="6" t="n">
        <v>1</v>
      </c>
      <c r="K451" s="6" t="n">
        <v>19</v>
      </c>
      <c r="L451" s="6" t="n">
        <v>1</v>
      </c>
      <c r="M451" s="6" t="n">
        <v>19</v>
      </c>
      <c r="N451" s="11" t="n">
        <f aca="false">J451/(J451+K451)</f>
        <v>0.05</v>
      </c>
      <c r="O451" s="11" t="n">
        <f aca="false">IF(J451+L451=0,"",J451/(J451+L451))</f>
        <v>0.5</v>
      </c>
      <c r="P451" s="11" t="n">
        <f aca="false">2*J451/(2*J451+L451+K451)</f>
        <v>0.0909090909090909</v>
      </c>
      <c r="Q451" s="11" t="n">
        <f aca="false">L451/(L451+M451)</f>
        <v>0.05</v>
      </c>
      <c r="R451" s="6" t="n">
        <v>0</v>
      </c>
      <c r="S451" s="11"/>
      <c r="T451" s="11" t="n">
        <v>0.05</v>
      </c>
      <c r="U451" s="11" t="n">
        <v>1</v>
      </c>
      <c r="V451" s="11" t="n">
        <v>1</v>
      </c>
    </row>
    <row r="452" customFormat="false" ht="15" hidden="false" customHeight="false" outlineLevel="0" collapsed="false">
      <c r="A452" s="6" t="s">
        <v>52</v>
      </c>
      <c r="B452" s="6" t="s">
        <v>43</v>
      </c>
      <c r="C452" s="6" t="s">
        <v>51</v>
      </c>
      <c r="D452" s="6" t="s">
        <v>116</v>
      </c>
      <c r="E452" s="6" t="n">
        <v>16</v>
      </c>
      <c r="F452" s="6" t="n">
        <v>1</v>
      </c>
      <c r="G452" s="6" t="s">
        <v>78</v>
      </c>
      <c r="H452" s="11" t="n">
        <v>0.05</v>
      </c>
      <c r="I452" s="6" t="n">
        <v>200</v>
      </c>
      <c r="J452" s="6" t="n">
        <v>5</v>
      </c>
      <c r="K452" s="6" t="n">
        <v>195</v>
      </c>
      <c r="L452" s="6" t="n">
        <v>6</v>
      </c>
      <c r="M452" s="6" t="n">
        <v>194</v>
      </c>
      <c r="N452" s="11" t="n">
        <f aca="false">J452/(J452+K452)</f>
        <v>0.025</v>
      </c>
      <c r="O452" s="11" t="n">
        <f aca="false">IF(J452+L452=0,"",J452/(J452+L452))</f>
        <v>0.454545454545455</v>
      </c>
      <c r="P452" s="11" t="n">
        <f aca="false">2*J452/(2*J452+L452+K452)</f>
        <v>0.04739336492891</v>
      </c>
      <c r="Q452" s="11" t="n">
        <f aca="false">L452/(L452+M452)</f>
        <v>0.03</v>
      </c>
      <c r="R452" s="6" t="n">
        <v>4</v>
      </c>
      <c r="S452" s="11" t="n">
        <v>0</v>
      </c>
      <c r="T452" s="11" t="n">
        <v>0.0255102040816327</v>
      </c>
      <c r="U452" s="11" t="n">
        <v>0.88</v>
      </c>
      <c r="V452" s="11" t="n">
        <v>0.89</v>
      </c>
    </row>
    <row r="453" customFormat="false" ht="15" hidden="false" customHeight="false" outlineLevel="0" collapsed="false">
      <c r="A453" s="6" t="s">
        <v>52</v>
      </c>
      <c r="B453" s="6" t="s">
        <v>43</v>
      </c>
      <c r="C453" s="6" t="s">
        <v>51</v>
      </c>
      <c r="D453" s="6" t="s">
        <v>116</v>
      </c>
      <c r="E453" s="6" t="n">
        <v>16</v>
      </c>
      <c r="F453" s="6" t="n">
        <v>2</v>
      </c>
      <c r="G453" s="6" t="s">
        <v>68</v>
      </c>
      <c r="H453" s="11" t="n">
        <v>0.05</v>
      </c>
      <c r="I453" s="6" t="n">
        <v>20</v>
      </c>
      <c r="J453" s="6" t="n">
        <v>2</v>
      </c>
      <c r="K453" s="6" t="n">
        <v>18</v>
      </c>
      <c r="L453" s="6" t="n">
        <v>2</v>
      </c>
      <c r="M453" s="6" t="n">
        <v>18</v>
      </c>
      <c r="N453" s="11" t="n">
        <f aca="false">J453/(J453+K453)</f>
        <v>0.1</v>
      </c>
      <c r="O453" s="11" t="n">
        <f aca="false">IF(J453+L453=0,"",J453/(J453+L453))</f>
        <v>0.5</v>
      </c>
      <c r="P453" s="11" t="n">
        <f aca="false">2*J453/(2*J453+L453+K453)</f>
        <v>0.166666666666667</v>
      </c>
      <c r="Q453" s="11" t="n">
        <f aca="false">L453/(L453+M453)</f>
        <v>0.1</v>
      </c>
      <c r="R453" s="6" t="n">
        <v>0</v>
      </c>
      <c r="S453" s="11"/>
      <c r="T453" s="11" t="n">
        <v>0.1</v>
      </c>
      <c r="U453" s="11" t="n">
        <v>0.85</v>
      </c>
      <c r="V453" s="11" t="n">
        <v>0.85</v>
      </c>
    </row>
    <row r="454" customFormat="false" ht="15" hidden="false" customHeight="false" outlineLevel="0" collapsed="false">
      <c r="A454" s="6" t="s">
        <v>52</v>
      </c>
      <c r="B454" s="6" t="s">
        <v>43</v>
      </c>
      <c r="C454" s="6" t="s">
        <v>51</v>
      </c>
      <c r="D454" s="6" t="s">
        <v>116</v>
      </c>
      <c r="E454" s="6" t="n">
        <v>16</v>
      </c>
      <c r="F454" s="6" t="n">
        <v>2</v>
      </c>
      <c r="G454" s="6" t="s">
        <v>69</v>
      </c>
      <c r="H454" s="11" t="n">
        <v>0.05</v>
      </c>
      <c r="I454" s="6" t="n">
        <v>20</v>
      </c>
      <c r="J454" s="6" t="n">
        <v>1</v>
      </c>
      <c r="K454" s="6" t="n">
        <v>19</v>
      </c>
      <c r="L454" s="6" t="n">
        <v>1</v>
      </c>
      <c r="M454" s="6" t="n">
        <v>19</v>
      </c>
      <c r="N454" s="11" t="n">
        <f aca="false">J454/(J454+K454)</f>
        <v>0.05</v>
      </c>
      <c r="O454" s="11" t="n">
        <f aca="false">IF(J454+L454=0,"",J454/(J454+L454))</f>
        <v>0.5</v>
      </c>
      <c r="P454" s="11" t="n">
        <f aca="false">2*J454/(2*J454+L454+K454)</f>
        <v>0.0909090909090909</v>
      </c>
      <c r="Q454" s="11" t="n">
        <f aca="false">L454/(L454+M454)</f>
        <v>0.05</v>
      </c>
      <c r="R454" s="6" t="n">
        <v>0</v>
      </c>
      <c r="S454" s="11"/>
      <c r="T454" s="11" t="n">
        <v>0.05</v>
      </c>
      <c r="U454" s="11" t="n">
        <v>1</v>
      </c>
      <c r="V454" s="11" t="n">
        <v>1</v>
      </c>
    </row>
    <row r="455" customFormat="false" ht="15" hidden="false" customHeight="false" outlineLevel="0" collapsed="false">
      <c r="A455" s="6" t="s">
        <v>52</v>
      </c>
      <c r="B455" s="6" t="s">
        <v>43</v>
      </c>
      <c r="C455" s="6" t="s">
        <v>51</v>
      </c>
      <c r="D455" s="6" t="s">
        <v>116</v>
      </c>
      <c r="E455" s="6" t="n">
        <v>16</v>
      </c>
      <c r="F455" s="6" t="n">
        <v>2</v>
      </c>
      <c r="G455" s="6" t="s">
        <v>70</v>
      </c>
      <c r="H455" s="11" t="n">
        <v>0.05</v>
      </c>
      <c r="I455" s="6" t="n">
        <v>20</v>
      </c>
      <c r="J455" s="6" t="n">
        <v>0</v>
      </c>
      <c r="K455" s="6" t="n">
        <v>20</v>
      </c>
      <c r="L455" s="6" t="n">
        <v>0</v>
      </c>
      <c r="M455" s="6" t="n">
        <v>20</v>
      </c>
      <c r="N455" s="11" t="n">
        <f aca="false">J455/(J455+K455)</f>
        <v>0</v>
      </c>
      <c r="O455" s="11" t="str">
        <f aca="false">IF(J455+L455=0,"",J455/(J455+L455))</f>
        <v/>
      </c>
      <c r="P455" s="11" t="n">
        <f aca="false">2*J455/(2*J455+L455+K455)</f>
        <v>0</v>
      </c>
      <c r="Q455" s="11" t="n">
        <f aca="false">L455/(L455+M455)</f>
        <v>0</v>
      </c>
      <c r="R455" s="6" t="n">
        <v>0</v>
      </c>
      <c r="S455" s="11"/>
      <c r="T455" s="11" t="n">
        <v>0</v>
      </c>
      <c r="U455" s="11" t="n">
        <v>0.9</v>
      </c>
      <c r="V455" s="11" t="n">
        <v>0.9</v>
      </c>
    </row>
    <row r="456" customFormat="false" ht="15" hidden="false" customHeight="false" outlineLevel="0" collapsed="false">
      <c r="A456" s="6" t="s">
        <v>52</v>
      </c>
      <c r="B456" s="6" t="s">
        <v>43</v>
      </c>
      <c r="C456" s="6" t="s">
        <v>51</v>
      </c>
      <c r="D456" s="6" t="s">
        <v>116</v>
      </c>
      <c r="E456" s="6" t="n">
        <v>16</v>
      </c>
      <c r="F456" s="6" t="n">
        <v>2</v>
      </c>
      <c r="G456" s="6" t="s">
        <v>71</v>
      </c>
      <c r="H456" s="11" t="n">
        <v>0.05</v>
      </c>
      <c r="I456" s="6" t="n">
        <v>20</v>
      </c>
      <c r="J456" s="6" t="n">
        <v>0</v>
      </c>
      <c r="K456" s="6" t="n">
        <v>20</v>
      </c>
      <c r="L456" s="6" t="n">
        <v>0</v>
      </c>
      <c r="M456" s="6" t="n">
        <v>20</v>
      </c>
      <c r="N456" s="11" t="n">
        <f aca="false">J456/(J456+K456)</f>
        <v>0</v>
      </c>
      <c r="O456" s="11" t="str">
        <f aca="false">IF(J456+L456=0,"",J456/(J456+L456))</f>
        <v/>
      </c>
      <c r="P456" s="11" t="n">
        <f aca="false">2*J456/(2*J456+L456+K456)</f>
        <v>0</v>
      </c>
      <c r="Q456" s="11" t="n">
        <f aca="false">L456/(L456+M456)</f>
        <v>0</v>
      </c>
      <c r="R456" s="6" t="n">
        <v>0</v>
      </c>
      <c r="S456" s="11"/>
      <c r="T456" s="11" t="n">
        <v>0</v>
      </c>
      <c r="U456" s="11" t="n">
        <v>0.8</v>
      </c>
      <c r="V456" s="11" t="n">
        <v>0.8</v>
      </c>
    </row>
    <row r="457" customFormat="false" ht="15" hidden="false" customHeight="false" outlineLevel="0" collapsed="false">
      <c r="A457" s="6" t="s">
        <v>52</v>
      </c>
      <c r="B457" s="6" t="s">
        <v>43</v>
      </c>
      <c r="C457" s="6" t="s">
        <v>51</v>
      </c>
      <c r="D457" s="6" t="s">
        <v>116</v>
      </c>
      <c r="E457" s="6" t="n">
        <v>16</v>
      </c>
      <c r="F457" s="6" t="n">
        <v>2</v>
      </c>
      <c r="G457" s="6" t="s">
        <v>72</v>
      </c>
      <c r="H457" s="11" t="n">
        <v>0.05</v>
      </c>
      <c r="I457" s="6" t="n">
        <v>20</v>
      </c>
      <c r="J457" s="6" t="n">
        <v>1</v>
      </c>
      <c r="K457" s="6" t="n">
        <v>19</v>
      </c>
      <c r="L457" s="6" t="n">
        <v>1</v>
      </c>
      <c r="M457" s="6" t="n">
        <v>19</v>
      </c>
      <c r="N457" s="11" t="n">
        <f aca="false">J457/(J457+K457)</f>
        <v>0.05</v>
      </c>
      <c r="O457" s="11" t="n">
        <f aca="false">IF(J457+L457=0,"",J457/(J457+L457))</f>
        <v>0.5</v>
      </c>
      <c r="P457" s="11" t="n">
        <f aca="false">2*J457/(2*J457+L457+K457)</f>
        <v>0.0909090909090909</v>
      </c>
      <c r="Q457" s="11" t="n">
        <f aca="false">L457/(L457+M457)</f>
        <v>0.05</v>
      </c>
      <c r="R457" s="6" t="n">
        <v>0</v>
      </c>
      <c r="S457" s="11"/>
      <c r="T457" s="11" t="n">
        <v>0.05</v>
      </c>
      <c r="U457" s="11" t="n">
        <v>0.9</v>
      </c>
      <c r="V457" s="11" t="n">
        <v>0.9</v>
      </c>
    </row>
    <row r="458" customFormat="false" ht="15" hidden="false" customHeight="false" outlineLevel="0" collapsed="false">
      <c r="A458" s="6" t="s">
        <v>52</v>
      </c>
      <c r="B458" s="6" t="s">
        <v>43</v>
      </c>
      <c r="C458" s="6" t="s">
        <v>51</v>
      </c>
      <c r="D458" s="6" t="s">
        <v>116</v>
      </c>
      <c r="E458" s="6" t="n">
        <v>16</v>
      </c>
      <c r="F458" s="6" t="n">
        <v>2</v>
      </c>
      <c r="G458" s="6" t="s">
        <v>73</v>
      </c>
      <c r="H458" s="11" t="n">
        <v>0.05</v>
      </c>
      <c r="I458" s="6" t="n">
        <v>20</v>
      </c>
      <c r="J458" s="6" t="n">
        <v>0</v>
      </c>
      <c r="K458" s="6" t="n">
        <v>20</v>
      </c>
      <c r="L458" s="6" t="n">
        <v>0</v>
      </c>
      <c r="M458" s="6" t="n">
        <v>20</v>
      </c>
      <c r="N458" s="11" t="n">
        <f aca="false">J458/(J458+K458)</f>
        <v>0</v>
      </c>
      <c r="O458" s="11" t="str">
        <f aca="false">IF(J458+L458=0,"",J458/(J458+L458))</f>
        <v/>
      </c>
      <c r="P458" s="11" t="n">
        <f aca="false">2*J458/(2*J458+L458+K458)</f>
        <v>0</v>
      </c>
      <c r="Q458" s="11" t="n">
        <f aca="false">L458/(L458+M458)</f>
        <v>0</v>
      </c>
      <c r="R458" s="6" t="n">
        <v>1</v>
      </c>
      <c r="S458" s="11" t="n">
        <v>0</v>
      </c>
      <c r="T458" s="11" t="n">
        <v>0</v>
      </c>
      <c r="U458" s="11" t="n">
        <v>0.65</v>
      </c>
      <c r="V458" s="11" t="n">
        <v>0.65</v>
      </c>
    </row>
    <row r="459" customFormat="false" ht="15" hidden="false" customHeight="false" outlineLevel="0" collapsed="false">
      <c r="A459" s="6" t="s">
        <v>52</v>
      </c>
      <c r="B459" s="6" t="s">
        <v>43</v>
      </c>
      <c r="C459" s="6" t="s">
        <v>51</v>
      </c>
      <c r="D459" s="6" t="s">
        <v>116</v>
      </c>
      <c r="E459" s="6" t="n">
        <v>16</v>
      </c>
      <c r="F459" s="6" t="n">
        <v>2</v>
      </c>
      <c r="G459" s="6" t="s">
        <v>74</v>
      </c>
      <c r="H459" s="11" t="n">
        <v>0.05</v>
      </c>
      <c r="I459" s="6" t="n">
        <v>20</v>
      </c>
      <c r="J459" s="6" t="n">
        <v>1</v>
      </c>
      <c r="K459" s="6" t="n">
        <v>19</v>
      </c>
      <c r="L459" s="6" t="n">
        <v>1</v>
      </c>
      <c r="M459" s="6" t="n">
        <v>19</v>
      </c>
      <c r="N459" s="11" t="n">
        <f aca="false">J459/(J459+K459)</f>
        <v>0.05</v>
      </c>
      <c r="O459" s="11" t="n">
        <f aca="false">IF(J459+L459=0,"",J459/(J459+L459))</f>
        <v>0.5</v>
      </c>
      <c r="P459" s="11" t="n">
        <f aca="false">2*J459/(2*J459+L459+K459)</f>
        <v>0.0909090909090909</v>
      </c>
      <c r="Q459" s="11" t="n">
        <f aca="false">L459/(L459+M459)</f>
        <v>0.05</v>
      </c>
      <c r="R459" s="6" t="n">
        <v>0</v>
      </c>
      <c r="S459" s="11"/>
      <c r="T459" s="11" t="n">
        <v>0.05</v>
      </c>
      <c r="U459" s="11" t="n">
        <v>0.85</v>
      </c>
      <c r="V459" s="11" t="n">
        <v>0.85</v>
      </c>
    </row>
    <row r="460" customFormat="false" ht="15" hidden="false" customHeight="false" outlineLevel="0" collapsed="false">
      <c r="A460" s="6" t="s">
        <v>52</v>
      </c>
      <c r="B460" s="6" t="s">
        <v>43</v>
      </c>
      <c r="C460" s="6" t="s">
        <v>51</v>
      </c>
      <c r="D460" s="6" t="s">
        <v>116</v>
      </c>
      <c r="E460" s="6" t="n">
        <v>16</v>
      </c>
      <c r="F460" s="6" t="n">
        <v>2</v>
      </c>
      <c r="G460" s="6" t="s">
        <v>75</v>
      </c>
      <c r="H460" s="11" t="n">
        <v>0.05</v>
      </c>
      <c r="I460" s="6" t="n">
        <v>20</v>
      </c>
      <c r="J460" s="6" t="n">
        <v>0</v>
      </c>
      <c r="K460" s="6" t="n">
        <v>20</v>
      </c>
      <c r="L460" s="6" t="n">
        <v>0</v>
      </c>
      <c r="M460" s="6" t="n">
        <v>20</v>
      </c>
      <c r="N460" s="11" t="n">
        <f aca="false">J460/(J460+K460)</f>
        <v>0</v>
      </c>
      <c r="O460" s="11" t="str">
        <f aca="false">IF(J460+L460=0,"",J460/(J460+L460))</f>
        <v/>
      </c>
      <c r="P460" s="11" t="n">
        <f aca="false">2*J460/(2*J460+L460+K460)</f>
        <v>0</v>
      </c>
      <c r="Q460" s="11" t="n">
        <f aca="false">L460/(L460+M460)</f>
        <v>0</v>
      </c>
      <c r="R460" s="6" t="n">
        <v>0</v>
      </c>
      <c r="S460" s="11"/>
      <c r="T460" s="11" t="n">
        <v>0</v>
      </c>
      <c r="U460" s="11" t="n">
        <v>0.9</v>
      </c>
      <c r="V460" s="11" t="n">
        <v>0.9</v>
      </c>
    </row>
    <row r="461" customFormat="false" ht="15" hidden="false" customHeight="false" outlineLevel="0" collapsed="false">
      <c r="A461" s="6" t="s">
        <v>52</v>
      </c>
      <c r="B461" s="6" t="s">
        <v>43</v>
      </c>
      <c r="C461" s="6" t="s">
        <v>51</v>
      </c>
      <c r="D461" s="6" t="s">
        <v>116</v>
      </c>
      <c r="E461" s="6" t="n">
        <v>16</v>
      </c>
      <c r="F461" s="6" t="n">
        <v>2</v>
      </c>
      <c r="G461" s="6" t="s">
        <v>76</v>
      </c>
      <c r="H461" s="11" t="n">
        <v>0.05</v>
      </c>
      <c r="I461" s="6" t="n">
        <v>20</v>
      </c>
      <c r="J461" s="6" t="n">
        <v>0</v>
      </c>
      <c r="K461" s="6" t="n">
        <v>20</v>
      </c>
      <c r="L461" s="6" t="n">
        <v>0</v>
      </c>
      <c r="M461" s="6" t="n">
        <v>20</v>
      </c>
      <c r="N461" s="11" t="n">
        <f aca="false">J461/(J461+K461)</f>
        <v>0</v>
      </c>
      <c r="O461" s="11" t="str">
        <f aca="false">IF(J461+L461=0,"",J461/(J461+L461))</f>
        <v/>
      </c>
      <c r="P461" s="11" t="n">
        <f aca="false">2*J461/(2*J461+L461+K461)</f>
        <v>0</v>
      </c>
      <c r="Q461" s="11" t="n">
        <f aca="false">L461/(L461+M461)</f>
        <v>0</v>
      </c>
      <c r="R461" s="6" t="n">
        <v>0</v>
      </c>
      <c r="S461" s="11"/>
      <c r="T461" s="11" t="n">
        <v>0</v>
      </c>
      <c r="U461" s="11" t="n">
        <v>0.95</v>
      </c>
      <c r="V461" s="11" t="n">
        <v>0.95</v>
      </c>
    </row>
    <row r="462" customFormat="false" ht="15" hidden="false" customHeight="false" outlineLevel="0" collapsed="false">
      <c r="A462" s="6" t="s">
        <v>52</v>
      </c>
      <c r="B462" s="6" t="s">
        <v>43</v>
      </c>
      <c r="C462" s="6" t="s">
        <v>51</v>
      </c>
      <c r="D462" s="6" t="s">
        <v>116</v>
      </c>
      <c r="E462" s="6" t="n">
        <v>16</v>
      </c>
      <c r="F462" s="6" t="n">
        <v>2</v>
      </c>
      <c r="G462" s="6" t="s">
        <v>77</v>
      </c>
      <c r="H462" s="11" t="n">
        <v>0.05</v>
      </c>
      <c r="I462" s="6" t="n">
        <v>20</v>
      </c>
      <c r="J462" s="6" t="n">
        <v>1</v>
      </c>
      <c r="K462" s="6" t="n">
        <v>19</v>
      </c>
      <c r="L462" s="6" t="n">
        <v>1</v>
      </c>
      <c r="M462" s="6" t="n">
        <v>19</v>
      </c>
      <c r="N462" s="11" t="n">
        <f aca="false">J462/(J462+K462)</f>
        <v>0.05</v>
      </c>
      <c r="O462" s="11" t="n">
        <f aca="false">IF(J462+L462=0,"",J462/(J462+L462))</f>
        <v>0.5</v>
      </c>
      <c r="P462" s="11" t="n">
        <f aca="false">2*J462/(2*J462+L462+K462)</f>
        <v>0.0909090909090909</v>
      </c>
      <c r="Q462" s="11" t="n">
        <f aca="false">L462/(L462+M462)</f>
        <v>0.05</v>
      </c>
      <c r="R462" s="6" t="n">
        <v>0</v>
      </c>
      <c r="S462" s="11"/>
      <c r="T462" s="11" t="n">
        <v>0.05</v>
      </c>
      <c r="U462" s="11" t="n">
        <v>1</v>
      </c>
      <c r="V462" s="11" t="n">
        <v>1</v>
      </c>
    </row>
    <row r="463" customFormat="false" ht="15" hidden="false" customHeight="false" outlineLevel="0" collapsed="false">
      <c r="A463" s="6" t="s">
        <v>52</v>
      </c>
      <c r="B463" s="6" t="s">
        <v>43</v>
      </c>
      <c r="C463" s="6" t="s">
        <v>51</v>
      </c>
      <c r="D463" s="6" t="s">
        <v>116</v>
      </c>
      <c r="E463" s="6" t="n">
        <v>16</v>
      </c>
      <c r="F463" s="6" t="n">
        <v>2</v>
      </c>
      <c r="G463" s="6" t="s">
        <v>78</v>
      </c>
      <c r="H463" s="11" t="n">
        <v>0.05</v>
      </c>
      <c r="I463" s="6" t="n">
        <v>200</v>
      </c>
      <c r="J463" s="6" t="n">
        <v>6</v>
      </c>
      <c r="K463" s="6" t="n">
        <v>194</v>
      </c>
      <c r="L463" s="6" t="n">
        <v>6</v>
      </c>
      <c r="M463" s="6" t="n">
        <v>194</v>
      </c>
      <c r="N463" s="11" t="n">
        <f aca="false">J463/(J463+K463)</f>
        <v>0.03</v>
      </c>
      <c r="O463" s="11" t="n">
        <f aca="false">IF(J463+L463=0,"",J463/(J463+L463))</f>
        <v>0.5</v>
      </c>
      <c r="P463" s="11" t="n">
        <f aca="false">2*J463/(2*J463+L463+K463)</f>
        <v>0.0566037735849057</v>
      </c>
      <c r="Q463" s="11" t="n">
        <f aca="false">L463/(L463+M463)</f>
        <v>0.03</v>
      </c>
      <c r="R463" s="6" t="n">
        <v>1</v>
      </c>
      <c r="S463" s="11" t="n">
        <v>0</v>
      </c>
      <c r="T463" s="11" t="n">
        <v>0.0301507537688442</v>
      </c>
      <c r="U463" s="11" t="n">
        <v>0.88</v>
      </c>
      <c r="V463" s="11" t="n">
        <v>0.88</v>
      </c>
    </row>
    <row r="464" customFormat="false" ht="15" hidden="false" customHeight="false" outlineLevel="0" collapsed="false">
      <c r="A464" s="6" t="s">
        <v>52</v>
      </c>
      <c r="B464" s="6" t="s">
        <v>43</v>
      </c>
      <c r="C464" s="6" t="s">
        <v>51</v>
      </c>
      <c r="D464" s="6" t="s">
        <v>116</v>
      </c>
      <c r="E464" s="6" t="n">
        <v>16</v>
      </c>
      <c r="F464" s="6" t="n">
        <v>3</v>
      </c>
      <c r="G464" s="6" t="s">
        <v>68</v>
      </c>
      <c r="H464" s="11" t="n">
        <v>0.05</v>
      </c>
      <c r="I464" s="6" t="n">
        <v>20</v>
      </c>
      <c r="J464" s="6" t="n">
        <v>3</v>
      </c>
      <c r="K464" s="6" t="n">
        <v>17</v>
      </c>
      <c r="L464" s="6" t="n">
        <v>2</v>
      </c>
      <c r="M464" s="6" t="n">
        <v>18</v>
      </c>
      <c r="N464" s="11" t="n">
        <f aca="false">J464/(J464+K464)</f>
        <v>0.15</v>
      </c>
      <c r="O464" s="11" t="n">
        <f aca="false">IF(J464+L464=0,"",J464/(J464+L464))</f>
        <v>0.6</v>
      </c>
      <c r="P464" s="11" t="n">
        <f aca="false">2*J464/(2*J464+L464+K464)</f>
        <v>0.24</v>
      </c>
      <c r="Q464" s="11" t="n">
        <f aca="false">L464/(L464+M464)</f>
        <v>0.1</v>
      </c>
      <c r="R464" s="6" t="n">
        <v>0</v>
      </c>
      <c r="S464" s="11"/>
      <c r="T464" s="11" t="n">
        <v>0.15</v>
      </c>
      <c r="U464" s="11" t="n">
        <v>0.85</v>
      </c>
      <c r="V464" s="11" t="n">
        <v>0.85</v>
      </c>
    </row>
    <row r="465" customFormat="false" ht="15" hidden="false" customHeight="false" outlineLevel="0" collapsed="false">
      <c r="A465" s="6" t="s">
        <v>52</v>
      </c>
      <c r="B465" s="6" t="s">
        <v>43</v>
      </c>
      <c r="C465" s="6" t="s">
        <v>51</v>
      </c>
      <c r="D465" s="6" t="s">
        <v>116</v>
      </c>
      <c r="E465" s="6" t="n">
        <v>16</v>
      </c>
      <c r="F465" s="6" t="n">
        <v>3</v>
      </c>
      <c r="G465" s="6" t="s">
        <v>69</v>
      </c>
      <c r="H465" s="11" t="n">
        <v>0.05</v>
      </c>
      <c r="I465" s="6" t="n">
        <v>20</v>
      </c>
      <c r="J465" s="6" t="n">
        <v>1</v>
      </c>
      <c r="K465" s="6" t="n">
        <v>19</v>
      </c>
      <c r="L465" s="6" t="n">
        <v>1</v>
      </c>
      <c r="M465" s="6" t="n">
        <v>19</v>
      </c>
      <c r="N465" s="11" t="n">
        <f aca="false">J465/(J465+K465)</f>
        <v>0.05</v>
      </c>
      <c r="O465" s="11" t="n">
        <f aca="false">IF(J465+L465=0,"",J465/(J465+L465))</f>
        <v>0.5</v>
      </c>
      <c r="P465" s="11" t="n">
        <f aca="false">2*J465/(2*J465+L465+K465)</f>
        <v>0.0909090909090909</v>
      </c>
      <c r="Q465" s="11" t="n">
        <f aca="false">L465/(L465+M465)</f>
        <v>0.05</v>
      </c>
      <c r="R465" s="6" t="n">
        <v>0</v>
      </c>
      <c r="S465" s="11"/>
      <c r="T465" s="11" t="n">
        <v>0.05</v>
      </c>
      <c r="U465" s="11" t="n">
        <v>1</v>
      </c>
      <c r="V465" s="11" t="n">
        <v>1</v>
      </c>
    </row>
    <row r="466" customFormat="false" ht="15" hidden="false" customHeight="false" outlineLevel="0" collapsed="false">
      <c r="A466" s="6" t="s">
        <v>52</v>
      </c>
      <c r="B466" s="6" t="s">
        <v>43</v>
      </c>
      <c r="C466" s="6" t="s">
        <v>51</v>
      </c>
      <c r="D466" s="6" t="s">
        <v>116</v>
      </c>
      <c r="E466" s="6" t="n">
        <v>16</v>
      </c>
      <c r="F466" s="6" t="n">
        <v>3</v>
      </c>
      <c r="G466" s="6" t="s">
        <v>70</v>
      </c>
      <c r="H466" s="11" t="n">
        <v>0.05</v>
      </c>
      <c r="I466" s="6" t="n">
        <v>20</v>
      </c>
      <c r="J466" s="6" t="n">
        <v>0</v>
      </c>
      <c r="K466" s="6" t="n">
        <v>20</v>
      </c>
      <c r="L466" s="6" t="n">
        <v>0</v>
      </c>
      <c r="M466" s="6" t="n">
        <v>20</v>
      </c>
      <c r="N466" s="11" t="n">
        <f aca="false">J466/(J466+K466)</f>
        <v>0</v>
      </c>
      <c r="O466" s="11" t="str">
        <f aca="false">IF(J466+L466=0,"",J466/(J466+L466))</f>
        <v/>
      </c>
      <c r="P466" s="11" t="n">
        <f aca="false">2*J466/(2*J466+L466+K466)</f>
        <v>0</v>
      </c>
      <c r="Q466" s="11" t="n">
        <f aca="false">L466/(L466+M466)</f>
        <v>0</v>
      </c>
      <c r="R466" s="6" t="n">
        <v>0</v>
      </c>
      <c r="S466" s="11"/>
      <c r="T466" s="11" t="n">
        <v>0</v>
      </c>
      <c r="U466" s="11" t="n">
        <v>0.9</v>
      </c>
      <c r="V466" s="11" t="n">
        <v>0.9</v>
      </c>
    </row>
    <row r="467" customFormat="false" ht="15" hidden="false" customHeight="false" outlineLevel="0" collapsed="false">
      <c r="A467" s="6" t="s">
        <v>52</v>
      </c>
      <c r="B467" s="6" t="s">
        <v>43</v>
      </c>
      <c r="C467" s="6" t="s">
        <v>51</v>
      </c>
      <c r="D467" s="6" t="s">
        <v>116</v>
      </c>
      <c r="E467" s="6" t="n">
        <v>16</v>
      </c>
      <c r="F467" s="6" t="n">
        <v>3</v>
      </c>
      <c r="G467" s="6" t="s">
        <v>71</v>
      </c>
      <c r="H467" s="11" t="n">
        <v>0.05</v>
      </c>
      <c r="I467" s="6" t="n">
        <v>20</v>
      </c>
      <c r="J467" s="6" t="n">
        <v>0</v>
      </c>
      <c r="K467" s="6" t="n">
        <v>20</v>
      </c>
      <c r="L467" s="6" t="n">
        <v>0</v>
      </c>
      <c r="M467" s="6" t="n">
        <v>20</v>
      </c>
      <c r="N467" s="11" t="n">
        <f aca="false">J467/(J467+K467)</f>
        <v>0</v>
      </c>
      <c r="O467" s="11" t="str">
        <f aca="false">IF(J467+L467=0,"",J467/(J467+L467))</f>
        <v/>
      </c>
      <c r="P467" s="11" t="n">
        <f aca="false">2*J467/(2*J467+L467+K467)</f>
        <v>0</v>
      </c>
      <c r="Q467" s="11" t="n">
        <f aca="false">L467/(L467+M467)</f>
        <v>0</v>
      </c>
      <c r="R467" s="6" t="n">
        <v>0</v>
      </c>
      <c r="S467" s="11"/>
      <c r="T467" s="11" t="n">
        <v>0</v>
      </c>
      <c r="U467" s="11" t="n">
        <v>0.8</v>
      </c>
      <c r="V467" s="11" t="n">
        <v>0.8</v>
      </c>
    </row>
    <row r="468" customFormat="false" ht="15" hidden="false" customHeight="false" outlineLevel="0" collapsed="false">
      <c r="A468" s="6" t="s">
        <v>52</v>
      </c>
      <c r="B468" s="6" t="s">
        <v>43</v>
      </c>
      <c r="C468" s="6" t="s">
        <v>51</v>
      </c>
      <c r="D468" s="6" t="s">
        <v>116</v>
      </c>
      <c r="E468" s="6" t="n">
        <v>16</v>
      </c>
      <c r="F468" s="6" t="n">
        <v>3</v>
      </c>
      <c r="G468" s="6" t="s">
        <v>72</v>
      </c>
      <c r="H468" s="11" t="n">
        <v>0.05</v>
      </c>
      <c r="I468" s="6" t="n">
        <v>20</v>
      </c>
      <c r="J468" s="6" t="n">
        <v>1</v>
      </c>
      <c r="K468" s="6" t="n">
        <v>19</v>
      </c>
      <c r="L468" s="6" t="n">
        <v>1</v>
      </c>
      <c r="M468" s="6" t="n">
        <v>19</v>
      </c>
      <c r="N468" s="11" t="n">
        <f aca="false">J468/(J468+K468)</f>
        <v>0.05</v>
      </c>
      <c r="O468" s="11" t="n">
        <f aca="false">IF(J468+L468=0,"",J468/(J468+L468))</f>
        <v>0.5</v>
      </c>
      <c r="P468" s="11" t="n">
        <f aca="false">2*J468/(2*J468+L468+K468)</f>
        <v>0.0909090909090909</v>
      </c>
      <c r="Q468" s="11" t="n">
        <f aca="false">L468/(L468+M468)</f>
        <v>0.05</v>
      </c>
      <c r="R468" s="6" t="n">
        <v>0</v>
      </c>
      <c r="S468" s="11"/>
      <c r="T468" s="11" t="n">
        <v>0.05</v>
      </c>
      <c r="U468" s="11" t="n">
        <v>0.9</v>
      </c>
      <c r="V468" s="11" t="n">
        <v>0.9</v>
      </c>
    </row>
    <row r="469" customFormat="false" ht="15" hidden="false" customHeight="false" outlineLevel="0" collapsed="false">
      <c r="A469" s="6" t="s">
        <v>52</v>
      </c>
      <c r="B469" s="6" t="s">
        <v>43</v>
      </c>
      <c r="C469" s="6" t="s">
        <v>51</v>
      </c>
      <c r="D469" s="6" t="s">
        <v>116</v>
      </c>
      <c r="E469" s="6" t="n">
        <v>16</v>
      </c>
      <c r="F469" s="6" t="n">
        <v>3</v>
      </c>
      <c r="G469" s="6" t="s">
        <v>73</v>
      </c>
      <c r="H469" s="11" t="n">
        <v>0.05</v>
      </c>
      <c r="I469" s="6" t="n">
        <v>20</v>
      </c>
      <c r="J469" s="6" t="n">
        <v>0</v>
      </c>
      <c r="K469" s="6" t="n">
        <v>20</v>
      </c>
      <c r="L469" s="6" t="n">
        <v>0</v>
      </c>
      <c r="M469" s="6" t="n">
        <v>20</v>
      </c>
      <c r="N469" s="11" t="n">
        <f aca="false">J469/(J469+K469)</f>
        <v>0</v>
      </c>
      <c r="O469" s="11" t="str">
        <f aca="false">IF(J469+L469=0,"",J469/(J469+L469))</f>
        <v/>
      </c>
      <c r="P469" s="11" t="n">
        <f aca="false">2*J469/(2*J469+L469+K469)</f>
        <v>0</v>
      </c>
      <c r="Q469" s="11" t="n">
        <f aca="false">L469/(L469+M469)</f>
        <v>0</v>
      </c>
      <c r="R469" s="6" t="n">
        <v>2</v>
      </c>
      <c r="S469" s="11" t="n">
        <v>0</v>
      </c>
      <c r="T469" s="11" t="n">
        <v>0</v>
      </c>
      <c r="U469" s="11" t="n">
        <v>0.65</v>
      </c>
      <c r="V469" s="11" t="n">
        <v>0.65</v>
      </c>
    </row>
    <row r="470" customFormat="false" ht="15" hidden="false" customHeight="false" outlineLevel="0" collapsed="false">
      <c r="A470" s="6" t="s">
        <v>52</v>
      </c>
      <c r="B470" s="6" t="s">
        <v>43</v>
      </c>
      <c r="C470" s="6" t="s">
        <v>51</v>
      </c>
      <c r="D470" s="6" t="s">
        <v>116</v>
      </c>
      <c r="E470" s="6" t="n">
        <v>16</v>
      </c>
      <c r="F470" s="6" t="n">
        <v>3</v>
      </c>
      <c r="G470" s="6" t="s">
        <v>74</v>
      </c>
      <c r="H470" s="11" t="n">
        <v>0.05</v>
      </c>
      <c r="I470" s="6" t="n">
        <v>20</v>
      </c>
      <c r="J470" s="6" t="n">
        <v>1</v>
      </c>
      <c r="K470" s="6" t="n">
        <v>19</v>
      </c>
      <c r="L470" s="6" t="n">
        <v>1</v>
      </c>
      <c r="M470" s="6" t="n">
        <v>19</v>
      </c>
      <c r="N470" s="11" t="n">
        <f aca="false">J470/(J470+K470)</f>
        <v>0.05</v>
      </c>
      <c r="O470" s="11" t="n">
        <f aca="false">IF(J470+L470=0,"",J470/(J470+L470))</f>
        <v>0.5</v>
      </c>
      <c r="P470" s="11" t="n">
        <f aca="false">2*J470/(2*J470+L470+K470)</f>
        <v>0.0909090909090909</v>
      </c>
      <c r="Q470" s="11" t="n">
        <f aca="false">L470/(L470+M470)</f>
        <v>0.05</v>
      </c>
      <c r="R470" s="6" t="n">
        <v>2</v>
      </c>
      <c r="S470" s="11" t="n">
        <v>0</v>
      </c>
      <c r="T470" s="11" t="n">
        <v>0.0555555555555556</v>
      </c>
      <c r="U470" s="11" t="n">
        <v>0.85</v>
      </c>
      <c r="V470" s="11" t="n">
        <v>0.8</v>
      </c>
    </row>
    <row r="471" customFormat="false" ht="15" hidden="false" customHeight="false" outlineLevel="0" collapsed="false">
      <c r="A471" s="6" t="s">
        <v>52</v>
      </c>
      <c r="B471" s="6" t="s">
        <v>43</v>
      </c>
      <c r="C471" s="6" t="s">
        <v>51</v>
      </c>
      <c r="D471" s="6" t="s">
        <v>116</v>
      </c>
      <c r="E471" s="6" t="n">
        <v>16</v>
      </c>
      <c r="F471" s="6" t="n">
        <v>3</v>
      </c>
      <c r="G471" s="6" t="s">
        <v>75</v>
      </c>
      <c r="H471" s="11" t="n">
        <v>0.05</v>
      </c>
      <c r="I471" s="6" t="n">
        <v>20</v>
      </c>
      <c r="J471" s="6" t="n">
        <v>0</v>
      </c>
      <c r="K471" s="6" t="n">
        <v>20</v>
      </c>
      <c r="L471" s="6" t="n">
        <v>0</v>
      </c>
      <c r="M471" s="6" t="n">
        <v>20</v>
      </c>
      <c r="N471" s="11" t="n">
        <f aca="false">J471/(J471+K471)</f>
        <v>0</v>
      </c>
      <c r="O471" s="11" t="str">
        <f aca="false">IF(J471+L471=0,"",J471/(J471+L471))</f>
        <v/>
      </c>
      <c r="P471" s="11" t="n">
        <f aca="false">2*J471/(2*J471+L471+K471)</f>
        <v>0</v>
      </c>
      <c r="Q471" s="11" t="n">
        <f aca="false">L471/(L471+M471)</f>
        <v>0</v>
      </c>
      <c r="R471" s="6" t="n">
        <v>1</v>
      </c>
      <c r="S471" s="11" t="n">
        <v>0</v>
      </c>
      <c r="T471" s="11" t="n">
        <v>0</v>
      </c>
      <c r="U471" s="11" t="n">
        <v>0.9</v>
      </c>
      <c r="V471" s="11" t="n">
        <v>0.95</v>
      </c>
    </row>
    <row r="472" customFormat="false" ht="15" hidden="false" customHeight="false" outlineLevel="0" collapsed="false">
      <c r="A472" s="6" t="s">
        <v>52</v>
      </c>
      <c r="B472" s="6" t="s">
        <v>43</v>
      </c>
      <c r="C472" s="6" t="s">
        <v>51</v>
      </c>
      <c r="D472" s="6" t="s">
        <v>116</v>
      </c>
      <c r="E472" s="6" t="n">
        <v>16</v>
      </c>
      <c r="F472" s="6" t="n">
        <v>3</v>
      </c>
      <c r="G472" s="6" t="s">
        <v>76</v>
      </c>
      <c r="H472" s="11" t="n">
        <v>0.05</v>
      </c>
      <c r="I472" s="6" t="n">
        <v>20</v>
      </c>
      <c r="J472" s="6" t="n">
        <v>0</v>
      </c>
      <c r="K472" s="6" t="n">
        <v>20</v>
      </c>
      <c r="L472" s="6" t="n">
        <v>0</v>
      </c>
      <c r="M472" s="6" t="n">
        <v>20</v>
      </c>
      <c r="N472" s="11" t="n">
        <f aca="false">J472/(J472+K472)</f>
        <v>0</v>
      </c>
      <c r="O472" s="11" t="str">
        <f aca="false">IF(J472+L472=0,"",J472/(J472+L472))</f>
        <v/>
      </c>
      <c r="P472" s="11" t="n">
        <f aca="false">2*J472/(2*J472+L472+K472)</f>
        <v>0</v>
      </c>
      <c r="Q472" s="11" t="n">
        <f aca="false">L472/(L472+M472)</f>
        <v>0</v>
      </c>
      <c r="R472" s="6" t="n">
        <v>0</v>
      </c>
      <c r="S472" s="11"/>
      <c r="T472" s="11" t="n">
        <v>0</v>
      </c>
      <c r="U472" s="11" t="n">
        <v>0.95</v>
      </c>
      <c r="V472" s="11" t="n">
        <v>0.95</v>
      </c>
    </row>
    <row r="473" customFormat="false" ht="15" hidden="false" customHeight="false" outlineLevel="0" collapsed="false">
      <c r="A473" s="6" t="s">
        <v>52</v>
      </c>
      <c r="B473" s="6" t="s">
        <v>43</v>
      </c>
      <c r="C473" s="6" t="s">
        <v>51</v>
      </c>
      <c r="D473" s="6" t="s">
        <v>116</v>
      </c>
      <c r="E473" s="6" t="n">
        <v>16</v>
      </c>
      <c r="F473" s="6" t="n">
        <v>3</v>
      </c>
      <c r="G473" s="6" t="s">
        <v>77</v>
      </c>
      <c r="H473" s="11" t="n">
        <v>0.05</v>
      </c>
      <c r="I473" s="6" t="n">
        <v>20</v>
      </c>
      <c r="J473" s="6" t="n">
        <v>1</v>
      </c>
      <c r="K473" s="6" t="n">
        <v>19</v>
      </c>
      <c r="L473" s="6" t="n">
        <v>1</v>
      </c>
      <c r="M473" s="6" t="n">
        <v>19</v>
      </c>
      <c r="N473" s="11" t="n">
        <f aca="false">J473/(J473+K473)</f>
        <v>0.05</v>
      </c>
      <c r="O473" s="11" t="n">
        <f aca="false">IF(J473+L473=0,"",J473/(J473+L473))</f>
        <v>0.5</v>
      </c>
      <c r="P473" s="11" t="n">
        <f aca="false">2*J473/(2*J473+L473+K473)</f>
        <v>0.0909090909090909</v>
      </c>
      <c r="Q473" s="11" t="n">
        <f aca="false">L473/(L473+M473)</f>
        <v>0.05</v>
      </c>
      <c r="R473" s="6" t="n">
        <v>0</v>
      </c>
      <c r="S473" s="11"/>
      <c r="T473" s="11" t="n">
        <v>0.05</v>
      </c>
      <c r="U473" s="11" t="n">
        <v>1</v>
      </c>
      <c r="V473" s="11" t="n">
        <v>1</v>
      </c>
    </row>
    <row r="474" customFormat="false" ht="15" hidden="false" customHeight="false" outlineLevel="0" collapsed="false">
      <c r="A474" s="6" t="s">
        <v>52</v>
      </c>
      <c r="B474" s="6" t="s">
        <v>43</v>
      </c>
      <c r="C474" s="6" t="s">
        <v>51</v>
      </c>
      <c r="D474" s="6" t="s">
        <v>116</v>
      </c>
      <c r="E474" s="6" t="n">
        <v>16</v>
      </c>
      <c r="F474" s="6" t="n">
        <v>3</v>
      </c>
      <c r="G474" s="6" t="s">
        <v>78</v>
      </c>
      <c r="H474" s="11" t="n">
        <v>0.05</v>
      </c>
      <c r="I474" s="6" t="n">
        <v>200</v>
      </c>
      <c r="J474" s="6" t="n">
        <v>7</v>
      </c>
      <c r="K474" s="6" t="n">
        <v>193</v>
      </c>
      <c r="L474" s="6" t="n">
        <v>6</v>
      </c>
      <c r="M474" s="6" t="n">
        <v>194</v>
      </c>
      <c r="N474" s="11" t="n">
        <f aca="false">J474/(J474+K474)</f>
        <v>0.035</v>
      </c>
      <c r="O474" s="11" t="n">
        <f aca="false">IF(J474+L474=0,"",J474/(J474+L474))</f>
        <v>0.538461538461538</v>
      </c>
      <c r="P474" s="11" t="n">
        <f aca="false">2*J474/(2*J474+L474+K474)</f>
        <v>0.0657276995305164</v>
      </c>
      <c r="Q474" s="11" t="n">
        <f aca="false">L474/(L474+M474)</f>
        <v>0.03</v>
      </c>
      <c r="R474" s="6" t="n">
        <v>5</v>
      </c>
      <c r="S474" s="11" t="n">
        <v>0</v>
      </c>
      <c r="T474" s="11" t="n">
        <v>0.0358974358974359</v>
      </c>
      <c r="U474" s="11" t="n">
        <v>0.88</v>
      </c>
      <c r="V474" s="11" t="n">
        <v>0.88</v>
      </c>
    </row>
    <row r="475" customFormat="false" ht="15" hidden="false" customHeight="false" outlineLevel="0" collapsed="false">
      <c r="A475" s="6" t="s">
        <v>52</v>
      </c>
      <c r="B475" s="6" t="s">
        <v>43</v>
      </c>
      <c r="C475" s="6" t="s">
        <v>51</v>
      </c>
      <c r="D475" s="6" t="s">
        <v>116</v>
      </c>
      <c r="E475" s="6" t="n">
        <v>16</v>
      </c>
      <c r="F475" s="6" t="n">
        <v>4</v>
      </c>
      <c r="G475" s="6" t="s">
        <v>68</v>
      </c>
      <c r="H475" s="11" t="n">
        <v>0.05</v>
      </c>
      <c r="I475" s="6" t="n">
        <v>20</v>
      </c>
      <c r="J475" s="6" t="n">
        <v>1</v>
      </c>
      <c r="K475" s="6" t="n">
        <v>19</v>
      </c>
      <c r="L475" s="6" t="n">
        <v>2</v>
      </c>
      <c r="M475" s="6" t="n">
        <v>18</v>
      </c>
      <c r="N475" s="11" t="n">
        <f aca="false">J475/(J475+K475)</f>
        <v>0.05</v>
      </c>
      <c r="O475" s="11" t="n">
        <f aca="false">IF(J475+L475=0,"",J475/(J475+L475))</f>
        <v>0.333333333333333</v>
      </c>
      <c r="P475" s="11" t="n">
        <f aca="false">2*J475/(2*J475+L475+K475)</f>
        <v>0.0869565217391304</v>
      </c>
      <c r="Q475" s="11" t="n">
        <f aca="false">L475/(L475+M475)</f>
        <v>0.1</v>
      </c>
      <c r="R475" s="6" t="n">
        <v>0</v>
      </c>
      <c r="S475" s="11"/>
      <c r="T475" s="11" t="n">
        <v>0.05</v>
      </c>
      <c r="U475" s="11" t="n">
        <v>0.85</v>
      </c>
      <c r="V475" s="11" t="n">
        <v>0.85</v>
      </c>
    </row>
    <row r="476" customFormat="false" ht="15" hidden="false" customHeight="false" outlineLevel="0" collapsed="false">
      <c r="A476" s="6" t="s">
        <v>52</v>
      </c>
      <c r="B476" s="6" t="s">
        <v>43</v>
      </c>
      <c r="C476" s="6" t="s">
        <v>51</v>
      </c>
      <c r="D476" s="6" t="s">
        <v>116</v>
      </c>
      <c r="E476" s="6" t="n">
        <v>16</v>
      </c>
      <c r="F476" s="6" t="n">
        <v>4</v>
      </c>
      <c r="G476" s="6" t="s">
        <v>69</v>
      </c>
      <c r="H476" s="11" t="n">
        <v>0.05</v>
      </c>
      <c r="I476" s="6" t="n">
        <v>20</v>
      </c>
      <c r="J476" s="6" t="n">
        <v>1</v>
      </c>
      <c r="K476" s="6" t="n">
        <v>19</v>
      </c>
      <c r="L476" s="6" t="n">
        <v>1</v>
      </c>
      <c r="M476" s="6" t="n">
        <v>19</v>
      </c>
      <c r="N476" s="11" t="n">
        <f aca="false">J476/(J476+K476)</f>
        <v>0.05</v>
      </c>
      <c r="O476" s="11" t="n">
        <f aca="false">IF(J476+L476=0,"",J476/(J476+L476))</f>
        <v>0.5</v>
      </c>
      <c r="P476" s="11" t="n">
        <f aca="false">2*J476/(2*J476+L476+K476)</f>
        <v>0.0909090909090909</v>
      </c>
      <c r="Q476" s="11" t="n">
        <f aca="false">L476/(L476+M476)</f>
        <v>0.05</v>
      </c>
      <c r="R476" s="6" t="n">
        <v>0</v>
      </c>
      <c r="S476" s="11"/>
      <c r="T476" s="11" t="n">
        <v>0.05</v>
      </c>
      <c r="U476" s="11" t="n">
        <v>1</v>
      </c>
      <c r="V476" s="11" t="n">
        <v>1</v>
      </c>
    </row>
    <row r="477" customFormat="false" ht="15" hidden="false" customHeight="false" outlineLevel="0" collapsed="false">
      <c r="A477" s="6" t="s">
        <v>52</v>
      </c>
      <c r="B477" s="6" t="s">
        <v>43</v>
      </c>
      <c r="C477" s="6" t="s">
        <v>51</v>
      </c>
      <c r="D477" s="6" t="s">
        <v>116</v>
      </c>
      <c r="E477" s="6" t="n">
        <v>16</v>
      </c>
      <c r="F477" s="6" t="n">
        <v>4</v>
      </c>
      <c r="G477" s="6" t="s">
        <v>70</v>
      </c>
      <c r="H477" s="11" t="n">
        <v>0.05</v>
      </c>
      <c r="I477" s="6" t="n">
        <v>20</v>
      </c>
      <c r="J477" s="6" t="n">
        <v>0</v>
      </c>
      <c r="K477" s="6" t="n">
        <v>20</v>
      </c>
      <c r="L477" s="6" t="n">
        <v>0</v>
      </c>
      <c r="M477" s="6" t="n">
        <v>20</v>
      </c>
      <c r="N477" s="11" t="n">
        <f aca="false">J477/(J477+K477)</f>
        <v>0</v>
      </c>
      <c r="O477" s="11" t="str">
        <f aca="false">IF(J477+L477=0,"",J477/(J477+L477))</f>
        <v/>
      </c>
      <c r="P477" s="11" t="n">
        <f aca="false">2*J477/(2*J477+L477+K477)</f>
        <v>0</v>
      </c>
      <c r="Q477" s="11" t="n">
        <f aca="false">L477/(L477+M477)</f>
        <v>0</v>
      </c>
      <c r="R477" s="6" t="n">
        <v>0</v>
      </c>
      <c r="S477" s="11"/>
      <c r="T477" s="11" t="n">
        <v>0</v>
      </c>
      <c r="U477" s="11" t="n">
        <v>0.9</v>
      </c>
      <c r="V477" s="11" t="n">
        <v>0.9</v>
      </c>
    </row>
    <row r="478" customFormat="false" ht="15" hidden="false" customHeight="false" outlineLevel="0" collapsed="false">
      <c r="A478" s="6" t="s">
        <v>52</v>
      </c>
      <c r="B478" s="6" t="s">
        <v>43</v>
      </c>
      <c r="C478" s="6" t="s">
        <v>51</v>
      </c>
      <c r="D478" s="6" t="s">
        <v>116</v>
      </c>
      <c r="E478" s="6" t="n">
        <v>16</v>
      </c>
      <c r="F478" s="6" t="n">
        <v>4</v>
      </c>
      <c r="G478" s="6" t="s">
        <v>71</v>
      </c>
      <c r="H478" s="11" t="n">
        <v>0.05</v>
      </c>
      <c r="I478" s="6" t="n">
        <v>20</v>
      </c>
      <c r="J478" s="6" t="n">
        <v>0</v>
      </c>
      <c r="K478" s="6" t="n">
        <v>20</v>
      </c>
      <c r="L478" s="6" t="n">
        <v>0</v>
      </c>
      <c r="M478" s="6" t="n">
        <v>20</v>
      </c>
      <c r="N478" s="11" t="n">
        <f aca="false">J478/(J478+K478)</f>
        <v>0</v>
      </c>
      <c r="O478" s="11" t="str">
        <f aca="false">IF(J478+L478=0,"",J478/(J478+L478))</f>
        <v/>
      </c>
      <c r="P478" s="11" t="n">
        <f aca="false">2*J478/(2*J478+L478+K478)</f>
        <v>0</v>
      </c>
      <c r="Q478" s="11" t="n">
        <f aca="false">L478/(L478+M478)</f>
        <v>0</v>
      </c>
      <c r="R478" s="6" t="n">
        <v>0</v>
      </c>
      <c r="S478" s="11"/>
      <c r="T478" s="11" t="n">
        <v>0</v>
      </c>
      <c r="U478" s="11" t="n">
        <v>0.8</v>
      </c>
      <c r="V478" s="11" t="n">
        <v>0.8</v>
      </c>
    </row>
    <row r="479" customFormat="false" ht="15" hidden="false" customHeight="false" outlineLevel="0" collapsed="false">
      <c r="A479" s="6" t="s">
        <v>52</v>
      </c>
      <c r="B479" s="6" t="s">
        <v>43</v>
      </c>
      <c r="C479" s="6" t="s">
        <v>51</v>
      </c>
      <c r="D479" s="6" t="s">
        <v>116</v>
      </c>
      <c r="E479" s="6" t="n">
        <v>16</v>
      </c>
      <c r="F479" s="6" t="n">
        <v>4</v>
      </c>
      <c r="G479" s="6" t="s">
        <v>72</v>
      </c>
      <c r="H479" s="11" t="n">
        <v>0.05</v>
      </c>
      <c r="I479" s="6" t="n">
        <v>20</v>
      </c>
      <c r="J479" s="6" t="n">
        <v>0</v>
      </c>
      <c r="K479" s="6" t="n">
        <v>20</v>
      </c>
      <c r="L479" s="6" t="n">
        <v>1</v>
      </c>
      <c r="M479" s="6" t="n">
        <v>19</v>
      </c>
      <c r="N479" s="11" t="n">
        <f aca="false">J479/(J479+K479)</f>
        <v>0</v>
      </c>
      <c r="O479" s="11" t="n">
        <f aca="false">IF(J479+L479=0,"",J479/(J479+L479))</f>
        <v>0</v>
      </c>
      <c r="P479" s="11" t="n">
        <f aca="false">2*J479/(2*J479+L479+K479)</f>
        <v>0</v>
      </c>
      <c r="Q479" s="11" t="n">
        <f aca="false">L479/(L479+M479)</f>
        <v>0.05</v>
      </c>
      <c r="R479" s="6" t="n">
        <v>0</v>
      </c>
      <c r="S479" s="11"/>
      <c r="T479" s="11" t="n">
        <v>0</v>
      </c>
      <c r="U479" s="11" t="n">
        <v>0.9</v>
      </c>
      <c r="V479" s="11" t="n">
        <v>0.9</v>
      </c>
    </row>
    <row r="480" customFormat="false" ht="15" hidden="false" customHeight="false" outlineLevel="0" collapsed="false">
      <c r="A480" s="6" t="s">
        <v>52</v>
      </c>
      <c r="B480" s="6" t="s">
        <v>43</v>
      </c>
      <c r="C480" s="6" t="s">
        <v>51</v>
      </c>
      <c r="D480" s="6" t="s">
        <v>116</v>
      </c>
      <c r="E480" s="6" t="n">
        <v>16</v>
      </c>
      <c r="F480" s="6" t="n">
        <v>4</v>
      </c>
      <c r="G480" s="6" t="s">
        <v>73</v>
      </c>
      <c r="H480" s="11" t="n">
        <v>0.05</v>
      </c>
      <c r="I480" s="6" t="n">
        <v>20</v>
      </c>
      <c r="J480" s="6" t="n">
        <v>0</v>
      </c>
      <c r="K480" s="6" t="n">
        <v>20</v>
      </c>
      <c r="L480" s="6" t="n">
        <v>0</v>
      </c>
      <c r="M480" s="6" t="n">
        <v>20</v>
      </c>
      <c r="N480" s="11" t="n">
        <f aca="false">J480/(J480+K480)</f>
        <v>0</v>
      </c>
      <c r="O480" s="11" t="str">
        <f aca="false">IF(J480+L480=0,"",J480/(J480+L480))</f>
        <v/>
      </c>
      <c r="P480" s="11" t="n">
        <f aca="false">2*J480/(2*J480+L480+K480)</f>
        <v>0</v>
      </c>
      <c r="Q480" s="11" t="n">
        <f aca="false">L480/(L480+M480)</f>
        <v>0</v>
      </c>
      <c r="R480" s="6" t="n">
        <v>0</v>
      </c>
      <c r="S480" s="11"/>
      <c r="T480" s="11" t="n">
        <v>0</v>
      </c>
      <c r="U480" s="11" t="n">
        <v>0.65</v>
      </c>
      <c r="V480" s="11" t="n">
        <v>0.65</v>
      </c>
    </row>
    <row r="481" customFormat="false" ht="15" hidden="false" customHeight="false" outlineLevel="0" collapsed="false">
      <c r="A481" s="6" t="s">
        <v>52</v>
      </c>
      <c r="B481" s="6" t="s">
        <v>43</v>
      </c>
      <c r="C481" s="6" t="s">
        <v>51</v>
      </c>
      <c r="D481" s="6" t="s">
        <v>116</v>
      </c>
      <c r="E481" s="6" t="n">
        <v>16</v>
      </c>
      <c r="F481" s="6" t="n">
        <v>4</v>
      </c>
      <c r="G481" s="6" t="s">
        <v>74</v>
      </c>
      <c r="H481" s="11" t="n">
        <v>0.05</v>
      </c>
      <c r="I481" s="6" t="n">
        <v>20</v>
      </c>
      <c r="J481" s="6" t="n">
        <v>1</v>
      </c>
      <c r="K481" s="6" t="n">
        <v>19</v>
      </c>
      <c r="L481" s="6" t="n">
        <v>1</v>
      </c>
      <c r="M481" s="6" t="n">
        <v>19</v>
      </c>
      <c r="N481" s="11" t="n">
        <f aca="false">J481/(J481+K481)</f>
        <v>0.05</v>
      </c>
      <c r="O481" s="11" t="n">
        <f aca="false">IF(J481+L481=0,"",J481/(J481+L481))</f>
        <v>0.5</v>
      </c>
      <c r="P481" s="11" t="n">
        <f aca="false">2*J481/(2*J481+L481+K481)</f>
        <v>0.0909090909090909</v>
      </c>
      <c r="Q481" s="11" t="n">
        <f aca="false">L481/(L481+M481)</f>
        <v>0.05</v>
      </c>
      <c r="R481" s="6" t="n">
        <v>1</v>
      </c>
      <c r="S481" s="11" t="n">
        <v>0</v>
      </c>
      <c r="T481" s="11" t="n">
        <v>0.0526315789473684</v>
      </c>
      <c r="U481" s="11" t="n">
        <v>0.85</v>
      </c>
      <c r="V481" s="11" t="n">
        <v>0.9</v>
      </c>
    </row>
    <row r="482" customFormat="false" ht="15" hidden="false" customHeight="false" outlineLevel="0" collapsed="false">
      <c r="A482" s="6" t="s">
        <v>52</v>
      </c>
      <c r="B482" s="6" t="s">
        <v>43</v>
      </c>
      <c r="C482" s="6" t="s">
        <v>51</v>
      </c>
      <c r="D482" s="6" t="s">
        <v>116</v>
      </c>
      <c r="E482" s="6" t="n">
        <v>16</v>
      </c>
      <c r="F482" s="6" t="n">
        <v>4</v>
      </c>
      <c r="G482" s="6" t="s">
        <v>75</v>
      </c>
      <c r="H482" s="11" t="n">
        <v>0.05</v>
      </c>
      <c r="I482" s="6" t="n">
        <v>20</v>
      </c>
      <c r="J482" s="6" t="n">
        <v>0</v>
      </c>
      <c r="K482" s="6" t="n">
        <v>20</v>
      </c>
      <c r="L482" s="6" t="n">
        <v>0</v>
      </c>
      <c r="M482" s="6" t="n">
        <v>20</v>
      </c>
      <c r="N482" s="11" t="n">
        <f aca="false">J482/(J482+K482)</f>
        <v>0</v>
      </c>
      <c r="O482" s="11" t="str">
        <f aca="false">IF(J482+L482=0,"",J482/(J482+L482))</f>
        <v/>
      </c>
      <c r="P482" s="11" t="n">
        <f aca="false">2*J482/(2*J482+L482+K482)</f>
        <v>0</v>
      </c>
      <c r="Q482" s="11" t="n">
        <f aca="false">L482/(L482+M482)</f>
        <v>0</v>
      </c>
      <c r="R482" s="6" t="n">
        <v>0</v>
      </c>
      <c r="S482" s="11"/>
      <c r="T482" s="11" t="n">
        <v>0</v>
      </c>
      <c r="U482" s="11" t="n">
        <v>0.9</v>
      </c>
      <c r="V482" s="11" t="n">
        <v>0.9</v>
      </c>
    </row>
    <row r="483" customFormat="false" ht="15" hidden="false" customHeight="false" outlineLevel="0" collapsed="false">
      <c r="A483" s="6" t="s">
        <v>52</v>
      </c>
      <c r="B483" s="6" t="s">
        <v>43</v>
      </c>
      <c r="C483" s="6" t="s">
        <v>51</v>
      </c>
      <c r="D483" s="6" t="s">
        <v>116</v>
      </c>
      <c r="E483" s="6" t="n">
        <v>16</v>
      </c>
      <c r="F483" s="6" t="n">
        <v>4</v>
      </c>
      <c r="G483" s="6" t="s">
        <v>76</v>
      </c>
      <c r="H483" s="11" t="n">
        <v>0.05</v>
      </c>
      <c r="I483" s="6" t="n">
        <v>20</v>
      </c>
      <c r="J483" s="6" t="n">
        <v>0</v>
      </c>
      <c r="K483" s="6" t="n">
        <v>20</v>
      </c>
      <c r="L483" s="6" t="n">
        <v>0</v>
      </c>
      <c r="M483" s="6" t="n">
        <v>20</v>
      </c>
      <c r="N483" s="11" t="n">
        <f aca="false">J483/(J483+K483)</f>
        <v>0</v>
      </c>
      <c r="O483" s="11" t="str">
        <f aca="false">IF(J483+L483=0,"",J483/(J483+L483))</f>
        <v/>
      </c>
      <c r="P483" s="11" t="n">
        <f aca="false">2*J483/(2*J483+L483+K483)</f>
        <v>0</v>
      </c>
      <c r="Q483" s="11" t="n">
        <f aca="false">L483/(L483+M483)</f>
        <v>0</v>
      </c>
      <c r="R483" s="6" t="n">
        <v>0</v>
      </c>
      <c r="S483" s="11"/>
      <c r="T483" s="11" t="n">
        <v>0</v>
      </c>
      <c r="U483" s="11" t="n">
        <v>0.95</v>
      </c>
      <c r="V483" s="11" t="n">
        <v>0.95</v>
      </c>
    </row>
    <row r="484" customFormat="false" ht="15" hidden="false" customHeight="false" outlineLevel="0" collapsed="false">
      <c r="A484" s="6" t="s">
        <v>52</v>
      </c>
      <c r="B484" s="6" t="s">
        <v>43</v>
      </c>
      <c r="C484" s="6" t="s">
        <v>51</v>
      </c>
      <c r="D484" s="6" t="s">
        <v>116</v>
      </c>
      <c r="E484" s="6" t="n">
        <v>16</v>
      </c>
      <c r="F484" s="6" t="n">
        <v>4</v>
      </c>
      <c r="G484" s="6" t="s">
        <v>77</v>
      </c>
      <c r="H484" s="11" t="n">
        <v>0.05</v>
      </c>
      <c r="I484" s="6" t="n">
        <v>20</v>
      </c>
      <c r="J484" s="6" t="n">
        <v>1</v>
      </c>
      <c r="K484" s="6" t="n">
        <v>19</v>
      </c>
      <c r="L484" s="6" t="n">
        <v>1</v>
      </c>
      <c r="M484" s="6" t="n">
        <v>19</v>
      </c>
      <c r="N484" s="11" t="n">
        <f aca="false">J484/(J484+K484)</f>
        <v>0.05</v>
      </c>
      <c r="O484" s="11" t="n">
        <f aca="false">IF(J484+L484=0,"",J484/(J484+L484))</f>
        <v>0.5</v>
      </c>
      <c r="P484" s="11" t="n">
        <f aca="false">2*J484/(2*J484+L484+K484)</f>
        <v>0.0909090909090909</v>
      </c>
      <c r="Q484" s="11" t="n">
        <f aca="false">L484/(L484+M484)</f>
        <v>0.05</v>
      </c>
      <c r="R484" s="6" t="n">
        <v>0</v>
      </c>
      <c r="S484" s="11"/>
      <c r="T484" s="11" t="n">
        <v>0.05</v>
      </c>
      <c r="U484" s="11" t="n">
        <v>1</v>
      </c>
      <c r="V484" s="11" t="n">
        <v>1</v>
      </c>
    </row>
    <row r="485" customFormat="false" ht="15" hidden="false" customHeight="false" outlineLevel="0" collapsed="false">
      <c r="A485" s="6" t="s">
        <v>52</v>
      </c>
      <c r="B485" s="6" t="s">
        <v>43</v>
      </c>
      <c r="C485" s="6" t="s">
        <v>51</v>
      </c>
      <c r="D485" s="6" t="s">
        <v>116</v>
      </c>
      <c r="E485" s="6" t="n">
        <v>16</v>
      </c>
      <c r="F485" s="6" t="n">
        <v>4</v>
      </c>
      <c r="G485" s="6" t="s">
        <v>78</v>
      </c>
      <c r="H485" s="11" t="n">
        <v>0.05</v>
      </c>
      <c r="I485" s="6" t="n">
        <v>200</v>
      </c>
      <c r="J485" s="6" t="n">
        <v>4</v>
      </c>
      <c r="K485" s="6" t="n">
        <v>196</v>
      </c>
      <c r="L485" s="6" t="n">
        <v>6</v>
      </c>
      <c r="M485" s="6" t="n">
        <v>194</v>
      </c>
      <c r="N485" s="11" t="n">
        <f aca="false">J485/(J485+K485)</f>
        <v>0.02</v>
      </c>
      <c r="O485" s="11" t="n">
        <f aca="false">IF(J485+L485=0,"",J485/(J485+L485))</f>
        <v>0.4</v>
      </c>
      <c r="P485" s="11" t="n">
        <f aca="false">2*J485/(2*J485+L485+K485)</f>
        <v>0.0380952380952381</v>
      </c>
      <c r="Q485" s="11" t="n">
        <f aca="false">L485/(L485+M485)</f>
        <v>0.03</v>
      </c>
      <c r="R485" s="6" t="n">
        <v>1</v>
      </c>
      <c r="S485" s="11" t="n">
        <v>0</v>
      </c>
      <c r="T485" s="11" t="n">
        <v>0.0201005025125628</v>
      </c>
      <c r="U485" s="11" t="n">
        <v>0.88</v>
      </c>
      <c r="V485" s="11" t="n">
        <v>0.885</v>
      </c>
    </row>
    <row r="486" customFormat="false" ht="15" hidden="false" customHeight="false" outlineLevel="0" collapsed="false">
      <c r="A486" s="6" t="s">
        <v>52</v>
      </c>
      <c r="B486" s="6" t="s">
        <v>43</v>
      </c>
      <c r="C486" s="6" t="s">
        <v>51</v>
      </c>
      <c r="D486" s="6" t="s">
        <v>116</v>
      </c>
      <c r="E486" s="6" t="n">
        <v>16</v>
      </c>
      <c r="F486" s="6" t="n">
        <v>5</v>
      </c>
      <c r="G486" s="6" t="s">
        <v>68</v>
      </c>
      <c r="H486" s="11" t="n">
        <v>0.05</v>
      </c>
      <c r="I486" s="6" t="n">
        <v>20</v>
      </c>
      <c r="J486" s="6" t="n">
        <v>3</v>
      </c>
      <c r="K486" s="6" t="n">
        <v>17</v>
      </c>
      <c r="L486" s="6" t="n">
        <v>2</v>
      </c>
      <c r="M486" s="6" t="n">
        <v>18</v>
      </c>
      <c r="N486" s="11" t="n">
        <f aca="false">J486/(J486+K486)</f>
        <v>0.15</v>
      </c>
      <c r="O486" s="11" t="n">
        <f aca="false">IF(J486+L486=0,"",J486/(J486+L486))</f>
        <v>0.6</v>
      </c>
      <c r="P486" s="11" t="n">
        <f aca="false">2*J486/(2*J486+L486+K486)</f>
        <v>0.24</v>
      </c>
      <c r="Q486" s="11" t="n">
        <f aca="false">L486/(L486+M486)</f>
        <v>0.1</v>
      </c>
      <c r="R486" s="6" t="n">
        <v>3</v>
      </c>
      <c r="S486" s="11" t="n">
        <v>0</v>
      </c>
      <c r="T486" s="11" t="n">
        <v>0.176470588235294</v>
      </c>
      <c r="U486" s="11" t="n">
        <v>0.85</v>
      </c>
      <c r="V486" s="11" t="n">
        <v>0.75</v>
      </c>
    </row>
    <row r="487" customFormat="false" ht="15" hidden="false" customHeight="false" outlineLevel="0" collapsed="false">
      <c r="A487" s="6" t="s">
        <v>52</v>
      </c>
      <c r="B487" s="6" t="s">
        <v>43</v>
      </c>
      <c r="C487" s="6" t="s">
        <v>51</v>
      </c>
      <c r="D487" s="6" t="s">
        <v>116</v>
      </c>
      <c r="E487" s="6" t="n">
        <v>16</v>
      </c>
      <c r="F487" s="6" t="n">
        <v>5</v>
      </c>
      <c r="G487" s="6" t="s">
        <v>69</v>
      </c>
      <c r="H487" s="11" t="n">
        <v>0.05</v>
      </c>
      <c r="I487" s="6" t="n">
        <v>20</v>
      </c>
      <c r="J487" s="6" t="n">
        <v>12</v>
      </c>
      <c r="K487" s="6" t="n">
        <v>8</v>
      </c>
      <c r="L487" s="6" t="n">
        <v>1</v>
      </c>
      <c r="M487" s="6" t="n">
        <v>19</v>
      </c>
      <c r="N487" s="11" t="n">
        <f aca="false">J487/(J487+K487)</f>
        <v>0.6</v>
      </c>
      <c r="O487" s="11" t="n">
        <f aca="false">IF(J487+L487=0,"",J487/(J487+L487))</f>
        <v>0.923076923076923</v>
      </c>
      <c r="P487" s="11" t="n">
        <f aca="false">2*J487/(2*J487+L487+K487)</f>
        <v>0.727272727272727</v>
      </c>
      <c r="Q487" s="11" t="n">
        <f aca="false">L487/(L487+M487)</f>
        <v>0.05</v>
      </c>
      <c r="R487" s="6" t="n">
        <v>4</v>
      </c>
      <c r="S487" s="11" t="n">
        <v>0.75</v>
      </c>
      <c r="T487" s="11" t="n">
        <v>0.5625</v>
      </c>
      <c r="U487" s="11" t="n">
        <v>1</v>
      </c>
      <c r="V487" s="11" t="n">
        <v>0.8</v>
      </c>
    </row>
    <row r="488" customFormat="false" ht="15" hidden="false" customHeight="false" outlineLevel="0" collapsed="false">
      <c r="A488" s="6" t="s">
        <v>52</v>
      </c>
      <c r="B488" s="6" t="s">
        <v>43</v>
      </c>
      <c r="C488" s="6" t="s">
        <v>51</v>
      </c>
      <c r="D488" s="6" t="s">
        <v>116</v>
      </c>
      <c r="E488" s="6" t="n">
        <v>16</v>
      </c>
      <c r="F488" s="6" t="n">
        <v>5</v>
      </c>
      <c r="G488" s="6" t="s">
        <v>70</v>
      </c>
      <c r="H488" s="11" t="n">
        <v>0.05</v>
      </c>
      <c r="I488" s="6" t="n">
        <v>20</v>
      </c>
      <c r="J488" s="6" t="n">
        <v>0</v>
      </c>
      <c r="K488" s="6" t="n">
        <v>20</v>
      </c>
      <c r="L488" s="6" t="n">
        <v>0</v>
      </c>
      <c r="M488" s="6" t="n">
        <v>20</v>
      </c>
      <c r="N488" s="11" t="n">
        <f aca="false">J488/(J488+K488)</f>
        <v>0</v>
      </c>
      <c r="O488" s="11" t="str">
        <f aca="false">IF(J488+L488=0,"",J488/(J488+L488))</f>
        <v/>
      </c>
      <c r="P488" s="11" t="n">
        <f aca="false">2*J488/(2*J488+L488+K488)</f>
        <v>0</v>
      </c>
      <c r="Q488" s="11" t="n">
        <f aca="false">L488/(L488+M488)</f>
        <v>0</v>
      </c>
      <c r="R488" s="6" t="n">
        <v>2</v>
      </c>
      <c r="S488" s="11" t="n">
        <v>0</v>
      </c>
      <c r="T488" s="11" t="n">
        <v>0</v>
      </c>
      <c r="U488" s="11" t="n">
        <v>0.9</v>
      </c>
      <c r="V488" s="11" t="n">
        <v>0.9</v>
      </c>
    </row>
    <row r="489" customFormat="false" ht="15" hidden="false" customHeight="false" outlineLevel="0" collapsed="false">
      <c r="A489" s="6" t="s">
        <v>52</v>
      </c>
      <c r="B489" s="6" t="s">
        <v>43</v>
      </c>
      <c r="C489" s="6" t="s">
        <v>51</v>
      </c>
      <c r="D489" s="6" t="s">
        <v>116</v>
      </c>
      <c r="E489" s="6" t="n">
        <v>16</v>
      </c>
      <c r="F489" s="6" t="n">
        <v>5</v>
      </c>
      <c r="G489" s="6" t="s">
        <v>71</v>
      </c>
      <c r="H489" s="11" t="n">
        <v>0.05</v>
      </c>
      <c r="I489" s="6" t="n">
        <v>20</v>
      </c>
      <c r="J489" s="6" t="n">
        <v>3</v>
      </c>
      <c r="K489" s="6" t="n">
        <v>17</v>
      </c>
      <c r="L489" s="6" t="n">
        <v>0</v>
      </c>
      <c r="M489" s="6" t="n">
        <v>20</v>
      </c>
      <c r="N489" s="11" t="n">
        <f aca="false">J489/(J489+K489)</f>
        <v>0.15</v>
      </c>
      <c r="O489" s="11" t="n">
        <f aca="false">IF(J489+L489=0,"",J489/(J489+L489))</f>
        <v>1</v>
      </c>
      <c r="P489" s="11" t="n">
        <f aca="false">2*J489/(2*J489+L489+K489)</f>
        <v>0.260869565217391</v>
      </c>
      <c r="Q489" s="11" t="n">
        <f aca="false">L489/(L489+M489)</f>
        <v>0</v>
      </c>
      <c r="R489" s="6" t="n">
        <v>3</v>
      </c>
      <c r="S489" s="11" t="n">
        <v>0</v>
      </c>
      <c r="T489" s="11" t="n">
        <v>0.176470588235294</v>
      </c>
      <c r="U489" s="11" t="n">
        <v>0.8</v>
      </c>
      <c r="V489" s="11" t="n">
        <v>0.65</v>
      </c>
    </row>
    <row r="490" customFormat="false" ht="15" hidden="false" customHeight="false" outlineLevel="0" collapsed="false">
      <c r="A490" s="6" t="s">
        <v>52</v>
      </c>
      <c r="B490" s="6" t="s">
        <v>43</v>
      </c>
      <c r="C490" s="6" t="s">
        <v>51</v>
      </c>
      <c r="D490" s="6" t="s">
        <v>116</v>
      </c>
      <c r="E490" s="6" t="n">
        <v>16</v>
      </c>
      <c r="F490" s="6" t="n">
        <v>5</v>
      </c>
      <c r="G490" s="6" t="s">
        <v>72</v>
      </c>
      <c r="H490" s="11" t="n">
        <v>0.05</v>
      </c>
      <c r="I490" s="6" t="n">
        <v>20</v>
      </c>
      <c r="J490" s="6" t="n">
        <v>1</v>
      </c>
      <c r="K490" s="6" t="n">
        <v>19</v>
      </c>
      <c r="L490" s="6" t="n">
        <v>1</v>
      </c>
      <c r="M490" s="6" t="n">
        <v>19</v>
      </c>
      <c r="N490" s="11" t="n">
        <f aca="false">J490/(J490+K490)</f>
        <v>0.05</v>
      </c>
      <c r="O490" s="11" t="n">
        <f aca="false">IF(J490+L490=0,"",J490/(J490+L490))</f>
        <v>0.5</v>
      </c>
      <c r="P490" s="11" t="n">
        <f aca="false">2*J490/(2*J490+L490+K490)</f>
        <v>0.0909090909090909</v>
      </c>
      <c r="Q490" s="11" t="n">
        <f aca="false">L490/(L490+M490)</f>
        <v>0.05</v>
      </c>
      <c r="R490" s="6" t="n">
        <v>3</v>
      </c>
      <c r="S490" s="11" t="n">
        <v>0</v>
      </c>
      <c r="T490" s="11" t="n">
        <v>0.0588235294117647</v>
      </c>
      <c r="U490" s="11" t="n">
        <v>0.9</v>
      </c>
      <c r="V490" s="11" t="n">
        <v>0.85</v>
      </c>
    </row>
    <row r="491" customFormat="false" ht="15" hidden="false" customHeight="false" outlineLevel="0" collapsed="false">
      <c r="A491" s="6" t="s">
        <v>52</v>
      </c>
      <c r="B491" s="6" t="s">
        <v>43</v>
      </c>
      <c r="C491" s="6" t="s">
        <v>51</v>
      </c>
      <c r="D491" s="6" t="s">
        <v>116</v>
      </c>
      <c r="E491" s="6" t="n">
        <v>16</v>
      </c>
      <c r="F491" s="6" t="n">
        <v>5</v>
      </c>
      <c r="G491" s="6" t="s">
        <v>73</v>
      </c>
      <c r="H491" s="11" t="n">
        <v>0.05</v>
      </c>
      <c r="I491" s="6" t="n">
        <v>20</v>
      </c>
      <c r="J491" s="6" t="n">
        <v>1</v>
      </c>
      <c r="K491" s="6" t="n">
        <v>19</v>
      </c>
      <c r="L491" s="6" t="n">
        <v>0</v>
      </c>
      <c r="M491" s="6" t="n">
        <v>20</v>
      </c>
      <c r="N491" s="11" t="n">
        <f aca="false">J491/(J491+K491)</f>
        <v>0.05</v>
      </c>
      <c r="O491" s="11" t="n">
        <f aca="false">IF(J491+L491=0,"",J491/(J491+L491))</f>
        <v>1</v>
      </c>
      <c r="P491" s="11" t="n">
        <f aca="false">2*J491/(2*J491+L491+K491)</f>
        <v>0.0952380952380952</v>
      </c>
      <c r="Q491" s="11" t="n">
        <f aca="false">L491/(L491+M491)</f>
        <v>0</v>
      </c>
      <c r="R491" s="6" t="n">
        <v>2</v>
      </c>
      <c r="S491" s="11" t="n">
        <v>0</v>
      </c>
      <c r="T491" s="11" t="n">
        <v>0.0555555555555556</v>
      </c>
      <c r="U491" s="11" t="n">
        <v>0.65</v>
      </c>
      <c r="V491" s="11" t="n">
        <v>0.75</v>
      </c>
    </row>
    <row r="492" customFormat="false" ht="15" hidden="false" customHeight="false" outlineLevel="0" collapsed="false">
      <c r="A492" s="6" t="s">
        <v>52</v>
      </c>
      <c r="B492" s="6" t="s">
        <v>43</v>
      </c>
      <c r="C492" s="6" t="s">
        <v>51</v>
      </c>
      <c r="D492" s="6" t="s">
        <v>116</v>
      </c>
      <c r="E492" s="6" t="n">
        <v>16</v>
      </c>
      <c r="F492" s="6" t="n">
        <v>5</v>
      </c>
      <c r="G492" s="6" t="s">
        <v>74</v>
      </c>
      <c r="H492" s="11" t="n">
        <v>0.05</v>
      </c>
      <c r="I492" s="6" t="n">
        <v>20</v>
      </c>
      <c r="J492" s="6" t="n">
        <v>1</v>
      </c>
      <c r="K492" s="6" t="n">
        <v>19</v>
      </c>
      <c r="L492" s="6" t="n">
        <v>1</v>
      </c>
      <c r="M492" s="6" t="n">
        <v>19</v>
      </c>
      <c r="N492" s="11" t="n">
        <f aca="false">J492/(J492+K492)</f>
        <v>0.05</v>
      </c>
      <c r="O492" s="11" t="n">
        <f aca="false">IF(J492+L492=0,"",J492/(J492+L492))</f>
        <v>0.5</v>
      </c>
      <c r="P492" s="11" t="n">
        <f aca="false">2*J492/(2*J492+L492+K492)</f>
        <v>0.0909090909090909</v>
      </c>
      <c r="Q492" s="11" t="n">
        <f aca="false">L492/(L492+M492)</f>
        <v>0.05</v>
      </c>
      <c r="R492" s="6" t="n">
        <v>3</v>
      </c>
      <c r="S492" s="11" t="n">
        <v>0</v>
      </c>
      <c r="T492" s="11" t="n">
        <v>0.0588235294117647</v>
      </c>
      <c r="U492" s="11" t="n">
        <v>0.85</v>
      </c>
      <c r="V492" s="11" t="n">
        <v>0.95</v>
      </c>
    </row>
    <row r="493" customFormat="false" ht="15" hidden="false" customHeight="false" outlineLevel="0" collapsed="false">
      <c r="A493" s="6" t="s">
        <v>52</v>
      </c>
      <c r="B493" s="6" t="s">
        <v>43</v>
      </c>
      <c r="C493" s="6" t="s">
        <v>51</v>
      </c>
      <c r="D493" s="6" t="s">
        <v>116</v>
      </c>
      <c r="E493" s="6" t="n">
        <v>16</v>
      </c>
      <c r="F493" s="6" t="n">
        <v>5</v>
      </c>
      <c r="G493" s="6" t="s">
        <v>75</v>
      </c>
      <c r="H493" s="11" t="n">
        <v>0.05</v>
      </c>
      <c r="I493" s="6" t="n">
        <v>20</v>
      </c>
      <c r="J493" s="6" t="n">
        <v>0</v>
      </c>
      <c r="K493" s="6" t="n">
        <v>20</v>
      </c>
      <c r="L493" s="6" t="n">
        <v>0</v>
      </c>
      <c r="M493" s="6" t="n">
        <v>20</v>
      </c>
      <c r="N493" s="11" t="n">
        <f aca="false">J493/(J493+K493)</f>
        <v>0</v>
      </c>
      <c r="O493" s="11" t="str">
        <f aca="false">IF(J493+L493=0,"",J493/(J493+L493))</f>
        <v/>
      </c>
      <c r="P493" s="11" t="n">
        <f aca="false">2*J493/(2*J493+L493+K493)</f>
        <v>0</v>
      </c>
      <c r="Q493" s="11" t="n">
        <f aca="false">L493/(L493+M493)</f>
        <v>0</v>
      </c>
      <c r="R493" s="6" t="n">
        <v>3</v>
      </c>
      <c r="S493" s="11" t="n">
        <v>0</v>
      </c>
      <c r="T493" s="11" t="n">
        <v>0</v>
      </c>
      <c r="U493" s="11" t="n">
        <v>0.9</v>
      </c>
      <c r="V493" s="11" t="n">
        <v>0.85</v>
      </c>
    </row>
    <row r="494" customFormat="false" ht="15" hidden="false" customHeight="false" outlineLevel="0" collapsed="false">
      <c r="A494" s="6" t="s">
        <v>52</v>
      </c>
      <c r="B494" s="6" t="s">
        <v>43</v>
      </c>
      <c r="C494" s="6" t="s">
        <v>51</v>
      </c>
      <c r="D494" s="6" t="s">
        <v>116</v>
      </c>
      <c r="E494" s="6" t="n">
        <v>16</v>
      </c>
      <c r="F494" s="6" t="n">
        <v>5</v>
      </c>
      <c r="G494" s="6" t="s">
        <v>76</v>
      </c>
      <c r="H494" s="11" t="n">
        <v>0.05</v>
      </c>
      <c r="I494" s="6" t="n">
        <v>20</v>
      </c>
      <c r="J494" s="6" t="n">
        <v>3</v>
      </c>
      <c r="K494" s="6" t="n">
        <v>17</v>
      </c>
      <c r="L494" s="6" t="n">
        <v>0</v>
      </c>
      <c r="M494" s="6" t="n">
        <v>20</v>
      </c>
      <c r="N494" s="11" t="n">
        <f aca="false">J494/(J494+K494)</f>
        <v>0.15</v>
      </c>
      <c r="O494" s="11" t="n">
        <f aca="false">IF(J494+L494=0,"",J494/(J494+L494))</f>
        <v>1</v>
      </c>
      <c r="P494" s="11" t="n">
        <f aca="false">2*J494/(2*J494+L494+K494)</f>
        <v>0.260869565217391</v>
      </c>
      <c r="Q494" s="11" t="n">
        <f aca="false">L494/(L494+M494)</f>
        <v>0</v>
      </c>
      <c r="R494" s="6" t="n">
        <v>0</v>
      </c>
      <c r="S494" s="11"/>
      <c r="T494" s="11" t="n">
        <v>0.15</v>
      </c>
      <c r="U494" s="11" t="n">
        <v>0.95</v>
      </c>
      <c r="V494" s="11" t="n">
        <v>0.95</v>
      </c>
    </row>
    <row r="495" customFormat="false" ht="15" hidden="false" customHeight="false" outlineLevel="0" collapsed="false">
      <c r="A495" s="6" t="s">
        <v>52</v>
      </c>
      <c r="B495" s="6" t="s">
        <v>43</v>
      </c>
      <c r="C495" s="6" t="s">
        <v>51</v>
      </c>
      <c r="D495" s="6" t="s">
        <v>116</v>
      </c>
      <c r="E495" s="6" t="n">
        <v>16</v>
      </c>
      <c r="F495" s="6" t="n">
        <v>5</v>
      </c>
      <c r="G495" s="6" t="s">
        <v>77</v>
      </c>
      <c r="H495" s="11" t="n">
        <v>0.05</v>
      </c>
      <c r="I495" s="6" t="n">
        <v>20</v>
      </c>
      <c r="J495" s="6" t="n">
        <v>3</v>
      </c>
      <c r="K495" s="6" t="n">
        <v>17</v>
      </c>
      <c r="L495" s="6" t="n">
        <v>1</v>
      </c>
      <c r="M495" s="6" t="n">
        <v>19</v>
      </c>
      <c r="N495" s="11" t="n">
        <f aca="false">J495/(J495+K495)</f>
        <v>0.15</v>
      </c>
      <c r="O495" s="11" t="n">
        <f aca="false">IF(J495+L495=0,"",J495/(J495+L495))</f>
        <v>0.75</v>
      </c>
      <c r="P495" s="11" t="n">
        <f aca="false">2*J495/(2*J495+L495+K495)</f>
        <v>0.25</v>
      </c>
      <c r="Q495" s="11" t="n">
        <f aca="false">L495/(L495+M495)</f>
        <v>0.05</v>
      </c>
      <c r="R495" s="6" t="n">
        <v>0</v>
      </c>
      <c r="S495" s="11"/>
      <c r="T495" s="11" t="n">
        <v>0.15</v>
      </c>
      <c r="U495" s="11" t="n">
        <v>1</v>
      </c>
      <c r="V495" s="11" t="n">
        <v>1</v>
      </c>
    </row>
    <row r="496" customFormat="false" ht="15" hidden="false" customHeight="false" outlineLevel="0" collapsed="false">
      <c r="A496" s="6" t="s">
        <v>52</v>
      </c>
      <c r="B496" s="6" t="s">
        <v>43</v>
      </c>
      <c r="C496" s="6" t="s">
        <v>51</v>
      </c>
      <c r="D496" s="6" t="s">
        <v>116</v>
      </c>
      <c r="E496" s="6" t="n">
        <v>16</v>
      </c>
      <c r="F496" s="6" t="n">
        <v>5</v>
      </c>
      <c r="G496" s="6" t="s">
        <v>78</v>
      </c>
      <c r="H496" s="11" t="n">
        <v>0.05</v>
      </c>
      <c r="I496" s="6" t="n">
        <v>200</v>
      </c>
      <c r="J496" s="6" t="n">
        <v>27</v>
      </c>
      <c r="K496" s="6" t="n">
        <v>173</v>
      </c>
      <c r="L496" s="6" t="n">
        <v>6</v>
      </c>
      <c r="M496" s="6" t="n">
        <v>194</v>
      </c>
      <c r="N496" s="11" t="n">
        <f aca="false">J496/(J496+K496)</f>
        <v>0.135</v>
      </c>
      <c r="O496" s="11" t="n">
        <f aca="false">IF(J496+L496=0,"",J496/(J496+L496))</f>
        <v>0.818181818181818</v>
      </c>
      <c r="P496" s="11" t="n">
        <f aca="false">2*J496/(2*J496+L496+K496)</f>
        <v>0.231759656652361</v>
      </c>
      <c r="Q496" s="11" t="n">
        <f aca="false">L496/(L496+M496)</f>
        <v>0.03</v>
      </c>
      <c r="R496" s="6" t="n">
        <v>23</v>
      </c>
      <c r="S496" s="11" t="n">
        <v>0.130434782608696</v>
      </c>
      <c r="T496" s="11" t="n">
        <v>0.135593220338983</v>
      </c>
      <c r="U496" s="11" t="n">
        <v>0.88</v>
      </c>
      <c r="V496" s="11" t="n">
        <v>0.845</v>
      </c>
    </row>
    <row r="497" customFormat="false" ht="15" hidden="false" customHeight="false" outlineLevel="0" collapsed="false">
      <c r="A497" s="6" t="s">
        <v>52</v>
      </c>
      <c r="B497" s="6" t="s">
        <v>43</v>
      </c>
      <c r="C497" s="6" t="s">
        <v>51</v>
      </c>
      <c r="D497" s="6" t="s">
        <v>116</v>
      </c>
      <c r="E497" s="6" t="n">
        <v>16</v>
      </c>
      <c r="F497" s="6" t="n">
        <v>6</v>
      </c>
      <c r="G497" s="6" t="s">
        <v>68</v>
      </c>
      <c r="H497" s="11" t="n">
        <v>0.05</v>
      </c>
      <c r="I497" s="6" t="n">
        <v>20</v>
      </c>
      <c r="J497" s="6" t="n">
        <v>1</v>
      </c>
      <c r="K497" s="6" t="n">
        <v>19</v>
      </c>
      <c r="L497" s="6" t="n">
        <v>2</v>
      </c>
      <c r="M497" s="6" t="n">
        <v>18</v>
      </c>
      <c r="N497" s="11" t="n">
        <f aca="false">J497/(J497+K497)</f>
        <v>0.05</v>
      </c>
      <c r="O497" s="11" t="n">
        <f aca="false">IF(J497+L497=0,"",J497/(J497+L497))</f>
        <v>0.333333333333333</v>
      </c>
      <c r="P497" s="11" t="n">
        <f aca="false">2*J497/(2*J497+L497+K497)</f>
        <v>0.0869565217391304</v>
      </c>
      <c r="Q497" s="11" t="n">
        <f aca="false">L497/(L497+M497)</f>
        <v>0.1</v>
      </c>
      <c r="R497" s="6" t="n">
        <v>0</v>
      </c>
      <c r="S497" s="11"/>
      <c r="T497" s="11" t="n">
        <v>0.05</v>
      </c>
      <c r="U497" s="11" t="n">
        <v>0.85</v>
      </c>
      <c r="V497" s="11" t="n">
        <v>0.85</v>
      </c>
    </row>
    <row r="498" customFormat="false" ht="15" hidden="false" customHeight="false" outlineLevel="0" collapsed="false">
      <c r="A498" s="6" t="s">
        <v>52</v>
      </c>
      <c r="B498" s="6" t="s">
        <v>43</v>
      </c>
      <c r="C498" s="6" t="s">
        <v>51</v>
      </c>
      <c r="D498" s="6" t="s">
        <v>116</v>
      </c>
      <c r="E498" s="6" t="n">
        <v>16</v>
      </c>
      <c r="F498" s="6" t="n">
        <v>6</v>
      </c>
      <c r="G498" s="6" t="s">
        <v>69</v>
      </c>
      <c r="H498" s="11" t="n">
        <v>0.05</v>
      </c>
      <c r="I498" s="6" t="n">
        <v>20</v>
      </c>
      <c r="J498" s="6" t="n">
        <v>1</v>
      </c>
      <c r="K498" s="6" t="n">
        <v>19</v>
      </c>
      <c r="L498" s="6" t="n">
        <v>1</v>
      </c>
      <c r="M498" s="6" t="n">
        <v>19</v>
      </c>
      <c r="N498" s="11" t="n">
        <f aca="false">J498/(J498+K498)</f>
        <v>0.05</v>
      </c>
      <c r="O498" s="11" t="n">
        <f aca="false">IF(J498+L498=0,"",J498/(J498+L498))</f>
        <v>0.5</v>
      </c>
      <c r="P498" s="11" t="n">
        <f aca="false">2*J498/(2*J498+L498+K498)</f>
        <v>0.0909090909090909</v>
      </c>
      <c r="Q498" s="11" t="n">
        <f aca="false">L498/(L498+M498)</f>
        <v>0.05</v>
      </c>
      <c r="R498" s="6" t="n">
        <v>0</v>
      </c>
      <c r="S498" s="11"/>
      <c r="T498" s="11" t="n">
        <v>0.05</v>
      </c>
      <c r="U498" s="11" t="n">
        <v>1</v>
      </c>
      <c r="V498" s="11" t="n">
        <v>1</v>
      </c>
    </row>
    <row r="499" customFormat="false" ht="15" hidden="false" customHeight="false" outlineLevel="0" collapsed="false">
      <c r="A499" s="6" t="s">
        <v>52</v>
      </c>
      <c r="B499" s="6" t="s">
        <v>43</v>
      </c>
      <c r="C499" s="6" t="s">
        <v>51</v>
      </c>
      <c r="D499" s="6" t="s">
        <v>116</v>
      </c>
      <c r="E499" s="6" t="n">
        <v>16</v>
      </c>
      <c r="F499" s="6" t="n">
        <v>6</v>
      </c>
      <c r="G499" s="6" t="s">
        <v>70</v>
      </c>
      <c r="H499" s="11" t="n">
        <v>0.05</v>
      </c>
      <c r="I499" s="6" t="n">
        <v>20</v>
      </c>
      <c r="J499" s="6" t="n">
        <v>0</v>
      </c>
      <c r="K499" s="6" t="n">
        <v>20</v>
      </c>
      <c r="L499" s="6" t="n">
        <v>0</v>
      </c>
      <c r="M499" s="6" t="n">
        <v>20</v>
      </c>
      <c r="N499" s="11" t="n">
        <f aca="false">J499/(J499+K499)</f>
        <v>0</v>
      </c>
      <c r="O499" s="11" t="str">
        <f aca="false">IF(J499+L499=0,"",J499/(J499+L499))</f>
        <v/>
      </c>
      <c r="P499" s="11" t="n">
        <f aca="false">2*J499/(2*J499+L499+K499)</f>
        <v>0</v>
      </c>
      <c r="Q499" s="11" t="n">
        <f aca="false">L499/(L499+M499)</f>
        <v>0</v>
      </c>
      <c r="R499" s="6" t="n">
        <v>0</v>
      </c>
      <c r="S499" s="11"/>
      <c r="T499" s="11" t="n">
        <v>0</v>
      </c>
      <c r="U499" s="11" t="n">
        <v>0.9</v>
      </c>
      <c r="V499" s="11" t="n">
        <v>0.9</v>
      </c>
    </row>
    <row r="500" customFormat="false" ht="15" hidden="false" customHeight="false" outlineLevel="0" collapsed="false">
      <c r="A500" s="6" t="s">
        <v>52</v>
      </c>
      <c r="B500" s="6" t="s">
        <v>43</v>
      </c>
      <c r="C500" s="6" t="s">
        <v>51</v>
      </c>
      <c r="D500" s="6" t="s">
        <v>116</v>
      </c>
      <c r="E500" s="6" t="n">
        <v>16</v>
      </c>
      <c r="F500" s="6" t="n">
        <v>6</v>
      </c>
      <c r="G500" s="6" t="s">
        <v>71</v>
      </c>
      <c r="H500" s="11" t="n">
        <v>0.05</v>
      </c>
      <c r="I500" s="6" t="n">
        <v>20</v>
      </c>
      <c r="J500" s="6" t="n">
        <v>0</v>
      </c>
      <c r="K500" s="6" t="n">
        <v>20</v>
      </c>
      <c r="L500" s="6" t="n">
        <v>0</v>
      </c>
      <c r="M500" s="6" t="n">
        <v>20</v>
      </c>
      <c r="N500" s="11" t="n">
        <f aca="false">J500/(J500+K500)</f>
        <v>0</v>
      </c>
      <c r="O500" s="11" t="str">
        <f aca="false">IF(J500+L500=0,"",J500/(J500+L500))</f>
        <v/>
      </c>
      <c r="P500" s="11" t="n">
        <f aca="false">2*J500/(2*J500+L500+K500)</f>
        <v>0</v>
      </c>
      <c r="Q500" s="11" t="n">
        <f aca="false">L500/(L500+M500)</f>
        <v>0</v>
      </c>
      <c r="R500" s="6" t="n">
        <v>0</v>
      </c>
      <c r="S500" s="11"/>
      <c r="T500" s="11" t="n">
        <v>0</v>
      </c>
      <c r="U500" s="11" t="n">
        <v>0.8</v>
      </c>
      <c r="V500" s="11" t="n">
        <v>0.8</v>
      </c>
    </row>
    <row r="501" customFormat="false" ht="15" hidden="false" customHeight="false" outlineLevel="0" collapsed="false">
      <c r="A501" s="6" t="s">
        <v>52</v>
      </c>
      <c r="B501" s="6" t="s">
        <v>43</v>
      </c>
      <c r="C501" s="6" t="s">
        <v>51</v>
      </c>
      <c r="D501" s="6" t="s">
        <v>116</v>
      </c>
      <c r="E501" s="6" t="n">
        <v>16</v>
      </c>
      <c r="F501" s="6" t="n">
        <v>6</v>
      </c>
      <c r="G501" s="6" t="s">
        <v>72</v>
      </c>
      <c r="H501" s="11" t="n">
        <v>0.05</v>
      </c>
      <c r="I501" s="6" t="n">
        <v>20</v>
      </c>
      <c r="J501" s="6" t="n">
        <v>0</v>
      </c>
      <c r="K501" s="6" t="n">
        <v>20</v>
      </c>
      <c r="L501" s="6" t="n">
        <v>1</v>
      </c>
      <c r="M501" s="6" t="n">
        <v>19</v>
      </c>
      <c r="N501" s="11" t="n">
        <f aca="false">J501/(J501+K501)</f>
        <v>0</v>
      </c>
      <c r="O501" s="11" t="n">
        <f aca="false">IF(J501+L501=0,"",J501/(J501+L501))</f>
        <v>0</v>
      </c>
      <c r="P501" s="11" t="n">
        <f aca="false">2*J501/(2*J501+L501+K501)</f>
        <v>0</v>
      </c>
      <c r="Q501" s="11" t="n">
        <f aca="false">L501/(L501+M501)</f>
        <v>0.05</v>
      </c>
      <c r="R501" s="6" t="n">
        <v>0</v>
      </c>
      <c r="S501" s="11"/>
      <c r="T501" s="11" t="n">
        <v>0</v>
      </c>
      <c r="U501" s="11" t="n">
        <v>0.9</v>
      </c>
      <c r="V501" s="11" t="n">
        <v>0.9</v>
      </c>
    </row>
    <row r="502" customFormat="false" ht="15" hidden="false" customHeight="false" outlineLevel="0" collapsed="false">
      <c r="A502" s="6" t="s">
        <v>52</v>
      </c>
      <c r="B502" s="6" t="s">
        <v>43</v>
      </c>
      <c r="C502" s="6" t="s">
        <v>51</v>
      </c>
      <c r="D502" s="6" t="s">
        <v>116</v>
      </c>
      <c r="E502" s="6" t="n">
        <v>16</v>
      </c>
      <c r="F502" s="6" t="n">
        <v>6</v>
      </c>
      <c r="G502" s="6" t="s">
        <v>73</v>
      </c>
      <c r="H502" s="11" t="n">
        <v>0.05</v>
      </c>
      <c r="I502" s="6" t="n">
        <v>20</v>
      </c>
      <c r="J502" s="6" t="n">
        <v>0</v>
      </c>
      <c r="K502" s="6" t="n">
        <v>20</v>
      </c>
      <c r="L502" s="6" t="n">
        <v>0</v>
      </c>
      <c r="M502" s="6" t="n">
        <v>20</v>
      </c>
      <c r="N502" s="11" t="n">
        <f aca="false">J502/(J502+K502)</f>
        <v>0</v>
      </c>
      <c r="O502" s="11" t="str">
        <f aca="false">IF(J502+L502=0,"",J502/(J502+L502))</f>
        <v/>
      </c>
      <c r="P502" s="11" t="n">
        <f aca="false">2*J502/(2*J502+L502+K502)</f>
        <v>0</v>
      </c>
      <c r="Q502" s="11" t="n">
        <f aca="false">L502/(L502+M502)</f>
        <v>0</v>
      </c>
      <c r="R502" s="6" t="n">
        <v>0</v>
      </c>
      <c r="S502" s="11"/>
      <c r="T502" s="11" t="n">
        <v>0</v>
      </c>
      <c r="U502" s="11" t="n">
        <v>0.65</v>
      </c>
      <c r="V502" s="11" t="n">
        <v>0.65</v>
      </c>
    </row>
    <row r="503" customFormat="false" ht="15" hidden="false" customHeight="false" outlineLevel="0" collapsed="false">
      <c r="A503" s="6" t="s">
        <v>52</v>
      </c>
      <c r="B503" s="6" t="s">
        <v>43</v>
      </c>
      <c r="C503" s="6" t="s">
        <v>51</v>
      </c>
      <c r="D503" s="6" t="s">
        <v>116</v>
      </c>
      <c r="E503" s="6" t="n">
        <v>16</v>
      </c>
      <c r="F503" s="6" t="n">
        <v>6</v>
      </c>
      <c r="G503" s="6" t="s">
        <v>74</v>
      </c>
      <c r="H503" s="11" t="n">
        <v>0.05</v>
      </c>
      <c r="I503" s="6" t="n">
        <v>20</v>
      </c>
      <c r="J503" s="6" t="n">
        <v>1</v>
      </c>
      <c r="K503" s="6" t="n">
        <v>19</v>
      </c>
      <c r="L503" s="6" t="n">
        <v>1</v>
      </c>
      <c r="M503" s="6" t="n">
        <v>19</v>
      </c>
      <c r="N503" s="11" t="n">
        <f aca="false">J503/(J503+K503)</f>
        <v>0.05</v>
      </c>
      <c r="O503" s="11" t="n">
        <f aca="false">IF(J503+L503=0,"",J503/(J503+L503))</f>
        <v>0.5</v>
      </c>
      <c r="P503" s="11" t="n">
        <f aca="false">2*J503/(2*J503+L503+K503)</f>
        <v>0.0909090909090909</v>
      </c>
      <c r="Q503" s="11" t="n">
        <f aca="false">L503/(L503+M503)</f>
        <v>0.05</v>
      </c>
      <c r="R503" s="6" t="n">
        <v>1</v>
      </c>
      <c r="S503" s="11" t="n">
        <v>0</v>
      </c>
      <c r="T503" s="11" t="n">
        <v>0.0526315789473684</v>
      </c>
      <c r="U503" s="11" t="n">
        <v>0.85</v>
      </c>
      <c r="V503" s="11" t="n">
        <v>0.9</v>
      </c>
    </row>
    <row r="504" customFormat="false" ht="15" hidden="false" customHeight="false" outlineLevel="0" collapsed="false">
      <c r="A504" s="6" t="s">
        <v>52</v>
      </c>
      <c r="B504" s="6" t="s">
        <v>43</v>
      </c>
      <c r="C504" s="6" t="s">
        <v>51</v>
      </c>
      <c r="D504" s="6" t="s">
        <v>116</v>
      </c>
      <c r="E504" s="6" t="n">
        <v>16</v>
      </c>
      <c r="F504" s="6" t="n">
        <v>6</v>
      </c>
      <c r="G504" s="6" t="s">
        <v>75</v>
      </c>
      <c r="H504" s="11" t="n">
        <v>0.05</v>
      </c>
      <c r="I504" s="6" t="n">
        <v>20</v>
      </c>
      <c r="J504" s="6" t="n">
        <v>0</v>
      </c>
      <c r="K504" s="6" t="n">
        <v>20</v>
      </c>
      <c r="L504" s="6" t="n">
        <v>0</v>
      </c>
      <c r="M504" s="6" t="n">
        <v>20</v>
      </c>
      <c r="N504" s="11" t="n">
        <f aca="false">J504/(J504+K504)</f>
        <v>0</v>
      </c>
      <c r="O504" s="11" t="str">
        <f aca="false">IF(J504+L504=0,"",J504/(J504+L504))</f>
        <v/>
      </c>
      <c r="P504" s="11" t="n">
        <f aca="false">2*J504/(2*J504+L504+K504)</f>
        <v>0</v>
      </c>
      <c r="Q504" s="11" t="n">
        <f aca="false">L504/(L504+M504)</f>
        <v>0</v>
      </c>
      <c r="R504" s="6" t="n">
        <v>0</v>
      </c>
      <c r="S504" s="11"/>
      <c r="T504" s="11" t="n">
        <v>0</v>
      </c>
      <c r="U504" s="11" t="n">
        <v>0.9</v>
      </c>
      <c r="V504" s="11" t="n">
        <v>0.9</v>
      </c>
    </row>
    <row r="505" customFormat="false" ht="15" hidden="false" customHeight="false" outlineLevel="0" collapsed="false">
      <c r="A505" s="6" t="s">
        <v>52</v>
      </c>
      <c r="B505" s="6" t="s">
        <v>43</v>
      </c>
      <c r="C505" s="6" t="s">
        <v>51</v>
      </c>
      <c r="D505" s="6" t="s">
        <v>116</v>
      </c>
      <c r="E505" s="6" t="n">
        <v>16</v>
      </c>
      <c r="F505" s="6" t="n">
        <v>6</v>
      </c>
      <c r="G505" s="6" t="s">
        <v>76</v>
      </c>
      <c r="H505" s="11" t="n">
        <v>0.05</v>
      </c>
      <c r="I505" s="6" t="n">
        <v>20</v>
      </c>
      <c r="J505" s="6" t="n">
        <v>0</v>
      </c>
      <c r="K505" s="6" t="n">
        <v>20</v>
      </c>
      <c r="L505" s="6" t="n">
        <v>0</v>
      </c>
      <c r="M505" s="6" t="n">
        <v>20</v>
      </c>
      <c r="N505" s="11" t="n">
        <f aca="false">J505/(J505+K505)</f>
        <v>0</v>
      </c>
      <c r="O505" s="11" t="str">
        <f aca="false">IF(J505+L505=0,"",J505/(J505+L505))</f>
        <v/>
      </c>
      <c r="P505" s="11" t="n">
        <f aca="false">2*J505/(2*J505+L505+K505)</f>
        <v>0</v>
      </c>
      <c r="Q505" s="11" t="n">
        <f aca="false">L505/(L505+M505)</f>
        <v>0</v>
      </c>
      <c r="R505" s="6" t="n">
        <v>0</v>
      </c>
      <c r="S505" s="11"/>
      <c r="T505" s="11" t="n">
        <v>0</v>
      </c>
      <c r="U505" s="11" t="n">
        <v>0.95</v>
      </c>
      <c r="V505" s="11" t="n">
        <v>0.95</v>
      </c>
    </row>
    <row r="506" customFormat="false" ht="15" hidden="false" customHeight="false" outlineLevel="0" collapsed="false">
      <c r="A506" s="6" t="s">
        <v>52</v>
      </c>
      <c r="B506" s="6" t="s">
        <v>43</v>
      </c>
      <c r="C506" s="6" t="s">
        <v>51</v>
      </c>
      <c r="D506" s="6" t="s">
        <v>116</v>
      </c>
      <c r="E506" s="6" t="n">
        <v>16</v>
      </c>
      <c r="F506" s="6" t="n">
        <v>6</v>
      </c>
      <c r="G506" s="6" t="s">
        <v>77</v>
      </c>
      <c r="H506" s="11" t="n">
        <v>0.05</v>
      </c>
      <c r="I506" s="6" t="n">
        <v>20</v>
      </c>
      <c r="J506" s="6" t="n">
        <v>1</v>
      </c>
      <c r="K506" s="6" t="n">
        <v>19</v>
      </c>
      <c r="L506" s="6" t="n">
        <v>1</v>
      </c>
      <c r="M506" s="6" t="n">
        <v>19</v>
      </c>
      <c r="N506" s="11" t="n">
        <f aca="false">J506/(J506+K506)</f>
        <v>0.05</v>
      </c>
      <c r="O506" s="11" t="n">
        <f aca="false">IF(J506+L506=0,"",J506/(J506+L506))</f>
        <v>0.5</v>
      </c>
      <c r="P506" s="11" t="n">
        <f aca="false">2*J506/(2*J506+L506+K506)</f>
        <v>0.0909090909090909</v>
      </c>
      <c r="Q506" s="11" t="n">
        <f aca="false">L506/(L506+M506)</f>
        <v>0.05</v>
      </c>
      <c r="R506" s="6" t="n">
        <v>0</v>
      </c>
      <c r="S506" s="11"/>
      <c r="T506" s="11" t="n">
        <v>0.05</v>
      </c>
      <c r="U506" s="11" t="n">
        <v>1</v>
      </c>
      <c r="V506" s="11" t="n">
        <v>1</v>
      </c>
    </row>
    <row r="507" customFormat="false" ht="15" hidden="false" customHeight="false" outlineLevel="0" collapsed="false">
      <c r="A507" s="6" t="s">
        <v>52</v>
      </c>
      <c r="B507" s="6" t="s">
        <v>43</v>
      </c>
      <c r="C507" s="6" t="s">
        <v>51</v>
      </c>
      <c r="D507" s="6" t="s">
        <v>116</v>
      </c>
      <c r="E507" s="6" t="n">
        <v>16</v>
      </c>
      <c r="F507" s="6" t="n">
        <v>6</v>
      </c>
      <c r="G507" s="6" t="s">
        <v>78</v>
      </c>
      <c r="H507" s="11" t="n">
        <v>0.05</v>
      </c>
      <c r="I507" s="6" t="n">
        <v>200</v>
      </c>
      <c r="J507" s="6" t="n">
        <v>4</v>
      </c>
      <c r="K507" s="6" t="n">
        <v>196</v>
      </c>
      <c r="L507" s="6" t="n">
        <v>6</v>
      </c>
      <c r="M507" s="6" t="n">
        <v>194</v>
      </c>
      <c r="N507" s="11" t="n">
        <f aca="false">J507/(J507+K507)</f>
        <v>0.02</v>
      </c>
      <c r="O507" s="11" t="n">
        <f aca="false">IF(J507+L507=0,"",J507/(J507+L507))</f>
        <v>0.4</v>
      </c>
      <c r="P507" s="11" t="n">
        <f aca="false">2*J507/(2*J507+L507+K507)</f>
        <v>0.0380952380952381</v>
      </c>
      <c r="Q507" s="11" t="n">
        <f aca="false">L507/(L507+M507)</f>
        <v>0.03</v>
      </c>
      <c r="R507" s="6" t="n">
        <v>1</v>
      </c>
      <c r="S507" s="11" t="n">
        <v>0</v>
      </c>
      <c r="T507" s="11" t="n">
        <v>0.0201005025125628</v>
      </c>
      <c r="U507" s="11" t="n">
        <v>0.88</v>
      </c>
      <c r="V507" s="11" t="n">
        <v>0.885</v>
      </c>
    </row>
    <row r="508" customFormat="false" ht="15" hidden="false" customHeight="false" outlineLevel="0" collapsed="false">
      <c r="A508" s="6" t="s">
        <v>52</v>
      </c>
      <c r="B508" s="6" t="s">
        <v>43</v>
      </c>
      <c r="C508" s="6" t="s">
        <v>51</v>
      </c>
      <c r="D508" s="6" t="s">
        <v>116</v>
      </c>
      <c r="E508" s="6" t="n">
        <v>16</v>
      </c>
      <c r="F508" s="6" t="n">
        <v>7</v>
      </c>
      <c r="G508" s="6" t="s">
        <v>68</v>
      </c>
      <c r="H508" s="11" t="n">
        <v>0.05</v>
      </c>
      <c r="I508" s="6" t="n">
        <v>20</v>
      </c>
      <c r="J508" s="6" t="n">
        <v>3</v>
      </c>
      <c r="K508" s="6" t="n">
        <v>17</v>
      </c>
      <c r="L508" s="6" t="n">
        <v>2</v>
      </c>
      <c r="M508" s="6" t="n">
        <v>18</v>
      </c>
      <c r="N508" s="11" t="n">
        <f aca="false">J508/(J508+K508)</f>
        <v>0.15</v>
      </c>
      <c r="O508" s="11" t="n">
        <f aca="false">IF(J508+L508=0,"",J508/(J508+L508))</f>
        <v>0.6</v>
      </c>
      <c r="P508" s="11" t="n">
        <f aca="false">2*J508/(2*J508+L508+K508)</f>
        <v>0.24</v>
      </c>
      <c r="Q508" s="11" t="n">
        <f aca="false">L508/(L508+M508)</f>
        <v>0.1</v>
      </c>
      <c r="R508" s="6" t="n">
        <v>1</v>
      </c>
      <c r="S508" s="11" t="n">
        <v>0</v>
      </c>
      <c r="T508" s="11" t="n">
        <v>0.157894736842105</v>
      </c>
      <c r="U508" s="11" t="n">
        <v>0.85</v>
      </c>
      <c r="V508" s="11" t="n">
        <v>0.85</v>
      </c>
    </row>
    <row r="509" customFormat="false" ht="15" hidden="false" customHeight="false" outlineLevel="0" collapsed="false">
      <c r="A509" s="6" t="s">
        <v>52</v>
      </c>
      <c r="B509" s="6" t="s">
        <v>43</v>
      </c>
      <c r="C509" s="6" t="s">
        <v>51</v>
      </c>
      <c r="D509" s="6" t="s">
        <v>116</v>
      </c>
      <c r="E509" s="6" t="n">
        <v>16</v>
      </c>
      <c r="F509" s="6" t="n">
        <v>7</v>
      </c>
      <c r="G509" s="6" t="s">
        <v>69</v>
      </c>
      <c r="H509" s="11" t="n">
        <v>0.05</v>
      </c>
      <c r="I509" s="6" t="n">
        <v>20</v>
      </c>
      <c r="J509" s="6" t="n">
        <v>3</v>
      </c>
      <c r="K509" s="6" t="n">
        <v>17</v>
      </c>
      <c r="L509" s="6" t="n">
        <v>1</v>
      </c>
      <c r="M509" s="6" t="n">
        <v>19</v>
      </c>
      <c r="N509" s="11" t="n">
        <f aca="false">J509/(J509+K509)</f>
        <v>0.15</v>
      </c>
      <c r="O509" s="11" t="n">
        <f aca="false">IF(J509+L509=0,"",J509/(J509+L509))</f>
        <v>0.75</v>
      </c>
      <c r="P509" s="11" t="n">
        <f aca="false">2*J509/(2*J509+L509+K509)</f>
        <v>0.25</v>
      </c>
      <c r="Q509" s="11" t="n">
        <f aca="false">L509/(L509+M509)</f>
        <v>0.05</v>
      </c>
      <c r="R509" s="6" t="n">
        <v>0</v>
      </c>
      <c r="S509" s="11"/>
      <c r="T509" s="11" t="n">
        <v>0.15</v>
      </c>
      <c r="U509" s="11" t="n">
        <v>1</v>
      </c>
      <c r="V509" s="11" t="n">
        <v>1</v>
      </c>
    </row>
    <row r="510" customFormat="false" ht="15" hidden="false" customHeight="false" outlineLevel="0" collapsed="false">
      <c r="A510" s="6" t="s">
        <v>52</v>
      </c>
      <c r="B510" s="6" t="s">
        <v>43</v>
      </c>
      <c r="C510" s="6" t="s">
        <v>51</v>
      </c>
      <c r="D510" s="6" t="s">
        <v>116</v>
      </c>
      <c r="E510" s="6" t="n">
        <v>16</v>
      </c>
      <c r="F510" s="6" t="n">
        <v>7</v>
      </c>
      <c r="G510" s="6" t="s">
        <v>70</v>
      </c>
      <c r="H510" s="11" t="n">
        <v>0.05</v>
      </c>
      <c r="I510" s="6" t="n">
        <v>20</v>
      </c>
      <c r="J510" s="6" t="n">
        <v>1</v>
      </c>
      <c r="K510" s="6" t="n">
        <v>19</v>
      </c>
      <c r="L510" s="6" t="n">
        <v>0</v>
      </c>
      <c r="M510" s="6" t="n">
        <v>20</v>
      </c>
      <c r="N510" s="11" t="n">
        <f aca="false">J510/(J510+K510)</f>
        <v>0.05</v>
      </c>
      <c r="O510" s="11" t="n">
        <f aca="false">IF(J510+L510=0,"",J510/(J510+L510))</f>
        <v>1</v>
      </c>
      <c r="P510" s="11" t="n">
        <f aca="false">2*J510/(2*J510+L510+K510)</f>
        <v>0.0952380952380952</v>
      </c>
      <c r="Q510" s="11" t="n">
        <f aca="false">L510/(L510+M510)</f>
        <v>0</v>
      </c>
      <c r="R510" s="6" t="n">
        <v>1</v>
      </c>
      <c r="S510" s="11" t="n">
        <v>1</v>
      </c>
      <c r="T510" s="11" t="n">
        <v>0</v>
      </c>
      <c r="U510" s="11" t="n">
        <v>0.9</v>
      </c>
      <c r="V510" s="11" t="n">
        <v>0.95</v>
      </c>
    </row>
    <row r="511" customFormat="false" ht="15" hidden="false" customHeight="false" outlineLevel="0" collapsed="false">
      <c r="A511" s="6" t="s">
        <v>52</v>
      </c>
      <c r="B511" s="6" t="s">
        <v>43</v>
      </c>
      <c r="C511" s="6" t="s">
        <v>51</v>
      </c>
      <c r="D511" s="6" t="s">
        <v>116</v>
      </c>
      <c r="E511" s="6" t="n">
        <v>16</v>
      </c>
      <c r="F511" s="6" t="n">
        <v>7</v>
      </c>
      <c r="G511" s="6" t="s">
        <v>71</v>
      </c>
      <c r="H511" s="11" t="n">
        <v>0.05</v>
      </c>
      <c r="I511" s="6" t="n">
        <v>20</v>
      </c>
      <c r="J511" s="6" t="n">
        <v>13</v>
      </c>
      <c r="K511" s="6" t="n">
        <v>7</v>
      </c>
      <c r="L511" s="6" t="n">
        <v>0</v>
      </c>
      <c r="M511" s="6" t="n">
        <v>20</v>
      </c>
      <c r="N511" s="11" t="n">
        <f aca="false">J511/(J511+K511)</f>
        <v>0.65</v>
      </c>
      <c r="O511" s="11" t="n">
        <f aca="false">IF(J511+L511=0,"",J511/(J511+L511))</f>
        <v>1</v>
      </c>
      <c r="P511" s="11" t="n">
        <f aca="false">2*J511/(2*J511+L511+K511)</f>
        <v>0.787878787878788</v>
      </c>
      <c r="Q511" s="11" t="n">
        <f aca="false">L511/(L511+M511)</f>
        <v>0</v>
      </c>
      <c r="R511" s="6" t="n">
        <v>0</v>
      </c>
      <c r="S511" s="11"/>
      <c r="T511" s="11" t="n">
        <v>0.65</v>
      </c>
      <c r="U511" s="11" t="n">
        <v>0.8</v>
      </c>
      <c r="V511" s="11" t="n">
        <v>0.8</v>
      </c>
    </row>
    <row r="512" customFormat="false" ht="15" hidden="false" customHeight="false" outlineLevel="0" collapsed="false">
      <c r="A512" s="6" t="s">
        <v>52</v>
      </c>
      <c r="B512" s="6" t="s">
        <v>43</v>
      </c>
      <c r="C512" s="6" t="s">
        <v>51</v>
      </c>
      <c r="D512" s="6" t="s">
        <v>116</v>
      </c>
      <c r="E512" s="6" t="n">
        <v>16</v>
      </c>
      <c r="F512" s="6" t="n">
        <v>7</v>
      </c>
      <c r="G512" s="6" t="s">
        <v>72</v>
      </c>
      <c r="H512" s="11" t="n">
        <v>0.05</v>
      </c>
      <c r="I512" s="6" t="n">
        <v>20</v>
      </c>
      <c r="J512" s="6" t="n">
        <v>1</v>
      </c>
      <c r="K512" s="6" t="n">
        <v>19</v>
      </c>
      <c r="L512" s="6" t="n">
        <v>1</v>
      </c>
      <c r="M512" s="6" t="n">
        <v>19</v>
      </c>
      <c r="N512" s="11" t="n">
        <f aca="false">J512/(J512+K512)</f>
        <v>0.05</v>
      </c>
      <c r="O512" s="11" t="n">
        <f aca="false">IF(J512+L512=0,"",J512/(J512+L512))</f>
        <v>0.5</v>
      </c>
      <c r="P512" s="11" t="n">
        <f aca="false">2*J512/(2*J512+L512+K512)</f>
        <v>0.0909090909090909</v>
      </c>
      <c r="Q512" s="11" t="n">
        <f aca="false">L512/(L512+M512)</f>
        <v>0.05</v>
      </c>
      <c r="R512" s="6" t="n">
        <v>1</v>
      </c>
      <c r="S512" s="11" t="n">
        <v>0</v>
      </c>
      <c r="T512" s="11" t="n">
        <v>0.0526315789473684</v>
      </c>
      <c r="U512" s="11" t="n">
        <v>0.9</v>
      </c>
      <c r="V512" s="11" t="n">
        <v>0.85</v>
      </c>
    </row>
    <row r="513" customFormat="false" ht="15" hidden="false" customHeight="false" outlineLevel="0" collapsed="false">
      <c r="A513" s="6" t="s">
        <v>52</v>
      </c>
      <c r="B513" s="6" t="s">
        <v>43</v>
      </c>
      <c r="C513" s="6" t="s">
        <v>51</v>
      </c>
      <c r="D513" s="6" t="s">
        <v>116</v>
      </c>
      <c r="E513" s="6" t="n">
        <v>16</v>
      </c>
      <c r="F513" s="6" t="n">
        <v>7</v>
      </c>
      <c r="G513" s="6" t="s">
        <v>73</v>
      </c>
      <c r="H513" s="11" t="n">
        <v>0.05</v>
      </c>
      <c r="I513" s="6" t="n">
        <v>20</v>
      </c>
      <c r="J513" s="6" t="n">
        <v>8</v>
      </c>
      <c r="K513" s="6" t="n">
        <v>12</v>
      </c>
      <c r="L513" s="6" t="n">
        <v>0</v>
      </c>
      <c r="M513" s="6" t="n">
        <v>20</v>
      </c>
      <c r="N513" s="11" t="n">
        <f aca="false">J513/(J513+K513)</f>
        <v>0.4</v>
      </c>
      <c r="O513" s="11" t="n">
        <f aca="false">IF(J513+L513=0,"",J513/(J513+L513))</f>
        <v>1</v>
      </c>
      <c r="P513" s="11" t="n">
        <f aca="false">2*J513/(2*J513+L513+K513)</f>
        <v>0.571428571428571</v>
      </c>
      <c r="Q513" s="11" t="n">
        <f aca="false">L513/(L513+M513)</f>
        <v>0</v>
      </c>
      <c r="R513" s="6" t="n">
        <v>1</v>
      </c>
      <c r="S513" s="11" t="n">
        <v>0</v>
      </c>
      <c r="T513" s="11" t="n">
        <v>0.421052631578947</v>
      </c>
      <c r="U513" s="11" t="n">
        <v>0.65</v>
      </c>
      <c r="V513" s="11" t="n">
        <v>0.65</v>
      </c>
    </row>
    <row r="514" customFormat="false" ht="15" hidden="false" customHeight="false" outlineLevel="0" collapsed="false">
      <c r="A514" s="6" t="s">
        <v>52</v>
      </c>
      <c r="B514" s="6" t="s">
        <v>43</v>
      </c>
      <c r="C514" s="6" t="s">
        <v>51</v>
      </c>
      <c r="D514" s="6" t="s">
        <v>116</v>
      </c>
      <c r="E514" s="6" t="n">
        <v>16</v>
      </c>
      <c r="F514" s="6" t="n">
        <v>7</v>
      </c>
      <c r="G514" s="6" t="s">
        <v>74</v>
      </c>
      <c r="H514" s="11" t="n">
        <v>0.05</v>
      </c>
      <c r="I514" s="6" t="n">
        <v>20</v>
      </c>
      <c r="J514" s="6" t="n">
        <v>3</v>
      </c>
      <c r="K514" s="6" t="n">
        <v>17</v>
      </c>
      <c r="L514" s="6" t="n">
        <v>1</v>
      </c>
      <c r="M514" s="6" t="n">
        <v>19</v>
      </c>
      <c r="N514" s="11" t="n">
        <f aca="false">J514/(J514+K514)</f>
        <v>0.15</v>
      </c>
      <c r="O514" s="11" t="n">
        <f aca="false">IF(J514+L514=0,"",J514/(J514+L514))</f>
        <v>0.75</v>
      </c>
      <c r="P514" s="11" t="n">
        <f aca="false">2*J514/(2*J514+L514+K514)</f>
        <v>0.25</v>
      </c>
      <c r="Q514" s="11" t="n">
        <f aca="false">L514/(L514+M514)</f>
        <v>0.05</v>
      </c>
      <c r="R514" s="6" t="n">
        <v>2</v>
      </c>
      <c r="S514" s="11" t="n">
        <v>0</v>
      </c>
      <c r="T514" s="11" t="n">
        <v>0.166666666666667</v>
      </c>
      <c r="U514" s="11" t="n">
        <v>0.85</v>
      </c>
      <c r="V514" s="11" t="n">
        <v>0.8</v>
      </c>
    </row>
    <row r="515" customFormat="false" ht="15" hidden="false" customHeight="false" outlineLevel="0" collapsed="false">
      <c r="A515" s="6" t="s">
        <v>52</v>
      </c>
      <c r="B515" s="6" t="s">
        <v>43</v>
      </c>
      <c r="C515" s="6" t="s">
        <v>51</v>
      </c>
      <c r="D515" s="6" t="s">
        <v>116</v>
      </c>
      <c r="E515" s="6" t="n">
        <v>16</v>
      </c>
      <c r="F515" s="6" t="n">
        <v>7</v>
      </c>
      <c r="G515" s="6" t="s">
        <v>75</v>
      </c>
      <c r="H515" s="11" t="n">
        <v>0.05</v>
      </c>
      <c r="I515" s="6" t="n">
        <v>20</v>
      </c>
      <c r="J515" s="6" t="n">
        <v>0</v>
      </c>
      <c r="K515" s="6" t="n">
        <v>20</v>
      </c>
      <c r="L515" s="6" t="n">
        <v>0</v>
      </c>
      <c r="M515" s="6" t="n">
        <v>20</v>
      </c>
      <c r="N515" s="11" t="n">
        <f aca="false">J515/(J515+K515)</f>
        <v>0</v>
      </c>
      <c r="O515" s="11" t="str">
        <f aca="false">IF(J515+L515=0,"",J515/(J515+L515))</f>
        <v/>
      </c>
      <c r="P515" s="11" t="n">
        <f aca="false">2*J515/(2*J515+L515+K515)</f>
        <v>0</v>
      </c>
      <c r="Q515" s="11" t="n">
        <f aca="false">L515/(L515+M515)</f>
        <v>0</v>
      </c>
      <c r="R515" s="6" t="n">
        <v>1</v>
      </c>
      <c r="S515" s="11" t="n">
        <v>0</v>
      </c>
      <c r="T515" s="11" t="n">
        <v>0</v>
      </c>
      <c r="U515" s="11" t="n">
        <v>0.9</v>
      </c>
      <c r="V515" s="11" t="n">
        <v>0.9</v>
      </c>
    </row>
    <row r="516" customFormat="false" ht="15" hidden="false" customHeight="false" outlineLevel="0" collapsed="false">
      <c r="A516" s="6" t="s">
        <v>52</v>
      </c>
      <c r="B516" s="6" t="s">
        <v>43</v>
      </c>
      <c r="C516" s="6" t="s">
        <v>51</v>
      </c>
      <c r="D516" s="6" t="s">
        <v>116</v>
      </c>
      <c r="E516" s="6" t="n">
        <v>16</v>
      </c>
      <c r="F516" s="6" t="n">
        <v>7</v>
      </c>
      <c r="G516" s="6" t="s">
        <v>76</v>
      </c>
      <c r="H516" s="11" t="n">
        <v>0.05</v>
      </c>
      <c r="I516" s="6" t="n">
        <v>20</v>
      </c>
      <c r="J516" s="6" t="n">
        <v>0</v>
      </c>
      <c r="K516" s="6" t="n">
        <v>20</v>
      </c>
      <c r="L516" s="6" t="n">
        <v>0</v>
      </c>
      <c r="M516" s="6" t="n">
        <v>20</v>
      </c>
      <c r="N516" s="11" t="n">
        <f aca="false">J516/(J516+K516)</f>
        <v>0</v>
      </c>
      <c r="O516" s="11" t="str">
        <f aca="false">IF(J516+L516=0,"",J516/(J516+L516))</f>
        <v/>
      </c>
      <c r="P516" s="11" t="n">
        <f aca="false">2*J516/(2*J516+L516+K516)</f>
        <v>0</v>
      </c>
      <c r="Q516" s="11" t="n">
        <f aca="false">L516/(L516+M516)</f>
        <v>0</v>
      </c>
      <c r="R516" s="6" t="n">
        <v>0</v>
      </c>
      <c r="S516" s="11"/>
      <c r="T516" s="11" t="n">
        <v>0</v>
      </c>
      <c r="U516" s="11" t="n">
        <v>0.95</v>
      </c>
      <c r="V516" s="11" t="n">
        <v>0.95</v>
      </c>
    </row>
    <row r="517" customFormat="false" ht="15" hidden="false" customHeight="false" outlineLevel="0" collapsed="false">
      <c r="A517" s="6" t="s">
        <v>52</v>
      </c>
      <c r="B517" s="6" t="s">
        <v>43</v>
      </c>
      <c r="C517" s="6" t="s">
        <v>51</v>
      </c>
      <c r="D517" s="6" t="s">
        <v>116</v>
      </c>
      <c r="E517" s="6" t="n">
        <v>16</v>
      </c>
      <c r="F517" s="6" t="n">
        <v>7</v>
      </c>
      <c r="G517" s="6" t="s">
        <v>77</v>
      </c>
      <c r="H517" s="11" t="n">
        <v>0.05</v>
      </c>
      <c r="I517" s="6" t="n">
        <v>20</v>
      </c>
      <c r="J517" s="6" t="n">
        <v>3</v>
      </c>
      <c r="K517" s="6" t="n">
        <v>17</v>
      </c>
      <c r="L517" s="6" t="n">
        <v>1</v>
      </c>
      <c r="M517" s="6" t="n">
        <v>19</v>
      </c>
      <c r="N517" s="11" t="n">
        <f aca="false">J517/(J517+K517)</f>
        <v>0.15</v>
      </c>
      <c r="O517" s="11" t="n">
        <f aca="false">IF(J517+L517=0,"",J517/(J517+L517))</f>
        <v>0.75</v>
      </c>
      <c r="P517" s="11" t="n">
        <f aca="false">2*J517/(2*J517+L517+K517)</f>
        <v>0.25</v>
      </c>
      <c r="Q517" s="11" t="n">
        <f aca="false">L517/(L517+M517)</f>
        <v>0.05</v>
      </c>
      <c r="R517" s="6" t="n">
        <v>0</v>
      </c>
      <c r="S517" s="11"/>
      <c r="T517" s="11" t="n">
        <v>0.15</v>
      </c>
      <c r="U517" s="11" t="n">
        <v>1</v>
      </c>
      <c r="V517" s="11" t="n">
        <v>1</v>
      </c>
    </row>
    <row r="518" customFormat="false" ht="15" hidden="false" customHeight="false" outlineLevel="0" collapsed="false">
      <c r="A518" s="6" t="s">
        <v>52</v>
      </c>
      <c r="B518" s="6" t="s">
        <v>43</v>
      </c>
      <c r="C518" s="6" t="s">
        <v>51</v>
      </c>
      <c r="D518" s="6" t="s">
        <v>116</v>
      </c>
      <c r="E518" s="6" t="n">
        <v>16</v>
      </c>
      <c r="F518" s="6" t="n">
        <v>7</v>
      </c>
      <c r="G518" s="6" t="s">
        <v>78</v>
      </c>
      <c r="H518" s="11" t="n">
        <v>0.05</v>
      </c>
      <c r="I518" s="6" t="n">
        <v>200</v>
      </c>
      <c r="J518" s="6" t="n">
        <v>35</v>
      </c>
      <c r="K518" s="6" t="n">
        <v>165</v>
      </c>
      <c r="L518" s="6" t="n">
        <v>6</v>
      </c>
      <c r="M518" s="6" t="n">
        <v>194</v>
      </c>
      <c r="N518" s="11" t="n">
        <f aca="false">J518/(J518+K518)</f>
        <v>0.175</v>
      </c>
      <c r="O518" s="11" t="n">
        <f aca="false">IF(J518+L518=0,"",J518/(J518+L518))</f>
        <v>0.853658536585366</v>
      </c>
      <c r="P518" s="11" t="n">
        <f aca="false">2*J518/(2*J518+L518+K518)</f>
        <v>0.29045643153527</v>
      </c>
      <c r="Q518" s="11" t="n">
        <f aca="false">L518/(L518+M518)</f>
        <v>0.03</v>
      </c>
      <c r="R518" s="6" t="n">
        <v>7</v>
      </c>
      <c r="S518" s="11" t="n">
        <v>0.142857142857143</v>
      </c>
      <c r="T518" s="11" t="n">
        <v>0.176165803108808</v>
      </c>
      <c r="U518" s="11" t="n">
        <v>0.88</v>
      </c>
      <c r="V518" s="11" t="n">
        <v>0.875</v>
      </c>
    </row>
    <row r="519" customFormat="false" ht="15" hidden="false" customHeight="false" outlineLevel="0" collapsed="false">
      <c r="A519" s="6" t="s">
        <v>52</v>
      </c>
      <c r="B519" s="6" t="s">
        <v>43</v>
      </c>
      <c r="C519" s="6" t="s">
        <v>51</v>
      </c>
      <c r="D519" s="6" t="s">
        <v>116</v>
      </c>
      <c r="E519" s="6" t="n">
        <v>16</v>
      </c>
      <c r="F519" s="6" t="n">
        <v>8</v>
      </c>
      <c r="G519" s="6" t="s">
        <v>68</v>
      </c>
      <c r="H519" s="11" t="n">
        <v>0.05</v>
      </c>
      <c r="I519" s="6" t="n">
        <v>20</v>
      </c>
      <c r="J519" s="6" t="n">
        <v>2</v>
      </c>
      <c r="K519" s="6" t="n">
        <v>18</v>
      </c>
      <c r="L519" s="6" t="n">
        <v>2</v>
      </c>
      <c r="M519" s="6" t="n">
        <v>18</v>
      </c>
      <c r="N519" s="11" t="n">
        <f aca="false">J519/(J519+K519)</f>
        <v>0.1</v>
      </c>
      <c r="O519" s="11" t="n">
        <f aca="false">IF(J519+L519=0,"",J519/(J519+L519))</f>
        <v>0.5</v>
      </c>
      <c r="P519" s="11" t="n">
        <f aca="false">2*J519/(2*J519+L519+K519)</f>
        <v>0.166666666666667</v>
      </c>
      <c r="Q519" s="11" t="n">
        <f aca="false">L519/(L519+M519)</f>
        <v>0.1</v>
      </c>
      <c r="R519" s="6" t="n">
        <v>1</v>
      </c>
      <c r="S519" s="11" t="n">
        <v>0</v>
      </c>
      <c r="T519" s="11" t="n">
        <v>0.105263157894737</v>
      </c>
      <c r="U519" s="11" t="n">
        <v>0.85</v>
      </c>
      <c r="V519" s="11" t="n">
        <v>0.9</v>
      </c>
    </row>
    <row r="520" customFormat="false" ht="15" hidden="false" customHeight="false" outlineLevel="0" collapsed="false">
      <c r="A520" s="6" t="s">
        <v>52</v>
      </c>
      <c r="B520" s="6" t="s">
        <v>43</v>
      </c>
      <c r="C520" s="6" t="s">
        <v>51</v>
      </c>
      <c r="D520" s="6" t="s">
        <v>116</v>
      </c>
      <c r="E520" s="6" t="n">
        <v>16</v>
      </c>
      <c r="F520" s="6" t="n">
        <v>8</v>
      </c>
      <c r="G520" s="6" t="s">
        <v>69</v>
      </c>
      <c r="H520" s="11" t="n">
        <v>0.05</v>
      </c>
      <c r="I520" s="6" t="n">
        <v>20</v>
      </c>
      <c r="J520" s="6" t="n">
        <v>1</v>
      </c>
      <c r="K520" s="6" t="n">
        <v>19</v>
      </c>
      <c r="L520" s="6" t="n">
        <v>1</v>
      </c>
      <c r="M520" s="6" t="n">
        <v>19</v>
      </c>
      <c r="N520" s="11" t="n">
        <f aca="false">J520/(J520+K520)</f>
        <v>0.05</v>
      </c>
      <c r="O520" s="11" t="n">
        <f aca="false">IF(J520+L520=0,"",J520/(J520+L520))</f>
        <v>0.5</v>
      </c>
      <c r="P520" s="11" t="n">
        <f aca="false">2*J520/(2*J520+L520+K520)</f>
        <v>0.0909090909090909</v>
      </c>
      <c r="Q520" s="11" t="n">
        <f aca="false">L520/(L520+M520)</f>
        <v>0.05</v>
      </c>
      <c r="R520" s="6" t="n">
        <v>0</v>
      </c>
      <c r="S520" s="11"/>
      <c r="T520" s="11" t="n">
        <v>0.05</v>
      </c>
      <c r="U520" s="11" t="n">
        <v>1</v>
      </c>
      <c r="V520" s="11" t="n">
        <v>1</v>
      </c>
    </row>
    <row r="521" customFormat="false" ht="15" hidden="false" customHeight="false" outlineLevel="0" collapsed="false">
      <c r="A521" s="6" t="s">
        <v>52</v>
      </c>
      <c r="B521" s="6" t="s">
        <v>43</v>
      </c>
      <c r="C521" s="6" t="s">
        <v>51</v>
      </c>
      <c r="D521" s="6" t="s">
        <v>116</v>
      </c>
      <c r="E521" s="6" t="n">
        <v>16</v>
      </c>
      <c r="F521" s="6" t="n">
        <v>8</v>
      </c>
      <c r="G521" s="6" t="s">
        <v>70</v>
      </c>
      <c r="H521" s="11" t="n">
        <v>0.05</v>
      </c>
      <c r="I521" s="6" t="n">
        <v>20</v>
      </c>
      <c r="J521" s="6" t="n">
        <v>1</v>
      </c>
      <c r="K521" s="6" t="n">
        <v>19</v>
      </c>
      <c r="L521" s="6" t="n">
        <v>0</v>
      </c>
      <c r="M521" s="6" t="n">
        <v>20</v>
      </c>
      <c r="N521" s="11" t="n">
        <f aca="false">J521/(J521+K521)</f>
        <v>0.05</v>
      </c>
      <c r="O521" s="11" t="n">
        <f aca="false">IF(J521+L521=0,"",J521/(J521+L521))</f>
        <v>1</v>
      </c>
      <c r="P521" s="11" t="n">
        <f aca="false">2*J521/(2*J521+L521+K521)</f>
        <v>0.0952380952380952</v>
      </c>
      <c r="Q521" s="11" t="n">
        <f aca="false">L521/(L521+M521)</f>
        <v>0</v>
      </c>
      <c r="R521" s="6" t="n">
        <v>1</v>
      </c>
      <c r="S521" s="11" t="n">
        <v>0</v>
      </c>
      <c r="T521" s="11" t="n">
        <v>0.0526315789473684</v>
      </c>
      <c r="U521" s="11" t="n">
        <v>0.9</v>
      </c>
      <c r="V521" s="11" t="n">
        <v>0.95</v>
      </c>
    </row>
    <row r="522" customFormat="false" ht="15" hidden="false" customHeight="false" outlineLevel="0" collapsed="false">
      <c r="A522" s="6" t="s">
        <v>52</v>
      </c>
      <c r="B522" s="6" t="s">
        <v>43</v>
      </c>
      <c r="C522" s="6" t="s">
        <v>51</v>
      </c>
      <c r="D522" s="6" t="s">
        <v>116</v>
      </c>
      <c r="E522" s="6" t="n">
        <v>16</v>
      </c>
      <c r="F522" s="6" t="n">
        <v>8</v>
      </c>
      <c r="G522" s="6" t="s">
        <v>71</v>
      </c>
      <c r="H522" s="11" t="n">
        <v>0.05</v>
      </c>
      <c r="I522" s="6" t="n">
        <v>20</v>
      </c>
      <c r="J522" s="6" t="n">
        <v>0</v>
      </c>
      <c r="K522" s="6" t="n">
        <v>20</v>
      </c>
      <c r="L522" s="6" t="n">
        <v>0</v>
      </c>
      <c r="M522" s="6" t="n">
        <v>20</v>
      </c>
      <c r="N522" s="11" t="n">
        <f aca="false">J522/(J522+K522)</f>
        <v>0</v>
      </c>
      <c r="O522" s="11" t="str">
        <f aca="false">IF(J522+L522=0,"",J522/(J522+L522))</f>
        <v/>
      </c>
      <c r="P522" s="11" t="n">
        <f aca="false">2*J522/(2*J522+L522+K522)</f>
        <v>0</v>
      </c>
      <c r="Q522" s="11" t="n">
        <f aca="false">L522/(L522+M522)</f>
        <v>0</v>
      </c>
      <c r="R522" s="6" t="n">
        <v>0</v>
      </c>
      <c r="S522" s="11"/>
      <c r="T522" s="11" t="n">
        <v>0</v>
      </c>
      <c r="U522" s="11" t="n">
        <v>0.8</v>
      </c>
      <c r="V522" s="11" t="n">
        <v>0.8</v>
      </c>
    </row>
    <row r="523" customFormat="false" ht="15" hidden="false" customHeight="false" outlineLevel="0" collapsed="false">
      <c r="A523" s="6" t="s">
        <v>52</v>
      </c>
      <c r="B523" s="6" t="s">
        <v>43</v>
      </c>
      <c r="C523" s="6" t="s">
        <v>51</v>
      </c>
      <c r="D523" s="6" t="s">
        <v>116</v>
      </c>
      <c r="E523" s="6" t="n">
        <v>16</v>
      </c>
      <c r="F523" s="6" t="n">
        <v>8</v>
      </c>
      <c r="G523" s="6" t="s">
        <v>72</v>
      </c>
      <c r="H523" s="11" t="n">
        <v>0.05</v>
      </c>
      <c r="I523" s="6" t="n">
        <v>20</v>
      </c>
      <c r="J523" s="6" t="n">
        <v>0</v>
      </c>
      <c r="K523" s="6" t="n">
        <v>20</v>
      </c>
      <c r="L523" s="6" t="n">
        <v>1</v>
      </c>
      <c r="M523" s="6" t="n">
        <v>19</v>
      </c>
      <c r="N523" s="11" t="n">
        <f aca="false">J523/(J523+K523)</f>
        <v>0</v>
      </c>
      <c r="O523" s="11" t="n">
        <f aca="false">IF(J523+L523=0,"",J523/(J523+L523))</f>
        <v>0</v>
      </c>
      <c r="P523" s="11" t="n">
        <f aca="false">2*J523/(2*J523+L523+K523)</f>
        <v>0</v>
      </c>
      <c r="Q523" s="11" t="n">
        <f aca="false">L523/(L523+M523)</f>
        <v>0.05</v>
      </c>
      <c r="R523" s="6" t="n">
        <v>0</v>
      </c>
      <c r="S523" s="11"/>
      <c r="T523" s="11" t="n">
        <v>0</v>
      </c>
      <c r="U523" s="11" t="n">
        <v>0.9</v>
      </c>
      <c r="V523" s="11" t="n">
        <v>0.9</v>
      </c>
    </row>
    <row r="524" customFormat="false" ht="15" hidden="false" customHeight="false" outlineLevel="0" collapsed="false">
      <c r="A524" s="6" t="s">
        <v>52</v>
      </c>
      <c r="B524" s="6" t="s">
        <v>43</v>
      </c>
      <c r="C524" s="6" t="s">
        <v>51</v>
      </c>
      <c r="D524" s="6" t="s">
        <v>116</v>
      </c>
      <c r="E524" s="6" t="n">
        <v>16</v>
      </c>
      <c r="F524" s="6" t="n">
        <v>8</v>
      </c>
      <c r="G524" s="6" t="s">
        <v>73</v>
      </c>
      <c r="H524" s="11" t="n">
        <v>0.05</v>
      </c>
      <c r="I524" s="6" t="n">
        <v>20</v>
      </c>
      <c r="J524" s="6" t="n">
        <v>0</v>
      </c>
      <c r="K524" s="6" t="n">
        <v>20</v>
      </c>
      <c r="L524" s="6" t="n">
        <v>0</v>
      </c>
      <c r="M524" s="6" t="n">
        <v>20</v>
      </c>
      <c r="N524" s="11" t="n">
        <f aca="false">J524/(J524+K524)</f>
        <v>0</v>
      </c>
      <c r="O524" s="11" t="str">
        <f aca="false">IF(J524+L524=0,"",J524/(J524+L524))</f>
        <v/>
      </c>
      <c r="P524" s="11" t="n">
        <f aca="false">2*J524/(2*J524+L524+K524)</f>
        <v>0</v>
      </c>
      <c r="Q524" s="11" t="n">
        <f aca="false">L524/(L524+M524)</f>
        <v>0</v>
      </c>
      <c r="R524" s="6" t="n">
        <v>3</v>
      </c>
      <c r="S524" s="11" t="n">
        <v>0</v>
      </c>
      <c r="T524" s="11" t="n">
        <v>0</v>
      </c>
      <c r="U524" s="11" t="n">
        <v>0.65</v>
      </c>
      <c r="V524" s="11" t="n">
        <v>0.55</v>
      </c>
    </row>
    <row r="525" customFormat="false" ht="15" hidden="false" customHeight="false" outlineLevel="0" collapsed="false">
      <c r="A525" s="6" t="s">
        <v>52</v>
      </c>
      <c r="B525" s="6" t="s">
        <v>43</v>
      </c>
      <c r="C525" s="6" t="s">
        <v>51</v>
      </c>
      <c r="D525" s="6" t="s">
        <v>116</v>
      </c>
      <c r="E525" s="6" t="n">
        <v>16</v>
      </c>
      <c r="F525" s="6" t="n">
        <v>8</v>
      </c>
      <c r="G525" s="6" t="s">
        <v>74</v>
      </c>
      <c r="H525" s="11" t="n">
        <v>0.05</v>
      </c>
      <c r="I525" s="6" t="n">
        <v>20</v>
      </c>
      <c r="J525" s="6" t="n">
        <v>2</v>
      </c>
      <c r="K525" s="6" t="n">
        <v>18</v>
      </c>
      <c r="L525" s="6" t="n">
        <v>1</v>
      </c>
      <c r="M525" s="6" t="n">
        <v>19</v>
      </c>
      <c r="N525" s="11" t="n">
        <f aca="false">J525/(J525+K525)</f>
        <v>0.1</v>
      </c>
      <c r="O525" s="11" t="n">
        <f aca="false">IF(J525+L525=0,"",J525/(J525+L525))</f>
        <v>0.666666666666667</v>
      </c>
      <c r="P525" s="11" t="n">
        <f aca="false">2*J525/(2*J525+L525+K525)</f>
        <v>0.173913043478261</v>
      </c>
      <c r="Q525" s="11" t="n">
        <f aca="false">L525/(L525+M525)</f>
        <v>0.05</v>
      </c>
      <c r="R525" s="6" t="n">
        <v>3</v>
      </c>
      <c r="S525" s="11" t="n">
        <v>0.666666666666667</v>
      </c>
      <c r="T525" s="11" t="n">
        <v>0</v>
      </c>
      <c r="U525" s="11" t="n">
        <v>0.85</v>
      </c>
      <c r="V525" s="11" t="n">
        <v>0.7</v>
      </c>
    </row>
    <row r="526" customFormat="false" ht="15" hidden="false" customHeight="false" outlineLevel="0" collapsed="false">
      <c r="A526" s="6" t="s">
        <v>52</v>
      </c>
      <c r="B526" s="6" t="s">
        <v>43</v>
      </c>
      <c r="C526" s="6" t="s">
        <v>51</v>
      </c>
      <c r="D526" s="6" t="s">
        <v>116</v>
      </c>
      <c r="E526" s="6" t="n">
        <v>16</v>
      </c>
      <c r="F526" s="6" t="n">
        <v>8</v>
      </c>
      <c r="G526" s="6" t="s">
        <v>75</v>
      </c>
      <c r="H526" s="11" t="n">
        <v>0.05</v>
      </c>
      <c r="I526" s="6" t="n">
        <v>20</v>
      </c>
      <c r="J526" s="6" t="n">
        <v>0</v>
      </c>
      <c r="K526" s="6" t="n">
        <v>20</v>
      </c>
      <c r="L526" s="6" t="n">
        <v>0</v>
      </c>
      <c r="M526" s="6" t="n">
        <v>20</v>
      </c>
      <c r="N526" s="11" t="n">
        <f aca="false">J526/(J526+K526)</f>
        <v>0</v>
      </c>
      <c r="O526" s="11" t="str">
        <f aca="false">IF(J526+L526=0,"",J526/(J526+L526))</f>
        <v/>
      </c>
      <c r="P526" s="11" t="n">
        <f aca="false">2*J526/(2*J526+L526+K526)</f>
        <v>0</v>
      </c>
      <c r="Q526" s="11" t="n">
        <f aca="false">L526/(L526+M526)</f>
        <v>0</v>
      </c>
      <c r="R526" s="6" t="n">
        <v>1</v>
      </c>
      <c r="S526" s="11" t="n">
        <v>0</v>
      </c>
      <c r="T526" s="11" t="n">
        <v>0</v>
      </c>
      <c r="U526" s="11" t="n">
        <v>0.9</v>
      </c>
      <c r="V526" s="11" t="n">
        <v>0.85</v>
      </c>
    </row>
    <row r="527" customFormat="false" ht="15" hidden="false" customHeight="false" outlineLevel="0" collapsed="false">
      <c r="A527" s="6" t="s">
        <v>52</v>
      </c>
      <c r="B527" s="6" t="s">
        <v>43</v>
      </c>
      <c r="C527" s="6" t="s">
        <v>51</v>
      </c>
      <c r="D527" s="6" t="s">
        <v>116</v>
      </c>
      <c r="E527" s="6" t="n">
        <v>16</v>
      </c>
      <c r="F527" s="6" t="n">
        <v>8</v>
      </c>
      <c r="G527" s="6" t="s">
        <v>76</v>
      </c>
      <c r="H527" s="11" t="n">
        <v>0.05</v>
      </c>
      <c r="I527" s="6" t="n">
        <v>20</v>
      </c>
      <c r="J527" s="6" t="n">
        <v>0</v>
      </c>
      <c r="K527" s="6" t="n">
        <v>20</v>
      </c>
      <c r="L527" s="6" t="n">
        <v>0</v>
      </c>
      <c r="M527" s="6" t="n">
        <v>20</v>
      </c>
      <c r="N527" s="11" t="n">
        <f aca="false">J527/(J527+K527)</f>
        <v>0</v>
      </c>
      <c r="O527" s="11" t="str">
        <f aca="false">IF(J527+L527=0,"",J527/(J527+L527))</f>
        <v/>
      </c>
      <c r="P527" s="11" t="n">
        <f aca="false">2*J527/(2*J527+L527+K527)</f>
        <v>0</v>
      </c>
      <c r="Q527" s="11" t="n">
        <f aca="false">L527/(L527+M527)</f>
        <v>0</v>
      </c>
      <c r="R527" s="6" t="n">
        <v>0</v>
      </c>
      <c r="S527" s="11"/>
      <c r="T527" s="11" t="n">
        <v>0</v>
      </c>
      <c r="U527" s="11" t="n">
        <v>0.95</v>
      </c>
      <c r="V527" s="11" t="n">
        <v>0.95</v>
      </c>
    </row>
    <row r="528" customFormat="false" ht="15" hidden="false" customHeight="false" outlineLevel="0" collapsed="false">
      <c r="A528" s="6" t="s">
        <v>52</v>
      </c>
      <c r="B528" s="6" t="s">
        <v>43</v>
      </c>
      <c r="C528" s="6" t="s">
        <v>51</v>
      </c>
      <c r="D528" s="6" t="s">
        <v>116</v>
      </c>
      <c r="E528" s="6" t="n">
        <v>16</v>
      </c>
      <c r="F528" s="6" t="n">
        <v>8</v>
      </c>
      <c r="G528" s="6" t="s">
        <v>77</v>
      </c>
      <c r="H528" s="11" t="n">
        <v>0.05</v>
      </c>
      <c r="I528" s="6" t="n">
        <v>20</v>
      </c>
      <c r="J528" s="6" t="n">
        <v>0</v>
      </c>
      <c r="K528" s="6" t="n">
        <v>20</v>
      </c>
      <c r="L528" s="6" t="n">
        <v>1</v>
      </c>
      <c r="M528" s="6" t="n">
        <v>19</v>
      </c>
      <c r="N528" s="11" t="n">
        <f aca="false">J528/(J528+K528)</f>
        <v>0</v>
      </c>
      <c r="O528" s="11" t="n">
        <f aca="false">IF(J528+L528=0,"",J528/(J528+L528))</f>
        <v>0</v>
      </c>
      <c r="P528" s="11" t="n">
        <f aca="false">2*J528/(2*J528+L528+K528)</f>
        <v>0</v>
      </c>
      <c r="Q528" s="11" t="n">
        <f aca="false">L528/(L528+M528)</f>
        <v>0.05</v>
      </c>
      <c r="R528" s="6" t="n">
        <v>0</v>
      </c>
      <c r="S528" s="11"/>
      <c r="T528" s="11" t="n">
        <v>0</v>
      </c>
      <c r="U528" s="11" t="n">
        <v>1</v>
      </c>
      <c r="V528" s="11" t="n">
        <v>1</v>
      </c>
    </row>
    <row r="529" customFormat="false" ht="15" hidden="false" customHeight="false" outlineLevel="0" collapsed="false">
      <c r="A529" s="6" t="s">
        <v>52</v>
      </c>
      <c r="B529" s="6" t="s">
        <v>43</v>
      </c>
      <c r="C529" s="6" t="s">
        <v>51</v>
      </c>
      <c r="D529" s="6" t="s">
        <v>116</v>
      </c>
      <c r="E529" s="6" t="n">
        <v>16</v>
      </c>
      <c r="F529" s="6" t="n">
        <v>8</v>
      </c>
      <c r="G529" s="6" t="s">
        <v>78</v>
      </c>
      <c r="H529" s="11" t="n">
        <v>0.05</v>
      </c>
      <c r="I529" s="6" t="n">
        <v>200</v>
      </c>
      <c r="J529" s="6" t="n">
        <v>6</v>
      </c>
      <c r="K529" s="6" t="n">
        <v>194</v>
      </c>
      <c r="L529" s="6" t="n">
        <v>6</v>
      </c>
      <c r="M529" s="6" t="n">
        <v>194</v>
      </c>
      <c r="N529" s="11" t="n">
        <f aca="false">J529/(J529+K529)</f>
        <v>0.03</v>
      </c>
      <c r="O529" s="11" t="n">
        <f aca="false">IF(J529+L529=0,"",J529/(J529+L529))</f>
        <v>0.5</v>
      </c>
      <c r="P529" s="11" t="n">
        <f aca="false">2*J529/(2*J529+L529+K529)</f>
        <v>0.0566037735849057</v>
      </c>
      <c r="Q529" s="11" t="n">
        <f aca="false">L529/(L529+M529)</f>
        <v>0.03</v>
      </c>
      <c r="R529" s="6" t="n">
        <v>9</v>
      </c>
      <c r="S529" s="11" t="n">
        <v>0.222222222222222</v>
      </c>
      <c r="T529" s="11" t="n">
        <v>0.0209424083769634</v>
      </c>
      <c r="U529" s="11" t="n">
        <v>0.88</v>
      </c>
      <c r="V529" s="11" t="n">
        <v>0.86</v>
      </c>
    </row>
    <row r="530" customFormat="false" ht="15" hidden="false" customHeight="false" outlineLevel="0" collapsed="false">
      <c r="A530" s="6" t="s">
        <v>52</v>
      </c>
      <c r="B530" s="6" t="s">
        <v>43</v>
      </c>
      <c r="C530" s="6" t="s">
        <v>51</v>
      </c>
      <c r="D530" s="6" t="s">
        <v>116</v>
      </c>
      <c r="E530" s="6" t="n">
        <v>16</v>
      </c>
      <c r="F530" s="6" t="n">
        <v>9</v>
      </c>
      <c r="G530" s="6" t="s">
        <v>68</v>
      </c>
      <c r="H530" s="11" t="n">
        <v>0.05</v>
      </c>
      <c r="I530" s="6" t="n">
        <v>20</v>
      </c>
      <c r="J530" s="6" t="n">
        <v>2</v>
      </c>
      <c r="K530" s="6" t="n">
        <v>18</v>
      </c>
      <c r="L530" s="6" t="n">
        <v>2</v>
      </c>
      <c r="M530" s="6" t="n">
        <v>18</v>
      </c>
      <c r="N530" s="11" t="n">
        <f aca="false">J530/(J530+K530)</f>
        <v>0.1</v>
      </c>
      <c r="O530" s="11" t="n">
        <f aca="false">IF(J530+L530=0,"",J530/(J530+L530))</f>
        <v>0.5</v>
      </c>
      <c r="P530" s="11" t="n">
        <f aca="false">2*J530/(2*J530+L530+K530)</f>
        <v>0.166666666666667</v>
      </c>
      <c r="Q530" s="11" t="n">
        <f aca="false">L530/(L530+M530)</f>
        <v>0.1</v>
      </c>
      <c r="R530" s="6" t="n">
        <v>0</v>
      </c>
      <c r="S530" s="11"/>
      <c r="T530" s="11" t="n">
        <v>0.1</v>
      </c>
      <c r="U530" s="11" t="n">
        <v>0.85</v>
      </c>
      <c r="V530" s="11" t="n">
        <v>0.85</v>
      </c>
    </row>
    <row r="531" customFormat="false" ht="15" hidden="false" customHeight="false" outlineLevel="0" collapsed="false">
      <c r="A531" s="6" t="s">
        <v>52</v>
      </c>
      <c r="B531" s="6" t="s">
        <v>43</v>
      </c>
      <c r="C531" s="6" t="s">
        <v>51</v>
      </c>
      <c r="D531" s="6" t="s">
        <v>116</v>
      </c>
      <c r="E531" s="6" t="n">
        <v>16</v>
      </c>
      <c r="F531" s="6" t="n">
        <v>9</v>
      </c>
      <c r="G531" s="6" t="s">
        <v>69</v>
      </c>
      <c r="H531" s="11" t="n">
        <v>0.05</v>
      </c>
      <c r="I531" s="6" t="n">
        <v>20</v>
      </c>
      <c r="J531" s="6" t="n">
        <v>1</v>
      </c>
      <c r="K531" s="6" t="n">
        <v>19</v>
      </c>
      <c r="L531" s="6" t="n">
        <v>1</v>
      </c>
      <c r="M531" s="6" t="n">
        <v>19</v>
      </c>
      <c r="N531" s="11" t="n">
        <f aca="false">J531/(J531+K531)</f>
        <v>0.05</v>
      </c>
      <c r="O531" s="11" t="n">
        <f aca="false">IF(J531+L531=0,"",J531/(J531+L531))</f>
        <v>0.5</v>
      </c>
      <c r="P531" s="11" t="n">
        <f aca="false">2*J531/(2*J531+L531+K531)</f>
        <v>0.0909090909090909</v>
      </c>
      <c r="Q531" s="11" t="n">
        <f aca="false">L531/(L531+M531)</f>
        <v>0.05</v>
      </c>
      <c r="R531" s="6" t="n">
        <v>0</v>
      </c>
      <c r="S531" s="11"/>
      <c r="T531" s="11" t="n">
        <v>0.05</v>
      </c>
      <c r="U531" s="11" t="n">
        <v>1</v>
      </c>
      <c r="V531" s="11" t="n">
        <v>1</v>
      </c>
    </row>
    <row r="532" customFormat="false" ht="15" hidden="false" customHeight="false" outlineLevel="0" collapsed="false">
      <c r="A532" s="6" t="s">
        <v>52</v>
      </c>
      <c r="B532" s="6" t="s">
        <v>43</v>
      </c>
      <c r="C532" s="6" t="s">
        <v>51</v>
      </c>
      <c r="D532" s="6" t="s">
        <v>116</v>
      </c>
      <c r="E532" s="6" t="n">
        <v>16</v>
      </c>
      <c r="F532" s="6" t="n">
        <v>9</v>
      </c>
      <c r="G532" s="6" t="s">
        <v>70</v>
      </c>
      <c r="H532" s="11" t="n">
        <v>0.05</v>
      </c>
      <c r="I532" s="6" t="n">
        <v>20</v>
      </c>
      <c r="J532" s="6" t="n">
        <v>0</v>
      </c>
      <c r="K532" s="6" t="n">
        <v>20</v>
      </c>
      <c r="L532" s="6" t="n">
        <v>0</v>
      </c>
      <c r="M532" s="6" t="n">
        <v>20</v>
      </c>
      <c r="N532" s="11" t="n">
        <f aca="false">J532/(J532+K532)</f>
        <v>0</v>
      </c>
      <c r="O532" s="11" t="str">
        <f aca="false">IF(J532+L532=0,"",J532/(J532+L532))</f>
        <v/>
      </c>
      <c r="P532" s="11" t="n">
        <f aca="false">2*J532/(2*J532+L532+K532)</f>
        <v>0</v>
      </c>
      <c r="Q532" s="11" t="n">
        <f aca="false">L532/(L532+M532)</f>
        <v>0</v>
      </c>
      <c r="R532" s="6" t="n">
        <v>0</v>
      </c>
      <c r="S532" s="11"/>
      <c r="T532" s="11" t="n">
        <v>0</v>
      </c>
      <c r="U532" s="11" t="n">
        <v>0.9</v>
      </c>
      <c r="V532" s="11" t="n">
        <v>0.9</v>
      </c>
    </row>
    <row r="533" customFormat="false" ht="15" hidden="false" customHeight="false" outlineLevel="0" collapsed="false">
      <c r="A533" s="6" t="s">
        <v>52</v>
      </c>
      <c r="B533" s="6" t="s">
        <v>43</v>
      </c>
      <c r="C533" s="6" t="s">
        <v>51</v>
      </c>
      <c r="D533" s="6" t="s">
        <v>116</v>
      </c>
      <c r="E533" s="6" t="n">
        <v>16</v>
      </c>
      <c r="F533" s="6" t="n">
        <v>9</v>
      </c>
      <c r="G533" s="6" t="s">
        <v>71</v>
      </c>
      <c r="H533" s="11" t="n">
        <v>0.05</v>
      </c>
      <c r="I533" s="6" t="n">
        <v>20</v>
      </c>
      <c r="J533" s="6" t="n">
        <v>1</v>
      </c>
      <c r="K533" s="6" t="n">
        <v>19</v>
      </c>
      <c r="L533" s="6" t="n">
        <v>0</v>
      </c>
      <c r="M533" s="6" t="n">
        <v>20</v>
      </c>
      <c r="N533" s="11" t="n">
        <f aca="false">J533/(J533+K533)</f>
        <v>0.05</v>
      </c>
      <c r="O533" s="11" t="n">
        <f aca="false">IF(J533+L533=0,"",J533/(J533+L533))</f>
        <v>1</v>
      </c>
      <c r="P533" s="11" t="n">
        <f aca="false">2*J533/(2*J533+L533+K533)</f>
        <v>0.0952380952380952</v>
      </c>
      <c r="Q533" s="11" t="n">
        <f aca="false">L533/(L533+M533)</f>
        <v>0</v>
      </c>
      <c r="R533" s="6" t="n">
        <v>1</v>
      </c>
      <c r="S533" s="11" t="n">
        <v>0</v>
      </c>
      <c r="T533" s="11" t="n">
        <v>0.0526315789473684</v>
      </c>
      <c r="U533" s="11" t="n">
        <v>0.8</v>
      </c>
      <c r="V533" s="11" t="n">
        <v>0.75</v>
      </c>
    </row>
    <row r="534" customFormat="false" ht="15" hidden="false" customHeight="false" outlineLevel="0" collapsed="false">
      <c r="A534" s="6" t="s">
        <v>52</v>
      </c>
      <c r="B534" s="6" t="s">
        <v>43</v>
      </c>
      <c r="C534" s="6" t="s">
        <v>51</v>
      </c>
      <c r="D534" s="6" t="s">
        <v>116</v>
      </c>
      <c r="E534" s="6" t="n">
        <v>16</v>
      </c>
      <c r="F534" s="6" t="n">
        <v>9</v>
      </c>
      <c r="G534" s="6" t="s">
        <v>72</v>
      </c>
      <c r="H534" s="11" t="n">
        <v>0.05</v>
      </c>
      <c r="I534" s="6" t="n">
        <v>20</v>
      </c>
      <c r="J534" s="6" t="n">
        <v>2</v>
      </c>
      <c r="K534" s="6" t="n">
        <v>18</v>
      </c>
      <c r="L534" s="6" t="n">
        <v>1</v>
      </c>
      <c r="M534" s="6" t="n">
        <v>19</v>
      </c>
      <c r="N534" s="11" t="n">
        <f aca="false">J534/(J534+K534)</f>
        <v>0.1</v>
      </c>
      <c r="O534" s="11" t="n">
        <f aca="false">IF(J534+L534=0,"",J534/(J534+L534))</f>
        <v>0.666666666666667</v>
      </c>
      <c r="P534" s="11" t="n">
        <f aca="false">2*J534/(2*J534+L534+K534)</f>
        <v>0.173913043478261</v>
      </c>
      <c r="Q534" s="11" t="n">
        <f aca="false">L534/(L534+M534)</f>
        <v>0.05</v>
      </c>
      <c r="R534" s="6" t="n">
        <v>0</v>
      </c>
      <c r="S534" s="11"/>
      <c r="T534" s="11" t="n">
        <v>0.1</v>
      </c>
      <c r="U534" s="11" t="n">
        <v>0.9</v>
      </c>
      <c r="V534" s="11" t="n">
        <v>0.9</v>
      </c>
    </row>
    <row r="535" customFormat="false" ht="15" hidden="false" customHeight="false" outlineLevel="0" collapsed="false">
      <c r="A535" s="6" t="s">
        <v>52</v>
      </c>
      <c r="B535" s="6" t="s">
        <v>43</v>
      </c>
      <c r="C535" s="6" t="s">
        <v>51</v>
      </c>
      <c r="D535" s="6" t="s">
        <v>116</v>
      </c>
      <c r="E535" s="6" t="n">
        <v>16</v>
      </c>
      <c r="F535" s="6" t="n">
        <v>9</v>
      </c>
      <c r="G535" s="6" t="s">
        <v>73</v>
      </c>
      <c r="H535" s="11" t="n">
        <v>0.05</v>
      </c>
      <c r="I535" s="6" t="n">
        <v>20</v>
      </c>
      <c r="J535" s="6" t="n">
        <v>1</v>
      </c>
      <c r="K535" s="6" t="n">
        <v>19</v>
      </c>
      <c r="L535" s="6" t="n">
        <v>0</v>
      </c>
      <c r="M535" s="6" t="n">
        <v>20</v>
      </c>
      <c r="N535" s="11" t="n">
        <f aca="false">J535/(J535+K535)</f>
        <v>0.05</v>
      </c>
      <c r="O535" s="11" t="n">
        <f aca="false">IF(J535+L535=0,"",J535/(J535+L535))</f>
        <v>1</v>
      </c>
      <c r="P535" s="11" t="n">
        <f aca="false">2*J535/(2*J535+L535+K535)</f>
        <v>0.0952380952380952</v>
      </c>
      <c r="Q535" s="11" t="n">
        <f aca="false">L535/(L535+M535)</f>
        <v>0</v>
      </c>
      <c r="R535" s="6" t="n">
        <v>2</v>
      </c>
      <c r="S535" s="11" t="n">
        <v>0</v>
      </c>
      <c r="T535" s="11" t="n">
        <v>0.0555555555555556</v>
      </c>
      <c r="U535" s="11" t="n">
        <v>0.65</v>
      </c>
      <c r="V535" s="11" t="n">
        <v>0.6</v>
      </c>
    </row>
    <row r="536" customFormat="false" ht="15" hidden="false" customHeight="false" outlineLevel="0" collapsed="false">
      <c r="A536" s="6" t="s">
        <v>52</v>
      </c>
      <c r="B536" s="6" t="s">
        <v>43</v>
      </c>
      <c r="C536" s="6" t="s">
        <v>51</v>
      </c>
      <c r="D536" s="6" t="s">
        <v>116</v>
      </c>
      <c r="E536" s="6" t="n">
        <v>16</v>
      </c>
      <c r="F536" s="6" t="n">
        <v>9</v>
      </c>
      <c r="G536" s="6" t="s">
        <v>74</v>
      </c>
      <c r="H536" s="11" t="n">
        <v>0.05</v>
      </c>
      <c r="I536" s="6" t="n">
        <v>20</v>
      </c>
      <c r="J536" s="6" t="n">
        <v>3</v>
      </c>
      <c r="K536" s="6" t="n">
        <v>17</v>
      </c>
      <c r="L536" s="6" t="n">
        <v>1</v>
      </c>
      <c r="M536" s="6" t="n">
        <v>19</v>
      </c>
      <c r="N536" s="11" t="n">
        <f aca="false">J536/(J536+K536)</f>
        <v>0.15</v>
      </c>
      <c r="O536" s="11" t="n">
        <f aca="false">IF(J536+L536=0,"",J536/(J536+L536))</f>
        <v>0.75</v>
      </c>
      <c r="P536" s="11" t="n">
        <f aca="false">2*J536/(2*J536+L536+K536)</f>
        <v>0.25</v>
      </c>
      <c r="Q536" s="11" t="n">
        <f aca="false">L536/(L536+M536)</f>
        <v>0.05</v>
      </c>
      <c r="R536" s="6" t="n">
        <v>3</v>
      </c>
      <c r="S536" s="11" t="n">
        <v>0.333333333333333</v>
      </c>
      <c r="T536" s="11" t="n">
        <v>0.117647058823529</v>
      </c>
      <c r="U536" s="11" t="n">
        <v>0.85</v>
      </c>
      <c r="V536" s="11" t="n">
        <v>0.7</v>
      </c>
    </row>
    <row r="537" customFormat="false" ht="15" hidden="false" customHeight="false" outlineLevel="0" collapsed="false">
      <c r="A537" s="6" t="s">
        <v>52</v>
      </c>
      <c r="B537" s="6" t="s">
        <v>43</v>
      </c>
      <c r="C537" s="6" t="s">
        <v>51</v>
      </c>
      <c r="D537" s="6" t="s">
        <v>116</v>
      </c>
      <c r="E537" s="6" t="n">
        <v>16</v>
      </c>
      <c r="F537" s="6" t="n">
        <v>9</v>
      </c>
      <c r="G537" s="6" t="s">
        <v>75</v>
      </c>
      <c r="H537" s="11" t="n">
        <v>0.05</v>
      </c>
      <c r="I537" s="6" t="n">
        <v>20</v>
      </c>
      <c r="J537" s="6" t="n">
        <v>4</v>
      </c>
      <c r="K537" s="6" t="n">
        <v>16</v>
      </c>
      <c r="L537" s="6" t="n">
        <v>0</v>
      </c>
      <c r="M537" s="6" t="n">
        <v>20</v>
      </c>
      <c r="N537" s="11" t="n">
        <f aca="false">J537/(J537+K537)</f>
        <v>0.2</v>
      </c>
      <c r="O537" s="11" t="n">
        <f aca="false">IF(J537+L537=0,"",J537/(J537+L537))</f>
        <v>1</v>
      </c>
      <c r="P537" s="11" t="n">
        <f aca="false">2*J537/(2*J537+L537+K537)</f>
        <v>0.333333333333333</v>
      </c>
      <c r="Q537" s="11" t="n">
        <f aca="false">L537/(L537+M537)</f>
        <v>0</v>
      </c>
      <c r="R537" s="6" t="n">
        <v>1</v>
      </c>
      <c r="S537" s="11" t="n">
        <v>0</v>
      </c>
      <c r="T537" s="11" t="n">
        <v>0.210526315789474</v>
      </c>
      <c r="U537" s="11" t="n">
        <v>0.9</v>
      </c>
      <c r="V537" s="11" t="n">
        <v>0.95</v>
      </c>
    </row>
    <row r="538" customFormat="false" ht="15" hidden="false" customHeight="false" outlineLevel="0" collapsed="false">
      <c r="A538" s="6" t="s">
        <v>52</v>
      </c>
      <c r="B538" s="6" t="s">
        <v>43</v>
      </c>
      <c r="C538" s="6" t="s">
        <v>51</v>
      </c>
      <c r="D538" s="6" t="s">
        <v>116</v>
      </c>
      <c r="E538" s="6" t="n">
        <v>16</v>
      </c>
      <c r="F538" s="6" t="n">
        <v>9</v>
      </c>
      <c r="G538" s="6" t="s">
        <v>76</v>
      </c>
      <c r="H538" s="11" t="n">
        <v>0.05</v>
      </c>
      <c r="I538" s="6" t="n">
        <v>20</v>
      </c>
      <c r="J538" s="6" t="n">
        <v>0</v>
      </c>
      <c r="K538" s="6" t="n">
        <v>20</v>
      </c>
      <c r="L538" s="6" t="n">
        <v>0</v>
      </c>
      <c r="M538" s="6" t="n">
        <v>20</v>
      </c>
      <c r="N538" s="11" t="n">
        <f aca="false">J538/(J538+K538)</f>
        <v>0</v>
      </c>
      <c r="O538" s="11" t="str">
        <f aca="false">IF(J538+L538=0,"",J538/(J538+L538))</f>
        <v/>
      </c>
      <c r="P538" s="11" t="n">
        <f aca="false">2*J538/(2*J538+L538+K538)</f>
        <v>0</v>
      </c>
      <c r="Q538" s="11" t="n">
        <f aca="false">L538/(L538+M538)</f>
        <v>0</v>
      </c>
      <c r="R538" s="6" t="n">
        <v>0</v>
      </c>
      <c r="S538" s="11"/>
      <c r="T538" s="11" t="n">
        <v>0</v>
      </c>
      <c r="U538" s="11" t="n">
        <v>0.95</v>
      </c>
      <c r="V538" s="11" t="n">
        <v>0.95</v>
      </c>
    </row>
    <row r="539" customFormat="false" ht="15" hidden="false" customHeight="false" outlineLevel="0" collapsed="false">
      <c r="A539" s="6" t="s">
        <v>52</v>
      </c>
      <c r="B539" s="6" t="s">
        <v>43</v>
      </c>
      <c r="C539" s="6" t="s">
        <v>51</v>
      </c>
      <c r="D539" s="6" t="s">
        <v>116</v>
      </c>
      <c r="E539" s="6" t="n">
        <v>16</v>
      </c>
      <c r="F539" s="6" t="n">
        <v>9</v>
      </c>
      <c r="G539" s="6" t="s">
        <v>77</v>
      </c>
      <c r="H539" s="11" t="n">
        <v>0.05</v>
      </c>
      <c r="I539" s="6" t="n">
        <v>20</v>
      </c>
      <c r="J539" s="6" t="n">
        <v>1</v>
      </c>
      <c r="K539" s="6" t="n">
        <v>19</v>
      </c>
      <c r="L539" s="6" t="n">
        <v>1</v>
      </c>
      <c r="M539" s="6" t="n">
        <v>19</v>
      </c>
      <c r="N539" s="11" t="n">
        <f aca="false">J539/(J539+K539)</f>
        <v>0.05</v>
      </c>
      <c r="O539" s="11" t="n">
        <f aca="false">IF(J539+L539=0,"",J539/(J539+L539))</f>
        <v>0.5</v>
      </c>
      <c r="P539" s="11" t="n">
        <f aca="false">2*J539/(2*J539+L539+K539)</f>
        <v>0.0909090909090909</v>
      </c>
      <c r="Q539" s="11" t="n">
        <f aca="false">L539/(L539+M539)</f>
        <v>0.05</v>
      </c>
      <c r="R539" s="6" t="n">
        <v>0</v>
      </c>
      <c r="S539" s="11"/>
      <c r="T539" s="11" t="n">
        <v>0.05</v>
      </c>
      <c r="U539" s="11" t="n">
        <v>1</v>
      </c>
      <c r="V539" s="11" t="n">
        <v>1</v>
      </c>
    </row>
    <row r="540" customFormat="false" ht="15" hidden="false" customHeight="false" outlineLevel="0" collapsed="false">
      <c r="A540" s="6" t="s">
        <v>52</v>
      </c>
      <c r="B540" s="6" t="s">
        <v>43</v>
      </c>
      <c r="C540" s="6" t="s">
        <v>51</v>
      </c>
      <c r="D540" s="6" t="s">
        <v>116</v>
      </c>
      <c r="E540" s="6" t="n">
        <v>16</v>
      </c>
      <c r="F540" s="6" t="n">
        <v>9</v>
      </c>
      <c r="G540" s="6" t="s">
        <v>78</v>
      </c>
      <c r="H540" s="11" t="n">
        <v>0.05</v>
      </c>
      <c r="I540" s="6" t="n">
        <v>200</v>
      </c>
      <c r="J540" s="6" t="n">
        <v>15</v>
      </c>
      <c r="K540" s="6" t="n">
        <v>185</v>
      </c>
      <c r="L540" s="6" t="n">
        <v>6</v>
      </c>
      <c r="M540" s="6" t="n">
        <v>194</v>
      </c>
      <c r="N540" s="11" t="n">
        <f aca="false">J540/(J540+K540)</f>
        <v>0.075</v>
      </c>
      <c r="O540" s="11" t="n">
        <f aca="false">IF(J540+L540=0,"",J540/(J540+L540))</f>
        <v>0.714285714285714</v>
      </c>
      <c r="P540" s="11" t="n">
        <f aca="false">2*J540/(2*J540+L540+K540)</f>
        <v>0.135746606334842</v>
      </c>
      <c r="Q540" s="11" t="n">
        <f aca="false">L540/(L540+M540)</f>
        <v>0.03</v>
      </c>
      <c r="R540" s="6" t="n">
        <v>7</v>
      </c>
      <c r="S540" s="11" t="n">
        <v>0.142857142857143</v>
      </c>
      <c r="T540" s="11" t="n">
        <v>0.0725388601036269</v>
      </c>
      <c r="U540" s="11" t="n">
        <v>0.88</v>
      </c>
      <c r="V540" s="11" t="n">
        <v>0.86</v>
      </c>
    </row>
    <row r="541" customFormat="false" ht="15" hidden="false" customHeight="false" outlineLevel="0" collapsed="false">
      <c r="A541" s="6" t="s">
        <v>52</v>
      </c>
      <c r="B541" s="6" t="s">
        <v>43</v>
      </c>
      <c r="C541" s="6" t="s">
        <v>51</v>
      </c>
      <c r="D541" s="6" t="s">
        <v>116</v>
      </c>
      <c r="E541" s="6" t="n">
        <v>16</v>
      </c>
      <c r="F541" s="6" t="n">
        <v>10</v>
      </c>
      <c r="G541" s="6" t="s">
        <v>68</v>
      </c>
      <c r="H541" s="11" t="n">
        <v>0.05</v>
      </c>
      <c r="I541" s="6" t="n">
        <v>20</v>
      </c>
      <c r="J541" s="6" t="n">
        <v>2</v>
      </c>
      <c r="K541" s="6" t="n">
        <v>18</v>
      </c>
      <c r="L541" s="6" t="n">
        <v>2</v>
      </c>
      <c r="M541" s="6" t="n">
        <v>18</v>
      </c>
      <c r="N541" s="11" t="n">
        <f aca="false">J541/(J541+K541)</f>
        <v>0.1</v>
      </c>
      <c r="O541" s="11" t="n">
        <f aca="false">IF(J541+L541=0,"",J541/(J541+L541))</f>
        <v>0.5</v>
      </c>
      <c r="P541" s="11" t="n">
        <f aca="false">2*J541/(2*J541+L541+K541)</f>
        <v>0.166666666666667</v>
      </c>
      <c r="Q541" s="11" t="n">
        <f aca="false">L541/(L541+M541)</f>
        <v>0.1</v>
      </c>
      <c r="R541" s="6" t="n">
        <v>1</v>
      </c>
      <c r="S541" s="11" t="n">
        <v>0</v>
      </c>
      <c r="T541" s="11" t="n">
        <v>0.105263157894737</v>
      </c>
      <c r="U541" s="11" t="n">
        <v>0.85</v>
      </c>
      <c r="V541" s="11" t="n">
        <v>0.8</v>
      </c>
    </row>
    <row r="542" customFormat="false" ht="15" hidden="false" customHeight="false" outlineLevel="0" collapsed="false">
      <c r="A542" s="6" t="s">
        <v>52</v>
      </c>
      <c r="B542" s="6" t="s">
        <v>43</v>
      </c>
      <c r="C542" s="6" t="s">
        <v>51</v>
      </c>
      <c r="D542" s="6" t="s">
        <v>116</v>
      </c>
      <c r="E542" s="6" t="n">
        <v>16</v>
      </c>
      <c r="F542" s="6" t="n">
        <v>10</v>
      </c>
      <c r="G542" s="6" t="s">
        <v>69</v>
      </c>
      <c r="H542" s="11" t="n">
        <v>0.05</v>
      </c>
      <c r="I542" s="6" t="n">
        <v>20</v>
      </c>
      <c r="J542" s="6" t="n">
        <v>2</v>
      </c>
      <c r="K542" s="6" t="n">
        <v>18</v>
      </c>
      <c r="L542" s="6" t="n">
        <v>1</v>
      </c>
      <c r="M542" s="6" t="n">
        <v>19</v>
      </c>
      <c r="N542" s="11" t="n">
        <f aca="false">J542/(J542+K542)</f>
        <v>0.1</v>
      </c>
      <c r="O542" s="11" t="n">
        <f aca="false">IF(J542+L542=0,"",J542/(J542+L542))</f>
        <v>0.666666666666667</v>
      </c>
      <c r="P542" s="11" t="n">
        <f aca="false">2*J542/(2*J542+L542+K542)</f>
        <v>0.173913043478261</v>
      </c>
      <c r="Q542" s="11" t="n">
        <f aca="false">L542/(L542+M542)</f>
        <v>0.05</v>
      </c>
      <c r="R542" s="6" t="n">
        <v>0</v>
      </c>
      <c r="S542" s="11"/>
      <c r="T542" s="11" t="n">
        <v>0.1</v>
      </c>
      <c r="U542" s="11" t="n">
        <v>1</v>
      </c>
      <c r="V542" s="11" t="n">
        <v>1</v>
      </c>
    </row>
    <row r="543" customFormat="false" ht="15" hidden="false" customHeight="false" outlineLevel="0" collapsed="false">
      <c r="A543" s="6" t="s">
        <v>52</v>
      </c>
      <c r="B543" s="6" t="s">
        <v>43</v>
      </c>
      <c r="C543" s="6" t="s">
        <v>51</v>
      </c>
      <c r="D543" s="6" t="s">
        <v>116</v>
      </c>
      <c r="E543" s="6" t="n">
        <v>16</v>
      </c>
      <c r="F543" s="6" t="n">
        <v>10</v>
      </c>
      <c r="G543" s="6" t="s">
        <v>70</v>
      </c>
      <c r="H543" s="11" t="n">
        <v>0.05</v>
      </c>
      <c r="I543" s="6" t="n">
        <v>20</v>
      </c>
      <c r="J543" s="6" t="n">
        <v>0</v>
      </c>
      <c r="K543" s="6" t="n">
        <v>20</v>
      </c>
      <c r="L543" s="6" t="n">
        <v>0</v>
      </c>
      <c r="M543" s="6" t="n">
        <v>20</v>
      </c>
      <c r="N543" s="11" t="n">
        <f aca="false">J543/(J543+K543)</f>
        <v>0</v>
      </c>
      <c r="O543" s="11" t="str">
        <f aca="false">IF(J543+L543=0,"",J543/(J543+L543))</f>
        <v/>
      </c>
      <c r="P543" s="11" t="n">
        <f aca="false">2*J543/(2*J543+L543+K543)</f>
        <v>0</v>
      </c>
      <c r="Q543" s="11" t="n">
        <f aca="false">L543/(L543+M543)</f>
        <v>0</v>
      </c>
      <c r="R543" s="6" t="n">
        <v>0</v>
      </c>
      <c r="S543" s="11"/>
      <c r="T543" s="11" t="n">
        <v>0</v>
      </c>
      <c r="U543" s="11" t="n">
        <v>0.9</v>
      </c>
      <c r="V543" s="11" t="n">
        <v>0.9</v>
      </c>
    </row>
    <row r="544" customFormat="false" ht="15" hidden="false" customHeight="false" outlineLevel="0" collapsed="false">
      <c r="A544" s="6" t="s">
        <v>52</v>
      </c>
      <c r="B544" s="6" t="s">
        <v>43</v>
      </c>
      <c r="C544" s="6" t="s">
        <v>51</v>
      </c>
      <c r="D544" s="6" t="s">
        <v>116</v>
      </c>
      <c r="E544" s="6" t="n">
        <v>16</v>
      </c>
      <c r="F544" s="6" t="n">
        <v>10</v>
      </c>
      <c r="G544" s="6" t="s">
        <v>71</v>
      </c>
      <c r="H544" s="11" t="n">
        <v>0.05</v>
      </c>
      <c r="I544" s="6" t="n">
        <v>20</v>
      </c>
      <c r="J544" s="6" t="n">
        <v>0</v>
      </c>
      <c r="K544" s="6" t="n">
        <v>20</v>
      </c>
      <c r="L544" s="6" t="n">
        <v>0</v>
      </c>
      <c r="M544" s="6" t="n">
        <v>20</v>
      </c>
      <c r="N544" s="11" t="n">
        <f aca="false">J544/(J544+K544)</f>
        <v>0</v>
      </c>
      <c r="O544" s="11" t="str">
        <f aca="false">IF(J544+L544=0,"",J544/(J544+L544))</f>
        <v/>
      </c>
      <c r="P544" s="11" t="n">
        <f aca="false">2*J544/(2*J544+L544+K544)</f>
        <v>0</v>
      </c>
      <c r="Q544" s="11" t="n">
        <f aca="false">L544/(L544+M544)</f>
        <v>0</v>
      </c>
      <c r="R544" s="6" t="n">
        <v>0</v>
      </c>
      <c r="S544" s="11"/>
      <c r="T544" s="11" t="n">
        <v>0</v>
      </c>
      <c r="U544" s="11" t="n">
        <v>0.8</v>
      </c>
      <c r="V544" s="11" t="n">
        <v>0.8</v>
      </c>
    </row>
    <row r="545" customFormat="false" ht="15" hidden="false" customHeight="false" outlineLevel="0" collapsed="false">
      <c r="A545" s="6" t="s">
        <v>52</v>
      </c>
      <c r="B545" s="6" t="s">
        <v>43</v>
      </c>
      <c r="C545" s="6" t="s">
        <v>51</v>
      </c>
      <c r="D545" s="6" t="s">
        <v>116</v>
      </c>
      <c r="E545" s="6" t="n">
        <v>16</v>
      </c>
      <c r="F545" s="6" t="n">
        <v>10</v>
      </c>
      <c r="G545" s="6" t="s">
        <v>72</v>
      </c>
      <c r="H545" s="11" t="n">
        <v>0.05</v>
      </c>
      <c r="I545" s="6" t="n">
        <v>20</v>
      </c>
      <c r="J545" s="6" t="n">
        <v>1</v>
      </c>
      <c r="K545" s="6" t="n">
        <v>19</v>
      </c>
      <c r="L545" s="6" t="n">
        <v>1</v>
      </c>
      <c r="M545" s="6" t="n">
        <v>19</v>
      </c>
      <c r="N545" s="11" t="n">
        <f aca="false">J545/(J545+K545)</f>
        <v>0.05</v>
      </c>
      <c r="O545" s="11" t="n">
        <f aca="false">IF(J545+L545=0,"",J545/(J545+L545))</f>
        <v>0.5</v>
      </c>
      <c r="P545" s="11" t="n">
        <f aca="false">2*J545/(2*J545+L545+K545)</f>
        <v>0.0909090909090909</v>
      </c>
      <c r="Q545" s="11" t="n">
        <f aca="false">L545/(L545+M545)</f>
        <v>0.05</v>
      </c>
      <c r="R545" s="6" t="n">
        <v>0</v>
      </c>
      <c r="S545" s="11"/>
      <c r="T545" s="11" t="n">
        <v>0.05</v>
      </c>
      <c r="U545" s="11" t="n">
        <v>0.9</v>
      </c>
      <c r="V545" s="11" t="n">
        <v>0.9</v>
      </c>
    </row>
    <row r="546" customFormat="false" ht="15" hidden="false" customHeight="false" outlineLevel="0" collapsed="false">
      <c r="A546" s="6" t="s">
        <v>52</v>
      </c>
      <c r="B546" s="6" t="s">
        <v>43</v>
      </c>
      <c r="C546" s="6" t="s">
        <v>51</v>
      </c>
      <c r="D546" s="6" t="s">
        <v>116</v>
      </c>
      <c r="E546" s="6" t="n">
        <v>16</v>
      </c>
      <c r="F546" s="6" t="n">
        <v>10</v>
      </c>
      <c r="G546" s="6" t="s">
        <v>73</v>
      </c>
      <c r="H546" s="11" t="n">
        <v>0.05</v>
      </c>
      <c r="I546" s="6" t="n">
        <v>20</v>
      </c>
      <c r="J546" s="6" t="n">
        <v>0</v>
      </c>
      <c r="K546" s="6" t="n">
        <v>20</v>
      </c>
      <c r="L546" s="6" t="n">
        <v>0</v>
      </c>
      <c r="M546" s="6" t="n">
        <v>20</v>
      </c>
      <c r="N546" s="11" t="n">
        <f aca="false">J546/(J546+K546)</f>
        <v>0</v>
      </c>
      <c r="O546" s="11" t="str">
        <f aca="false">IF(J546+L546=0,"",J546/(J546+L546))</f>
        <v/>
      </c>
      <c r="P546" s="11" t="n">
        <f aca="false">2*J546/(2*J546+L546+K546)</f>
        <v>0</v>
      </c>
      <c r="Q546" s="11" t="n">
        <f aca="false">L546/(L546+M546)</f>
        <v>0</v>
      </c>
      <c r="R546" s="6" t="n">
        <v>1</v>
      </c>
      <c r="S546" s="11" t="n">
        <v>0</v>
      </c>
      <c r="T546" s="11" t="n">
        <v>0</v>
      </c>
      <c r="U546" s="11" t="n">
        <v>0.65</v>
      </c>
      <c r="V546" s="11" t="n">
        <v>0.65</v>
      </c>
    </row>
    <row r="547" customFormat="false" ht="15" hidden="false" customHeight="false" outlineLevel="0" collapsed="false">
      <c r="A547" s="6" t="s">
        <v>52</v>
      </c>
      <c r="B547" s="6" t="s">
        <v>43</v>
      </c>
      <c r="C547" s="6" t="s">
        <v>51</v>
      </c>
      <c r="D547" s="6" t="s">
        <v>116</v>
      </c>
      <c r="E547" s="6" t="n">
        <v>16</v>
      </c>
      <c r="F547" s="6" t="n">
        <v>10</v>
      </c>
      <c r="G547" s="6" t="s">
        <v>74</v>
      </c>
      <c r="H547" s="11" t="n">
        <v>0.05</v>
      </c>
      <c r="I547" s="6" t="n">
        <v>20</v>
      </c>
      <c r="J547" s="6" t="n">
        <v>1</v>
      </c>
      <c r="K547" s="6" t="n">
        <v>19</v>
      </c>
      <c r="L547" s="6" t="n">
        <v>1</v>
      </c>
      <c r="M547" s="6" t="n">
        <v>19</v>
      </c>
      <c r="N547" s="11" t="n">
        <f aca="false">J547/(J547+K547)</f>
        <v>0.05</v>
      </c>
      <c r="O547" s="11" t="n">
        <f aca="false">IF(J547+L547=0,"",J547/(J547+L547))</f>
        <v>0.5</v>
      </c>
      <c r="P547" s="11" t="n">
        <f aca="false">2*J547/(2*J547+L547+K547)</f>
        <v>0.0909090909090909</v>
      </c>
      <c r="Q547" s="11" t="n">
        <f aca="false">L547/(L547+M547)</f>
        <v>0.05</v>
      </c>
      <c r="R547" s="6" t="n">
        <v>1</v>
      </c>
      <c r="S547" s="11" t="n">
        <v>0</v>
      </c>
      <c r="T547" s="11" t="n">
        <v>0.0526315789473684</v>
      </c>
      <c r="U547" s="11" t="n">
        <v>0.85</v>
      </c>
      <c r="V547" s="11" t="n">
        <v>0.85</v>
      </c>
    </row>
    <row r="548" customFormat="false" ht="15" hidden="false" customHeight="false" outlineLevel="0" collapsed="false">
      <c r="A548" s="6" t="s">
        <v>52</v>
      </c>
      <c r="B548" s="6" t="s">
        <v>43</v>
      </c>
      <c r="C548" s="6" t="s">
        <v>51</v>
      </c>
      <c r="D548" s="6" t="s">
        <v>116</v>
      </c>
      <c r="E548" s="6" t="n">
        <v>16</v>
      </c>
      <c r="F548" s="6" t="n">
        <v>10</v>
      </c>
      <c r="G548" s="6" t="s">
        <v>75</v>
      </c>
      <c r="H548" s="11" t="n">
        <v>0.05</v>
      </c>
      <c r="I548" s="6" t="n">
        <v>20</v>
      </c>
      <c r="J548" s="6" t="n">
        <v>0</v>
      </c>
      <c r="K548" s="6" t="n">
        <v>20</v>
      </c>
      <c r="L548" s="6" t="n">
        <v>0</v>
      </c>
      <c r="M548" s="6" t="n">
        <v>20</v>
      </c>
      <c r="N548" s="11" t="n">
        <f aca="false">J548/(J548+K548)</f>
        <v>0</v>
      </c>
      <c r="O548" s="11" t="str">
        <f aca="false">IF(J548+L548=0,"",J548/(J548+L548))</f>
        <v/>
      </c>
      <c r="P548" s="11" t="n">
        <f aca="false">2*J548/(2*J548+L548+K548)</f>
        <v>0</v>
      </c>
      <c r="Q548" s="11" t="n">
        <f aca="false">L548/(L548+M548)</f>
        <v>0</v>
      </c>
      <c r="R548" s="6" t="n">
        <v>2</v>
      </c>
      <c r="S548" s="11" t="n">
        <v>0</v>
      </c>
      <c r="T548" s="11" t="n">
        <v>0</v>
      </c>
      <c r="U548" s="11" t="n">
        <v>0.9</v>
      </c>
      <c r="V548" s="11" t="n">
        <v>1</v>
      </c>
    </row>
    <row r="549" customFormat="false" ht="15" hidden="false" customHeight="false" outlineLevel="0" collapsed="false">
      <c r="A549" s="6" t="s">
        <v>52</v>
      </c>
      <c r="B549" s="6" t="s">
        <v>43</v>
      </c>
      <c r="C549" s="6" t="s">
        <v>51</v>
      </c>
      <c r="D549" s="6" t="s">
        <v>116</v>
      </c>
      <c r="E549" s="6" t="n">
        <v>16</v>
      </c>
      <c r="F549" s="6" t="n">
        <v>10</v>
      </c>
      <c r="G549" s="6" t="s">
        <v>76</v>
      </c>
      <c r="H549" s="11" t="n">
        <v>0.05</v>
      </c>
      <c r="I549" s="6" t="n">
        <v>20</v>
      </c>
      <c r="J549" s="6" t="n">
        <v>0</v>
      </c>
      <c r="K549" s="6" t="n">
        <v>20</v>
      </c>
      <c r="L549" s="6" t="n">
        <v>0</v>
      </c>
      <c r="M549" s="6" t="n">
        <v>20</v>
      </c>
      <c r="N549" s="11" t="n">
        <f aca="false">J549/(J549+K549)</f>
        <v>0</v>
      </c>
      <c r="O549" s="11" t="str">
        <f aca="false">IF(J549+L549=0,"",J549/(J549+L549))</f>
        <v/>
      </c>
      <c r="P549" s="11" t="n">
        <f aca="false">2*J549/(2*J549+L549+K549)</f>
        <v>0</v>
      </c>
      <c r="Q549" s="11" t="n">
        <f aca="false">L549/(L549+M549)</f>
        <v>0</v>
      </c>
      <c r="R549" s="6" t="n">
        <v>0</v>
      </c>
      <c r="S549" s="11"/>
      <c r="T549" s="11" t="n">
        <v>0</v>
      </c>
      <c r="U549" s="11" t="n">
        <v>0.95</v>
      </c>
      <c r="V549" s="11" t="n">
        <v>0.95</v>
      </c>
    </row>
    <row r="550" customFormat="false" ht="15" hidden="false" customHeight="false" outlineLevel="0" collapsed="false">
      <c r="A550" s="6" t="s">
        <v>52</v>
      </c>
      <c r="B550" s="6" t="s">
        <v>43</v>
      </c>
      <c r="C550" s="6" t="s">
        <v>51</v>
      </c>
      <c r="D550" s="6" t="s">
        <v>116</v>
      </c>
      <c r="E550" s="6" t="n">
        <v>16</v>
      </c>
      <c r="F550" s="6" t="n">
        <v>10</v>
      </c>
      <c r="G550" s="6" t="s">
        <v>77</v>
      </c>
      <c r="H550" s="11" t="n">
        <v>0.05</v>
      </c>
      <c r="I550" s="6" t="n">
        <v>20</v>
      </c>
      <c r="J550" s="6" t="n">
        <v>2</v>
      </c>
      <c r="K550" s="6" t="n">
        <v>18</v>
      </c>
      <c r="L550" s="6" t="n">
        <v>1</v>
      </c>
      <c r="M550" s="6" t="n">
        <v>19</v>
      </c>
      <c r="N550" s="11" t="n">
        <f aca="false">J550/(J550+K550)</f>
        <v>0.1</v>
      </c>
      <c r="O550" s="11" t="n">
        <f aca="false">IF(J550+L550=0,"",J550/(J550+L550))</f>
        <v>0.666666666666667</v>
      </c>
      <c r="P550" s="11" t="n">
        <f aca="false">2*J550/(2*J550+L550+K550)</f>
        <v>0.173913043478261</v>
      </c>
      <c r="Q550" s="11" t="n">
        <f aca="false">L550/(L550+M550)</f>
        <v>0.05</v>
      </c>
      <c r="R550" s="6" t="n">
        <v>0</v>
      </c>
      <c r="S550" s="11"/>
      <c r="T550" s="11" t="n">
        <v>0.1</v>
      </c>
      <c r="U550" s="11" t="n">
        <v>1</v>
      </c>
      <c r="V550" s="11" t="n">
        <v>1</v>
      </c>
    </row>
    <row r="551" customFormat="false" ht="15" hidden="false" customHeight="false" outlineLevel="0" collapsed="false">
      <c r="A551" s="6" t="s">
        <v>52</v>
      </c>
      <c r="B551" s="6" t="s">
        <v>43</v>
      </c>
      <c r="C551" s="6" t="s">
        <v>51</v>
      </c>
      <c r="D551" s="6" t="s">
        <v>116</v>
      </c>
      <c r="E551" s="6" t="n">
        <v>16</v>
      </c>
      <c r="F551" s="6" t="n">
        <v>10</v>
      </c>
      <c r="G551" s="6" t="s">
        <v>78</v>
      </c>
      <c r="H551" s="11" t="n">
        <v>0.05</v>
      </c>
      <c r="I551" s="6" t="n">
        <v>200</v>
      </c>
      <c r="J551" s="6" t="n">
        <v>8</v>
      </c>
      <c r="K551" s="6" t="n">
        <v>192</v>
      </c>
      <c r="L551" s="6" t="n">
        <v>6</v>
      </c>
      <c r="M551" s="6" t="n">
        <v>194</v>
      </c>
      <c r="N551" s="11" t="n">
        <f aca="false">J551/(J551+K551)</f>
        <v>0.04</v>
      </c>
      <c r="O551" s="11" t="n">
        <f aca="false">IF(J551+L551=0,"",J551/(J551+L551))</f>
        <v>0.571428571428571</v>
      </c>
      <c r="P551" s="11" t="n">
        <f aca="false">2*J551/(2*J551+L551+K551)</f>
        <v>0.0747663551401869</v>
      </c>
      <c r="Q551" s="11" t="n">
        <f aca="false">L551/(L551+M551)</f>
        <v>0.03</v>
      </c>
      <c r="R551" s="6" t="n">
        <v>5</v>
      </c>
      <c r="S551" s="11" t="n">
        <v>0</v>
      </c>
      <c r="T551" s="11" t="n">
        <v>0.041025641025641</v>
      </c>
      <c r="U551" s="11" t="n">
        <v>0.88</v>
      </c>
      <c r="V551" s="11" t="n">
        <v>0.885</v>
      </c>
    </row>
    <row r="552" customFormat="false" ht="15" hidden="false" customHeight="false" outlineLevel="0" collapsed="false">
      <c r="A552" s="6" t="s">
        <v>54</v>
      </c>
      <c r="B552" s="6" t="s">
        <v>43</v>
      </c>
      <c r="C552" s="6" t="s">
        <v>49</v>
      </c>
      <c r="D552" s="6" t="s">
        <v>117</v>
      </c>
      <c r="E552" s="6" t="n">
        <v>16</v>
      </c>
      <c r="F552" s="6" t="n">
        <v>1</v>
      </c>
      <c r="G552" s="6" t="s">
        <v>68</v>
      </c>
      <c r="H552" s="11" t="n">
        <v>0.05</v>
      </c>
      <c r="I552" s="6" t="n">
        <v>20</v>
      </c>
      <c r="J552" s="6" t="n">
        <v>2</v>
      </c>
      <c r="K552" s="6" t="n">
        <v>18</v>
      </c>
      <c r="L552" s="6" t="n">
        <v>2</v>
      </c>
      <c r="M552" s="6" t="n">
        <v>18</v>
      </c>
      <c r="N552" s="11" t="n">
        <f aca="false">J552/(J552+K552)</f>
        <v>0.1</v>
      </c>
      <c r="O552" s="11" t="n">
        <f aca="false">IF(J552+L552=0,"",J552/(J552+L552))</f>
        <v>0.5</v>
      </c>
      <c r="P552" s="11" t="n">
        <f aca="false">2*J552/(2*J552+L552+K552)</f>
        <v>0.166666666666667</v>
      </c>
      <c r="Q552" s="11" t="n">
        <f aca="false">L552/(L552+M552)</f>
        <v>0.1</v>
      </c>
      <c r="R552" s="6" t="n">
        <v>0</v>
      </c>
      <c r="S552" s="11"/>
      <c r="T552" s="11" t="n">
        <v>0.1</v>
      </c>
      <c r="U552" s="11" t="n">
        <v>0.85</v>
      </c>
      <c r="V552" s="11" t="n">
        <v>0.85</v>
      </c>
    </row>
    <row r="553" customFormat="false" ht="15" hidden="false" customHeight="false" outlineLevel="0" collapsed="false">
      <c r="A553" s="6" t="s">
        <v>54</v>
      </c>
      <c r="B553" s="6" t="s">
        <v>43</v>
      </c>
      <c r="C553" s="6" t="s">
        <v>49</v>
      </c>
      <c r="D553" s="6" t="s">
        <v>117</v>
      </c>
      <c r="E553" s="6" t="n">
        <v>16</v>
      </c>
      <c r="F553" s="6" t="n">
        <v>1</v>
      </c>
      <c r="G553" s="6" t="s">
        <v>69</v>
      </c>
      <c r="H553" s="11" t="n">
        <v>0.05</v>
      </c>
      <c r="I553" s="6" t="n">
        <v>20</v>
      </c>
      <c r="J553" s="6" t="n">
        <v>1</v>
      </c>
      <c r="K553" s="6" t="n">
        <v>19</v>
      </c>
      <c r="L553" s="6" t="n">
        <v>1</v>
      </c>
      <c r="M553" s="6" t="n">
        <v>19</v>
      </c>
      <c r="N553" s="11" t="n">
        <f aca="false">J553/(J553+K553)</f>
        <v>0.05</v>
      </c>
      <c r="O553" s="11" t="n">
        <f aca="false">IF(J553+L553=0,"",J553/(J553+L553))</f>
        <v>0.5</v>
      </c>
      <c r="P553" s="11" t="n">
        <f aca="false">2*J553/(2*J553+L553+K553)</f>
        <v>0.0909090909090909</v>
      </c>
      <c r="Q553" s="11" t="n">
        <f aca="false">L553/(L553+M553)</f>
        <v>0.05</v>
      </c>
      <c r="R553" s="6" t="n">
        <v>0</v>
      </c>
      <c r="S553" s="11"/>
      <c r="T553" s="11" t="n">
        <v>0.05</v>
      </c>
      <c r="U553" s="11" t="n">
        <v>1</v>
      </c>
      <c r="V553" s="11" t="n">
        <v>1</v>
      </c>
    </row>
    <row r="554" customFormat="false" ht="15" hidden="false" customHeight="false" outlineLevel="0" collapsed="false">
      <c r="A554" s="6" t="s">
        <v>54</v>
      </c>
      <c r="B554" s="6" t="s">
        <v>43</v>
      </c>
      <c r="C554" s="6" t="s">
        <v>49</v>
      </c>
      <c r="D554" s="6" t="s">
        <v>117</v>
      </c>
      <c r="E554" s="6" t="n">
        <v>16</v>
      </c>
      <c r="F554" s="6" t="n">
        <v>1</v>
      </c>
      <c r="G554" s="6" t="s">
        <v>70</v>
      </c>
      <c r="H554" s="11" t="n">
        <v>0.05</v>
      </c>
      <c r="I554" s="6" t="n">
        <v>20</v>
      </c>
      <c r="J554" s="6" t="n">
        <v>0</v>
      </c>
      <c r="K554" s="6" t="n">
        <v>20</v>
      </c>
      <c r="L554" s="6" t="n">
        <v>0</v>
      </c>
      <c r="M554" s="6" t="n">
        <v>20</v>
      </c>
      <c r="N554" s="11" t="n">
        <f aca="false">J554/(J554+K554)</f>
        <v>0</v>
      </c>
      <c r="O554" s="11" t="str">
        <f aca="false">IF(J554+L554=0,"",J554/(J554+L554))</f>
        <v/>
      </c>
      <c r="P554" s="11" t="n">
        <f aca="false">2*J554/(2*J554+L554+K554)</f>
        <v>0</v>
      </c>
      <c r="Q554" s="11" t="n">
        <f aca="false">L554/(L554+M554)</f>
        <v>0</v>
      </c>
      <c r="R554" s="6" t="n">
        <v>0</v>
      </c>
      <c r="S554" s="11"/>
      <c r="T554" s="11" t="n">
        <v>0</v>
      </c>
      <c r="U554" s="11" t="n">
        <v>0.9</v>
      </c>
      <c r="V554" s="11" t="n">
        <v>0.9</v>
      </c>
    </row>
    <row r="555" customFormat="false" ht="15" hidden="false" customHeight="false" outlineLevel="0" collapsed="false">
      <c r="A555" s="6" t="s">
        <v>54</v>
      </c>
      <c r="B555" s="6" t="s">
        <v>43</v>
      </c>
      <c r="C555" s="6" t="s">
        <v>49</v>
      </c>
      <c r="D555" s="6" t="s">
        <v>117</v>
      </c>
      <c r="E555" s="6" t="n">
        <v>16</v>
      </c>
      <c r="F555" s="6" t="n">
        <v>1</v>
      </c>
      <c r="G555" s="6" t="s">
        <v>71</v>
      </c>
      <c r="H555" s="11" t="n">
        <v>0.05</v>
      </c>
      <c r="I555" s="6" t="n">
        <v>20</v>
      </c>
      <c r="J555" s="6" t="n">
        <v>0</v>
      </c>
      <c r="K555" s="6" t="n">
        <v>20</v>
      </c>
      <c r="L555" s="6" t="n">
        <v>0</v>
      </c>
      <c r="M555" s="6" t="n">
        <v>20</v>
      </c>
      <c r="N555" s="11" t="n">
        <f aca="false">J555/(J555+K555)</f>
        <v>0</v>
      </c>
      <c r="O555" s="11" t="str">
        <f aca="false">IF(J555+L555=0,"",J555/(J555+L555))</f>
        <v/>
      </c>
      <c r="P555" s="11" t="n">
        <f aca="false">2*J555/(2*J555+L555+K555)</f>
        <v>0</v>
      </c>
      <c r="Q555" s="11" t="n">
        <f aca="false">L555/(L555+M555)</f>
        <v>0</v>
      </c>
      <c r="R555" s="6" t="n">
        <v>0</v>
      </c>
      <c r="S555" s="11"/>
      <c r="T555" s="11" t="n">
        <v>0</v>
      </c>
      <c r="U555" s="11" t="n">
        <v>0.8</v>
      </c>
      <c r="V555" s="11" t="n">
        <v>0.8</v>
      </c>
    </row>
    <row r="556" customFormat="false" ht="15" hidden="false" customHeight="false" outlineLevel="0" collapsed="false">
      <c r="A556" s="6" t="s">
        <v>54</v>
      </c>
      <c r="B556" s="6" t="s">
        <v>43</v>
      </c>
      <c r="C556" s="6" t="s">
        <v>49</v>
      </c>
      <c r="D556" s="6" t="s">
        <v>117</v>
      </c>
      <c r="E556" s="6" t="n">
        <v>16</v>
      </c>
      <c r="F556" s="6" t="n">
        <v>1</v>
      </c>
      <c r="G556" s="6" t="s">
        <v>72</v>
      </c>
      <c r="H556" s="11" t="n">
        <v>0.05</v>
      </c>
      <c r="I556" s="6" t="n">
        <v>20</v>
      </c>
      <c r="J556" s="6" t="n">
        <v>1</v>
      </c>
      <c r="K556" s="6" t="n">
        <v>19</v>
      </c>
      <c r="L556" s="6" t="n">
        <v>1</v>
      </c>
      <c r="M556" s="6" t="n">
        <v>19</v>
      </c>
      <c r="N556" s="11" t="n">
        <f aca="false">J556/(J556+K556)</f>
        <v>0.05</v>
      </c>
      <c r="O556" s="11" t="n">
        <f aca="false">IF(J556+L556=0,"",J556/(J556+L556))</f>
        <v>0.5</v>
      </c>
      <c r="P556" s="11" t="n">
        <f aca="false">2*J556/(2*J556+L556+K556)</f>
        <v>0.0909090909090909</v>
      </c>
      <c r="Q556" s="11" t="n">
        <f aca="false">L556/(L556+M556)</f>
        <v>0.05</v>
      </c>
      <c r="R556" s="6" t="n">
        <v>0</v>
      </c>
      <c r="S556" s="11"/>
      <c r="T556" s="11" t="n">
        <v>0.05</v>
      </c>
      <c r="U556" s="11" t="n">
        <v>0.9</v>
      </c>
      <c r="V556" s="11" t="n">
        <v>0.9</v>
      </c>
    </row>
    <row r="557" customFormat="false" ht="15" hidden="false" customHeight="false" outlineLevel="0" collapsed="false">
      <c r="A557" s="6" t="s">
        <v>54</v>
      </c>
      <c r="B557" s="6" t="s">
        <v>43</v>
      </c>
      <c r="C557" s="6" t="s">
        <v>49</v>
      </c>
      <c r="D557" s="6" t="s">
        <v>117</v>
      </c>
      <c r="E557" s="6" t="n">
        <v>16</v>
      </c>
      <c r="F557" s="6" t="n">
        <v>1</v>
      </c>
      <c r="G557" s="6" t="s">
        <v>73</v>
      </c>
      <c r="H557" s="11" t="n">
        <v>0.05</v>
      </c>
      <c r="I557" s="6" t="n">
        <v>20</v>
      </c>
      <c r="J557" s="6" t="n">
        <v>0</v>
      </c>
      <c r="K557" s="6" t="n">
        <v>20</v>
      </c>
      <c r="L557" s="6" t="n">
        <v>0</v>
      </c>
      <c r="M557" s="6" t="n">
        <v>20</v>
      </c>
      <c r="N557" s="11" t="n">
        <f aca="false">J557/(J557+K557)</f>
        <v>0</v>
      </c>
      <c r="O557" s="11" t="str">
        <f aca="false">IF(J557+L557=0,"",J557/(J557+L557))</f>
        <v/>
      </c>
      <c r="P557" s="11" t="n">
        <f aca="false">2*J557/(2*J557+L557+K557)</f>
        <v>0</v>
      </c>
      <c r="Q557" s="11" t="n">
        <f aca="false">L557/(L557+M557)</f>
        <v>0</v>
      </c>
      <c r="R557" s="6" t="n">
        <v>0</v>
      </c>
      <c r="S557" s="11"/>
      <c r="T557" s="11" t="n">
        <v>0</v>
      </c>
      <c r="U557" s="11" t="n">
        <v>0.65</v>
      </c>
      <c r="V557" s="11" t="n">
        <v>0.65</v>
      </c>
    </row>
    <row r="558" customFormat="false" ht="15" hidden="false" customHeight="false" outlineLevel="0" collapsed="false">
      <c r="A558" s="6" t="s">
        <v>54</v>
      </c>
      <c r="B558" s="6" t="s">
        <v>43</v>
      </c>
      <c r="C558" s="6" t="s">
        <v>49</v>
      </c>
      <c r="D558" s="6" t="s">
        <v>117</v>
      </c>
      <c r="E558" s="6" t="n">
        <v>16</v>
      </c>
      <c r="F558" s="6" t="n">
        <v>1</v>
      </c>
      <c r="G558" s="6" t="s">
        <v>74</v>
      </c>
      <c r="H558" s="11" t="n">
        <v>0.05</v>
      </c>
      <c r="I558" s="6" t="n">
        <v>20</v>
      </c>
      <c r="J558" s="6" t="n">
        <v>1</v>
      </c>
      <c r="K558" s="6" t="n">
        <v>19</v>
      </c>
      <c r="L558" s="6" t="n">
        <v>1</v>
      </c>
      <c r="M558" s="6" t="n">
        <v>19</v>
      </c>
      <c r="N558" s="11" t="n">
        <f aca="false">J558/(J558+K558)</f>
        <v>0.05</v>
      </c>
      <c r="O558" s="11" t="n">
        <f aca="false">IF(J558+L558=0,"",J558/(J558+L558))</f>
        <v>0.5</v>
      </c>
      <c r="P558" s="11" t="n">
        <f aca="false">2*J558/(2*J558+L558+K558)</f>
        <v>0.0909090909090909</v>
      </c>
      <c r="Q558" s="11" t="n">
        <f aca="false">L558/(L558+M558)</f>
        <v>0.05</v>
      </c>
      <c r="R558" s="6" t="n">
        <v>0</v>
      </c>
      <c r="S558" s="11"/>
      <c r="T558" s="11" t="n">
        <v>0.05</v>
      </c>
      <c r="U558" s="11" t="n">
        <v>0.85</v>
      </c>
      <c r="V558" s="11" t="n">
        <v>0.85</v>
      </c>
    </row>
    <row r="559" customFormat="false" ht="15" hidden="false" customHeight="false" outlineLevel="0" collapsed="false">
      <c r="A559" s="6" t="s">
        <v>54</v>
      </c>
      <c r="B559" s="6" t="s">
        <v>43</v>
      </c>
      <c r="C559" s="6" t="s">
        <v>49</v>
      </c>
      <c r="D559" s="6" t="s">
        <v>117</v>
      </c>
      <c r="E559" s="6" t="n">
        <v>16</v>
      </c>
      <c r="F559" s="6" t="n">
        <v>1</v>
      </c>
      <c r="G559" s="6" t="s">
        <v>75</v>
      </c>
      <c r="H559" s="11" t="n">
        <v>0.05</v>
      </c>
      <c r="I559" s="6" t="n">
        <v>20</v>
      </c>
      <c r="J559" s="6" t="n">
        <v>0</v>
      </c>
      <c r="K559" s="6" t="n">
        <v>20</v>
      </c>
      <c r="L559" s="6" t="n">
        <v>0</v>
      </c>
      <c r="M559" s="6" t="n">
        <v>20</v>
      </c>
      <c r="N559" s="11" t="n">
        <f aca="false">J559/(J559+K559)</f>
        <v>0</v>
      </c>
      <c r="O559" s="11" t="str">
        <f aca="false">IF(J559+L559=0,"",J559/(J559+L559))</f>
        <v/>
      </c>
      <c r="P559" s="11" t="n">
        <f aca="false">2*J559/(2*J559+L559+K559)</f>
        <v>0</v>
      </c>
      <c r="Q559" s="11" t="n">
        <f aca="false">L559/(L559+M559)</f>
        <v>0</v>
      </c>
      <c r="R559" s="6" t="n">
        <v>0</v>
      </c>
      <c r="S559" s="11"/>
      <c r="T559" s="11" t="n">
        <v>0</v>
      </c>
      <c r="U559" s="11" t="n">
        <v>0.9</v>
      </c>
      <c r="V559" s="11" t="n">
        <v>0.9</v>
      </c>
    </row>
    <row r="560" customFormat="false" ht="15" hidden="false" customHeight="false" outlineLevel="0" collapsed="false">
      <c r="A560" s="6" t="s">
        <v>54</v>
      </c>
      <c r="B560" s="6" t="s">
        <v>43</v>
      </c>
      <c r="C560" s="6" t="s">
        <v>49</v>
      </c>
      <c r="D560" s="6" t="s">
        <v>117</v>
      </c>
      <c r="E560" s="6" t="n">
        <v>16</v>
      </c>
      <c r="F560" s="6" t="n">
        <v>1</v>
      </c>
      <c r="G560" s="6" t="s">
        <v>76</v>
      </c>
      <c r="H560" s="11" t="n">
        <v>0.05</v>
      </c>
      <c r="I560" s="6" t="n">
        <v>20</v>
      </c>
      <c r="J560" s="6" t="n">
        <v>0</v>
      </c>
      <c r="K560" s="6" t="n">
        <v>20</v>
      </c>
      <c r="L560" s="6" t="n">
        <v>0</v>
      </c>
      <c r="M560" s="6" t="n">
        <v>20</v>
      </c>
      <c r="N560" s="11" t="n">
        <f aca="false">J560/(J560+K560)</f>
        <v>0</v>
      </c>
      <c r="O560" s="11" t="str">
        <f aca="false">IF(J560+L560=0,"",J560/(J560+L560))</f>
        <v/>
      </c>
      <c r="P560" s="11" t="n">
        <f aca="false">2*J560/(2*J560+L560+K560)</f>
        <v>0</v>
      </c>
      <c r="Q560" s="11" t="n">
        <f aca="false">L560/(L560+M560)</f>
        <v>0</v>
      </c>
      <c r="R560" s="6" t="n">
        <v>0</v>
      </c>
      <c r="S560" s="11"/>
      <c r="T560" s="11" t="n">
        <v>0</v>
      </c>
      <c r="U560" s="11" t="n">
        <v>0.95</v>
      </c>
      <c r="V560" s="11" t="n">
        <v>0.95</v>
      </c>
    </row>
    <row r="561" customFormat="false" ht="15" hidden="false" customHeight="false" outlineLevel="0" collapsed="false">
      <c r="A561" s="6" t="s">
        <v>54</v>
      </c>
      <c r="B561" s="6" t="s">
        <v>43</v>
      </c>
      <c r="C561" s="6" t="s">
        <v>49</v>
      </c>
      <c r="D561" s="6" t="s">
        <v>117</v>
      </c>
      <c r="E561" s="6" t="n">
        <v>16</v>
      </c>
      <c r="F561" s="6" t="n">
        <v>1</v>
      </c>
      <c r="G561" s="6" t="s">
        <v>77</v>
      </c>
      <c r="H561" s="11" t="n">
        <v>0.05</v>
      </c>
      <c r="I561" s="6" t="n">
        <v>20</v>
      </c>
      <c r="J561" s="6" t="n">
        <v>1</v>
      </c>
      <c r="K561" s="6" t="n">
        <v>19</v>
      </c>
      <c r="L561" s="6" t="n">
        <v>1</v>
      </c>
      <c r="M561" s="6" t="n">
        <v>19</v>
      </c>
      <c r="N561" s="11" t="n">
        <f aca="false">J561/(J561+K561)</f>
        <v>0.05</v>
      </c>
      <c r="O561" s="11" t="n">
        <f aca="false">IF(J561+L561=0,"",J561/(J561+L561))</f>
        <v>0.5</v>
      </c>
      <c r="P561" s="11" t="n">
        <f aca="false">2*J561/(2*J561+L561+K561)</f>
        <v>0.0909090909090909</v>
      </c>
      <c r="Q561" s="11" t="n">
        <f aca="false">L561/(L561+M561)</f>
        <v>0.05</v>
      </c>
      <c r="R561" s="6" t="n">
        <v>0</v>
      </c>
      <c r="S561" s="11"/>
      <c r="T561" s="11" t="n">
        <v>0.05</v>
      </c>
      <c r="U561" s="11" t="n">
        <v>1</v>
      </c>
      <c r="V561" s="11" t="n">
        <v>1</v>
      </c>
    </row>
    <row r="562" customFormat="false" ht="15" hidden="false" customHeight="false" outlineLevel="0" collapsed="false">
      <c r="A562" s="6" t="s">
        <v>54</v>
      </c>
      <c r="B562" s="6" t="s">
        <v>43</v>
      </c>
      <c r="C562" s="6" t="s">
        <v>49</v>
      </c>
      <c r="D562" s="6" t="s">
        <v>117</v>
      </c>
      <c r="E562" s="6" t="n">
        <v>16</v>
      </c>
      <c r="F562" s="6" t="n">
        <v>1</v>
      </c>
      <c r="G562" s="6" t="s">
        <v>78</v>
      </c>
      <c r="H562" s="11" t="n">
        <v>0.05</v>
      </c>
      <c r="I562" s="6" t="n">
        <v>200</v>
      </c>
      <c r="J562" s="6" t="n">
        <v>6</v>
      </c>
      <c r="K562" s="6" t="n">
        <v>194</v>
      </c>
      <c r="L562" s="6" t="n">
        <v>6</v>
      </c>
      <c r="M562" s="6" t="n">
        <v>194</v>
      </c>
      <c r="N562" s="11" t="n">
        <f aca="false">J562/(J562+K562)</f>
        <v>0.03</v>
      </c>
      <c r="O562" s="11" t="n">
        <f aca="false">IF(J562+L562=0,"",J562/(J562+L562))</f>
        <v>0.5</v>
      </c>
      <c r="P562" s="11" t="n">
        <f aca="false">2*J562/(2*J562+L562+K562)</f>
        <v>0.0566037735849057</v>
      </c>
      <c r="Q562" s="11" t="n">
        <f aca="false">L562/(L562+M562)</f>
        <v>0.03</v>
      </c>
      <c r="R562" s="6" t="n">
        <v>0</v>
      </c>
      <c r="S562" s="11"/>
      <c r="T562" s="11" t="n">
        <v>0.03</v>
      </c>
      <c r="U562" s="11" t="n">
        <v>0.88</v>
      </c>
      <c r="V562" s="11" t="n">
        <v>0.88</v>
      </c>
    </row>
    <row r="563" customFormat="false" ht="15" hidden="false" customHeight="false" outlineLevel="0" collapsed="false">
      <c r="A563" s="6" t="s">
        <v>54</v>
      </c>
      <c r="B563" s="6" t="s">
        <v>43</v>
      </c>
      <c r="C563" s="6" t="s">
        <v>49</v>
      </c>
      <c r="D563" s="6" t="s">
        <v>117</v>
      </c>
      <c r="E563" s="6" t="n">
        <v>16</v>
      </c>
      <c r="F563" s="6" t="n">
        <v>2</v>
      </c>
      <c r="G563" s="6" t="s">
        <v>68</v>
      </c>
      <c r="H563" s="11" t="n">
        <v>0.05</v>
      </c>
      <c r="I563" s="6" t="n">
        <v>20</v>
      </c>
      <c r="J563" s="6" t="n">
        <v>2</v>
      </c>
      <c r="K563" s="6" t="n">
        <v>18</v>
      </c>
      <c r="L563" s="6" t="n">
        <v>2</v>
      </c>
      <c r="M563" s="6" t="n">
        <v>18</v>
      </c>
      <c r="N563" s="11" t="n">
        <f aca="false">J563/(J563+K563)</f>
        <v>0.1</v>
      </c>
      <c r="O563" s="11" t="n">
        <f aca="false">IF(J563+L563=0,"",J563/(J563+L563))</f>
        <v>0.5</v>
      </c>
      <c r="P563" s="11" t="n">
        <f aca="false">2*J563/(2*J563+L563+K563)</f>
        <v>0.166666666666667</v>
      </c>
      <c r="Q563" s="11" t="n">
        <f aca="false">L563/(L563+M563)</f>
        <v>0.1</v>
      </c>
      <c r="R563" s="6" t="n">
        <v>0</v>
      </c>
      <c r="S563" s="11"/>
      <c r="T563" s="11" t="n">
        <v>0.1</v>
      </c>
      <c r="U563" s="11" t="n">
        <v>0.85</v>
      </c>
      <c r="V563" s="11" t="n">
        <v>0.85</v>
      </c>
    </row>
    <row r="564" customFormat="false" ht="15" hidden="false" customHeight="false" outlineLevel="0" collapsed="false">
      <c r="A564" s="6" t="s">
        <v>54</v>
      </c>
      <c r="B564" s="6" t="s">
        <v>43</v>
      </c>
      <c r="C564" s="6" t="s">
        <v>49</v>
      </c>
      <c r="D564" s="6" t="s">
        <v>117</v>
      </c>
      <c r="E564" s="6" t="n">
        <v>16</v>
      </c>
      <c r="F564" s="6" t="n">
        <v>2</v>
      </c>
      <c r="G564" s="6" t="s">
        <v>69</v>
      </c>
      <c r="H564" s="11" t="n">
        <v>0.05</v>
      </c>
      <c r="I564" s="6" t="n">
        <v>20</v>
      </c>
      <c r="J564" s="6" t="n">
        <v>1</v>
      </c>
      <c r="K564" s="6" t="n">
        <v>19</v>
      </c>
      <c r="L564" s="6" t="n">
        <v>1</v>
      </c>
      <c r="M564" s="6" t="n">
        <v>19</v>
      </c>
      <c r="N564" s="11" t="n">
        <f aca="false">J564/(J564+K564)</f>
        <v>0.05</v>
      </c>
      <c r="O564" s="11" t="n">
        <f aca="false">IF(J564+L564=0,"",J564/(J564+L564))</f>
        <v>0.5</v>
      </c>
      <c r="P564" s="11" t="n">
        <f aca="false">2*J564/(2*J564+L564+K564)</f>
        <v>0.0909090909090909</v>
      </c>
      <c r="Q564" s="11" t="n">
        <f aca="false">L564/(L564+M564)</f>
        <v>0.05</v>
      </c>
      <c r="R564" s="6" t="n">
        <v>0</v>
      </c>
      <c r="S564" s="11"/>
      <c r="T564" s="11" t="n">
        <v>0.05</v>
      </c>
      <c r="U564" s="11" t="n">
        <v>1</v>
      </c>
      <c r="V564" s="11" t="n">
        <v>1</v>
      </c>
    </row>
    <row r="565" customFormat="false" ht="15" hidden="false" customHeight="false" outlineLevel="0" collapsed="false">
      <c r="A565" s="6" t="s">
        <v>54</v>
      </c>
      <c r="B565" s="6" t="s">
        <v>43</v>
      </c>
      <c r="C565" s="6" t="s">
        <v>49</v>
      </c>
      <c r="D565" s="6" t="s">
        <v>117</v>
      </c>
      <c r="E565" s="6" t="n">
        <v>16</v>
      </c>
      <c r="F565" s="6" t="n">
        <v>2</v>
      </c>
      <c r="G565" s="6" t="s">
        <v>70</v>
      </c>
      <c r="H565" s="11" t="n">
        <v>0.05</v>
      </c>
      <c r="I565" s="6" t="n">
        <v>20</v>
      </c>
      <c r="J565" s="6" t="n">
        <v>0</v>
      </c>
      <c r="K565" s="6" t="n">
        <v>20</v>
      </c>
      <c r="L565" s="6" t="n">
        <v>0</v>
      </c>
      <c r="M565" s="6" t="n">
        <v>20</v>
      </c>
      <c r="N565" s="11" t="n">
        <f aca="false">J565/(J565+K565)</f>
        <v>0</v>
      </c>
      <c r="O565" s="11" t="str">
        <f aca="false">IF(J565+L565=0,"",J565/(J565+L565))</f>
        <v/>
      </c>
      <c r="P565" s="11" t="n">
        <f aca="false">2*J565/(2*J565+L565+K565)</f>
        <v>0</v>
      </c>
      <c r="Q565" s="11" t="n">
        <f aca="false">L565/(L565+M565)</f>
        <v>0</v>
      </c>
      <c r="R565" s="6" t="n">
        <v>0</v>
      </c>
      <c r="S565" s="11"/>
      <c r="T565" s="11" t="n">
        <v>0</v>
      </c>
      <c r="U565" s="11" t="n">
        <v>0.9</v>
      </c>
      <c r="V565" s="11" t="n">
        <v>0.9</v>
      </c>
    </row>
    <row r="566" customFormat="false" ht="15" hidden="false" customHeight="false" outlineLevel="0" collapsed="false">
      <c r="A566" s="6" t="s">
        <v>54</v>
      </c>
      <c r="B566" s="6" t="s">
        <v>43</v>
      </c>
      <c r="C566" s="6" t="s">
        <v>49</v>
      </c>
      <c r="D566" s="6" t="s">
        <v>117</v>
      </c>
      <c r="E566" s="6" t="n">
        <v>16</v>
      </c>
      <c r="F566" s="6" t="n">
        <v>2</v>
      </c>
      <c r="G566" s="6" t="s">
        <v>71</v>
      </c>
      <c r="H566" s="11" t="n">
        <v>0.05</v>
      </c>
      <c r="I566" s="6" t="n">
        <v>20</v>
      </c>
      <c r="J566" s="6" t="n">
        <v>0</v>
      </c>
      <c r="K566" s="6" t="n">
        <v>20</v>
      </c>
      <c r="L566" s="6" t="n">
        <v>0</v>
      </c>
      <c r="M566" s="6" t="n">
        <v>20</v>
      </c>
      <c r="N566" s="11" t="n">
        <f aca="false">J566/(J566+K566)</f>
        <v>0</v>
      </c>
      <c r="O566" s="11" t="str">
        <f aca="false">IF(J566+L566=0,"",J566/(J566+L566))</f>
        <v/>
      </c>
      <c r="P566" s="11" t="n">
        <f aca="false">2*J566/(2*J566+L566+K566)</f>
        <v>0</v>
      </c>
      <c r="Q566" s="11" t="n">
        <f aca="false">L566/(L566+M566)</f>
        <v>0</v>
      </c>
      <c r="R566" s="6" t="n">
        <v>0</v>
      </c>
      <c r="S566" s="11"/>
      <c r="T566" s="11" t="n">
        <v>0</v>
      </c>
      <c r="U566" s="11" t="n">
        <v>0.8</v>
      </c>
      <c r="V566" s="11" t="n">
        <v>0.8</v>
      </c>
    </row>
    <row r="567" customFormat="false" ht="15" hidden="false" customHeight="false" outlineLevel="0" collapsed="false">
      <c r="A567" s="6" t="s">
        <v>54</v>
      </c>
      <c r="B567" s="6" t="s">
        <v>43</v>
      </c>
      <c r="C567" s="6" t="s">
        <v>49</v>
      </c>
      <c r="D567" s="6" t="s">
        <v>117</v>
      </c>
      <c r="E567" s="6" t="n">
        <v>16</v>
      </c>
      <c r="F567" s="6" t="n">
        <v>2</v>
      </c>
      <c r="G567" s="6" t="s">
        <v>72</v>
      </c>
      <c r="H567" s="11" t="n">
        <v>0.05</v>
      </c>
      <c r="I567" s="6" t="n">
        <v>20</v>
      </c>
      <c r="J567" s="6" t="n">
        <v>1</v>
      </c>
      <c r="K567" s="6" t="n">
        <v>19</v>
      </c>
      <c r="L567" s="6" t="n">
        <v>1</v>
      </c>
      <c r="M567" s="6" t="n">
        <v>19</v>
      </c>
      <c r="N567" s="11" t="n">
        <f aca="false">J567/(J567+K567)</f>
        <v>0.05</v>
      </c>
      <c r="O567" s="11" t="n">
        <f aca="false">IF(J567+L567=0,"",J567/(J567+L567))</f>
        <v>0.5</v>
      </c>
      <c r="P567" s="11" t="n">
        <f aca="false">2*J567/(2*J567+L567+K567)</f>
        <v>0.0909090909090909</v>
      </c>
      <c r="Q567" s="11" t="n">
        <f aca="false">L567/(L567+M567)</f>
        <v>0.05</v>
      </c>
      <c r="R567" s="6" t="n">
        <v>0</v>
      </c>
      <c r="S567" s="11"/>
      <c r="T567" s="11" t="n">
        <v>0.05</v>
      </c>
      <c r="U567" s="11" t="n">
        <v>0.9</v>
      </c>
      <c r="V567" s="11" t="n">
        <v>0.9</v>
      </c>
    </row>
    <row r="568" customFormat="false" ht="15" hidden="false" customHeight="false" outlineLevel="0" collapsed="false">
      <c r="A568" s="6" t="s">
        <v>54</v>
      </c>
      <c r="B568" s="6" t="s">
        <v>43</v>
      </c>
      <c r="C568" s="6" t="s">
        <v>49</v>
      </c>
      <c r="D568" s="6" t="s">
        <v>117</v>
      </c>
      <c r="E568" s="6" t="n">
        <v>16</v>
      </c>
      <c r="F568" s="6" t="n">
        <v>2</v>
      </c>
      <c r="G568" s="6" t="s">
        <v>73</v>
      </c>
      <c r="H568" s="11" t="n">
        <v>0.05</v>
      </c>
      <c r="I568" s="6" t="n">
        <v>20</v>
      </c>
      <c r="J568" s="6" t="n">
        <v>0</v>
      </c>
      <c r="K568" s="6" t="n">
        <v>20</v>
      </c>
      <c r="L568" s="6" t="n">
        <v>0</v>
      </c>
      <c r="M568" s="6" t="n">
        <v>20</v>
      </c>
      <c r="N568" s="11" t="n">
        <f aca="false">J568/(J568+K568)</f>
        <v>0</v>
      </c>
      <c r="O568" s="11" t="str">
        <f aca="false">IF(J568+L568=0,"",J568/(J568+L568))</f>
        <v/>
      </c>
      <c r="P568" s="11" t="n">
        <f aca="false">2*J568/(2*J568+L568+K568)</f>
        <v>0</v>
      </c>
      <c r="Q568" s="11" t="n">
        <f aca="false">L568/(L568+M568)</f>
        <v>0</v>
      </c>
      <c r="R568" s="6" t="n">
        <v>0</v>
      </c>
      <c r="S568" s="11"/>
      <c r="T568" s="11" t="n">
        <v>0</v>
      </c>
      <c r="U568" s="11" t="n">
        <v>0.65</v>
      </c>
      <c r="V568" s="11" t="n">
        <v>0.65</v>
      </c>
    </row>
    <row r="569" customFormat="false" ht="15" hidden="false" customHeight="false" outlineLevel="0" collapsed="false">
      <c r="A569" s="6" t="s">
        <v>54</v>
      </c>
      <c r="B569" s="6" t="s">
        <v>43</v>
      </c>
      <c r="C569" s="6" t="s">
        <v>49</v>
      </c>
      <c r="D569" s="6" t="s">
        <v>117</v>
      </c>
      <c r="E569" s="6" t="n">
        <v>16</v>
      </c>
      <c r="F569" s="6" t="n">
        <v>2</v>
      </c>
      <c r="G569" s="6" t="s">
        <v>74</v>
      </c>
      <c r="H569" s="11" t="n">
        <v>0.05</v>
      </c>
      <c r="I569" s="6" t="n">
        <v>20</v>
      </c>
      <c r="J569" s="6" t="n">
        <v>1</v>
      </c>
      <c r="K569" s="6" t="n">
        <v>19</v>
      </c>
      <c r="L569" s="6" t="n">
        <v>1</v>
      </c>
      <c r="M569" s="6" t="n">
        <v>19</v>
      </c>
      <c r="N569" s="11" t="n">
        <f aca="false">J569/(J569+K569)</f>
        <v>0.05</v>
      </c>
      <c r="O569" s="11" t="n">
        <f aca="false">IF(J569+L569=0,"",J569/(J569+L569))</f>
        <v>0.5</v>
      </c>
      <c r="P569" s="11" t="n">
        <f aca="false">2*J569/(2*J569+L569+K569)</f>
        <v>0.0909090909090909</v>
      </c>
      <c r="Q569" s="11" t="n">
        <f aca="false">L569/(L569+M569)</f>
        <v>0.05</v>
      </c>
      <c r="R569" s="6" t="n">
        <v>0</v>
      </c>
      <c r="S569" s="11"/>
      <c r="T569" s="11" t="n">
        <v>0.05</v>
      </c>
      <c r="U569" s="11" t="n">
        <v>0.85</v>
      </c>
      <c r="V569" s="11" t="n">
        <v>0.85</v>
      </c>
    </row>
    <row r="570" customFormat="false" ht="15" hidden="false" customHeight="false" outlineLevel="0" collapsed="false">
      <c r="A570" s="6" t="s">
        <v>54</v>
      </c>
      <c r="B570" s="6" t="s">
        <v>43</v>
      </c>
      <c r="C570" s="6" t="s">
        <v>49</v>
      </c>
      <c r="D570" s="6" t="s">
        <v>117</v>
      </c>
      <c r="E570" s="6" t="n">
        <v>16</v>
      </c>
      <c r="F570" s="6" t="n">
        <v>2</v>
      </c>
      <c r="G570" s="6" t="s">
        <v>75</v>
      </c>
      <c r="H570" s="11" t="n">
        <v>0.05</v>
      </c>
      <c r="I570" s="6" t="n">
        <v>20</v>
      </c>
      <c r="J570" s="6" t="n">
        <v>0</v>
      </c>
      <c r="K570" s="6" t="n">
        <v>20</v>
      </c>
      <c r="L570" s="6" t="n">
        <v>0</v>
      </c>
      <c r="M570" s="6" t="n">
        <v>20</v>
      </c>
      <c r="N570" s="11" t="n">
        <f aca="false">J570/(J570+K570)</f>
        <v>0</v>
      </c>
      <c r="O570" s="11" t="str">
        <f aca="false">IF(J570+L570=0,"",J570/(J570+L570))</f>
        <v/>
      </c>
      <c r="P570" s="11" t="n">
        <f aca="false">2*J570/(2*J570+L570+K570)</f>
        <v>0</v>
      </c>
      <c r="Q570" s="11" t="n">
        <f aca="false">L570/(L570+M570)</f>
        <v>0</v>
      </c>
      <c r="R570" s="6" t="n">
        <v>1</v>
      </c>
      <c r="S570" s="11" t="n">
        <v>0</v>
      </c>
      <c r="T570" s="11" t="n">
        <v>0</v>
      </c>
      <c r="U570" s="11" t="n">
        <v>0.9</v>
      </c>
      <c r="V570" s="11" t="n">
        <v>0.95</v>
      </c>
    </row>
    <row r="571" customFormat="false" ht="15" hidden="false" customHeight="false" outlineLevel="0" collapsed="false">
      <c r="A571" s="6" t="s">
        <v>54</v>
      </c>
      <c r="B571" s="6" t="s">
        <v>43</v>
      </c>
      <c r="C571" s="6" t="s">
        <v>49</v>
      </c>
      <c r="D571" s="6" t="s">
        <v>117</v>
      </c>
      <c r="E571" s="6" t="n">
        <v>16</v>
      </c>
      <c r="F571" s="6" t="n">
        <v>2</v>
      </c>
      <c r="G571" s="6" t="s">
        <v>76</v>
      </c>
      <c r="H571" s="11" t="n">
        <v>0.05</v>
      </c>
      <c r="I571" s="6" t="n">
        <v>20</v>
      </c>
      <c r="J571" s="6" t="n">
        <v>0</v>
      </c>
      <c r="K571" s="6" t="n">
        <v>20</v>
      </c>
      <c r="L571" s="6" t="n">
        <v>0</v>
      </c>
      <c r="M571" s="6" t="n">
        <v>20</v>
      </c>
      <c r="N571" s="11" t="n">
        <f aca="false">J571/(J571+K571)</f>
        <v>0</v>
      </c>
      <c r="O571" s="11" t="str">
        <f aca="false">IF(J571+L571=0,"",J571/(J571+L571))</f>
        <v/>
      </c>
      <c r="P571" s="11" t="n">
        <f aca="false">2*J571/(2*J571+L571+K571)</f>
        <v>0</v>
      </c>
      <c r="Q571" s="11" t="n">
        <f aca="false">L571/(L571+M571)</f>
        <v>0</v>
      </c>
      <c r="R571" s="6" t="n">
        <v>0</v>
      </c>
      <c r="S571" s="11"/>
      <c r="T571" s="11" t="n">
        <v>0</v>
      </c>
      <c r="U571" s="11" t="n">
        <v>0.95</v>
      </c>
      <c r="V571" s="11" t="n">
        <v>0.95</v>
      </c>
    </row>
    <row r="572" customFormat="false" ht="15" hidden="false" customHeight="false" outlineLevel="0" collapsed="false">
      <c r="A572" s="6" t="s">
        <v>54</v>
      </c>
      <c r="B572" s="6" t="s">
        <v>43</v>
      </c>
      <c r="C572" s="6" t="s">
        <v>49</v>
      </c>
      <c r="D572" s="6" t="s">
        <v>117</v>
      </c>
      <c r="E572" s="6" t="n">
        <v>16</v>
      </c>
      <c r="F572" s="6" t="n">
        <v>2</v>
      </c>
      <c r="G572" s="6" t="s">
        <v>77</v>
      </c>
      <c r="H572" s="11" t="n">
        <v>0.05</v>
      </c>
      <c r="I572" s="6" t="n">
        <v>20</v>
      </c>
      <c r="J572" s="6" t="n">
        <v>1</v>
      </c>
      <c r="K572" s="6" t="n">
        <v>19</v>
      </c>
      <c r="L572" s="6" t="n">
        <v>1</v>
      </c>
      <c r="M572" s="6" t="n">
        <v>19</v>
      </c>
      <c r="N572" s="11" t="n">
        <f aca="false">J572/(J572+K572)</f>
        <v>0.05</v>
      </c>
      <c r="O572" s="11" t="n">
        <f aca="false">IF(J572+L572=0,"",J572/(J572+L572))</f>
        <v>0.5</v>
      </c>
      <c r="P572" s="11" t="n">
        <f aca="false">2*J572/(2*J572+L572+K572)</f>
        <v>0.0909090909090909</v>
      </c>
      <c r="Q572" s="11" t="n">
        <f aca="false">L572/(L572+M572)</f>
        <v>0.05</v>
      </c>
      <c r="R572" s="6" t="n">
        <v>0</v>
      </c>
      <c r="S572" s="11"/>
      <c r="T572" s="11" t="n">
        <v>0.05</v>
      </c>
      <c r="U572" s="11" t="n">
        <v>1</v>
      </c>
      <c r="V572" s="11" t="n">
        <v>1</v>
      </c>
    </row>
    <row r="573" customFormat="false" ht="15" hidden="false" customHeight="false" outlineLevel="0" collapsed="false">
      <c r="A573" s="6" t="s">
        <v>54</v>
      </c>
      <c r="B573" s="6" t="s">
        <v>43</v>
      </c>
      <c r="C573" s="6" t="s">
        <v>49</v>
      </c>
      <c r="D573" s="6" t="s">
        <v>117</v>
      </c>
      <c r="E573" s="6" t="n">
        <v>16</v>
      </c>
      <c r="F573" s="6" t="n">
        <v>2</v>
      </c>
      <c r="G573" s="6" t="s">
        <v>78</v>
      </c>
      <c r="H573" s="11" t="n">
        <v>0.05</v>
      </c>
      <c r="I573" s="6" t="n">
        <v>200</v>
      </c>
      <c r="J573" s="6" t="n">
        <v>6</v>
      </c>
      <c r="K573" s="6" t="n">
        <v>194</v>
      </c>
      <c r="L573" s="6" t="n">
        <v>6</v>
      </c>
      <c r="M573" s="6" t="n">
        <v>194</v>
      </c>
      <c r="N573" s="11" t="n">
        <f aca="false">J573/(J573+K573)</f>
        <v>0.03</v>
      </c>
      <c r="O573" s="11" t="n">
        <f aca="false">IF(J573+L573=0,"",J573/(J573+L573))</f>
        <v>0.5</v>
      </c>
      <c r="P573" s="11" t="n">
        <f aca="false">2*J573/(2*J573+L573+K573)</f>
        <v>0.0566037735849057</v>
      </c>
      <c r="Q573" s="11" t="n">
        <f aca="false">L573/(L573+M573)</f>
        <v>0.03</v>
      </c>
      <c r="R573" s="6" t="n">
        <v>1</v>
      </c>
      <c r="S573" s="11" t="n">
        <v>0</v>
      </c>
      <c r="T573" s="11" t="n">
        <v>0.0301507537688442</v>
      </c>
      <c r="U573" s="11" t="n">
        <v>0.88</v>
      </c>
      <c r="V573" s="11" t="n">
        <v>0.885</v>
      </c>
    </row>
    <row r="574" customFormat="false" ht="15" hidden="false" customHeight="false" outlineLevel="0" collapsed="false">
      <c r="A574" s="6" t="s">
        <v>54</v>
      </c>
      <c r="B574" s="6" t="s">
        <v>43</v>
      </c>
      <c r="C574" s="6" t="s">
        <v>49</v>
      </c>
      <c r="D574" s="6" t="s">
        <v>117</v>
      </c>
      <c r="E574" s="6" t="n">
        <v>16</v>
      </c>
      <c r="F574" s="6" t="n">
        <v>3</v>
      </c>
      <c r="G574" s="6" t="s">
        <v>68</v>
      </c>
      <c r="H574" s="11" t="n">
        <v>0.05</v>
      </c>
      <c r="I574" s="6" t="n">
        <v>20</v>
      </c>
      <c r="J574" s="6" t="n">
        <v>2</v>
      </c>
      <c r="K574" s="6" t="n">
        <v>18</v>
      </c>
      <c r="L574" s="6" t="n">
        <v>2</v>
      </c>
      <c r="M574" s="6" t="n">
        <v>18</v>
      </c>
      <c r="N574" s="11" t="n">
        <f aca="false">J574/(J574+K574)</f>
        <v>0.1</v>
      </c>
      <c r="O574" s="11" t="n">
        <f aca="false">IF(J574+L574=0,"",J574/(J574+L574))</f>
        <v>0.5</v>
      </c>
      <c r="P574" s="11" t="n">
        <f aca="false">2*J574/(2*J574+L574+K574)</f>
        <v>0.166666666666667</v>
      </c>
      <c r="Q574" s="11" t="n">
        <f aca="false">L574/(L574+M574)</f>
        <v>0.1</v>
      </c>
      <c r="R574" s="6" t="n">
        <v>0</v>
      </c>
      <c r="S574" s="11"/>
      <c r="T574" s="11" t="n">
        <v>0.1</v>
      </c>
      <c r="U574" s="11" t="n">
        <v>0.85</v>
      </c>
      <c r="V574" s="11" t="n">
        <v>0.85</v>
      </c>
    </row>
    <row r="575" customFormat="false" ht="15" hidden="false" customHeight="false" outlineLevel="0" collapsed="false">
      <c r="A575" s="6" t="s">
        <v>54</v>
      </c>
      <c r="B575" s="6" t="s">
        <v>43</v>
      </c>
      <c r="C575" s="6" t="s">
        <v>49</v>
      </c>
      <c r="D575" s="6" t="s">
        <v>117</v>
      </c>
      <c r="E575" s="6" t="n">
        <v>16</v>
      </c>
      <c r="F575" s="6" t="n">
        <v>3</v>
      </c>
      <c r="G575" s="6" t="s">
        <v>69</v>
      </c>
      <c r="H575" s="11" t="n">
        <v>0.05</v>
      </c>
      <c r="I575" s="6" t="n">
        <v>20</v>
      </c>
      <c r="J575" s="6" t="n">
        <v>1</v>
      </c>
      <c r="K575" s="6" t="n">
        <v>19</v>
      </c>
      <c r="L575" s="6" t="n">
        <v>1</v>
      </c>
      <c r="M575" s="6" t="n">
        <v>19</v>
      </c>
      <c r="N575" s="11" t="n">
        <f aca="false">J575/(J575+K575)</f>
        <v>0.05</v>
      </c>
      <c r="O575" s="11" t="n">
        <f aca="false">IF(J575+L575=0,"",J575/(J575+L575))</f>
        <v>0.5</v>
      </c>
      <c r="P575" s="11" t="n">
        <f aca="false">2*J575/(2*J575+L575+K575)</f>
        <v>0.0909090909090909</v>
      </c>
      <c r="Q575" s="11" t="n">
        <f aca="false">L575/(L575+M575)</f>
        <v>0.05</v>
      </c>
      <c r="R575" s="6" t="n">
        <v>0</v>
      </c>
      <c r="S575" s="11"/>
      <c r="T575" s="11" t="n">
        <v>0.05</v>
      </c>
      <c r="U575" s="11" t="n">
        <v>1</v>
      </c>
      <c r="V575" s="11" t="n">
        <v>1</v>
      </c>
    </row>
    <row r="576" customFormat="false" ht="15" hidden="false" customHeight="false" outlineLevel="0" collapsed="false">
      <c r="A576" s="6" t="s">
        <v>54</v>
      </c>
      <c r="B576" s="6" t="s">
        <v>43</v>
      </c>
      <c r="C576" s="6" t="s">
        <v>49</v>
      </c>
      <c r="D576" s="6" t="s">
        <v>117</v>
      </c>
      <c r="E576" s="6" t="n">
        <v>16</v>
      </c>
      <c r="F576" s="6" t="n">
        <v>3</v>
      </c>
      <c r="G576" s="6" t="s">
        <v>70</v>
      </c>
      <c r="H576" s="11" t="n">
        <v>0.05</v>
      </c>
      <c r="I576" s="6" t="n">
        <v>20</v>
      </c>
      <c r="J576" s="6" t="n">
        <v>0</v>
      </c>
      <c r="K576" s="6" t="n">
        <v>20</v>
      </c>
      <c r="L576" s="6" t="n">
        <v>0</v>
      </c>
      <c r="M576" s="6" t="n">
        <v>20</v>
      </c>
      <c r="N576" s="11" t="n">
        <f aca="false">J576/(J576+K576)</f>
        <v>0</v>
      </c>
      <c r="O576" s="11" t="str">
        <f aca="false">IF(J576+L576=0,"",J576/(J576+L576))</f>
        <v/>
      </c>
      <c r="P576" s="11" t="n">
        <f aca="false">2*J576/(2*J576+L576+K576)</f>
        <v>0</v>
      </c>
      <c r="Q576" s="11" t="n">
        <f aca="false">L576/(L576+M576)</f>
        <v>0</v>
      </c>
      <c r="R576" s="6" t="n">
        <v>0</v>
      </c>
      <c r="S576" s="11"/>
      <c r="T576" s="11" t="n">
        <v>0</v>
      </c>
      <c r="U576" s="11" t="n">
        <v>0.9</v>
      </c>
      <c r="V576" s="11" t="n">
        <v>0.9</v>
      </c>
    </row>
    <row r="577" customFormat="false" ht="15" hidden="false" customHeight="false" outlineLevel="0" collapsed="false">
      <c r="A577" s="6" t="s">
        <v>54</v>
      </c>
      <c r="B577" s="6" t="s">
        <v>43</v>
      </c>
      <c r="C577" s="6" t="s">
        <v>49</v>
      </c>
      <c r="D577" s="6" t="s">
        <v>117</v>
      </c>
      <c r="E577" s="6" t="n">
        <v>16</v>
      </c>
      <c r="F577" s="6" t="n">
        <v>3</v>
      </c>
      <c r="G577" s="6" t="s">
        <v>71</v>
      </c>
      <c r="H577" s="11" t="n">
        <v>0.05</v>
      </c>
      <c r="I577" s="6" t="n">
        <v>20</v>
      </c>
      <c r="J577" s="6" t="n">
        <v>0</v>
      </c>
      <c r="K577" s="6" t="n">
        <v>20</v>
      </c>
      <c r="L577" s="6" t="n">
        <v>0</v>
      </c>
      <c r="M577" s="6" t="n">
        <v>20</v>
      </c>
      <c r="N577" s="11" t="n">
        <f aca="false">J577/(J577+K577)</f>
        <v>0</v>
      </c>
      <c r="O577" s="11" t="str">
        <f aca="false">IF(J577+L577=0,"",J577/(J577+L577))</f>
        <v/>
      </c>
      <c r="P577" s="11" t="n">
        <f aca="false">2*J577/(2*J577+L577+K577)</f>
        <v>0</v>
      </c>
      <c r="Q577" s="11" t="n">
        <f aca="false">L577/(L577+M577)</f>
        <v>0</v>
      </c>
      <c r="R577" s="6" t="n">
        <v>0</v>
      </c>
      <c r="S577" s="11"/>
      <c r="T577" s="11" t="n">
        <v>0</v>
      </c>
      <c r="U577" s="11" t="n">
        <v>0.8</v>
      </c>
      <c r="V577" s="11" t="n">
        <v>0.8</v>
      </c>
    </row>
    <row r="578" customFormat="false" ht="15" hidden="false" customHeight="false" outlineLevel="0" collapsed="false">
      <c r="A578" s="6" t="s">
        <v>54</v>
      </c>
      <c r="B578" s="6" t="s">
        <v>43</v>
      </c>
      <c r="C578" s="6" t="s">
        <v>49</v>
      </c>
      <c r="D578" s="6" t="s">
        <v>117</v>
      </c>
      <c r="E578" s="6" t="n">
        <v>16</v>
      </c>
      <c r="F578" s="6" t="n">
        <v>3</v>
      </c>
      <c r="G578" s="6" t="s">
        <v>72</v>
      </c>
      <c r="H578" s="11" t="n">
        <v>0.05</v>
      </c>
      <c r="I578" s="6" t="n">
        <v>20</v>
      </c>
      <c r="J578" s="6" t="n">
        <v>1</v>
      </c>
      <c r="K578" s="6" t="n">
        <v>19</v>
      </c>
      <c r="L578" s="6" t="n">
        <v>1</v>
      </c>
      <c r="M578" s="6" t="n">
        <v>19</v>
      </c>
      <c r="N578" s="11" t="n">
        <f aca="false">J578/(J578+K578)</f>
        <v>0.05</v>
      </c>
      <c r="O578" s="11" t="n">
        <f aca="false">IF(J578+L578=0,"",J578/(J578+L578))</f>
        <v>0.5</v>
      </c>
      <c r="P578" s="11" t="n">
        <f aca="false">2*J578/(2*J578+L578+K578)</f>
        <v>0.0909090909090909</v>
      </c>
      <c r="Q578" s="11" t="n">
        <f aca="false">L578/(L578+M578)</f>
        <v>0.05</v>
      </c>
      <c r="R578" s="6" t="n">
        <v>0</v>
      </c>
      <c r="S578" s="11"/>
      <c r="T578" s="11" t="n">
        <v>0.05</v>
      </c>
      <c r="U578" s="11" t="n">
        <v>0.9</v>
      </c>
      <c r="V578" s="11" t="n">
        <v>0.9</v>
      </c>
    </row>
    <row r="579" customFormat="false" ht="15" hidden="false" customHeight="false" outlineLevel="0" collapsed="false">
      <c r="A579" s="6" t="s">
        <v>54</v>
      </c>
      <c r="B579" s="6" t="s">
        <v>43</v>
      </c>
      <c r="C579" s="6" t="s">
        <v>49</v>
      </c>
      <c r="D579" s="6" t="s">
        <v>117</v>
      </c>
      <c r="E579" s="6" t="n">
        <v>16</v>
      </c>
      <c r="F579" s="6" t="n">
        <v>3</v>
      </c>
      <c r="G579" s="6" t="s">
        <v>73</v>
      </c>
      <c r="H579" s="11" t="n">
        <v>0.05</v>
      </c>
      <c r="I579" s="6" t="n">
        <v>20</v>
      </c>
      <c r="J579" s="6" t="n">
        <v>0</v>
      </c>
      <c r="K579" s="6" t="n">
        <v>20</v>
      </c>
      <c r="L579" s="6" t="n">
        <v>0</v>
      </c>
      <c r="M579" s="6" t="n">
        <v>20</v>
      </c>
      <c r="N579" s="11" t="n">
        <f aca="false">J579/(J579+K579)</f>
        <v>0</v>
      </c>
      <c r="O579" s="11" t="str">
        <f aca="false">IF(J579+L579=0,"",J579/(J579+L579))</f>
        <v/>
      </c>
      <c r="P579" s="11" t="n">
        <f aca="false">2*J579/(2*J579+L579+K579)</f>
        <v>0</v>
      </c>
      <c r="Q579" s="11" t="n">
        <f aca="false">L579/(L579+M579)</f>
        <v>0</v>
      </c>
      <c r="R579" s="6" t="n">
        <v>0</v>
      </c>
      <c r="S579" s="11"/>
      <c r="T579" s="11" t="n">
        <v>0</v>
      </c>
      <c r="U579" s="11" t="n">
        <v>0.65</v>
      </c>
      <c r="V579" s="11" t="n">
        <v>0.65</v>
      </c>
    </row>
    <row r="580" customFormat="false" ht="15" hidden="false" customHeight="false" outlineLevel="0" collapsed="false">
      <c r="A580" s="6" t="s">
        <v>54</v>
      </c>
      <c r="B580" s="6" t="s">
        <v>43</v>
      </c>
      <c r="C580" s="6" t="s">
        <v>49</v>
      </c>
      <c r="D580" s="6" t="s">
        <v>117</v>
      </c>
      <c r="E580" s="6" t="n">
        <v>16</v>
      </c>
      <c r="F580" s="6" t="n">
        <v>3</v>
      </c>
      <c r="G580" s="6" t="s">
        <v>74</v>
      </c>
      <c r="H580" s="11" t="n">
        <v>0.05</v>
      </c>
      <c r="I580" s="6" t="n">
        <v>20</v>
      </c>
      <c r="J580" s="6" t="n">
        <v>1</v>
      </c>
      <c r="K580" s="6" t="n">
        <v>19</v>
      </c>
      <c r="L580" s="6" t="n">
        <v>1</v>
      </c>
      <c r="M580" s="6" t="n">
        <v>19</v>
      </c>
      <c r="N580" s="11" t="n">
        <f aca="false">J580/(J580+K580)</f>
        <v>0.05</v>
      </c>
      <c r="O580" s="11" t="n">
        <f aca="false">IF(J580+L580=0,"",J580/(J580+L580))</f>
        <v>0.5</v>
      </c>
      <c r="P580" s="11" t="n">
        <f aca="false">2*J580/(2*J580+L580+K580)</f>
        <v>0.0909090909090909</v>
      </c>
      <c r="Q580" s="11" t="n">
        <f aca="false">L580/(L580+M580)</f>
        <v>0.05</v>
      </c>
      <c r="R580" s="6" t="n">
        <v>0</v>
      </c>
      <c r="S580" s="11"/>
      <c r="T580" s="11" t="n">
        <v>0.05</v>
      </c>
      <c r="U580" s="11" t="n">
        <v>0.85</v>
      </c>
      <c r="V580" s="11" t="n">
        <v>0.85</v>
      </c>
    </row>
    <row r="581" customFormat="false" ht="15" hidden="false" customHeight="false" outlineLevel="0" collapsed="false">
      <c r="A581" s="6" t="s">
        <v>54</v>
      </c>
      <c r="B581" s="6" t="s">
        <v>43</v>
      </c>
      <c r="C581" s="6" t="s">
        <v>49</v>
      </c>
      <c r="D581" s="6" t="s">
        <v>117</v>
      </c>
      <c r="E581" s="6" t="n">
        <v>16</v>
      </c>
      <c r="F581" s="6" t="n">
        <v>3</v>
      </c>
      <c r="G581" s="6" t="s">
        <v>75</v>
      </c>
      <c r="H581" s="11" t="n">
        <v>0.05</v>
      </c>
      <c r="I581" s="6" t="n">
        <v>20</v>
      </c>
      <c r="J581" s="6" t="n">
        <v>0</v>
      </c>
      <c r="K581" s="6" t="n">
        <v>20</v>
      </c>
      <c r="L581" s="6" t="n">
        <v>0</v>
      </c>
      <c r="M581" s="6" t="n">
        <v>20</v>
      </c>
      <c r="N581" s="11" t="n">
        <f aca="false">J581/(J581+K581)</f>
        <v>0</v>
      </c>
      <c r="O581" s="11" t="str">
        <f aca="false">IF(J581+L581=0,"",J581/(J581+L581))</f>
        <v/>
      </c>
      <c r="P581" s="11" t="n">
        <f aca="false">2*J581/(2*J581+L581+K581)</f>
        <v>0</v>
      </c>
      <c r="Q581" s="11" t="n">
        <f aca="false">L581/(L581+M581)</f>
        <v>0</v>
      </c>
      <c r="R581" s="6" t="n">
        <v>0</v>
      </c>
      <c r="S581" s="11"/>
      <c r="T581" s="11" t="n">
        <v>0</v>
      </c>
      <c r="U581" s="11" t="n">
        <v>0.9</v>
      </c>
      <c r="V581" s="11" t="n">
        <v>0.9</v>
      </c>
    </row>
    <row r="582" customFormat="false" ht="15" hidden="false" customHeight="false" outlineLevel="0" collapsed="false">
      <c r="A582" s="6" t="s">
        <v>54</v>
      </c>
      <c r="B582" s="6" t="s">
        <v>43</v>
      </c>
      <c r="C582" s="6" t="s">
        <v>49</v>
      </c>
      <c r="D582" s="6" t="s">
        <v>117</v>
      </c>
      <c r="E582" s="6" t="n">
        <v>16</v>
      </c>
      <c r="F582" s="6" t="n">
        <v>3</v>
      </c>
      <c r="G582" s="6" t="s">
        <v>76</v>
      </c>
      <c r="H582" s="11" t="n">
        <v>0.05</v>
      </c>
      <c r="I582" s="6" t="n">
        <v>20</v>
      </c>
      <c r="J582" s="6" t="n">
        <v>0</v>
      </c>
      <c r="K582" s="6" t="n">
        <v>20</v>
      </c>
      <c r="L582" s="6" t="n">
        <v>0</v>
      </c>
      <c r="M582" s="6" t="n">
        <v>20</v>
      </c>
      <c r="N582" s="11" t="n">
        <f aca="false">J582/(J582+K582)</f>
        <v>0</v>
      </c>
      <c r="O582" s="11" t="str">
        <f aca="false">IF(J582+L582=0,"",J582/(J582+L582))</f>
        <v/>
      </c>
      <c r="P582" s="11" t="n">
        <f aca="false">2*J582/(2*J582+L582+K582)</f>
        <v>0</v>
      </c>
      <c r="Q582" s="11" t="n">
        <f aca="false">L582/(L582+M582)</f>
        <v>0</v>
      </c>
      <c r="R582" s="6" t="n">
        <v>0</v>
      </c>
      <c r="S582" s="11"/>
      <c r="T582" s="11" t="n">
        <v>0</v>
      </c>
      <c r="U582" s="11" t="n">
        <v>0.95</v>
      </c>
      <c r="V582" s="11" t="n">
        <v>0.95</v>
      </c>
    </row>
    <row r="583" customFormat="false" ht="15" hidden="false" customHeight="false" outlineLevel="0" collapsed="false">
      <c r="A583" s="6" t="s">
        <v>54</v>
      </c>
      <c r="B583" s="6" t="s">
        <v>43</v>
      </c>
      <c r="C583" s="6" t="s">
        <v>49</v>
      </c>
      <c r="D583" s="6" t="s">
        <v>117</v>
      </c>
      <c r="E583" s="6" t="n">
        <v>16</v>
      </c>
      <c r="F583" s="6" t="n">
        <v>3</v>
      </c>
      <c r="G583" s="6" t="s">
        <v>77</v>
      </c>
      <c r="H583" s="11" t="n">
        <v>0.05</v>
      </c>
      <c r="I583" s="6" t="n">
        <v>20</v>
      </c>
      <c r="J583" s="6" t="n">
        <v>1</v>
      </c>
      <c r="K583" s="6" t="n">
        <v>19</v>
      </c>
      <c r="L583" s="6" t="n">
        <v>1</v>
      </c>
      <c r="M583" s="6" t="n">
        <v>19</v>
      </c>
      <c r="N583" s="11" t="n">
        <f aca="false">J583/(J583+K583)</f>
        <v>0.05</v>
      </c>
      <c r="O583" s="11" t="n">
        <f aca="false">IF(J583+L583=0,"",J583/(J583+L583))</f>
        <v>0.5</v>
      </c>
      <c r="P583" s="11" t="n">
        <f aca="false">2*J583/(2*J583+L583+K583)</f>
        <v>0.0909090909090909</v>
      </c>
      <c r="Q583" s="11" t="n">
        <f aca="false">L583/(L583+M583)</f>
        <v>0.05</v>
      </c>
      <c r="R583" s="6" t="n">
        <v>0</v>
      </c>
      <c r="S583" s="11"/>
      <c r="T583" s="11" t="n">
        <v>0.05</v>
      </c>
      <c r="U583" s="11" t="n">
        <v>1</v>
      </c>
      <c r="V583" s="11" t="n">
        <v>1</v>
      </c>
    </row>
    <row r="584" customFormat="false" ht="15" hidden="false" customHeight="false" outlineLevel="0" collapsed="false">
      <c r="A584" s="6" t="s">
        <v>54</v>
      </c>
      <c r="B584" s="6" t="s">
        <v>43</v>
      </c>
      <c r="C584" s="6" t="s">
        <v>49</v>
      </c>
      <c r="D584" s="6" t="s">
        <v>117</v>
      </c>
      <c r="E584" s="6" t="n">
        <v>16</v>
      </c>
      <c r="F584" s="6" t="n">
        <v>3</v>
      </c>
      <c r="G584" s="6" t="s">
        <v>78</v>
      </c>
      <c r="H584" s="11" t="n">
        <v>0.05</v>
      </c>
      <c r="I584" s="6" t="n">
        <v>200</v>
      </c>
      <c r="J584" s="6" t="n">
        <v>6</v>
      </c>
      <c r="K584" s="6" t="n">
        <v>194</v>
      </c>
      <c r="L584" s="6" t="n">
        <v>6</v>
      </c>
      <c r="M584" s="6" t="n">
        <v>194</v>
      </c>
      <c r="N584" s="11" t="n">
        <f aca="false">J584/(J584+K584)</f>
        <v>0.03</v>
      </c>
      <c r="O584" s="11" t="n">
        <f aca="false">IF(J584+L584=0,"",J584/(J584+L584))</f>
        <v>0.5</v>
      </c>
      <c r="P584" s="11" t="n">
        <f aca="false">2*J584/(2*J584+L584+K584)</f>
        <v>0.0566037735849057</v>
      </c>
      <c r="Q584" s="11" t="n">
        <f aca="false">L584/(L584+M584)</f>
        <v>0.03</v>
      </c>
      <c r="R584" s="6" t="n">
        <v>0</v>
      </c>
      <c r="S584" s="11"/>
      <c r="T584" s="11" t="n">
        <v>0.03</v>
      </c>
      <c r="U584" s="11" t="n">
        <v>0.88</v>
      </c>
      <c r="V584" s="11" t="n">
        <v>0.88</v>
      </c>
    </row>
    <row r="585" customFormat="false" ht="15" hidden="false" customHeight="false" outlineLevel="0" collapsed="false">
      <c r="A585" s="6" t="s">
        <v>54</v>
      </c>
      <c r="B585" s="6" t="s">
        <v>43</v>
      </c>
      <c r="C585" s="6" t="s">
        <v>49</v>
      </c>
      <c r="D585" s="6" t="s">
        <v>117</v>
      </c>
      <c r="E585" s="6" t="n">
        <v>16</v>
      </c>
      <c r="F585" s="6" t="n">
        <v>4</v>
      </c>
      <c r="G585" s="6" t="s">
        <v>68</v>
      </c>
      <c r="H585" s="11" t="n">
        <v>0.05</v>
      </c>
      <c r="I585" s="6" t="n">
        <v>20</v>
      </c>
      <c r="J585" s="6" t="n">
        <v>2</v>
      </c>
      <c r="K585" s="6" t="n">
        <v>18</v>
      </c>
      <c r="L585" s="6" t="n">
        <v>2</v>
      </c>
      <c r="M585" s="6" t="n">
        <v>18</v>
      </c>
      <c r="N585" s="11" t="n">
        <f aca="false">J585/(J585+K585)</f>
        <v>0.1</v>
      </c>
      <c r="O585" s="11" t="n">
        <f aca="false">IF(J585+L585=0,"",J585/(J585+L585))</f>
        <v>0.5</v>
      </c>
      <c r="P585" s="11" t="n">
        <f aca="false">2*J585/(2*J585+L585+K585)</f>
        <v>0.166666666666667</v>
      </c>
      <c r="Q585" s="11" t="n">
        <f aca="false">L585/(L585+M585)</f>
        <v>0.1</v>
      </c>
      <c r="R585" s="6" t="n">
        <v>0</v>
      </c>
      <c r="S585" s="11"/>
      <c r="T585" s="11" t="n">
        <v>0.1</v>
      </c>
      <c r="U585" s="11" t="n">
        <v>0.85</v>
      </c>
      <c r="V585" s="11" t="n">
        <v>0.85</v>
      </c>
    </row>
    <row r="586" customFormat="false" ht="15" hidden="false" customHeight="false" outlineLevel="0" collapsed="false">
      <c r="A586" s="6" t="s">
        <v>54</v>
      </c>
      <c r="B586" s="6" t="s">
        <v>43</v>
      </c>
      <c r="C586" s="6" t="s">
        <v>49</v>
      </c>
      <c r="D586" s="6" t="s">
        <v>117</v>
      </c>
      <c r="E586" s="6" t="n">
        <v>16</v>
      </c>
      <c r="F586" s="6" t="n">
        <v>4</v>
      </c>
      <c r="G586" s="6" t="s">
        <v>69</v>
      </c>
      <c r="H586" s="11" t="n">
        <v>0.05</v>
      </c>
      <c r="I586" s="6" t="n">
        <v>20</v>
      </c>
      <c r="J586" s="6" t="n">
        <v>1</v>
      </c>
      <c r="K586" s="6" t="n">
        <v>19</v>
      </c>
      <c r="L586" s="6" t="n">
        <v>1</v>
      </c>
      <c r="M586" s="6" t="n">
        <v>19</v>
      </c>
      <c r="N586" s="11" t="n">
        <f aca="false">J586/(J586+K586)</f>
        <v>0.05</v>
      </c>
      <c r="O586" s="11" t="n">
        <f aca="false">IF(J586+L586=0,"",J586/(J586+L586))</f>
        <v>0.5</v>
      </c>
      <c r="P586" s="11" t="n">
        <f aca="false">2*J586/(2*J586+L586+K586)</f>
        <v>0.0909090909090909</v>
      </c>
      <c r="Q586" s="11" t="n">
        <f aca="false">L586/(L586+M586)</f>
        <v>0.05</v>
      </c>
      <c r="R586" s="6" t="n">
        <v>0</v>
      </c>
      <c r="S586" s="11"/>
      <c r="T586" s="11" t="n">
        <v>0.05</v>
      </c>
      <c r="U586" s="11" t="n">
        <v>1</v>
      </c>
      <c r="V586" s="11" t="n">
        <v>1</v>
      </c>
    </row>
    <row r="587" customFormat="false" ht="15" hidden="false" customHeight="false" outlineLevel="0" collapsed="false">
      <c r="A587" s="6" t="s">
        <v>54</v>
      </c>
      <c r="B587" s="6" t="s">
        <v>43</v>
      </c>
      <c r="C587" s="6" t="s">
        <v>49</v>
      </c>
      <c r="D587" s="6" t="s">
        <v>117</v>
      </c>
      <c r="E587" s="6" t="n">
        <v>16</v>
      </c>
      <c r="F587" s="6" t="n">
        <v>4</v>
      </c>
      <c r="G587" s="6" t="s">
        <v>70</v>
      </c>
      <c r="H587" s="11" t="n">
        <v>0.05</v>
      </c>
      <c r="I587" s="6" t="n">
        <v>20</v>
      </c>
      <c r="J587" s="6" t="n">
        <v>0</v>
      </c>
      <c r="K587" s="6" t="n">
        <v>20</v>
      </c>
      <c r="L587" s="6" t="n">
        <v>0</v>
      </c>
      <c r="M587" s="6" t="n">
        <v>20</v>
      </c>
      <c r="N587" s="11" t="n">
        <f aca="false">J587/(J587+K587)</f>
        <v>0</v>
      </c>
      <c r="O587" s="11" t="str">
        <f aca="false">IF(J587+L587=0,"",J587/(J587+L587))</f>
        <v/>
      </c>
      <c r="P587" s="11" t="n">
        <f aca="false">2*J587/(2*J587+L587+K587)</f>
        <v>0</v>
      </c>
      <c r="Q587" s="11" t="n">
        <f aca="false">L587/(L587+M587)</f>
        <v>0</v>
      </c>
      <c r="R587" s="6" t="n">
        <v>0</v>
      </c>
      <c r="S587" s="11"/>
      <c r="T587" s="11" t="n">
        <v>0</v>
      </c>
      <c r="U587" s="11" t="n">
        <v>0.9</v>
      </c>
      <c r="V587" s="11" t="n">
        <v>0.9</v>
      </c>
    </row>
    <row r="588" customFormat="false" ht="15" hidden="false" customHeight="false" outlineLevel="0" collapsed="false">
      <c r="A588" s="6" t="s">
        <v>54</v>
      </c>
      <c r="B588" s="6" t="s">
        <v>43</v>
      </c>
      <c r="C588" s="6" t="s">
        <v>49</v>
      </c>
      <c r="D588" s="6" t="s">
        <v>117</v>
      </c>
      <c r="E588" s="6" t="n">
        <v>16</v>
      </c>
      <c r="F588" s="6" t="n">
        <v>4</v>
      </c>
      <c r="G588" s="6" t="s">
        <v>71</v>
      </c>
      <c r="H588" s="11" t="n">
        <v>0.05</v>
      </c>
      <c r="I588" s="6" t="n">
        <v>20</v>
      </c>
      <c r="J588" s="6" t="n">
        <v>0</v>
      </c>
      <c r="K588" s="6" t="n">
        <v>20</v>
      </c>
      <c r="L588" s="6" t="n">
        <v>0</v>
      </c>
      <c r="M588" s="6" t="n">
        <v>20</v>
      </c>
      <c r="N588" s="11" t="n">
        <f aca="false">J588/(J588+K588)</f>
        <v>0</v>
      </c>
      <c r="O588" s="11" t="str">
        <f aca="false">IF(J588+L588=0,"",J588/(J588+L588))</f>
        <v/>
      </c>
      <c r="P588" s="11" t="n">
        <f aca="false">2*J588/(2*J588+L588+K588)</f>
        <v>0</v>
      </c>
      <c r="Q588" s="11" t="n">
        <f aca="false">L588/(L588+M588)</f>
        <v>0</v>
      </c>
      <c r="R588" s="6" t="n">
        <v>0</v>
      </c>
      <c r="S588" s="11"/>
      <c r="T588" s="11" t="n">
        <v>0</v>
      </c>
      <c r="U588" s="11" t="n">
        <v>0.8</v>
      </c>
      <c r="V588" s="11" t="n">
        <v>0.8</v>
      </c>
    </row>
    <row r="589" customFormat="false" ht="15" hidden="false" customHeight="false" outlineLevel="0" collapsed="false">
      <c r="A589" s="6" t="s">
        <v>54</v>
      </c>
      <c r="B589" s="6" t="s">
        <v>43</v>
      </c>
      <c r="C589" s="6" t="s">
        <v>49</v>
      </c>
      <c r="D589" s="6" t="s">
        <v>117</v>
      </c>
      <c r="E589" s="6" t="n">
        <v>16</v>
      </c>
      <c r="F589" s="6" t="n">
        <v>4</v>
      </c>
      <c r="G589" s="6" t="s">
        <v>72</v>
      </c>
      <c r="H589" s="11" t="n">
        <v>0.05</v>
      </c>
      <c r="I589" s="6" t="n">
        <v>20</v>
      </c>
      <c r="J589" s="6" t="n">
        <v>1</v>
      </c>
      <c r="K589" s="6" t="n">
        <v>19</v>
      </c>
      <c r="L589" s="6" t="n">
        <v>1</v>
      </c>
      <c r="M589" s="6" t="n">
        <v>19</v>
      </c>
      <c r="N589" s="11" t="n">
        <f aca="false">J589/(J589+K589)</f>
        <v>0.05</v>
      </c>
      <c r="O589" s="11" t="n">
        <f aca="false">IF(J589+L589=0,"",J589/(J589+L589))</f>
        <v>0.5</v>
      </c>
      <c r="P589" s="11" t="n">
        <f aca="false">2*J589/(2*J589+L589+K589)</f>
        <v>0.0909090909090909</v>
      </c>
      <c r="Q589" s="11" t="n">
        <f aca="false">L589/(L589+M589)</f>
        <v>0.05</v>
      </c>
      <c r="R589" s="6" t="n">
        <v>0</v>
      </c>
      <c r="S589" s="11"/>
      <c r="T589" s="11" t="n">
        <v>0.05</v>
      </c>
      <c r="U589" s="11" t="n">
        <v>0.9</v>
      </c>
      <c r="V589" s="11" t="n">
        <v>0.9</v>
      </c>
    </row>
    <row r="590" customFormat="false" ht="15" hidden="false" customHeight="false" outlineLevel="0" collapsed="false">
      <c r="A590" s="6" t="s">
        <v>54</v>
      </c>
      <c r="B590" s="6" t="s">
        <v>43</v>
      </c>
      <c r="C590" s="6" t="s">
        <v>49</v>
      </c>
      <c r="D590" s="6" t="s">
        <v>117</v>
      </c>
      <c r="E590" s="6" t="n">
        <v>16</v>
      </c>
      <c r="F590" s="6" t="n">
        <v>4</v>
      </c>
      <c r="G590" s="6" t="s">
        <v>73</v>
      </c>
      <c r="H590" s="11" t="n">
        <v>0.05</v>
      </c>
      <c r="I590" s="6" t="n">
        <v>20</v>
      </c>
      <c r="J590" s="6" t="n">
        <v>0</v>
      </c>
      <c r="K590" s="6" t="n">
        <v>20</v>
      </c>
      <c r="L590" s="6" t="n">
        <v>0</v>
      </c>
      <c r="M590" s="6" t="n">
        <v>20</v>
      </c>
      <c r="N590" s="11" t="n">
        <f aca="false">J590/(J590+K590)</f>
        <v>0</v>
      </c>
      <c r="O590" s="11" t="str">
        <f aca="false">IF(J590+L590=0,"",J590/(J590+L590))</f>
        <v/>
      </c>
      <c r="P590" s="11" t="n">
        <f aca="false">2*J590/(2*J590+L590+K590)</f>
        <v>0</v>
      </c>
      <c r="Q590" s="11" t="n">
        <f aca="false">L590/(L590+M590)</f>
        <v>0</v>
      </c>
      <c r="R590" s="6" t="n">
        <v>0</v>
      </c>
      <c r="S590" s="11"/>
      <c r="T590" s="11" t="n">
        <v>0</v>
      </c>
      <c r="U590" s="11" t="n">
        <v>0.65</v>
      </c>
      <c r="V590" s="11" t="n">
        <v>0.65</v>
      </c>
    </row>
    <row r="591" customFormat="false" ht="15" hidden="false" customHeight="false" outlineLevel="0" collapsed="false">
      <c r="A591" s="6" t="s">
        <v>54</v>
      </c>
      <c r="B591" s="6" t="s">
        <v>43</v>
      </c>
      <c r="C591" s="6" t="s">
        <v>49</v>
      </c>
      <c r="D591" s="6" t="s">
        <v>117</v>
      </c>
      <c r="E591" s="6" t="n">
        <v>16</v>
      </c>
      <c r="F591" s="6" t="n">
        <v>4</v>
      </c>
      <c r="G591" s="6" t="s">
        <v>74</v>
      </c>
      <c r="H591" s="11" t="n">
        <v>0.05</v>
      </c>
      <c r="I591" s="6" t="n">
        <v>20</v>
      </c>
      <c r="J591" s="6" t="n">
        <v>1</v>
      </c>
      <c r="K591" s="6" t="n">
        <v>19</v>
      </c>
      <c r="L591" s="6" t="n">
        <v>1</v>
      </c>
      <c r="M591" s="6" t="n">
        <v>19</v>
      </c>
      <c r="N591" s="11" t="n">
        <f aca="false">J591/(J591+K591)</f>
        <v>0.05</v>
      </c>
      <c r="O591" s="11" t="n">
        <f aca="false">IF(J591+L591=0,"",J591/(J591+L591))</f>
        <v>0.5</v>
      </c>
      <c r="P591" s="11" t="n">
        <f aca="false">2*J591/(2*J591+L591+K591)</f>
        <v>0.0909090909090909</v>
      </c>
      <c r="Q591" s="11" t="n">
        <f aca="false">L591/(L591+M591)</f>
        <v>0.05</v>
      </c>
      <c r="R591" s="6" t="n">
        <v>0</v>
      </c>
      <c r="S591" s="11"/>
      <c r="T591" s="11" t="n">
        <v>0.05</v>
      </c>
      <c r="U591" s="11" t="n">
        <v>0.85</v>
      </c>
      <c r="V591" s="11" t="n">
        <v>0.85</v>
      </c>
    </row>
    <row r="592" customFormat="false" ht="15" hidden="false" customHeight="false" outlineLevel="0" collapsed="false">
      <c r="A592" s="6" t="s">
        <v>54</v>
      </c>
      <c r="B592" s="6" t="s">
        <v>43</v>
      </c>
      <c r="C592" s="6" t="s">
        <v>49</v>
      </c>
      <c r="D592" s="6" t="s">
        <v>117</v>
      </c>
      <c r="E592" s="6" t="n">
        <v>16</v>
      </c>
      <c r="F592" s="6" t="n">
        <v>4</v>
      </c>
      <c r="G592" s="6" t="s">
        <v>75</v>
      </c>
      <c r="H592" s="11" t="n">
        <v>0.05</v>
      </c>
      <c r="I592" s="6" t="n">
        <v>20</v>
      </c>
      <c r="J592" s="6" t="n">
        <v>0</v>
      </c>
      <c r="K592" s="6" t="n">
        <v>20</v>
      </c>
      <c r="L592" s="6" t="n">
        <v>0</v>
      </c>
      <c r="M592" s="6" t="n">
        <v>20</v>
      </c>
      <c r="N592" s="11" t="n">
        <f aca="false">J592/(J592+K592)</f>
        <v>0</v>
      </c>
      <c r="O592" s="11" t="str">
        <f aca="false">IF(J592+L592=0,"",J592/(J592+L592))</f>
        <v/>
      </c>
      <c r="P592" s="11" t="n">
        <f aca="false">2*J592/(2*J592+L592+K592)</f>
        <v>0</v>
      </c>
      <c r="Q592" s="11" t="n">
        <f aca="false">L592/(L592+M592)</f>
        <v>0</v>
      </c>
      <c r="R592" s="6" t="n">
        <v>0</v>
      </c>
      <c r="S592" s="11"/>
      <c r="T592" s="11" t="n">
        <v>0</v>
      </c>
      <c r="U592" s="11" t="n">
        <v>0.9</v>
      </c>
      <c r="V592" s="11" t="n">
        <v>0.9</v>
      </c>
    </row>
    <row r="593" customFormat="false" ht="15" hidden="false" customHeight="false" outlineLevel="0" collapsed="false">
      <c r="A593" s="6" t="s">
        <v>54</v>
      </c>
      <c r="B593" s="6" t="s">
        <v>43</v>
      </c>
      <c r="C593" s="6" t="s">
        <v>49</v>
      </c>
      <c r="D593" s="6" t="s">
        <v>117</v>
      </c>
      <c r="E593" s="6" t="n">
        <v>16</v>
      </c>
      <c r="F593" s="6" t="n">
        <v>4</v>
      </c>
      <c r="G593" s="6" t="s">
        <v>76</v>
      </c>
      <c r="H593" s="11" t="n">
        <v>0.05</v>
      </c>
      <c r="I593" s="6" t="n">
        <v>20</v>
      </c>
      <c r="J593" s="6" t="n">
        <v>0</v>
      </c>
      <c r="K593" s="6" t="n">
        <v>20</v>
      </c>
      <c r="L593" s="6" t="n">
        <v>0</v>
      </c>
      <c r="M593" s="6" t="n">
        <v>20</v>
      </c>
      <c r="N593" s="11" t="n">
        <f aca="false">J593/(J593+K593)</f>
        <v>0</v>
      </c>
      <c r="O593" s="11" t="str">
        <f aca="false">IF(J593+L593=0,"",J593/(J593+L593))</f>
        <v/>
      </c>
      <c r="P593" s="11" t="n">
        <f aca="false">2*J593/(2*J593+L593+K593)</f>
        <v>0</v>
      </c>
      <c r="Q593" s="11" t="n">
        <f aca="false">L593/(L593+M593)</f>
        <v>0</v>
      </c>
      <c r="R593" s="6" t="n">
        <v>0</v>
      </c>
      <c r="S593" s="11"/>
      <c r="T593" s="11" t="n">
        <v>0</v>
      </c>
      <c r="U593" s="11" t="n">
        <v>0.95</v>
      </c>
      <c r="V593" s="11" t="n">
        <v>0.95</v>
      </c>
    </row>
    <row r="594" customFormat="false" ht="15" hidden="false" customHeight="false" outlineLevel="0" collapsed="false">
      <c r="A594" s="6" t="s">
        <v>54</v>
      </c>
      <c r="B594" s="6" t="s">
        <v>43</v>
      </c>
      <c r="C594" s="6" t="s">
        <v>49</v>
      </c>
      <c r="D594" s="6" t="s">
        <v>117</v>
      </c>
      <c r="E594" s="6" t="n">
        <v>16</v>
      </c>
      <c r="F594" s="6" t="n">
        <v>4</v>
      </c>
      <c r="G594" s="6" t="s">
        <v>77</v>
      </c>
      <c r="H594" s="11" t="n">
        <v>0.05</v>
      </c>
      <c r="I594" s="6" t="n">
        <v>20</v>
      </c>
      <c r="J594" s="6" t="n">
        <v>1</v>
      </c>
      <c r="K594" s="6" t="n">
        <v>19</v>
      </c>
      <c r="L594" s="6" t="n">
        <v>1</v>
      </c>
      <c r="M594" s="6" t="n">
        <v>19</v>
      </c>
      <c r="N594" s="11" t="n">
        <f aca="false">J594/(J594+K594)</f>
        <v>0.05</v>
      </c>
      <c r="O594" s="11" t="n">
        <f aca="false">IF(J594+L594=0,"",J594/(J594+L594))</f>
        <v>0.5</v>
      </c>
      <c r="P594" s="11" t="n">
        <f aca="false">2*J594/(2*J594+L594+K594)</f>
        <v>0.0909090909090909</v>
      </c>
      <c r="Q594" s="11" t="n">
        <f aca="false">L594/(L594+M594)</f>
        <v>0.05</v>
      </c>
      <c r="R594" s="6" t="n">
        <v>0</v>
      </c>
      <c r="S594" s="11"/>
      <c r="T594" s="11" t="n">
        <v>0.05</v>
      </c>
      <c r="U594" s="11" t="n">
        <v>1</v>
      </c>
      <c r="V594" s="11" t="n">
        <v>1</v>
      </c>
    </row>
    <row r="595" customFormat="false" ht="15" hidden="false" customHeight="false" outlineLevel="0" collapsed="false">
      <c r="A595" s="6" t="s">
        <v>54</v>
      </c>
      <c r="B595" s="6" t="s">
        <v>43</v>
      </c>
      <c r="C595" s="6" t="s">
        <v>49</v>
      </c>
      <c r="D595" s="6" t="s">
        <v>117</v>
      </c>
      <c r="E595" s="6" t="n">
        <v>16</v>
      </c>
      <c r="F595" s="6" t="n">
        <v>4</v>
      </c>
      <c r="G595" s="6" t="s">
        <v>78</v>
      </c>
      <c r="H595" s="11" t="n">
        <v>0.05</v>
      </c>
      <c r="I595" s="6" t="n">
        <v>200</v>
      </c>
      <c r="J595" s="6" t="n">
        <v>6</v>
      </c>
      <c r="K595" s="6" t="n">
        <v>194</v>
      </c>
      <c r="L595" s="6" t="n">
        <v>6</v>
      </c>
      <c r="M595" s="6" t="n">
        <v>194</v>
      </c>
      <c r="N595" s="11" t="n">
        <f aca="false">J595/(J595+K595)</f>
        <v>0.03</v>
      </c>
      <c r="O595" s="11" t="n">
        <f aca="false">IF(J595+L595=0,"",J595/(J595+L595))</f>
        <v>0.5</v>
      </c>
      <c r="P595" s="11" t="n">
        <f aca="false">2*J595/(2*J595+L595+K595)</f>
        <v>0.0566037735849057</v>
      </c>
      <c r="Q595" s="11" t="n">
        <f aca="false">L595/(L595+M595)</f>
        <v>0.03</v>
      </c>
      <c r="R595" s="6" t="n">
        <v>0</v>
      </c>
      <c r="S595" s="11"/>
      <c r="T595" s="11" t="n">
        <v>0.03</v>
      </c>
      <c r="U595" s="11" t="n">
        <v>0.88</v>
      </c>
      <c r="V595" s="11" t="n">
        <v>0.88</v>
      </c>
    </row>
    <row r="596" customFormat="false" ht="15" hidden="false" customHeight="false" outlineLevel="0" collapsed="false">
      <c r="A596" s="6" t="s">
        <v>54</v>
      </c>
      <c r="B596" s="6" t="s">
        <v>43</v>
      </c>
      <c r="C596" s="6" t="s">
        <v>49</v>
      </c>
      <c r="D596" s="6" t="s">
        <v>117</v>
      </c>
      <c r="E596" s="6" t="n">
        <v>16</v>
      </c>
      <c r="F596" s="6" t="n">
        <v>5</v>
      </c>
      <c r="G596" s="6" t="s">
        <v>68</v>
      </c>
      <c r="H596" s="11" t="n">
        <v>0.05</v>
      </c>
      <c r="I596" s="6" t="n">
        <v>20</v>
      </c>
      <c r="J596" s="6" t="n">
        <v>2</v>
      </c>
      <c r="K596" s="6" t="n">
        <v>18</v>
      </c>
      <c r="L596" s="6" t="n">
        <v>2</v>
      </c>
      <c r="M596" s="6" t="n">
        <v>18</v>
      </c>
      <c r="N596" s="11" t="n">
        <f aca="false">J596/(J596+K596)</f>
        <v>0.1</v>
      </c>
      <c r="O596" s="11" t="n">
        <f aca="false">IF(J596+L596=0,"",J596/(J596+L596))</f>
        <v>0.5</v>
      </c>
      <c r="P596" s="11" t="n">
        <f aca="false">2*J596/(2*J596+L596+K596)</f>
        <v>0.166666666666667</v>
      </c>
      <c r="Q596" s="11" t="n">
        <f aca="false">L596/(L596+M596)</f>
        <v>0.1</v>
      </c>
      <c r="R596" s="6" t="n">
        <v>0</v>
      </c>
      <c r="S596" s="11"/>
      <c r="T596" s="11" t="n">
        <v>0.1</v>
      </c>
      <c r="U596" s="11" t="n">
        <v>0.85</v>
      </c>
      <c r="V596" s="11" t="n">
        <v>0.85</v>
      </c>
    </row>
    <row r="597" customFormat="false" ht="15" hidden="false" customHeight="false" outlineLevel="0" collapsed="false">
      <c r="A597" s="6" t="s">
        <v>54</v>
      </c>
      <c r="B597" s="6" t="s">
        <v>43</v>
      </c>
      <c r="C597" s="6" t="s">
        <v>49</v>
      </c>
      <c r="D597" s="6" t="s">
        <v>117</v>
      </c>
      <c r="E597" s="6" t="n">
        <v>16</v>
      </c>
      <c r="F597" s="6" t="n">
        <v>5</v>
      </c>
      <c r="G597" s="6" t="s">
        <v>69</v>
      </c>
      <c r="H597" s="11" t="n">
        <v>0.05</v>
      </c>
      <c r="I597" s="6" t="n">
        <v>20</v>
      </c>
      <c r="J597" s="6" t="n">
        <v>1</v>
      </c>
      <c r="K597" s="6" t="n">
        <v>19</v>
      </c>
      <c r="L597" s="6" t="n">
        <v>1</v>
      </c>
      <c r="M597" s="6" t="n">
        <v>19</v>
      </c>
      <c r="N597" s="11" t="n">
        <f aca="false">J597/(J597+K597)</f>
        <v>0.05</v>
      </c>
      <c r="O597" s="11" t="n">
        <f aca="false">IF(J597+L597=0,"",J597/(J597+L597))</f>
        <v>0.5</v>
      </c>
      <c r="P597" s="11" t="n">
        <f aca="false">2*J597/(2*J597+L597+K597)</f>
        <v>0.0909090909090909</v>
      </c>
      <c r="Q597" s="11" t="n">
        <f aca="false">L597/(L597+M597)</f>
        <v>0.05</v>
      </c>
      <c r="R597" s="6" t="n">
        <v>0</v>
      </c>
      <c r="S597" s="11"/>
      <c r="T597" s="11" t="n">
        <v>0.05</v>
      </c>
      <c r="U597" s="11" t="n">
        <v>1</v>
      </c>
      <c r="V597" s="11" t="n">
        <v>1</v>
      </c>
    </row>
    <row r="598" customFormat="false" ht="15" hidden="false" customHeight="false" outlineLevel="0" collapsed="false">
      <c r="A598" s="6" t="s">
        <v>54</v>
      </c>
      <c r="B598" s="6" t="s">
        <v>43</v>
      </c>
      <c r="C598" s="6" t="s">
        <v>49</v>
      </c>
      <c r="D598" s="6" t="s">
        <v>117</v>
      </c>
      <c r="E598" s="6" t="n">
        <v>16</v>
      </c>
      <c r="F598" s="6" t="n">
        <v>5</v>
      </c>
      <c r="G598" s="6" t="s">
        <v>70</v>
      </c>
      <c r="H598" s="11" t="n">
        <v>0.05</v>
      </c>
      <c r="I598" s="6" t="n">
        <v>20</v>
      </c>
      <c r="J598" s="6" t="n">
        <v>0</v>
      </c>
      <c r="K598" s="6" t="n">
        <v>20</v>
      </c>
      <c r="L598" s="6" t="n">
        <v>0</v>
      </c>
      <c r="M598" s="6" t="n">
        <v>20</v>
      </c>
      <c r="N598" s="11" t="n">
        <f aca="false">J598/(J598+K598)</f>
        <v>0</v>
      </c>
      <c r="O598" s="11" t="str">
        <f aca="false">IF(J598+L598=0,"",J598/(J598+L598))</f>
        <v/>
      </c>
      <c r="P598" s="11" t="n">
        <f aca="false">2*J598/(2*J598+L598+K598)</f>
        <v>0</v>
      </c>
      <c r="Q598" s="11" t="n">
        <f aca="false">L598/(L598+M598)</f>
        <v>0</v>
      </c>
      <c r="R598" s="6" t="n">
        <v>0</v>
      </c>
      <c r="S598" s="11"/>
      <c r="T598" s="11" t="n">
        <v>0</v>
      </c>
      <c r="U598" s="11" t="n">
        <v>0.9</v>
      </c>
      <c r="V598" s="11" t="n">
        <v>0.9</v>
      </c>
    </row>
    <row r="599" customFormat="false" ht="15" hidden="false" customHeight="false" outlineLevel="0" collapsed="false">
      <c r="A599" s="6" t="s">
        <v>54</v>
      </c>
      <c r="B599" s="6" t="s">
        <v>43</v>
      </c>
      <c r="C599" s="6" t="s">
        <v>49</v>
      </c>
      <c r="D599" s="6" t="s">
        <v>117</v>
      </c>
      <c r="E599" s="6" t="n">
        <v>16</v>
      </c>
      <c r="F599" s="6" t="n">
        <v>5</v>
      </c>
      <c r="G599" s="6" t="s">
        <v>71</v>
      </c>
      <c r="H599" s="11" t="n">
        <v>0.05</v>
      </c>
      <c r="I599" s="6" t="n">
        <v>20</v>
      </c>
      <c r="J599" s="6" t="n">
        <v>0</v>
      </c>
      <c r="K599" s="6" t="n">
        <v>20</v>
      </c>
      <c r="L599" s="6" t="n">
        <v>0</v>
      </c>
      <c r="M599" s="6" t="n">
        <v>20</v>
      </c>
      <c r="N599" s="11" t="n">
        <f aca="false">J599/(J599+K599)</f>
        <v>0</v>
      </c>
      <c r="O599" s="11" t="str">
        <f aca="false">IF(J599+L599=0,"",J599/(J599+L599))</f>
        <v/>
      </c>
      <c r="P599" s="11" t="n">
        <f aca="false">2*J599/(2*J599+L599+K599)</f>
        <v>0</v>
      </c>
      <c r="Q599" s="11" t="n">
        <f aca="false">L599/(L599+M599)</f>
        <v>0</v>
      </c>
      <c r="R599" s="6" t="n">
        <v>0</v>
      </c>
      <c r="S599" s="11"/>
      <c r="T599" s="11" t="n">
        <v>0</v>
      </c>
      <c r="U599" s="11" t="n">
        <v>0.8</v>
      </c>
      <c r="V599" s="11" t="n">
        <v>0.8</v>
      </c>
    </row>
    <row r="600" customFormat="false" ht="15" hidden="false" customHeight="false" outlineLevel="0" collapsed="false">
      <c r="A600" s="6" t="s">
        <v>54</v>
      </c>
      <c r="B600" s="6" t="s">
        <v>43</v>
      </c>
      <c r="C600" s="6" t="s">
        <v>49</v>
      </c>
      <c r="D600" s="6" t="s">
        <v>117</v>
      </c>
      <c r="E600" s="6" t="n">
        <v>16</v>
      </c>
      <c r="F600" s="6" t="n">
        <v>5</v>
      </c>
      <c r="G600" s="6" t="s">
        <v>72</v>
      </c>
      <c r="H600" s="11" t="n">
        <v>0.05</v>
      </c>
      <c r="I600" s="6" t="n">
        <v>20</v>
      </c>
      <c r="J600" s="6" t="n">
        <v>1</v>
      </c>
      <c r="K600" s="6" t="n">
        <v>19</v>
      </c>
      <c r="L600" s="6" t="n">
        <v>1</v>
      </c>
      <c r="M600" s="6" t="n">
        <v>19</v>
      </c>
      <c r="N600" s="11" t="n">
        <f aca="false">J600/(J600+K600)</f>
        <v>0.05</v>
      </c>
      <c r="O600" s="11" t="n">
        <f aca="false">IF(J600+L600=0,"",J600/(J600+L600))</f>
        <v>0.5</v>
      </c>
      <c r="P600" s="11" t="n">
        <f aca="false">2*J600/(2*J600+L600+K600)</f>
        <v>0.0909090909090909</v>
      </c>
      <c r="Q600" s="11" t="n">
        <f aca="false">L600/(L600+M600)</f>
        <v>0.05</v>
      </c>
      <c r="R600" s="6" t="n">
        <v>0</v>
      </c>
      <c r="S600" s="11"/>
      <c r="T600" s="11" t="n">
        <v>0.05</v>
      </c>
      <c r="U600" s="11" t="n">
        <v>0.9</v>
      </c>
      <c r="V600" s="11" t="n">
        <v>0.9</v>
      </c>
    </row>
    <row r="601" customFormat="false" ht="15" hidden="false" customHeight="false" outlineLevel="0" collapsed="false">
      <c r="A601" s="6" t="s">
        <v>54</v>
      </c>
      <c r="B601" s="6" t="s">
        <v>43</v>
      </c>
      <c r="C601" s="6" t="s">
        <v>49</v>
      </c>
      <c r="D601" s="6" t="s">
        <v>117</v>
      </c>
      <c r="E601" s="6" t="n">
        <v>16</v>
      </c>
      <c r="F601" s="6" t="n">
        <v>5</v>
      </c>
      <c r="G601" s="6" t="s">
        <v>73</v>
      </c>
      <c r="H601" s="11" t="n">
        <v>0.05</v>
      </c>
      <c r="I601" s="6" t="n">
        <v>20</v>
      </c>
      <c r="J601" s="6" t="n">
        <v>0</v>
      </c>
      <c r="K601" s="6" t="n">
        <v>20</v>
      </c>
      <c r="L601" s="6" t="n">
        <v>0</v>
      </c>
      <c r="M601" s="6" t="n">
        <v>20</v>
      </c>
      <c r="N601" s="11" t="n">
        <f aca="false">J601/(J601+K601)</f>
        <v>0</v>
      </c>
      <c r="O601" s="11" t="str">
        <f aca="false">IF(J601+L601=0,"",J601/(J601+L601))</f>
        <v/>
      </c>
      <c r="P601" s="11" t="n">
        <f aca="false">2*J601/(2*J601+L601+K601)</f>
        <v>0</v>
      </c>
      <c r="Q601" s="11" t="n">
        <f aca="false">L601/(L601+M601)</f>
        <v>0</v>
      </c>
      <c r="R601" s="6" t="n">
        <v>0</v>
      </c>
      <c r="S601" s="11"/>
      <c r="T601" s="11" t="n">
        <v>0</v>
      </c>
      <c r="U601" s="11" t="n">
        <v>0.65</v>
      </c>
      <c r="V601" s="11" t="n">
        <v>0.65</v>
      </c>
    </row>
    <row r="602" customFormat="false" ht="15" hidden="false" customHeight="false" outlineLevel="0" collapsed="false">
      <c r="A602" s="6" t="s">
        <v>54</v>
      </c>
      <c r="B602" s="6" t="s">
        <v>43</v>
      </c>
      <c r="C602" s="6" t="s">
        <v>49</v>
      </c>
      <c r="D602" s="6" t="s">
        <v>117</v>
      </c>
      <c r="E602" s="6" t="n">
        <v>16</v>
      </c>
      <c r="F602" s="6" t="n">
        <v>5</v>
      </c>
      <c r="G602" s="6" t="s">
        <v>74</v>
      </c>
      <c r="H602" s="11" t="n">
        <v>0.05</v>
      </c>
      <c r="I602" s="6" t="n">
        <v>20</v>
      </c>
      <c r="J602" s="6" t="n">
        <v>1</v>
      </c>
      <c r="K602" s="6" t="n">
        <v>19</v>
      </c>
      <c r="L602" s="6" t="n">
        <v>1</v>
      </c>
      <c r="M602" s="6" t="n">
        <v>19</v>
      </c>
      <c r="N602" s="11" t="n">
        <f aca="false">J602/(J602+K602)</f>
        <v>0.05</v>
      </c>
      <c r="O602" s="11" t="n">
        <f aca="false">IF(J602+L602=0,"",J602/(J602+L602))</f>
        <v>0.5</v>
      </c>
      <c r="P602" s="11" t="n">
        <f aca="false">2*J602/(2*J602+L602+K602)</f>
        <v>0.0909090909090909</v>
      </c>
      <c r="Q602" s="11" t="n">
        <f aca="false">L602/(L602+M602)</f>
        <v>0.05</v>
      </c>
      <c r="R602" s="6" t="n">
        <v>0</v>
      </c>
      <c r="S602" s="11"/>
      <c r="T602" s="11" t="n">
        <v>0.05</v>
      </c>
      <c r="U602" s="11" t="n">
        <v>0.85</v>
      </c>
      <c r="V602" s="11" t="n">
        <v>0.85</v>
      </c>
    </row>
    <row r="603" customFormat="false" ht="15" hidden="false" customHeight="false" outlineLevel="0" collapsed="false">
      <c r="A603" s="6" t="s">
        <v>54</v>
      </c>
      <c r="B603" s="6" t="s">
        <v>43</v>
      </c>
      <c r="C603" s="6" t="s">
        <v>49</v>
      </c>
      <c r="D603" s="6" t="s">
        <v>117</v>
      </c>
      <c r="E603" s="6" t="n">
        <v>16</v>
      </c>
      <c r="F603" s="6" t="n">
        <v>5</v>
      </c>
      <c r="G603" s="6" t="s">
        <v>75</v>
      </c>
      <c r="H603" s="11" t="n">
        <v>0.05</v>
      </c>
      <c r="I603" s="6" t="n">
        <v>20</v>
      </c>
      <c r="J603" s="6" t="n">
        <v>0</v>
      </c>
      <c r="K603" s="6" t="n">
        <v>20</v>
      </c>
      <c r="L603" s="6" t="n">
        <v>0</v>
      </c>
      <c r="M603" s="6" t="n">
        <v>20</v>
      </c>
      <c r="N603" s="11" t="n">
        <f aca="false">J603/(J603+K603)</f>
        <v>0</v>
      </c>
      <c r="O603" s="11" t="str">
        <f aca="false">IF(J603+L603=0,"",J603/(J603+L603))</f>
        <v/>
      </c>
      <c r="P603" s="11" t="n">
        <f aca="false">2*J603/(2*J603+L603+K603)</f>
        <v>0</v>
      </c>
      <c r="Q603" s="11" t="n">
        <f aca="false">L603/(L603+M603)</f>
        <v>0</v>
      </c>
      <c r="R603" s="6" t="n">
        <v>0</v>
      </c>
      <c r="S603" s="11"/>
      <c r="T603" s="11" t="n">
        <v>0</v>
      </c>
      <c r="U603" s="11" t="n">
        <v>0.9</v>
      </c>
      <c r="V603" s="11" t="n">
        <v>0.9</v>
      </c>
    </row>
    <row r="604" customFormat="false" ht="15" hidden="false" customHeight="false" outlineLevel="0" collapsed="false">
      <c r="A604" s="6" t="s">
        <v>54</v>
      </c>
      <c r="B604" s="6" t="s">
        <v>43</v>
      </c>
      <c r="C604" s="6" t="s">
        <v>49</v>
      </c>
      <c r="D604" s="6" t="s">
        <v>117</v>
      </c>
      <c r="E604" s="6" t="n">
        <v>16</v>
      </c>
      <c r="F604" s="6" t="n">
        <v>5</v>
      </c>
      <c r="G604" s="6" t="s">
        <v>76</v>
      </c>
      <c r="H604" s="11" t="n">
        <v>0.05</v>
      </c>
      <c r="I604" s="6" t="n">
        <v>20</v>
      </c>
      <c r="J604" s="6" t="n">
        <v>0</v>
      </c>
      <c r="K604" s="6" t="n">
        <v>20</v>
      </c>
      <c r="L604" s="6" t="n">
        <v>0</v>
      </c>
      <c r="M604" s="6" t="n">
        <v>20</v>
      </c>
      <c r="N604" s="11" t="n">
        <f aca="false">J604/(J604+K604)</f>
        <v>0</v>
      </c>
      <c r="O604" s="11" t="str">
        <f aca="false">IF(J604+L604=0,"",J604/(J604+L604))</f>
        <v/>
      </c>
      <c r="P604" s="11" t="n">
        <f aca="false">2*J604/(2*J604+L604+K604)</f>
        <v>0</v>
      </c>
      <c r="Q604" s="11" t="n">
        <f aca="false">L604/(L604+M604)</f>
        <v>0</v>
      </c>
      <c r="R604" s="6" t="n">
        <v>0</v>
      </c>
      <c r="S604" s="11"/>
      <c r="T604" s="11" t="n">
        <v>0</v>
      </c>
      <c r="U604" s="11" t="n">
        <v>0.95</v>
      </c>
      <c r="V604" s="11" t="n">
        <v>0.95</v>
      </c>
    </row>
    <row r="605" customFormat="false" ht="15" hidden="false" customHeight="false" outlineLevel="0" collapsed="false">
      <c r="A605" s="6" t="s">
        <v>54</v>
      </c>
      <c r="B605" s="6" t="s">
        <v>43</v>
      </c>
      <c r="C605" s="6" t="s">
        <v>49</v>
      </c>
      <c r="D605" s="6" t="s">
        <v>117</v>
      </c>
      <c r="E605" s="6" t="n">
        <v>16</v>
      </c>
      <c r="F605" s="6" t="n">
        <v>5</v>
      </c>
      <c r="G605" s="6" t="s">
        <v>77</v>
      </c>
      <c r="H605" s="11" t="n">
        <v>0.05</v>
      </c>
      <c r="I605" s="6" t="n">
        <v>20</v>
      </c>
      <c r="J605" s="6" t="n">
        <v>1</v>
      </c>
      <c r="K605" s="6" t="n">
        <v>19</v>
      </c>
      <c r="L605" s="6" t="n">
        <v>1</v>
      </c>
      <c r="M605" s="6" t="n">
        <v>19</v>
      </c>
      <c r="N605" s="11" t="n">
        <f aca="false">J605/(J605+K605)</f>
        <v>0.05</v>
      </c>
      <c r="O605" s="11" t="n">
        <f aca="false">IF(J605+L605=0,"",J605/(J605+L605))</f>
        <v>0.5</v>
      </c>
      <c r="P605" s="11" t="n">
        <f aca="false">2*J605/(2*J605+L605+K605)</f>
        <v>0.0909090909090909</v>
      </c>
      <c r="Q605" s="11" t="n">
        <f aca="false">L605/(L605+M605)</f>
        <v>0.05</v>
      </c>
      <c r="R605" s="6" t="n">
        <v>0</v>
      </c>
      <c r="S605" s="11"/>
      <c r="T605" s="11" t="n">
        <v>0.05</v>
      </c>
      <c r="U605" s="11" t="n">
        <v>1</v>
      </c>
      <c r="V605" s="11" t="n">
        <v>1</v>
      </c>
    </row>
    <row r="606" customFormat="false" ht="15" hidden="false" customHeight="false" outlineLevel="0" collapsed="false">
      <c r="A606" s="6" t="s">
        <v>54</v>
      </c>
      <c r="B606" s="6" t="s">
        <v>43</v>
      </c>
      <c r="C606" s="6" t="s">
        <v>49</v>
      </c>
      <c r="D606" s="6" t="s">
        <v>117</v>
      </c>
      <c r="E606" s="6" t="n">
        <v>16</v>
      </c>
      <c r="F606" s="6" t="n">
        <v>5</v>
      </c>
      <c r="G606" s="6" t="s">
        <v>78</v>
      </c>
      <c r="H606" s="11" t="n">
        <v>0.05</v>
      </c>
      <c r="I606" s="6" t="n">
        <v>200</v>
      </c>
      <c r="J606" s="6" t="n">
        <v>6</v>
      </c>
      <c r="K606" s="6" t="n">
        <v>194</v>
      </c>
      <c r="L606" s="6" t="n">
        <v>6</v>
      </c>
      <c r="M606" s="6" t="n">
        <v>194</v>
      </c>
      <c r="N606" s="11" t="n">
        <f aca="false">J606/(J606+K606)</f>
        <v>0.03</v>
      </c>
      <c r="O606" s="11" t="n">
        <f aca="false">IF(J606+L606=0,"",J606/(J606+L606))</f>
        <v>0.5</v>
      </c>
      <c r="P606" s="11" t="n">
        <f aca="false">2*J606/(2*J606+L606+K606)</f>
        <v>0.0566037735849057</v>
      </c>
      <c r="Q606" s="11" t="n">
        <f aca="false">L606/(L606+M606)</f>
        <v>0.03</v>
      </c>
      <c r="R606" s="6" t="n">
        <v>0</v>
      </c>
      <c r="S606" s="11"/>
      <c r="T606" s="11" t="n">
        <v>0.03</v>
      </c>
      <c r="U606" s="11" t="n">
        <v>0.88</v>
      </c>
      <c r="V606" s="11" t="n">
        <v>0.88</v>
      </c>
    </row>
    <row r="607" customFormat="false" ht="15" hidden="false" customHeight="false" outlineLevel="0" collapsed="false">
      <c r="A607" s="6" t="s">
        <v>54</v>
      </c>
      <c r="B607" s="6" t="s">
        <v>43</v>
      </c>
      <c r="C607" s="6" t="s">
        <v>49</v>
      </c>
      <c r="D607" s="6" t="s">
        <v>117</v>
      </c>
      <c r="E607" s="6" t="n">
        <v>16</v>
      </c>
      <c r="F607" s="6" t="n">
        <v>6</v>
      </c>
      <c r="G607" s="6" t="s">
        <v>68</v>
      </c>
      <c r="H607" s="11" t="n">
        <v>0.05</v>
      </c>
      <c r="I607" s="6" t="n">
        <v>20</v>
      </c>
      <c r="J607" s="6" t="n">
        <v>2</v>
      </c>
      <c r="K607" s="6" t="n">
        <v>18</v>
      </c>
      <c r="L607" s="6" t="n">
        <v>2</v>
      </c>
      <c r="M607" s="6" t="n">
        <v>18</v>
      </c>
      <c r="N607" s="11" t="n">
        <f aca="false">J607/(J607+K607)</f>
        <v>0.1</v>
      </c>
      <c r="O607" s="11" t="n">
        <f aca="false">IF(J607+L607=0,"",J607/(J607+L607))</f>
        <v>0.5</v>
      </c>
      <c r="P607" s="11" t="n">
        <f aca="false">2*J607/(2*J607+L607+K607)</f>
        <v>0.166666666666667</v>
      </c>
      <c r="Q607" s="11" t="n">
        <f aca="false">L607/(L607+M607)</f>
        <v>0.1</v>
      </c>
      <c r="R607" s="6" t="n">
        <v>0</v>
      </c>
      <c r="S607" s="11"/>
      <c r="T607" s="11" t="n">
        <v>0.1</v>
      </c>
      <c r="U607" s="11" t="n">
        <v>0.85</v>
      </c>
      <c r="V607" s="11" t="n">
        <v>0.85</v>
      </c>
    </row>
    <row r="608" customFormat="false" ht="15" hidden="false" customHeight="false" outlineLevel="0" collapsed="false">
      <c r="A608" s="6" t="s">
        <v>54</v>
      </c>
      <c r="B608" s="6" t="s">
        <v>43</v>
      </c>
      <c r="C608" s="6" t="s">
        <v>49</v>
      </c>
      <c r="D608" s="6" t="s">
        <v>117</v>
      </c>
      <c r="E608" s="6" t="n">
        <v>16</v>
      </c>
      <c r="F608" s="6" t="n">
        <v>6</v>
      </c>
      <c r="G608" s="6" t="s">
        <v>69</v>
      </c>
      <c r="H608" s="11" t="n">
        <v>0.05</v>
      </c>
      <c r="I608" s="6" t="n">
        <v>20</v>
      </c>
      <c r="J608" s="6" t="n">
        <v>1</v>
      </c>
      <c r="K608" s="6" t="n">
        <v>19</v>
      </c>
      <c r="L608" s="6" t="n">
        <v>1</v>
      </c>
      <c r="M608" s="6" t="n">
        <v>19</v>
      </c>
      <c r="N608" s="11" t="n">
        <f aca="false">J608/(J608+K608)</f>
        <v>0.05</v>
      </c>
      <c r="O608" s="11" t="n">
        <f aca="false">IF(J608+L608=0,"",J608/(J608+L608))</f>
        <v>0.5</v>
      </c>
      <c r="P608" s="11" t="n">
        <f aca="false">2*J608/(2*J608+L608+K608)</f>
        <v>0.0909090909090909</v>
      </c>
      <c r="Q608" s="11" t="n">
        <f aca="false">L608/(L608+M608)</f>
        <v>0.05</v>
      </c>
      <c r="R608" s="6" t="n">
        <v>0</v>
      </c>
      <c r="S608" s="11"/>
      <c r="T608" s="11" t="n">
        <v>0.05</v>
      </c>
      <c r="U608" s="11" t="n">
        <v>1</v>
      </c>
      <c r="V608" s="11" t="n">
        <v>1</v>
      </c>
    </row>
    <row r="609" customFormat="false" ht="15" hidden="false" customHeight="false" outlineLevel="0" collapsed="false">
      <c r="A609" s="6" t="s">
        <v>54</v>
      </c>
      <c r="B609" s="6" t="s">
        <v>43</v>
      </c>
      <c r="C609" s="6" t="s">
        <v>49</v>
      </c>
      <c r="D609" s="6" t="s">
        <v>117</v>
      </c>
      <c r="E609" s="6" t="n">
        <v>16</v>
      </c>
      <c r="F609" s="6" t="n">
        <v>6</v>
      </c>
      <c r="G609" s="6" t="s">
        <v>70</v>
      </c>
      <c r="H609" s="11" t="n">
        <v>0.05</v>
      </c>
      <c r="I609" s="6" t="n">
        <v>20</v>
      </c>
      <c r="J609" s="6" t="n">
        <v>0</v>
      </c>
      <c r="K609" s="6" t="n">
        <v>20</v>
      </c>
      <c r="L609" s="6" t="n">
        <v>0</v>
      </c>
      <c r="M609" s="6" t="n">
        <v>20</v>
      </c>
      <c r="N609" s="11" t="n">
        <f aca="false">J609/(J609+K609)</f>
        <v>0</v>
      </c>
      <c r="O609" s="11" t="str">
        <f aca="false">IF(J609+L609=0,"",J609/(J609+L609))</f>
        <v/>
      </c>
      <c r="P609" s="11" t="n">
        <f aca="false">2*J609/(2*J609+L609+K609)</f>
        <v>0</v>
      </c>
      <c r="Q609" s="11" t="n">
        <f aca="false">L609/(L609+M609)</f>
        <v>0</v>
      </c>
      <c r="R609" s="6" t="n">
        <v>0</v>
      </c>
      <c r="S609" s="11"/>
      <c r="T609" s="11" t="n">
        <v>0</v>
      </c>
      <c r="U609" s="11" t="n">
        <v>0.9</v>
      </c>
      <c r="V609" s="11" t="n">
        <v>0.9</v>
      </c>
    </row>
    <row r="610" customFormat="false" ht="15" hidden="false" customHeight="false" outlineLevel="0" collapsed="false">
      <c r="A610" s="6" t="s">
        <v>54</v>
      </c>
      <c r="B610" s="6" t="s">
        <v>43</v>
      </c>
      <c r="C610" s="6" t="s">
        <v>49</v>
      </c>
      <c r="D610" s="6" t="s">
        <v>117</v>
      </c>
      <c r="E610" s="6" t="n">
        <v>16</v>
      </c>
      <c r="F610" s="6" t="n">
        <v>6</v>
      </c>
      <c r="G610" s="6" t="s">
        <v>71</v>
      </c>
      <c r="H610" s="11" t="n">
        <v>0.05</v>
      </c>
      <c r="I610" s="6" t="n">
        <v>20</v>
      </c>
      <c r="J610" s="6" t="n">
        <v>0</v>
      </c>
      <c r="K610" s="6" t="n">
        <v>20</v>
      </c>
      <c r="L610" s="6" t="n">
        <v>0</v>
      </c>
      <c r="M610" s="6" t="n">
        <v>20</v>
      </c>
      <c r="N610" s="11" t="n">
        <f aca="false">J610/(J610+K610)</f>
        <v>0</v>
      </c>
      <c r="O610" s="11" t="str">
        <f aca="false">IF(J610+L610=0,"",J610/(J610+L610))</f>
        <v/>
      </c>
      <c r="P610" s="11" t="n">
        <f aca="false">2*J610/(2*J610+L610+K610)</f>
        <v>0</v>
      </c>
      <c r="Q610" s="11" t="n">
        <f aca="false">L610/(L610+M610)</f>
        <v>0</v>
      </c>
      <c r="R610" s="6" t="n">
        <v>0</v>
      </c>
      <c r="S610" s="11"/>
      <c r="T610" s="11" t="n">
        <v>0</v>
      </c>
      <c r="U610" s="11" t="n">
        <v>0.8</v>
      </c>
      <c r="V610" s="11" t="n">
        <v>0.8</v>
      </c>
    </row>
    <row r="611" customFormat="false" ht="15" hidden="false" customHeight="false" outlineLevel="0" collapsed="false">
      <c r="A611" s="6" t="s">
        <v>54</v>
      </c>
      <c r="B611" s="6" t="s">
        <v>43</v>
      </c>
      <c r="C611" s="6" t="s">
        <v>49</v>
      </c>
      <c r="D611" s="6" t="s">
        <v>117</v>
      </c>
      <c r="E611" s="6" t="n">
        <v>16</v>
      </c>
      <c r="F611" s="6" t="n">
        <v>6</v>
      </c>
      <c r="G611" s="6" t="s">
        <v>72</v>
      </c>
      <c r="H611" s="11" t="n">
        <v>0.05</v>
      </c>
      <c r="I611" s="6" t="n">
        <v>20</v>
      </c>
      <c r="J611" s="6" t="n">
        <v>1</v>
      </c>
      <c r="K611" s="6" t="n">
        <v>19</v>
      </c>
      <c r="L611" s="6" t="n">
        <v>1</v>
      </c>
      <c r="M611" s="6" t="n">
        <v>19</v>
      </c>
      <c r="N611" s="11" t="n">
        <f aca="false">J611/(J611+K611)</f>
        <v>0.05</v>
      </c>
      <c r="O611" s="11" t="n">
        <f aca="false">IF(J611+L611=0,"",J611/(J611+L611))</f>
        <v>0.5</v>
      </c>
      <c r="P611" s="11" t="n">
        <f aca="false">2*J611/(2*J611+L611+K611)</f>
        <v>0.0909090909090909</v>
      </c>
      <c r="Q611" s="11" t="n">
        <f aca="false">L611/(L611+M611)</f>
        <v>0.05</v>
      </c>
      <c r="R611" s="6" t="n">
        <v>0</v>
      </c>
      <c r="S611" s="11"/>
      <c r="T611" s="11" t="n">
        <v>0.05</v>
      </c>
      <c r="U611" s="11" t="n">
        <v>0.9</v>
      </c>
      <c r="V611" s="11" t="n">
        <v>0.9</v>
      </c>
    </row>
    <row r="612" customFormat="false" ht="15" hidden="false" customHeight="false" outlineLevel="0" collapsed="false">
      <c r="A612" s="6" t="s">
        <v>54</v>
      </c>
      <c r="B612" s="6" t="s">
        <v>43</v>
      </c>
      <c r="C612" s="6" t="s">
        <v>49</v>
      </c>
      <c r="D612" s="6" t="s">
        <v>117</v>
      </c>
      <c r="E612" s="6" t="n">
        <v>16</v>
      </c>
      <c r="F612" s="6" t="n">
        <v>6</v>
      </c>
      <c r="G612" s="6" t="s">
        <v>73</v>
      </c>
      <c r="H612" s="11" t="n">
        <v>0.05</v>
      </c>
      <c r="I612" s="6" t="n">
        <v>20</v>
      </c>
      <c r="J612" s="6" t="n">
        <v>0</v>
      </c>
      <c r="K612" s="6" t="n">
        <v>20</v>
      </c>
      <c r="L612" s="6" t="n">
        <v>0</v>
      </c>
      <c r="M612" s="6" t="n">
        <v>20</v>
      </c>
      <c r="N612" s="11" t="n">
        <f aca="false">J612/(J612+K612)</f>
        <v>0</v>
      </c>
      <c r="O612" s="11" t="str">
        <f aca="false">IF(J612+L612=0,"",J612/(J612+L612))</f>
        <v/>
      </c>
      <c r="P612" s="11" t="n">
        <f aca="false">2*J612/(2*J612+L612+K612)</f>
        <v>0</v>
      </c>
      <c r="Q612" s="11" t="n">
        <f aca="false">L612/(L612+M612)</f>
        <v>0</v>
      </c>
      <c r="R612" s="6" t="n">
        <v>0</v>
      </c>
      <c r="S612" s="11"/>
      <c r="T612" s="11" t="n">
        <v>0</v>
      </c>
      <c r="U612" s="11" t="n">
        <v>0.65</v>
      </c>
      <c r="V612" s="11" t="n">
        <v>0.65</v>
      </c>
    </row>
    <row r="613" customFormat="false" ht="15" hidden="false" customHeight="false" outlineLevel="0" collapsed="false">
      <c r="A613" s="6" t="s">
        <v>54</v>
      </c>
      <c r="B613" s="6" t="s">
        <v>43</v>
      </c>
      <c r="C613" s="6" t="s">
        <v>49</v>
      </c>
      <c r="D613" s="6" t="s">
        <v>117</v>
      </c>
      <c r="E613" s="6" t="n">
        <v>16</v>
      </c>
      <c r="F613" s="6" t="n">
        <v>6</v>
      </c>
      <c r="G613" s="6" t="s">
        <v>74</v>
      </c>
      <c r="H613" s="11" t="n">
        <v>0.05</v>
      </c>
      <c r="I613" s="6" t="n">
        <v>20</v>
      </c>
      <c r="J613" s="6" t="n">
        <v>1</v>
      </c>
      <c r="K613" s="6" t="n">
        <v>19</v>
      </c>
      <c r="L613" s="6" t="n">
        <v>1</v>
      </c>
      <c r="M613" s="6" t="n">
        <v>19</v>
      </c>
      <c r="N613" s="11" t="n">
        <f aca="false">J613/(J613+K613)</f>
        <v>0.05</v>
      </c>
      <c r="O613" s="11" t="n">
        <f aca="false">IF(J613+L613=0,"",J613/(J613+L613))</f>
        <v>0.5</v>
      </c>
      <c r="P613" s="11" t="n">
        <f aca="false">2*J613/(2*J613+L613+K613)</f>
        <v>0.0909090909090909</v>
      </c>
      <c r="Q613" s="11" t="n">
        <f aca="false">L613/(L613+M613)</f>
        <v>0.05</v>
      </c>
      <c r="R613" s="6" t="n">
        <v>0</v>
      </c>
      <c r="S613" s="11"/>
      <c r="T613" s="11" t="n">
        <v>0.05</v>
      </c>
      <c r="U613" s="11" t="n">
        <v>0.85</v>
      </c>
      <c r="V613" s="11" t="n">
        <v>0.85</v>
      </c>
    </row>
    <row r="614" customFormat="false" ht="15" hidden="false" customHeight="false" outlineLevel="0" collapsed="false">
      <c r="A614" s="6" t="s">
        <v>54</v>
      </c>
      <c r="B614" s="6" t="s">
        <v>43</v>
      </c>
      <c r="C614" s="6" t="s">
        <v>49</v>
      </c>
      <c r="D614" s="6" t="s">
        <v>117</v>
      </c>
      <c r="E614" s="6" t="n">
        <v>16</v>
      </c>
      <c r="F614" s="6" t="n">
        <v>6</v>
      </c>
      <c r="G614" s="6" t="s">
        <v>75</v>
      </c>
      <c r="H614" s="11" t="n">
        <v>0.05</v>
      </c>
      <c r="I614" s="6" t="n">
        <v>20</v>
      </c>
      <c r="J614" s="6" t="n">
        <v>0</v>
      </c>
      <c r="K614" s="6" t="n">
        <v>20</v>
      </c>
      <c r="L614" s="6" t="n">
        <v>0</v>
      </c>
      <c r="M614" s="6" t="n">
        <v>20</v>
      </c>
      <c r="N614" s="11" t="n">
        <f aca="false">J614/(J614+K614)</f>
        <v>0</v>
      </c>
      <c r="O614" s="11" t="str">
        <f aca="false">IF(J614+L614=0,"",J614/(J614+L614))</f>
        <v/>
      </c>
      <c r="P614" s="11" t="n">
        <f aca="false">2*J614/(2*J614+L614+K614)</f>
        <v>0</v>
      </c>
      <c r="Q614" s="11" t="n">
        <f aca="false">L614/(L614+M614)</f>
        <v>0</v>
      </c>
      <c r="R614" s="6" t="n">
        <v>0</v>
      </c>
      <c r="S614" s="11"/>
      <c r="T614" s="11" t="n">
        <v>0</v>
      </c>
      <c r="U614" s="11" t="n">
        <v>0.9</v>
      </c>
      <c r="V614" s="11" t="n">
        <v>0.9</v>
      </c>
    </row>
    <row r="615" customFormat="false" ht="15" hidden="false" customHeight="false" outlineLevel="0" collapsed="false">
      <c r="A615" s="6" t="s">
        <v>54</v>
      </c>
      <c r="B615" s="6" t="s">
        <v>43</v>
      </c>
      <c r="C615" s="6" t="s">
        <v>49</v>
      </c>
      <c r="D615" s="6" t="s">
        <v>117</v>
      </c>
      <c r="E615" s="6" t="n">
        <v>16</v>
      </c>
      <c r="F615" s="6" t="n">
        <v>6</v>
      </c>
      <c r="G615" s="6" t="s">
        <v>76</v>
      </c>
      <c r="H615" s="11" t="n">
        <v>0.05</v>
      </c>
      <c r="I615" s="6" t="n">
        <v>20</v>
      </c>
      <c r="J615" s="6" t="n">
        <v>0</v>
      </c>
      <c r="K615" s="6" t="n">
        <v>20</v>
      </c>
      <c r="L615" s="6" t="n">
        <v>0</v>
      </c>
      <c r="M615" s="6" t="n">
        <v>20</v>
      </c>
      <c r="N615" s="11" t="n">
        <f aca="false">J615/(J615+K615)</f>
        <v>0</v>
      </c>
      <c r="O615" s="11" t="str">
        <f aca="false">IF(J615+L615=0,"",J615/(J615+L615))</f>
        <v/>
      </c>
      <c r="P615" s="11" t="n">
        <f aca="false">2*J615/(2*J615+L615+K615)</f>
        <v>0</v>
      </c>
      <c r="Q615" s="11" t="n">
        <f aca="false">L615/(L615+M615)</f>
        <v>0</v>
      </c>
      <c r="R615" s="6" t="n">
        <v>0</v>
      </c>
      <c r="S615" s="11"/>
      <c r="T615" s="11" t="n">
        <v>0</v>
      </c>
      <c r="U615" s="11" t="n">
        <v>0.95</v>
      </c>
      <c r="V615" s="11" t="n">
        <v>0.95</v>
      </c>
    </row>
    <row r="616" customFormat="false" ht="15" hidden="false" customHeight="false" outlineLevel="0" collapsed="false">
      <c r="A616" s="6" t="s">
        <v>54</v>
      </c>
      <c r="B616" s="6" t="s">
        <v>43</v>
      </c>
      <c r="C616" s="6" t="s">
        <v>49</v>
      </c>
      <c r="D616" s="6" t="s">
        <v>117</v>
      </c>
      <c r="E616" s="6" t="n">
        <v>16</v>
      </c>
      <c r="F616" s="6" t="n">
        <v>6</v>
      </c>
      <c r="G616" s="6" t="s">
        <v>77</v>
      </c>
      <c r="H616" s="11" t="n">
        <v>0.05</v>
      </c>
      <c r="I616" s="6" t="n">
        <v>20</v>
      </c>
      <c r="J616" s="6" t="n">
        <v>1</v>
      </c>
      <c r="K616" s="6" t="n">
        <v>19</v>
      </c>
      <c r="L616" s="6" t="n">
        <v>1</v>
      </c>
      <c r="M616" s="6" t="n">
        <v>19</v>
      </c>
      <c r="N616" s="11" t="n">
        <f aca="false">J616/(J616+K616)</f>
        <v>0.05</v>
      </c>
      <c r="O616" s="11" t="n">
        <f aca="false">IF(J616+L616=0,"",J616/(J616+L616))</f>
        <v>0.5</v>
      </c>
      <c r="P616" s="11" t="n">
        <f aca="false">2*J616/(2*J616+L616+K616)</f>
        <v>0.0909090909090909</v>
      </c>
      <c r="Q616" s="11" t="n">
        <f aca="false">L616/(L616+M616)</f>
        <v>0.05</v>
      </c>
      <c r="R616" s="6" t="n">
        <v>0</v>
      </c>
      <c r="S616" s="11"/>
      <c r="T616" s="11" t="n">
        <v>0.05</v>
      </c>
      <c r="U616" s="11" t="n">
        <v>1</v>
      </c>
      <c r="V616" s="11" t="n">
        <v>1</v>
      </c>
    </row>
    <row r="617" customFormat="false" ht="15" hidden="false" customHeight="false" outlineLevel="0" collapsed="false">
      <c r="A617" s="6" t="s">
        <v>54</v>
      </c>
      <c r="B617" s="6" t="s">
        <v>43</v>
      </c>
      <c r="C617" s="6" t="s">
        <v>49</v>
      </c>
      <c r="D617" s="6" t="s">
        <v>117</v>
      </c>
      <c r="E617" s="6" t="n">
        <v>16</v>
      </c>
      <c r="F617" s="6" t="n">
        <v>6</v>
      </c>
      <c r="G617" s="6" t="s">
        <v>78</v>
      </c>
      <c r="H617" s="11" t="n">
        <v>0.05</v>
      </c>
      <c r="I617" s="6" t="n">
        <v>200</v>
      </c>
      <c r="J617" s="6" t="n">
        <v>6</v>
      </c>
      <c r="K617" s="6" t="n">
        <v>194</v>
      </c>
      <c r="L617" s="6" t="n">
        <v>6</v>
      </c>
      <c r="M617" s="6" t="n">
        <v>194</v>
      </c>
      <c r="N617" s="11" t="n">
        <f aca="false">J617/(J617+K617)</f>
        <v>0.03</v>
      </c>
      <c r="O617" s="11" t="n">
        <f aca="false">IF(J617+L617=0,"",J617/(J617+L617))</f>
        <v>0.5</v>
      </c>
      <c r="P617" s="11" t="n">
        <f aca="false">2*J617/(2*J617+L617+K617)</f>
        <v>0.0566037735849057</v>
      </c>
      <c r="Q617" s="11" t="n">
        <f aca="false">L617/(L617+M617)</f>
        <v>0.03</v>
      </c>
      <c r="R617" s="6" t="n">
        <v>0</v>
      </c>
      <c r="S617" s="11"/>
      <c r="T617" s="11" t="n">
        <v>0.03</v>
      </c>
      <c r="U617" s="11" t="n">
        <v>0.88</v>
      </c>
      <c r="V617" s="11" t="n">
        <v>0.88</v>
      </c>
    </row>
    <row r="618" customFormat="false" ht="15" hidden="false" customHeight="false" outlineLevel="0" collapsed="false">
      <c r="A618" s="6" t="s">
        <v>54</v>
      </c>
      <c r="B618" s="6" t="s">
        <v>43</v>
      </c>
      <c r="C618" s="6" t="s">
        <v>49</v>
      </c>
      <c r="D618" s="6" t="s">
        <v>117</v>
      </c>
      <c r="E618" s="6" t="n">
        <v>16</v>
      </c>
      <c r="F618" s="6" t="n">
        <v>7</v>
      </c>
      <c r="G618" s="6" t="s">
        <v>68</v>
      </c>
      <c r="H618" s="11" t="n">
        <v>0.05</v>
      </c>
      <c r="I618" s="6" t="n">
        <v>20</v>
      </c>
      <c r="J618" s="6" t="n">
        <v>2</v>
      </c>
      <c r="K618" s="6" t="n">
        <v>18</v>
      </c>
      <c r="L618" s="6" t="n">
        <v>2</v>
      </c>
      <c r="M618" s="6" t="n">
        <v>18</v>
      </c>
      <c r="N618" s="11" t="n">
        <f aca="false">J618/(J618+K618)</f>
        <v>0.1</v>
      </c>
      <c r="O618" s="11" t="n">
        <f aca="false">IF(J618+L618=0,"",J618/(J618+L618))</f>
        <v>0.5</v>
      </c>
      <c r="P618" s="11" t="n">
        <f aca="false">2*J618/(2*J618+L618+K618)</f>
        <v>0.166666666666667</v>
      </c>
      <c r="Q618" s="11" t="n">
        <f aca="false">L618/(L618+M618)</f>
        <v>0.1</v>
      </c>
      <c r="R618" s="6" t="n">
        <v>0</v>
      </c>
      <c r="S618" s="11"/>
      <c r="T618" s="11" t="n">
        <v>0.1</v>
      </c>
      <c r="U618" s="11" t="n">
        <v>0.85</v>
      </c>
      <c r="V618" s="11" t="n">
        <v>0.85</v>
      </c>
    </row>
    <row r="619" customFormat="false" ht="15" hidden="false" customHeight="false" outlineLevel="0" collapsed="false">
      <c r="A619" s="6" t="s">
        <v>54</v>
      </c>
      <c r="B619" s="6" t="s">
        <v>43</v>
      </c>
      <c r="C619" s="6" t="s">
        <v>49</v>
      </c>
      <c r="D619" s="6" t="s">
        <v>117</v>
      </c>
      <c r="E619" s="6" t="n">
        <v>16</v>
      </c>
      <c r="F619" s="6" t="n">
        <v>7</v>
      </c>
      <c r="G619" s="6" t="s">
        <v>69</v>
      </c>
      <c r="H619" s="11" t="n">
        <v>0.05</v>
      </c>
      <c r="I619" s="6" t="n">
        <v>20</v>
      </c>
      <c r="J619" s="6" t="n">
        <v>1</v>
      </c>
      <c r="K619" s="6" t="n">
        <v>19</v>
      </c>
      <c r="L619" s="6" t="n">
        <v>1</v>
      </c>
      <c r="M619" s="6" t="n">
        <v>19</v>
      </c>
      <c r="N619" s="11" t="n">
        <f aca="false">J619/(J619+K619)</f>
        <v>0.05</v>
      </c>
      <c r="O619" s="11" t="n">
        <f aca="false">IF(J619+L619=0,"",J619/(J619+L619))</f>
        <v>0.5</v>
      </c>
      <c r="P619" s="11" t="n">
        <f aca="false">2*J619/(2*J619+L619+K619)</f>
        <v>0.0909090909090909</v>
      </c>
      <c r="Q619" s="11" t="n">
        <f aca="false">L619/(L619+M619)</f>
        <v>0.05</v>
      </c>
      <c r="R619" s="6" t="n">
        <v>0</v>
      </c>
      <c r="S619" s="11"/>
      <c r="T619" s="11" t="n">
        <v>0.05</v>
      </c>
      <c r="U619" s="11" t="n">
        <v>1</v>
      </c>
      <c r="V619" s="11" t="n">
        <v>1</v>
      </c>
    </row>
    <row r="620" customFormat="false" ht="15" hidden="false" customHeight="false" outlineLevel="0" collapsed="false">
      <c r="A620" s="6" t="s">
        <v>54</v>
      </c>
      <c r="B620" s="6" t="s">
        <v>43</v>
      </c>
      <c r="C620" s="6" t="s">
        <v>49</v>
      </c>
      <c r="D620" s="6" t="s">
        <v>117</v>
      </c>
      <c r="E620" s="6" t="n">
        <v>16</v>
      </c>
      <c r="F620" s="6" t="n">
        <v>7</v>
      </c>
      <c r="G620" s="6" t="s">
        <v>70</v>
      </c>
      <c r="H620" s="11" t="n">
        <v>0.05</v>
      </c>
      <c r="I620" s="6" t="n">
        <v>20</v>
      </c>
      <c r="J620" s="6" t="n">
        <v>0</v>
      </c>
      <c r="K620" s="6" t="n">
        <v>20</v>
      </c>
      <c r="L620" s="6" t="n">
        <v>0</v>
      </c>
      <c r="M620" s="6" t="n">
        <v>20</v>
      </c>
      <c r="N620" s="11" t="n">
        <f aca="false">J620/(J620+K620)</f>
        <v>0</v>
      </c>
      <c r="O620" s="11" t="str">
        <f aca="false">IF(J620+L620=0,"",J620/(J620+L620))</f>
        <v/>
      </c>
      <c r="P620" s="11" t="n">
        <f aca="false">2*J620/(2*J620+L620+K620)</f>
        <v>0</v>
      </c>
      <c r="Q620" s="11" t="n">
        <f aca="false">L620/(L620+M620)</f>
        <v>0</v>
      </c>
      <c r="R620" s="6" t="n">
        <v>0</v>
      </c>
      <c r="S620" s="11"/>
      <c r="T620" s="11" t="n">
        <v>0</v>
      </c>
      <c r="U620" s="11" t="n">
        <v>0.9</v>
      </c>
      <c r="V620" s="11" t="n">
        <v>0.9</v>
      </c>
    </row>
    <row r="621" customFormat="false" ht="15" hidden="false" customHeight="false" outlineLevel="0" collapsed="false">
      <c r="A621" s="6" t="s">
        <v>54</v>
      </c>
      <c r="B621" s="6" t="s">
        <v>43</v>
      </c>
      <c r="C621" s="6" t="s">
        <v>49</v>
      </c>
      <c r="D621" s="6" t="s">
        <v>117</v>
      </c>
      <c r="E621" s="6" t="n">
        <v>16</v>
      </c>
      <c r="F621" s="6" t="n">
        <v>7</v>
      </c>
      <c r="G621" s="6" t="s">
        <v>71</v>
      </c>
      <c r="H621" s="11" t="n">
        <v>0.05</v>
      </c>
      <c r="I621" s="6" t="n">
        <v>20</v>
      </c>
      <c r="J621" s="6" t="n">
        <v>0</v>
      </c>
      <c r="K621" s="6" t="n">
        <v>20</v>
      </c>
      <c r="L621" s="6" t="n">
        <v>0</v>
      </c>
      <c r="M621" s="6" t="n">
        <v>20</v>
      </c>
      <c r="N621" s="11" t="n">
        <f aca="false">J621/(J621+K621)</f>
        <v>0</v>
      </c>
      <c r="O621" s="11" t="str">
        <f aca="false">IF(J621+L621=0,"",J621/(J621+L621))</f>
        <v/>
      </c>
      <c r="P621" s="11" t="n">
        <f aca="false">2*J621/(2*J621+L621+K621)</f>
        <v>0</v>
      </c>
      <c r="Q621" s="11" t="n">
        <f aca="false">L621/(L621+M621)</f>
        <v>0</v>
      </c>
      <c r="R621" s="6" t="n">
        <v>0</v>
      </c>
      <c r="S621" s="11"/>
      <c r="T621" s="11" t="n">
        <v>0</v>
      </c>
      <c r="U621" s="11" t="n">
        <v>0.8</v>
      </c>
      <c r="V621" s="11" t="n">
        <v>0.8</v>
      </c>
    </row>
    <row r="622" customFormat="false" ht="15" hidden="false" customHeight="false" outlineLevel="0" collapsed="false">
      <c r="A622" s="6" t="s">
        <v>54</v>
      </c>
      <c r="B622" s="6" t="s">
        <v>43</v>
      </c>
      <c r="C622" s="6" t="s">
        <v>49</v>
      </c>
      <c r="D622" s="6" t="s">
        <v>117</v>
      </c>
      <c r="E622" s="6" t="n">
        <v>16</v>
      </c>
      <c r="F622" s="6" t="n">
        <v>7</v>
      </c>
      <c r="G622" s="6" t="s">
        <v>72</v>
      </c>
      <c r="H622" s="11" t="n">
        <v>0.05</v>
      </c>
      <c r="I622" s="6" t="n">
        <v>20</v>
      </c>
      <c r="J622" s="6" t="n">
        <v>1</v>
      </c>
      <c r="K622" s="6" t="n">
        <v>19</v>
      </c>
      <c r="L622" s="6" t="n">
        <v>1</v>
      </c>
      <c r="M622" s="6" t="n">
        <v>19</v>
      </c>
      <c r="N622" s="11" t="n">
        <f aca="false">J622/(J622+K622)</f>
        <v>0.05</v>
      </c>
      <c r="O622" s="11" t="n">
        <f aca="false">IF(J622+L622=0,"",J622/(J622+L622))</f>
        <v>0.5</v>
      </c>
      <c r="P622" s="11" t="n">
        <f aca="false">2*J622/(2*J622+L622+K622)</f>
        <v>0.0909090909090909</v>
      </c>
      <c r="Q622" s="11" t="n">
        <f aca="false">L622/(L622+M622)</f>
        <v>0.05</v>
      </c>
      <c r="R622" s="6" t="n">
        <v>0</v>
      </c>
      <c r="S622" s="11"/>
      <c r="T622" s="11" t="n">
        <v>0.05</v>
      </c>
      <c r="U622" s="11" t="n">
        <v>0.9</v>
      </c>
      <c r="V622" s="11" t="n">
        <v>0.9</v>
      </c>
    </row>
    <row r="623" customFormat="false" ht="15" hidden="false" customHeight="false" outlineLevel="0" collapsed="false">
      <c r="A623" s="6" t="s">
        <v>54</v>
      </c>
      <c r="B623" s="6" t="s">
        <v>43</v>
      </c>
      <c r="C623" s="6" t="s">
        <v>49</v>
      </c>
      <c r="D623" s="6" t="s">
        <v>117</v>
      </c>
      <c r="E623" s="6" t="n">
        <v>16</v>
      </c>
      <c r="F623" s="6" t="n">
        <v>7</v>
      </c>
      <c r="G623" s="6" t="s">
        <v>73</v>
      </c>
      <c r="H623" s="11" t="n">
        <v>0.05</v>
      </c>
      <c r="I623" s="6" t="n">
        <v>20</v>
      </c>
      <c r="J623" s="6" t="n">
        <v>0</v>
      </c>
      <c r="K623" s="6" t="n">
        <v>20</v>
      </c>
      <c r="L623" s="6" t="n">
        <v>0</v>
      </c>
      <c r="M623" s="6" t="n">
        <v>20</v>
      </c>
      <c r="N623" s="11" t="n">
        <f aca="false">J623/(J623+K623)</f>
        <v>0</v>
      </c>
      <c r="O623" s="11" t="str">
        <f aca="false">IF(J623+L623=0,"",J623/(J623+L623))</f>
        <v/>
      </c>
      <c r="P623" s="11" t="n">
        <f aca="false">2*J623/(2*J623+L623+K623)</f>
        <v>0</v>
      </c>
      <c r="Q623" s="11" t="n">
        <f aca="false">L623/(L623+M623)</f>
        <v>0</v>
      </c>
      <c r="R623" s="6" t="n">
        <v>1</v>
      </c>
      <c r="S623" s="11" t="n">
        <v>0</v>
      </c>
      <c r="T623" s="11" t="n">
        <v>0</v>
      </c>
      <c r="U623" s="11" t="n">
        <v>0.65</v>
      </c>
      <c r="V623" s="11" t="n">
        <v>0.65</v>
      </c>
    </row>
    <row r="624" customFormat="false" ht="15" hidden="false" customHeight="false" outlineLevel="0" collapsed="false">
      <c r="A624" s="6" t="s">
        <v>54</v>
      </c>
      <c r="B624" s="6" t="s">
        <v>43</v>
      </c>
      <c r="C624" s="6" t="s">
        <v>49</v>
      </c>
      <c r="D624" s="6" t="s">
        <v>117</v>
      </c>
      <c r="E624" s="6" t="n">
        <v>16</v>
      </c>
      <c r="F624" s="6" t="n">
        <v>7</v>
      </c>
      <c r="G624" s="6" t="s">
        <v>74</v>
      </c>
      <c r="H624" s="11" t="n">
        <v>0.05</v>
      </c>
      <c r="I624" s="6" t="n">
        <v>20</v>
      </c>
      <c r="J624" s="6" t="n">
        <v>1</v>
      </c>
      <c r="K624" s="6" t="n">
        <v>19</v>
      </c>
      <c r="L624" s="6" t="n">
        <v>1</v>
      </c>
      <c r="M624" s="6" t="n">
        <v>19</v>
      </c>
      <c r="N624" s="11" t="n">
        <f aca="false">J624/(J624+K624)</f>
        <v>0.05</v>
      </c>
      <c r="O624" s="11" t="n">
        <f aca="false">IF(J624+L624=0,"",J624/(J624+L624))</f>
        <v>0.5</v>
      </c>
      <c r="P624" s="11" t="n">
        <f aca="false">2*J624/(2*J624+L624+K624)</f>
        <v>0.0909090909090909</v>
      </c>
      <c r="Q624" s="11" t="n">
        <f aca="false">L624/(L624+M624)</f>
        <v>0.05</v>
      </c>
      <c r="R624" s="6" t="n">
        <v>0</v>
      </c>
      <c r="S624" s="11"/>
      <c r="T624" s="11" t="n">
        <v>0.05</v>
      </c>
      <c r="U624" s="11" t="n">
        <v>0.85</v>
      </c>
      <c r="V624" s="11" t="n">
        <v>0.85</v>
      </c>
    </row>
    <row r="625" customFormat="false" ht="15" hidden="false" customHeight="false" outlineLevel="0" collapsed="false">
      <c r="A625" s="6" t="s">
        <v>54</v>
      </c>
      <c r="B625" s="6" t="s">
        <v>43</v>
      </c>
      <c r="C625" s="6" t="s">
        <v>49</v>
      </c>
      <c r="D625" s="6" t="s">
        <v>117</v>
      </c>
      <c r="E625" s="6" t="n">
        <v>16</v>
      </c>
      <c r="F625" s="6" t="n">
        <v>7</v>
      </c>
      <c r="G625" s="6" t="s">
        <v>75</v>
      </c>
      <c r="H625" s="11" t="n">
        <v>0.05</v>
      </c>
      <c r="I625" s="6" t="n">
        <v>20</v>
      </c>
      <c r="J625" s="6" t="n">
        <v>0</v>
      </c>
      <c r="K625" s="6" t="n">
        <v>20</v>
      </c>
      <c r="L625" s="6" t="n">
        <v>0</v>
      </c>
      <c r="M625" s="6" t="n">
        <v>20</v>
      </c>
      <c r="N625" s="11" t="n">
        <f aca="false">J625/(J625+K625)</f>
        <v>0</v>
      </c>
      <c r="O625" s="11" t="str">
        <f aca="false">IF(J625+L625=0,"",J625/(J625+L625))</f>
        <v/>
      </c>
      <c r="P625" s="11" t="n">
        <f aca="false">2*J625/(2*J625+L625+K625)</f>
        <v>0</v>
      </c>
      <c r="Q625" s="11" t="n">
        <f aca="false">L625/(L625+M625)</f>
        <v>0</v>
      </c>
      <c r="R625" s="6" t="n">
        <v>0</v>
      </c>
      <c r="S625" s="11"/>
      <c r="T625" s="11" t="n">
        <v>0</v>
      </c>
      <c r="U625" s="11" t="n">
        <v>0.9</v>
      </c>
      <c r="V625" s="11" t="n">
        <v>0.9</v>
      </c>
    </row>
    <row r="626" customFormat="false" ht="15" hidden="false" customHeight="false" outlineLevel="0" collapsed="false">
      <c r="A626" s="6" t="s">
        <v>54</v>
      </c>
      <c r="B626" s="6" t="s">
        <v>43</v>
      </c>
      <c r="C626" s="6" t="s">
        <v>49</v>
      </c>
      <c r="D626" s="6" t="s">
        <v>117</v>
      </c>
      <c r="E626" s="6" t="n">
        <v>16</v>
      </c>
      <c r="F626" s="6" t="n">
        <v>7</v>
      </c>
      <c r="G626" s="6" t="s">
        <v>76</v>
      </c>
      <c r="H626" s="11" t="n">
        <v>0.05</v>
      </c>
      <c r="I626" s="6" t="n">
        <v>20</v>
      </c>
      <c r="J626" s="6" t="n">
        <v>0</v>
      </c>
      <c r="K626" s="6" t="n">
        <v>20</v>
      </c>
      <c r="L626" s="6" t="n">
        <v>0</v>
      </c>
      <c r="M626" s="6" t="n">
        <v>20</v>
      </c>
      <c r="N626" s="11" t="n">
        <f aca="false">J626/(J626+K626)</f>
        <v>0</v>
      </c>
      <c r="O626" s="11" t="str">
        <f aca="false">IF(J626+L626=0,"",J626/(J626+L626))</f>
        <v/>
      </c>
      <c r="P626" s="11" t="n">
        <f aca="false">2*J626/(2*J626+L626+K626)</f>
        <v>0</v>
      </c>
      <c r="Q626" s="11" t="n">
        <f aca="false">L626/(L626+M626)</f>
        <v>0</v>
      </c>
      <c r="R626" s="6" t="n">
        <v>0</v>
      </c>
      <c r="S626" s="11"/>
      <c r="T626" s="11" t="n">
        <v>0</v>
      </c>
      <c r="U626" s="11" t="n">
        <v>0.95</v>
      </c>
      <c r="V626" s="11" t="n">
        <v>0.95</v>
      </c>
    </row>
    <row r="627" customFormat="false" ht="15" hidden="false" customHeight="false" outlineLevel="0" collapsed="false">
      <c r="A627" s="6" t="s">
        <v>54</v>
      </c>
      <c r="B627" s="6" t="s">
        <v>43</v>
      </c>
      <c r="C627" s="6" t="s">
        <v>49</v>
      </c>
      <c r="D627" s="6" t="s">
        <v>117</v>
      </c>
      <c r="E627" s="6" t="n">
        <v>16</v>
      </c>
      <c r="F627" s="6" t="n">
        <v>7</v>
      </c>
      <c r="G627" s="6" t="s">
        <v>77</v>
      </c>
      <c r="H627" s="11" t="n">
        <v>0.05</v>
      </c>
      <c r="I627" s="6" t="n">
        <v>20</v>
      </c>
      <c r="J627" s="6" t="n">
        <v>1</v>
      </c>
      <c r="K627" s="6" t="n">
        <v>19</v>
      </c>
      <c r="L627" s="6" t="n">
        <v>1</v>
      </c>
      <c r="M627" s="6" t="n">
        <v>19</v>
      </c>
      <c r="N627" s="11" t="n">
        <f aca="false">J627/(J627+K627)</f>
        <v>0.05</v>
      </c>
      <c r="O627" s="11" t="n">
        <f aca="false">IF(J627+L627=0,"",J627/(J627+L627))</f>
        <v>0.5</v>
      </c>
      <c r="P627" s="11" t="n">
        <f aca="false">2*J627/(2*J627+L627+K627)</f>
        <v>0.0909090909090909</v>
      </c>
      <c r="Q627" s="11" t="n">
        <f aca="false">L627/(L627+M627)</f>
        <v>0.05</v>
      </c>
      <c r="R627" s="6" t="n">
        <v>0</v>
      </c>
      <c r="S627" s="11"/>
      <c r="T627" s="11" t="n">
        <v>0.05</v>
      </c>
      <c r="U627" s="11" t="n">
        <v>1</v>
      </c>
      <c r="V627" s="11" t="n">
        <v>1</v>
      </c>
    </row>
    <row r="628" customFormat="false" ht="15" hidden="false" customHeight="false" outlineLevel="0" collapsed="false">
      <c r="A628" s="6" t="s">
        <v>54</v>
      </c>
      <c r="B628" s="6" t="s">
        <v>43</v>
      </c>
      <c r="C628" s="6" t="s">
        <v>49</v>
      </c>
      <c r="D628" s="6" t="s">
        <v>117</v>
      </c>
      <c r="E628" s="6" t="n">
        <v>16</v>
      </c>
      <c r="F628" s="6" t="n">
        <v>7</v>
      </c>
      <c r="G628" s="6" t="s">
        <v>78</v>
      </c>
      <c r="H628" s="11" t="n">
        <v>0.05</v>
      </c>
      <c r="I628" s="6" t="n">
        <v>200</v>
      </c>
      <c r="J628" s="6" t="n">
        <v>6</v>
      </c>
      <c r="K628" s="6" t="n">
        <v>194</v>
      </c>
      <c r="L628" s="6" t="n">
        <v>6</v>
      </c>
      <c r="M628" s="6" t="n">
        <v>194</v>
      </c>
      <c r="N628" s="11" t="n">
        <f aca="false">J628/(J628+K628)</f>
        <v>0.03</v>
      </c>
      <c r="O628" s="11" t="n">
        <f aca="false">IF(J628+L628=0,"",J628/(J628+L628))</f>
        <v>0.5</v>
      </c>
      <c r="P628" s="11" t="n">
        <f aca="false">2*J628/(2*J628+L628+K628)</f>
        <v>0.0566037735849057</v>
      </c>
      <c r="Q628" s="11" t="n">
        <f aca="false">L628/(L628+M628)</f>
        <v>0.03</v>
      </c>
      <c r="R628" s="6" t="n">
        <v>1</v>
      </c>
      <c r="S628" s="11" t="n">
        <v>0</v>
      </c>
      <c r="T628" s="11" t="n">
        <v>0.0301507537688442</v>
      </c>
      <c r="U628" s="11" t="n">
        <v>0.88</v>
      </c>
      <c r="V628" s="11" t="n">
        <v>0.88</v>
      </c>
    </row>
    <row r="629" customFormat="false" ht="15" hidden="false" customHeight="false" outlineLevel="0" collapsed="false">
      <c r="A629" s="6" t="s">
        <v>54</v>
      </c>
      <c r="B629" s="6" t="s">
        <v>43</v>
      </c>
      <c r="C629" s="6" t="s">
        <v>49</v>
      </c>
      <c r="D629" s="6" t="s">
        <v>117</v>
      </c>
      <c r="E629" s="6" t="n">
        <v>16</v>
      </c>
      <c r="F629" s="6" t="n">
        <v>8</v>
      </c>
      <c r="G629" s="6" t="s">
        <v>68</v>
      </c>
      <c r="H629" s="11" t="n">
        <v>0.05</v>
      </c>
      <c r="I629" s="6" t="n">
        <v>20</v>
      </c>
      <c r="J629" s="6" t="n">
        <v>2</v>
      </c>
      <c r="K629" s="6" t="n">
        <v>18</v>
      </c>
      <c r="L629" s="6" t="n">
        <v>2</v>
      </c>
      <c r="M629" s="6" t="n">
        <v>18</v>
      </c>
      <c r="N629" s="11" t="n">
        <f aca="false">J629/(J629+K629)</f>
        <v>0.1</v>
      </c>
      <c r="O629" s="11" t="n">
        <f aca="false">IF(J629+L629=0,"",J629/(J629+L629))</f>
        <v>0.5</v>
      </c>
      <c r="P629" s="11" t="n">
        <f aca="false">2*J629/(2*J629+L629+K629)</f>
        <v>0.166666666666667</v>
      </c>
      <c r="Q629" s="11" t="n">
        <f aca="false">L629/(L629+M629)</f>
        <v>0.1</v>
      </c>
      <c r="R629" s="6" t="n">
        <v>0</v>
      </c>
      <c r="S629" s="11"/>
      <c r="T629" s="11" t="n">
        <v>0.1</v>
      </c>
      <c r="U629" s="11" t="n">
        <v>0.85</v>
      </c>
      <c r="V629" s="11" t="n">
        <v>0.85</v>
      </c>
    </row>
    <row r="630" customFormat="false" ht="15" hidden="false" customHeight="false" outlineLevel="0" collapsed="false">
      <c r="A630" s="6" t="s">
        <v>54</v>
      </c>
      <c r="B630" s="6" t="s">
        <v>43</v>
      </c>
      <c r="C630" s="6" t="s">
        <v>49</v>
      </c>
      <c r="D630" s="6" t="s">
        <v>117</v>
      </c>
      <c r="E630" s="6" t="n">
        <v>16</v>
      </c>
      <c r="F630" s="6" t="n">
        <v>8</v>
      </c>
      <c r="G630" s="6" t="s">
        <v>69</v>
      </c>
      <c r="H630" s="11" t="n">
        <v>0.05</v>
      </c>
      <c r="I630" s="6" t="n">
        <v>20</v>
      </c>
      <c r="J630" s="6" t="n">
        <v>1</v>
      </c>
      <c r="K630" s="6" t="n">
        <v>19</v>
      </c>
      <c r="L630" s="6" t="n">
        <v>1</v>
      </c>
      <c r="M630" s="6" t="n">
        <v>19</v>
      </c>
      <c r="N630" s="11" t="n">
        <f aca="false">J630/(J630+K630)</f>
        <v>0.05</v>
      </c>
      <c r="O630" s="11" t="n">
        <f aca="false">IF(J630+L630=0,"",J630/(J630+L630))</f>
        <v>0.5</v>
      </c>
      <c r="P630" s="11" t="n">
        <f aca="false">2*J630/(2*J630+L630+K630)</f>
        <v>0.0909090909090909</v>
      </c>
      <c r="Q630" s="11" t="n">
        <f aca="false">L630/(L630+M630)</f>
        <v>0.05</v>
      </c>
      <c r="R630" s="6" t="n">
        <v>0</v>
      </c>
      <c r="S630" s="11"/>
      <c r="T630" s="11" t="n">
        <v>0.05</v>
      </c>
      <c r="U630" s="11" t="n">
        <v>1</v>
      </c>
      <c r="V630" s="11" t="n">
        <v>1</v>
      </c>
    </row>
    <row r="631" customFormat="false" ht="15" hidden="false" customHeight="false" outlineLevel="0" collapsed="false">
      <c r="A631" s="6" t="s">
        <v>54</v>
      </c>
      <c r="B631" s="6" t="s">
        <v>43</v>
      </c>
      <c r="C631" s="6" t="s">
        <v>49</v>
      </c>
      <c r="D631" s="6" t="s">
        <v>117</v>
      </c>
      <c r="E631" s="6" t="n">
        <v>16</v>
      </c>
      <c r="F631" s="6" t="n">
        <v>8</v>
      </c>
      <c r="G631" s="6" t="s">
        <v>70</v>
      </c>
      <c r="H631" s="11" t="n">
        <v>0.05</v>
      </c>
      <c r="I631" s="6" t="n">
        <v>20</v>
      </c>
      <c r="J631" s="6" t="n">
        <v>0</v>
      </c>
      <c r="K631" s="6" t="n">
        <v>20</v>
      </c>
      <c r="L631" s="6" t="n">
        <v>0</v>
      </c>
      <c r="M631" s="6" t="n">
        <v>20</v>
      </c>
      <c r="N631" s="11" t="n">
        <f aca="false">J631/(J631+K631)</f>
        <v>0</v>
      </c>
      <c r="O631" s="11" t="str">
        <f aca="false">IF(J631+L631=0,"",J631/(J631+L631))</f>
        <v/>
      </c>
      <c r="P631" s="11" t="n">
        <f aca="false">2*J631/(2*J631+L631+K631)</f>
        <v>0</v>
      </c>
      <c r="Q631" s="11" t="n">
        <f aca="false">L631/(L631+M631)</f>
        <v>0</v>
      </c>
      <c r="R631" s="6" t="n">
        <v>0</v>
      </c>
      <c r="S631" s="11"/>
      <c r="T631" s="11" t="n">
        <v>0</v>
      </c>
      <c r="U631" s="11" t="n">
        <v>0.9</v>
      </c>
      <c r="V631" s="11" t="n">
        <v>0.9</v>
      </c>
    </row>
    <row r="632" customFormat="false" ht="15" hidden="false" customHeight="false" outlineLevel="0" collapsed="false">
      <c r="A632" s="6" t="s">
        <v>54</v>
      </c>
      <c r="B632" s="6" t="s">
        <v>43</v>
      </c>
      <c r="C632" s="6" t="s">
        <v>49</v>
      </c>
      <c r="D632" s="6" t="s">
        <v>117</v>
      </c>
      <c r="E632" s="6" t="n">
        <v>16</v>
      </c>
      <c r="F632" s="6" t="n">
        <v>8</v>
      </c>
      <c r="G632" s="6" t="s">
        <v>71</v>
      </c>
      <c r="H632" s="11" t="n">
        <v>0.05</v>
      </c>
      <c r="I632" s="6" t="n">
        <v>20</v>
      </c>
      <c r="J632" s="6" t="n">
        <v>0</v>
      </c>
      <c r="K632" s="6" t="n">
        <v>20</v>
      </c>
      <c r="L632" s="6" t="n">
        <v>0</v>
      </c>
      <c r="M632" s="6" t="n">
        <v>20</v>
      </c>
      <c r="N632" s="11" t="n">
        <f aca="false">J632/(J632+K632)</f>
        <v>0</v>
      </c>
      <c r="O632" s="11" t="str">
        <f aca="false">IF(J632+L632=0,"",J632/(J632+L632))</f>
        <v/>
      </c>
      <c r="P632" s="11" t="n">
        <f aca="false">2*J632/(2*J632+L632+K632)</f>
        <v>0</v>
      </c>
      <c r="Q632" s="11" t="n">
        <f aca="false">L632/(L632+M632)</f>
        <v>0</v>
      </c>
      <c r="R632" s="6" t="n">
        <v>0</v>
      </c>
      <c r="S632" s="11"/>
      <c r="T632" s="11" t="n">
        <v>0</v>
      </c>
      <c r="U632" s="11" t="n">
        <v>0.8</v>
      </c>
      <c r="V632" s="11" t="n">
        <v>0.8</v>
      </c>
    </row>
    <row r="633" customFormat="false" ht="15" hidden="false" customHeight="false" outlineLevel="0" collapsed="false">
      <c r="A633" s="6" t="s">
        <v>54</v>
      </c>
      <c r="B633" s="6" t="s">
        <v>43</v>
      </c>
      <c r="C633" s="6" t="s">
        <v>49</v>
      </c>
      <c r="D633" s="6" t="s">
        <v>117</v>
      </c>
      <c r="E633" s="6" t="n">
        <v>16</v>
      </c>
      <c r="F633" s="6" t="n">
        <v>8</v>
      </c>
      <c r="G633" s="6" t="s">
        <v>72</v>
      </c>
      <c r="H633" s="11" t="n">
        <v>0.05</v>
      </c>
      <c r="I633" s="6" t="n">
        <v>20</v>
      </c>
      <c r="J633" s="6" t="n">
        <v>1</v>
      </c>
      <c r="K633" s="6" t="n">
        <v>19</v>
      </c>
      <c r="L633" s="6" t="n">
        <v>1</v>
      </c>
      <c r="M633" s="6" t="n">
        <v>19</v>
      </c>
      <c r="N633" s="11" t="n">
        <f aca="false">J633/(J633+K633)</f>
        <v>0.05</v>
      </c>
      <c r="O633" s="11" t="n">
        <f aca="false">IF(J633+L633=0,"",J633/(J633+L633))</f>
        <v>0.5</v>
      </c>
      <c r="P633" s="11" t="n">
        <f aca="false">2*J633/(2*J633+L633+K633)</f>
        <v>0.0909090909090909</v>
      </c>
      <c r="Q633" s="11" t="n">
        <f aca="false">L633/(L633+M633)</f>
        <v>0.05</v>
      </c>
      <c r="R633" s="6" t="n">
        <v>0</v>
      </c>
      <c r="S633" s="11"/>
      <c r="T633" s="11" t="n">
        <v>0.05</v>
      </c>
      <c r="U633" s="11" t="n">
        <v>0.9</v>
      </c>
      <c r="V633" s="11" t="n">
        <v>0.9</v>
      </c>
    </row>
    <row r="634" customFormat="false" ht="15" hidden="false" customHeight="false" outlineLevel="0" collapsed="false">
      <c r="A634" s="6" t="s">
        <v>54</v>
      </c>
      <c r="B634" s="6" t="s">
        <v>43</v>
      </c>
      <c r="C634" s="6" t="s">
        <v>49</v>
      </c>
      <c r="D634" s="6" t="s">
        <v>117</v>
      </c>
      <c r="E634" s="6" t="n">
        <v>16</v>
      </c>
      <c r="F634" s="6" t="n">
        <v>8</v>
      </c>
      <c r="G634" s="6" t="s">
        <v>73</v>
      </c>
      <c r="H634" s="11" t="n">
        <v>0.05</v>
      </c>
      <c r="I634" s="6" t="n">
        <v>20</v>
      </c>
      <c r="J634" s="6" t="n">
        <v>0</v>
      </c>
      <c r="K634" s="6" t="n">
        <v>20</v>
      </c>
      <c r="L634" s="6" t="n">
        <v>0</v>
      </c>
      <c r="M634" s="6" t="n">
        <v>20</v>
      </c>
      <c r="N634" s="11" t="n">
        <f aca="false">J634/(J634+K634)</f>
        <v>0</v>
      </c>
      <c r="O634" s="11" t="str">
        <f aca="false">IF(J634+L634=0,"",J634/(J634+L634))</f>
        <v/>
      </c>
      <c r="P634" s="11" t="n">
        <f aca="false">2*J634/(2*J634+L634+K634)</f>
        <v>0</v>
      </c>
      <c r="Q634" s="11" t="n">
        <f aca="false">L634/(L634+M634)</f>
        <v>0</v>
      </c>
      <c r="R634" s="6" t="n">
        <v>0</v>
      </c>
      <c r="S634" s="11"/>
      <c r="T634" s="11" t="n">
        <v>0</v>
      </c>
      <c r="U634" s="11" t="n">
        <v>0.65</v>
      </c>
      <c r="V634" s="11" t="n">
        <v>0.65</v>
      </c>
    </row>
    <row r="635" customFormat="false" ht="15" hidden="false" customHeight="false" outlineLevel="0" collapsed="false">
      <c r="A635" s="6" t="s">
        <v>54</v>
      </c>
      <c r="B635" s="6" t="s">
        <v>43</v>
      </c>
      <c r="C635" s="6" t="s">
        <v>49</v>
      </c>
      <c r="D635" s="6" t="s">
        <v>117</v>
      </c>
      <c r="E635" s="6" t="n">
        <v>16</v>
      </c>
      <c r="F635" s="6" t="n">
        <v>8</v>
      </c>
      <c r="G635" s="6" t="s">
        <v>74</v>
      </c>
      <c r="H635" s="11" t="n">
        <v>0.05</v>
      </c>
      <c r="I635" s="6" t="n">
        <v>20</v>
      </c>
      <c r="J635" s="6" t="n">
        <v>1</v>
      </c>
      <c r="K635" s="6" t="n">
        <v>19</v>
      </c>
      <c r="L635" s="6" t="n">
        <v>1</v>
      </c>
      <c r="M635" s="6" t="n">
        <v>19</v>
      </c>
      <c r="N635" s="11" t="n">
        <f aca="false">J635/(J635+K635)</f>
        <v>0.05</v>
      </c>
      <c r="O635" s="11" t="n">
        <f aca="false">IF(J635+L635=0,"",J635/(J635+L635))</f>
        <v>0.5</v>
      </c>
      <c r="P635" s="11" t="n">
        <f aca="false">2*J635/(2*J635+L635+K635)</f>
        <v>0.0909090909090909</v>
      </c>
      <c r="Q635" s="11" t="n">
        <f aca="false">L635/(L635+M635)</f>
        <v>0.05</v>
      </c>
      <c r="R635" s="6" t="n">
        <v>0</v>
      </c>
      <c r="S635" s="11"/>
      <c r="T635" s="11" t="n">
        <v>0.05</v>
      </c>
      <c r="U635" s="11" t="n">
        <v>0.85</v>
      </c>
      <c r="V635" s="11" t="n">
        <v>0.85</v>
      </c>
    </row>
    <row r="636" customFormat="false" ht="15" hidden="false" customHeight="false" outlineLevel="0" collapsed="false">
      <c r="A636" s="6" t="s">
        <v>54</v>
      </c>
      <c r="B636" s="6" t="s">
        <v>43</v>
      </c>
      <c r="C636" s="6" t="s">
        <v>49</v>
      </c>
      <c r="D636" s="6" t="s">
        <v>117</v>
      </c>
      <c r="E636" s="6" t="n">
        <v>16</v>
      </c>
      <c r="F636" s="6" t="n">
        <v>8</v>
      </c>
      <c r="G636" s="6" t="s">
        <v>75</v>
      </c>
      <c r="H636" s="11" t="n">
        <v>0.05</v>
      </c>
      <c r="I636" s="6" t="n">
        <v>20</v>
      </c>
      <c r="J636" s="6" t="n">
        <v>0</v>
      </c>
      <c r="K636" s="6" t="n">
        <v>20</v>
      </c>
      <c r="L636" s="6" t="n">
        <v>0</v>
      </c>
      <c r="M636" s="6" t="n">
        <v>20</v>
      </c>
      <c r="N636" s="11" t="n">
        <f aca="false">J636/(J636+K636)</f>
        <v>0</v>
      </c>
      <c r="O636" s="11" t="str">
        <f aca="false">IF(J636+L636=0,"",J636/(J636+L636))</f>
        <v/>
      </c>
      <c r="P636" s="11" t="n">
        <f aca="false">2*J636/(2*J636+L636+K636)</f>
        <v>0</v>
      </c>
      <c r="Q636" s="11" t="n">
        <f aca="false">L636/(L636+M636)</f>
        <v>0</v>
      </c>
      <c r="R636" s="6" t="n">
        <v>0</v>
      </c>
      <c r="S636" s="11"/>
      <c r="T636" s="11" t="n">
        <v>0</v>
      </c>
      <c r="U636" s="11" t="n">
        <v>0.9</v>
      </c>
      <c r="V636" s="11" t="n">
        <v>0.9</v>
      </c>
    </row>
    <row r="637" customFormat="false" ht="15" hidden="false" customHeight="false" outlineLevel="0" collapsed="false">
      <c r="A637" s="6" t="s">
        <v>54</v>
      </c>
      <c r="B637" s="6" t="s">
        <v>43</v>
      </c>
      <c r="C637" s="6" t="s">
        <v>49</v>
      </c>
      <c r="D637" s="6" t="s">
        <v>117</v>
      </c>
      <c r="E637" s="6" t="n">
        <v>16</v>
      </c>
      <c r="F637" s="6" t="n">
        <v>8</v>
      </c>
      <c r="G637" s="6" t="s">
        <v>76</v>
      </c>
      <c r="H637" s="11" t="n">
        <v>0.05</v>
      </c>
      <c r="I637" s="6" t="n">
        <v>20</v>
      </c>
      <c r="J637" s="6" t="n">
        <v>0</v>
      </c>
      <c r="K637" s="6" t="n">
        <v>20</v>
      </c>
      <c r="L637" s="6" t="n">
        <v>0</v>
      </c>
      <c r="M637" s="6" t="n">
        <v>20</v>
      </c>
      <c r="N637" s="11" t="n">
        <f aca="false">J637/(J637+K637)</f>
        <v>0</v>
      </c>
      <c r="O637" s="11" t="str">
        <f aca="false">IF(J637+L637=0,"",J637/(J637+L637))</f>
        <v/>
      </c>
      <c r="P637" s="11" t="n">
        <f aca="false">2*J637/(2*J637+L637+K637)</f>
        <v>0</v>
      </c>
      <c r="Q637" s="11" t="n">
        <f aca="false">L637/(L637+M637)</f>
        <v>0</v>
      </c>
      <c r="R637" s="6" t="n">
        <v>0</v>
      </c>
      <c r="S637" s="11"/>
      <c r="T637" s="11" t="n">
        <v>0</v>
      </c>
      <c r="U637" s="11" t="n">
        <v>0.95</v>
      </c>
      <c r="V637" s="11" t="n">
        <v>0.95</v>
      </c>
    </row>
    <row r="638" customFormat="false" ht="15" hidden="false" customHeight="false" outlineLevel="0" collapsed="false">
      <c r="A638" s="6" t="s">
        <v>54</v>
      </c>
      <c r="B638" s="6" t="s">
        <v>43</v>
      </c>
      <c r="C638" s="6" t="s">
        <v>49</v>
      </c>
      <c r="D638" s="6" t="s">
        <v>117</v>
      </c>
      <c r="E638" s="6" t="n">
        <v>16</v>
      </c>
      <c r="F638" s="6" t="n">
        <v>8</v>
      </c>
      <c r="G638" s="6" t="s">
        <v>77</v>
      </c>
      <c r="H638" s="11" t="n">
        <v>0.05</v>
      </c>
      <c r="I638" s="6" t="n">
        <v>20</v>
      </c>
      <c r="J638" s="6" t="n">
        <v>1</v>
      </c>
      <c r="K638" s="6" t="n">
        <v>19</v>
      </c>
      <c r="L638" s="6" t="n">
        <v>1</v>
      </c>
      <c r="M638" s="6" t="n">
        <v>19</v>
      </c>
      <c r="N638" s="11" t="n">
        <f aca="false">J638/(J638+K638)</f>
        <v>0.05</v>
      </c>
      <c r="O638" s="11" t="n">
        <f aca="false">IF(J638+L638=0,"",J638/(J638+L638))</f>
        <v>0.5</v>
      </c>
      <c r="P638" s="11" t="n">
        <f aca="false">2*J638/(2*J638+L638+K638)</f>
        <v>0.0909090909090909</v>
      </c>
      <c r="Q638" s="11" t="n">
        <f aca="false">L638/(L638+M638)</f>
        <v>0.05</v>
      </c>
      <c r="R638" s="6" t="n">
        <v>0</v>
      </c>
      <c r="S638" s="11"/>
      <c r="T638" s="11" t="n">
        <v>0.05</v>
      </c>
      <c r="U638" s="11" t="n">
        <v>1</v>
      </c>
      <c r="V638" s="11" t="n">
        <v>1</v>
      </c>
    </row>
    <row r="639" customFormat="false" ht="15" hidden="false" customHeight="false" outlineLevel="0" collapsed="false">
      <c r="A639" s="6" t="s">
        <v>54</v>
      </c>
      <c r="B639" s="6" t="s">
        <v>43</v>
      </c>
      <c r="C639" s="6" t="s">
        <v>49</v>
      </c>
      <c r="D639" s="6" t="s">
        <v>117</v>
      </c>
      <c r="E639" s="6" t="n">
        <v>16</v>
      </c>
      <c r="F639" s="6" t="n">
        <v>8</v>
      </c>
      <c r="G639" s="6" t="s">
        <v>78</v>
      </c>
      <c r="H639" s="11" t="n">
        <v>0.05</v>
      </c>
      <c r="I639" s="6" t="n">
        <v>200</v>
      </c>
      <c r="J639" s="6" t="n">
        <v>6</v>
      </c>
      <c r="K639" s="6" t="n">
        <v>194</v>
      </c>
      <c r="L639" s="6" t="n">
        <v>6</v>
      </c>
      <c r="M639" s="6" t="n">
        <v>194</v>
      </c>
      <c r="N639" s="11" t="n">
        <f aca="false">J639/(J639+K639)</f>
        <v>0.03</v>
      </c>
      <c r="O639" s="11" t="n">
        <f aca="false">IF(J639+L639=0,"",J639/(J639+L639))</f>
        <v>0.5</v>
      </c>
      <c r="P639" s="11" t="n">
        <f aca="false">2*J639/(2*J639+L639+K639)</f>
        <v>0.0566037735849057</v>
      </c>
      <c r="Q639" s="11" t="n">
        <f aca="false">L639/(L639+M639)</f>
        <v>0.03</v>
      </c>
      <c r="R639" s="6" t="n">
        <v>0</v>
      </c>
      <c r="S639" s="11"/>
      <c r="T639" s="11" t="n">
        <v>0.03</v>
      </c>
      <c r="U639" s="11" t="n">
        <v>0.88</v>
      </c>
      <c r="V639" s="11" t="n">
        <v>0.88</v>
      </c>
    </row>
    <row r="640" customFormat="false" ht="15" hidden="false" customHeight="false" outlineLevel="0" collapsed="false">
      <c r="A640" s="6" t="s">
        <v>54</v>
      </c>
      <c r="B640" s="6" t="s">
        <v>43</v>
      </c>
      <c r="C640" s="6" t="s">
        <v>49</v>
      </c>
      <c r="D640" s="6" t="s">
        <v>117</v>
      </c>
      <c r="E640" s="6" t="n">
        <v>16</v>
      </c>
      <c r="F640" s="6" t="n">
        <v>9</v>
      </c>
      <c r="G640" s="6" t="s">
        <v>68</v>
      </c>
      <c r="H640" s="11" t="n">
        <v>0.05</v>
      </c>
      <c r="I640" s="6" t="n">
        <v>20</v>
      </c>
      <c r="J640" s="6" t="n">
        <v>2</v>
      </c>
      <c r="K640" s="6" t="n">
        <v>18</v>
      </c>
      <c r="L640" s="6" t="n">
        <v>2</v>
      </c>
      <c r="M640" s="6" t="n">
        <v>18</v>
      </c>
      <c r="N640" s="11" t="n">
        <f aca="false">J640/(J640+K640)</f>
        <v>0.1</v>
      </c>
      <c r="O640" s="11" t="n">
        <f aca="false">IF(J640+L640=0,"",J640/(J640+L640))</f>
        <v>0.5</v>
      </c>
      <c r="P640" s="11" t="n">
        <f aca="false">2*J640/(2*J640+L640+K640)</f>
        <v>0.166666666666667</v>
      </c>
      <c r="Q640" s="11" t="n">
        <f aca="false">L640/(L640+M640)</f>
        <v>0.1</v>
      </c>
      <c r="R640" s="6" t="n">
        <v>0</v>
      </c>
      <c r="S640" s="11"/>
      <c r="T640" s="11" t="n">
        <v>0.1</v>
      </c>
      <c r="U640" s="11" t="n">
        <v>0.85</v>
      </c>
      <c r="V640" s="11" t="n">
        <v>0.85</v>
      </c>
    </row>
    <row r="641" customFormat="false" ht="15" hidden="false" customHeight="false" outlineLevel="0" collapsed="false">
      <c r="A641" s="6" t="s">
        <v>54</v>
      </c>
      <c r="B641" s="6" t="s">
        <v>43</v>
      </c>
      <c r="C641" s="6" t="s">
        <v>49</v>
      </c>
      <c r="D641" s="6" t="s">
        <v>117</v>
      </c>
      <c r="E641" s="6" t="n">
        <v>16</v>
      </c>
      <c r="F641" s="6" t="n">
        <v>9</v>
      </c>
      <c r="G641" s="6" t="s">
        <v>69</v>
      </c>
      <c r="H641" s="11" t="n">
        <v>0.05</v>
      </c>
      <c r="I641" s="6" t="n">
        <v>20</v>
      </c>
      <c r="J641" s="6" t="n">
        <v>1</v>
      </c>
      <c r="K641" s="6" t="n">
        <v>19</v>
      </c>
      <c r="L641" s="6" t="n">
        <v>1</v>
      </c>
      <c r="M641" s="6" t="n">
        <v>19</v>
      </c>
      <c r="N641" s="11" t="n">
        <f aca="false">J641/(J641+K641)</f>
        <v>0.05</v>
      </c>
      <c r="O641" s="11" t="n">
        <f aca="false">IF(J641+L641=0,"",J641/(J641+L641))</f>
        <v>0.5</v>
      </c>
      <c r="P641" s="11" t="n">
        <f aca="false">2*J641/(2*J641+L641+K641)</f>
        <v>0.0909090909090909</v>
      </c>
      <c r="Q641" s="11" t="n">
        <f aca="false">L641/(L641+M641)</f>
        <v>0.05</v>
      </c>
      <c r="R641" s="6" t="n">
        <v>0</v>
      </c>
      <c r="S641" s="11"/>
      <c r="T641" s="11" t="n">
        <v>0.05</v>
      </c>
      <c r="U641" s="11" t="n">
        <v>1</v>
      </c>
      <c r="V641" s="11" t="n">
        <v>1</v>
      </c>
    </row>
    <row r="642" customFormat="false" ht="15" hidden="false" customHeight="false" outlineLevel="0" collapsed="false">
      <c r="A642" s="6" t="s">
        <v>54</v>
      </c>
      <c r="B642" s="6" t="s">
        <v>43</v>
      </c>
      <c r="C642" s="6" t="s">
        <v>49</v>
      </c>
      <c r="D642" s="6" t="s">
        <v>117</v>
      </c>
      <c r="E642" s="6" t="n">
        <v>16</v>
      </c>
      <c r="F642" s="6" t="n">
        <v>9</v>
      </c>
      <c r="G642" s="6" t="s">
        <v>70</v>
      </c>
      <c r="H642" s="11" t="n">
        <v>0.05</v>
      </c>
      <c r="I642" s="6" t="n">
        <v>20</v>
      </c>
      <c r="J642" s="6" t="n">
        <v>0</v>
      </c>
      <c r="K642" s="6" t="n">
        <v>20</v>
      </c>
      <c r="L642" s="6" t="n">
        <v>0</v>
      </c>
      <c r="M642" s="6" t="n">
        <v>20</v>
      </c>
      <c r="N642" s="11" t="n">
        <f aca="false">J642/(J642+K642)</f>
        <v>0</v>
      </c>
      <c r="O642" s="11" t="str">
        <f aca="false">IF(J642+L642=0,"",J642/(J642+L642))</f>
        <v/>
      </c>
      <c r="P642" s="11" t="n">
        <f aca="false">2*J642/(2*J642+L642+K642)</f>
        <v>0</v>
      </c>
      <c r="Q642" s="11" t="n">
        <f aca="false">L642/(L642+M642)</f>
        <v>0</v>
      </c>
      <c r="R642" s="6" t="n">
        <v>0</v>
      </c>
      <c r="S642" s="11"/>
      <c r="T642" s="11" t="n">
        <v>0</v>
      </c>
      <c r="U642" s="11" t="n">
        <v>0.9</v>
      </c>
      <c r="V642" s="11" t="n">
        <v>0.9</v>
      </c>
    </row>
    <row r="643" customFormat="false" ht="15" hidden="false" customHeight="false" outlineLevel="0" collapsed="false">
      <c r="A643" s="6" t="s">
        <v>54</v>
      </c>
      <c r="B643" s="6" t="s">
        <v>43</v>
      </c>
      <c r="C643" s="6" t="s">
        <v>49</v>
      </c>
      <c r="D643" s="6" t="s">
        <v>117</v>
      </c>
      <c r="E643" s="6" t="n">
        <v>16</v>
      </c>
      <c r="F643" s="6" t="n">
        <v>9</v>
      </c>
      <c r="G643" s="6" t="s">
        <v>71</v>
      </c>
      <c r="H643" s="11" t="n">
        <v>0.05</v>
      </c>
      <c r="I643" s="6" t="n">
        <v>20</v>
      </c>
      <c r="J643" s="6" t="n">
        <v>0</v>
      </c>
      <c r="K643" s="6" t="n">
        <v>20</v>
      </c>
      <c r="L643" s="6" t="n">
        <v>0</v>
      </c>
      <c r="M643" s="6" t="n">
        <v>20</v>
      </c>
      <c r="N643" s="11" t="n">
        <f aca="false">J643/(J643+K643)</f>
        <v>0</v>
      </c>
      <c r="O643" s="11" t="str">
        <f aca="false">IF(J643+L643=0,"",J643/(J643+L643))</f>
        <v/>
      </c>
      <c r="P643" s="11" t="n">
        <f aca="false">2*J643/(2*J643+L643+K643)</f>
        <v>0</v>
      </c>
      <c r="Q643" s="11" t="n">
        <f aca="false">L643/(L643+M643)</f>
        <v>0</v>
      </c>
      <c r="R643" s="6" t="n">
        <v>0</v>
      </c>
      <c r="S643" s="11"/>
      <c r="T643" s="11" t="n">
        <v>0</v>
      </c>
      <c r="U643" s="11" t="n">
        <v>0.8</v>
      </c>
      <c r="V643" s="11" t="n">
        <v>0.8</v>
      </c>
    </row>
    <row r="644" customFormat="false" ht="15" hidden="false" customHeight="false" outlineLevel="0" collapsed="false">
      <c r="A644" s="6" t="s">
        <v>54</v>
      </c>
      <c r="B644" s="6" t="s">
        <v>43</v>
      </c>
      <c r="C644" s="6" t="s">
        <v>49</v>
      </c>
      <c r="D644" s="6" t="s">
        <v>117</v>
      </c>
      <c r="E644" s="6" t="n">
        <v>16</v>
      </c>
      <c r="F644" s="6" t="n">
        <v>9</v>
      </c>
      <c r="G644" s="6" t="s">
        <v>72</v>
      </c>
      <c r="H644" s="11" t="n">
        <v>0.05</v>
      </c>
      <c r="I644" s="6" t="n">
        <v>20</v>
      </c>
      <c r="J644" s="6" t="n">
        <v>1</v>
      </c>
      <c r="K644" s="6" t="n">
        <v>19</v>
      </c>
      <c r="L644" s="6" t="n">
        <v>1</v>
      </c>
      <c r="M644" s="6" t="n">
        <v>19</v>
      </c>
      <c r="N644" s="11" t="n">
        <f aca="false">J644/(J644+K644)</f>
        <v>0.05</v>
      </c>
      <c r="O644" s="11" t="n">
        <f aca="false">IF(J644+L644=0,"",J644/(J644+L644))</f>
        <v>0.5</v>
      </c>
      <c r="P644" s="11" t="n">
        <f aca="false">2*J644/(2*J644+L644+K644)</f>
        <v>0.0909090909090909</v>
      </c>
      <c r="Q644" s="11" t="n">
        <f aca="false">L644/(L644+M644)</f>
        <v>0.05</v>
      </c>
      <c r="R644" s="6" t="n">
        <v>0</v>
      </c>
      <c r="S644" s="11"/>
      <c r="T644" s="11" t="n">
        <v>0.05</v>
      </c>
      <c r="U644" s="11" t="n">
        <v>0.9</v>
      </c>
      <c r="V644" s="11" t="n">
        <v>0.9</v>
      </c>
    </row>
    <row r="645" customFormat="false" ht="15" hidden="false" customHeight="false" outlineLevel="0" collapsed="false">
      <c r="A645" s="6" t="s">
        <v>54</v>
      </c>
      <c r="B645" s="6" t="s">
        <v>43</v>
      </c>
      <c r="C645" s="6" t="s">
        <v>49</v>
      </c>
      <c r="D645" s="6" t="s">
        <v>117</v>
      </c>
      <c r="E645" s="6" t="n">
        <v>16</v>
      </c>
      <c r="F645" s="6" t="n">
        <v>9</v>
      </c>
      <c r="G645" s="6" t="s">
        <v>73</v>
      </c>
      <c r="H645" s="11" t="n">
        <v>0.05</v>
      </c>
      <c r="I645" s="6" t="n">
        <v>20</v>
      </c>
      <c r="J645" s="6" t="n">
        <v>0</v>
      </c>
      <c r="K645" s="6" t="n">
        <v>20</v>
      </c>
      <c r="L645" s="6" t="n">
        <v>0</v>
      </c>
      <c r="M645" s="6" t="n">
        <v>20</v>
      </c>
      <c r="N645" s="11" t="n">
        <f aca="false">J645/(J645+K645)</f>
        <v>0</v>
      </c>
      <c r="O645" s="11" t="str">
        <f aca="false">IF(J645+L645=0,"",J645/(J645+L645))</f>
        <v/>
      </c>
      <c r="P645" s="11" t="n">
        <f aca="false">2*J645/(2*J645+L645+K645)</f>
        <v>0</v>
      </c>
      <c r="Q645" s="11" t="n">
        <f aca="false">L645/(L645+M645)</f>
        <v>0</v>
      </c>
      <c r="R645" s="6" t="n">
        <v>0</v>
      </c>
      <c r="S645" s="11"/>
      <c r="T645" s="11" t="n">
        <v>0</v>
      </c>
      <c r="U645" s="11" t="n">
        <v>0.65</v>
      </c>
      <c r="V645" s="11" t="n">
        <v>0.65</v>
      </c>
    </row>
    <row r="646" customFormat="false" ht="15" hidden="false" customHeight="false" outlineLevel="0" collapsed="false">
      <c r="A646" s="6" t="s">
        <v>54</v>
      </c>
      <c r="B646" s="6" t="s">
        <v>43</v>
      </c>
      <c r="C646" s="6" t="s">
        <v>49</v>
      </c>
      <c r="D646" s="6" t="s">
        <v>117</v>
      </c>
      <c r="E646" s="6" t="n">
        <v>16</v>
      </c>
      <c r="F646" s="6" t="n">
        <v>9</v>
      </c>
      <c r="G646" s="6" t="s">
        <v>74</v>
      </c>
      <c r="H646" s="11" t="n">
        <v>0.05</v>
      </c>
      <c r="I646" s="6" t="n">
        <v>20</v>
      </c>
      <c r="J646" s="6" t="n">
        <v>1</v>
      </c>
      <c r="K646" s="6" t="n">
        <v>19</v>
      </c>
      <c r="L646" s="6" t="n">
        <v>1</v>
      </c>
      <c r="M646" s="6" t="n">
        <v>19</v>
      </c>
      <c r="N646" s="11" t="n">
        <f aca="false">J646/(J646+K646)</f>
        <v>0.05</v>
      </c>
      <c r="O646" s="11" t="n">
        <f aca="false">IF(J646+L646=0,"",J646/(J646+L646))</f>
        <v>0.5</v>
      </c>
      <c r="P646" s="11" t="n">
        <f aca="false">2*J646/(2*J646+L646+K646)</f>
        <v>0.0909090909090909</v>
      </c>
      <c r="Q646" s="11" t="n">
        <f aca="false">L646/(L646+M646)</f>
        <v>0.05</v>
      </c>
      <c r="R646" s="6" t="n">
        <v>0</v>
      </c>
      <c r="S646" s="11"/>
      <c r="T646" s="11" t="n">
        <v>0.05</v>
      </c>
      <c r="U646" s="11" t="n">
        <v>0.85</v>
      </c>
      <c r="V646" s="11" t="n">
        <v>0.85</v>
      </c>
    </row>
    <row r="647" customFormat="false" ht="15" hidden="false" customHeight="false" outlineLevel="0" collapsed="false">
      <c r="A647" s="6" t="s">
        <v>54</v>
      </c>
      <c r="B647" s="6" t="s">
        <v>43</v>
      </c>
      <c r="C647" s="6" t="s">
        <v>49</v>
      </c>
      <c r="D647" s="6" t="s">
        <v>117</v>
      </c>
      <c r="E647" s="6" t="n">
        <v>16</v>
      </c>
      <c r="F647" s="6" t="n">
        <v>9</v>
      </c>
      <c r="G647" s="6" t="s">
        <v>75</v>
      </c>
      <c r="H647" s="11" t="n">
        <v>0.05</v>
      </c>
      <c r="I647" s="6" t="n">
        <v>20</v>
      </c>
      <c r="J647" s="6" t="n">
        <v>0</v>
      </c>
      <c r="K647" s="6" t="n">
        <v>20</v>
      </c>
      <c r="L647" s="6" t="n">
        <v>0</v>
      </c>
      <c r="M647" s="6" t="n">
        <v>20</v>
      </c>
      <c r="N647" s="11" t="n">
        <f aca="false">J647/(J647+K647)</f>
        <v>0</v>
      </c>
      <c r="O647" s="11" t="str">
        <f aca="false">IF(J647+L647=0,"",J647/(J647+L647))</f>
        <v/>
      </c>
      <c r="P647" s="11" t="n">
        <f aca="false">2*J647/(2*J647+L647+K647)</f>
        <v>0</v>
      </c>
      <c r="Q647" s="11" t="n">
        <f aca="false">L647/(L647+M647)</f>
        <v>0</v>
      </c>
      <c r="R647" s="6" t="n">
        <v>0</v>
      </c>
      <c r="S647" s="11"/>
      <c r="T647" s="11" t="n">
        <v>0</v>
      </c>
      <c r="U647" s="11" t="n">
        <v>0.9</v>
      </c>
      <c r="V647" s="11" t="n">
        <v>0.9</v>
      </c>
    </row>
    <row r="648" customFormat="false" ht="15" hidden="false" customHeight="false" outlineLevel="0" collapsed="false">
      <c r="A648" s="6" t="s">
        <v>54</v>
      </c>
      <c r="B648" s="6" t="s">
        <v>43</v>
      </c>
      <c r="C648" s="6" t="s">
        <v>49</v>
      </c>
      <c r="D648" s="6" t="s">
        <v>117</v>
      </c>
      <c r="E648" s="6" t="n">
        <v>16</v>
      </c>
      <c r="F648" s="6" t="n">
        <v>9</v>
      </c>
      <c r="G648" s="6" t="s">
        <v>76</v>
      </c>
      <c r="H648" s="11" t="n">
        <v>0.05</v>
      </c>
      <c r="I648" s="6" t="n">
        <v>20</v>
      </c>
      <c r="J648" s="6" t="n">
        <v>0</v>
      </c>
      <c r="K648" s="6" t="n">
        <v>20</v>
      </c>
      <c r="L648" s="6" t="n">
        <v>0</v>
      </c>
      <c r="M648" s="6" t="n">
        <v>20</v>
      </c>
      <c r="N648" s="11" t="n">
        <f aca="false">J648/(J648+K648)</f>
        <v>0</v>
      </c>
      <c r="O648" s="11" t="str">
        <f aca="false">IF(J648+L648=0,"",J648/(J648+L648))</f>
        <v/>
      </c>
      <c r="P648" s="11" t="n">
        <f aca="false">2*J648/(2*J648+L648+K648)</f>
        <v>0</v>
      </c>
      <c r="Q648" s="11" t="n">
        <f aca="false">L648/(L648+M648)</f>
        <v>0</v>
      </c>
      <c r="R648" s="6" t="n">
        <v>0</v>
      </c>
      <c r="S648" s="11"/>
      <c r="T648" s="11" t="n">
        <v>0</v>
      </c>
      <c r="U648" s="11" t="n">
        <v>0.95</v>
      </c>
      <c r="V648" s="11" t="n">
        <v>0.95</v>
      </c>
    </row>
    <row r="649" customFormat="false" ht="15" hidden="false" customHeight="false" outlineLevel="0" collapsed="false">
      <c r="A649" s="6" t="s">
        <v>54</v>
      </c>
      <c r="B649" s="6" t="s">
        <v>43</v>
      </c>
      <c r="C649" s="6" t="s">
        <v>49</v>
      </c>
      <c r="D649" s="6" t="s">
        <v>117</v>
      </c>
      <c r="E649" s="6" t="n">
        <v>16</v>
      </c>
      <c r="F649" s="6" t="n">
        <v>9</v>
      </c>
      <c r="G649" s="6" t="s">
        <v>77</v>
      </c>
      <c r="H649" s="11" t="n">
        <v>0.05</v>
      </c>
      <c r="I649" s="6" t="n">
        <v>20</v>
      </c>
      <c r="J649" s="6" t="n">
        <v>1</v>
      </c>
      <c r="K649" s="6" t="n">
        <v>19</v>
      </c>
      <c r="L649" s="6" t="n">
        <v>1</v>
      </c>
      <c r="M649" s="6" t="n">
        <v>19</v>
      </c>
      <c r="N649" s="11" t="n">
        <f aca="false">J649/(J649+K649)</f>
        <v>0.05</v>
      </c>
      <c r="O649" s="11" t="n">
        <f aca="false">IF(J649+L649=0,"",J649/(J649+L649))</f>
        <v>0.5</v>
      </c>
      <c r="P649" s="11" t="n">
        <f aca="false">2*J649/(2*J649+L649+K649)</f>
        <v>0.0909090909090909</v>
      </c>
      <c r="Q649" s="11" t="n">
        <f aca="false">L649/(L649+M649)</f>
        <v>0.05</v>
      </c>
      <c r="R649" s="6" t="n">
        <v>0</v>
      </c>
      <c r="S649" s="11"/>
      <c r="T649" s="11" t="n">
        <v>0.05</v>
      </c>
      <c r="U649" s="11" t="n">
        <v>1</v>
      </c>
      <c r="V649" s="11" t="n">
        <v>1</v>
      </c>
    </row>
    <row r="650" customFormat="false" ht="15" hidden="false" customHeight="false" outlineLevel="0" collapsed="false">
      <c r="A650" s="6" t="s">
        <v>54</v>
      </c>
      <c r="B650" s="6" t="s">
        <v>43</v>
      </c>
      <c r="C650" s="6" t="s">
        <v>49</v>
      </c>
      <c r="D650" s="6" t="s">
        <v>117</v>
      </c>
      <c r="E650" s="6" t="n">
        <v>16</v>
      </c>
      <c r="F650" s="6" t="n">
        <v>9</v>
      </c>
      <c r="G650" s="6" t="s">
        <v>78</v>
      </c>
      <c r="H650" s="11" t="n">
        <v>0.05</v>
      </c>
      <c r="I650" s="6" t="n">
        <v>200</v>
      </c>
      <c r="J650" s="6" t="n">
        <v>6</v>
      </c>
      <c r="K650" s="6" t="n">
        <v>194</v>
      </c>
      <c r="L650" s="6" t="n">
        <v>6</v>
      </c>
      <c r="M650" s="6" t="n">
        <v>194</v>
      </c>
      <c r="N650" s="11" t="n">
        <f aca="false">J650/(J650+K650)</f>
        <v>0.03</v>
      </c>
      <c r="O650" s="11" t="n">
        <f aca="false">IF(J650+L650=0,"",J650/(J650+L650))</f>
        <v>0.5</v>
      </c>
      <c r="P650" s="11" t="n">
        <f aca="false">2*J650/(2*J650+L650+K650)</f>
        <v>0.0566037735849057</v>
      </c>
      <c r="Q650" s="11" t="n">
        <f aca="false">L650/(L650+M650)</f>
        <v>0.03</v>
      </c>
      <c r="R650" s="6" t="n">
        <v>0</v>
      </c>
      <c r="S650" s="11"/>
      <c r="T650" s="11" t="n">
        <v>0.03</v>
      </c>
      <c r="U650" s="11" t="n">
        <v>0.88</v>
      </c>
      <c r="V650" s="11" t="n">
        <v>0.88</v>
      </c>
    </row>
    <row r="651" customFormat="false" ht="15" hidden="false" customHeight="false" outlineLevel="0" collapsed="false">
      <c r="A651" s="6" t="s">
        <v>54</v>
      </c>
      <c r="B651" s="6" t="s">
        <v>43</v>
      </c>
      <c r="C651" s="6" t="s">
        <v>49</v>
      </c>
      <c r="D651" s="6" t="s">
        <v>117</v>
      </c>
      <c r="E651" s="6" t="n">
        <v>16</v>
      </c>
      <c r="F651" s="6" t="n">
        <v>10</v>
      </c>
      <c r="G651" s="6" t="s">
        <v>68</v>
      </c>
      <c r="H651" s="11" t="n">
        <v>0.05</v>
      </c>
      <c r="I651" s="6" t="n">
        <v>20</v>
      </c>
      <c r="J651" s="6" t="n">
        <v>2</v>
      </c>
      <c r="K651" s="6" t="n">
        <v>18</v>
      </c>
      <c r="L651" s="6" t="n">
        <v>2</v>
      </c>
      <c r="M651" s="6" t="n">
        <v>18</v>
      </c>
      <c r="N651" s="11" t="n">
        <f aca="false">J651/(J651+K651)</f>
        <v>0.1</v>
      </c>
      <c r="O651" s="11" t="n">
        <f aca="false">IF(J651+L651=0,"",J651/(J651+L651))</f>
        <v>0.5</v>
      </c>
      <c r="P651" s="11" t="n">
        <f aca="false">2*J651/(2*J651+L651+K651)</f>
        <v>0.166666666666667</v>
      </c>
      <c r="Q651" s="11" t="n">
        <f aca="false">L651/(L651+M651)</f>
        <v>0.1</v>
      </c>
      <c r="R651" s="6" t="n">
        <v>0</v>
      </c>
      <c r="S651" s="11"/>
      <c r="T651" s="11" t="n">
        <v>0.1</v>
      </c>
      <c r="U651" s="11" t="n">
        <v>0.85</v>
      </c>
      <c r="V651" s="11" t="n">
        <v>0.85</v>
      </c>
    </row>
    <row r="652" customFormat="false" ht="15" hidden="false" customHeight="false" outlineLevel="0" collapsed="false">
      <c r="A652" s="6" t="s">
        <v>54</v>
      </c>
      <c r="B652" s="6" t="s">
        <v>43</v>
      </c>
      <c r="C652" s="6" t="s">
        <v>49</v>
      </c>
      <c r="D652" s="6" t="s">
        <v>117</v>
      </c>
      <c r="E652" s="6" t="n">
        <v>16</v>
      </c>
      <c r="F652" s="6" t="n">
        <v>10</v>
      </c>
      <c r="G652" s="6" t="s">
        <v>69</v>
      </c>
      <c r="H652" s="11" t="n">
        <v>0.05</v>
      </c>
      <c r="I652" s="6" t="n">
        <v>20</v>
      </c>
      <c r="J652" s="6" t="n">
        <v>1</v>
      </c>
      <c r="K652" s="6" t="n">
        <v>19</v>
      </c>
      <c r="L652" s="6" t="n">
        <v>1</v>
      </c>
      <c r="M652" s="6" t="n">
        <v>19</v>
      </c>
      <c r="N652" s="11" t="n">
        <f aca="false">J652/(J652+K652)</f>
        <v>0.05</v>
      </c>
      <c r="O652" s="11" t="n">
        <f aca="false">IF(J652+L652=0,"",J652/(J652+L652))</f>
        <v>0.5</v>
      </c>
      <c r="P652" s="11" t="n">
        <f aca="false">2*J652/(2*J652+L652+K652)</f>
        <v>0.0909090909090909</v>
      </c>
      <c r="Q652" s="11" t="n">
        <f aca="false">L652/(L652+M652)</f>
        <v>0.05</v>
      </c>
      <c r="R652" s="6" t="n">
        <v>0</v>
      </c>
      <c r="S652" s="11"/>
      <c r="T652" s="11" t="n">
        <v>0.05</v>
      </c>
      <c r="U652" s="11" t="n">
        <v>1</v>
      </c>
      <c r="V652" s="11" t="n">
        <v>1</v>
      </c>
    </row>
    <row r="653" customFormat="false" ht="15" hidden="false" customHeight="false" outlineLevel="0" collapsed="false">
      <c r="A653" s="6" t="s">
        <v>54</v>
      </c>
      <c r="B653" s="6" t="s">
        <v>43</v>
      </c>
      <c r="C653" s="6" t="s">
        <v>49</v>
      </c>
      <c r="D653" s="6" t="s">
        <v>117</v>
      </c>
      <c r="E653" s="6" t="n">
        <v>16</v>
      </c>
      <c r="F653" s="6" t="n">
        <v>10</v>
      </c>
      <c r="G653" s="6" t="s">
        <v>70</v>
      </c>
      <c r="H653" s="11" t="n">
        <v>0.05</v>
      </c>
      <c r="I653" s="6" t="n">
        <v>20</v>
      </c>
      <c r="J653" s="6" t="n">
        <v>0</v>
      </c>
      <c r="K653" s="6" t="n">
        <v>20</v>
      </c>
      <c r="L653" s="6" t="n">
        <v>0</v>
      </c>
      <c r="M653" s="6" t="n">
        <v>20</v>
      </c>
      <c r="N653" s="11" t="n">
        <f aca="false">J653/(J653+K653)</f>
        <v>0</v>
      </c>
      <c r="O653" s="11" t="str">
        <f aca="false">IF(J653+L653=0,"",J653/(J653+L653))</f>
        <v/>
      </c>
      <c r="P653" s="11" t="n">
        <f aca="false">2*J653/(2*J653+L653+K653)</f>
        <v>0</v>
      </c>
      <c r="Q653" s="11" t="n">
        <f aca="false">L653/(L653+M653)</f>
        <v>0</v>
      </c>
      <c r="R653" s="6" t="n">
        <v>0</v>
      </c>
      <c r="S653" s="11"/>
      <c r="T653" s="11" t="n">
        <v>0</v>
      </c>
      <c r="U653" s="11" t="n">
        <v>0.9</v>
      </c>
      <c r="V653" s="11" t="n">
        <v>0.9</v>
      </c>
    </row>
    <row r="654" customFormat="false" ht="15" hidden="false" customHeight="false" outlineLevel="0" collapsed="false">
      <c r="A654" s="6" t="s">
        <v>54</v>
      </c>
      <c r="B654" s="6" t="s">
        <v>43</v>
      </c>
      <c r="C654" s="6" t="s">
        <v>49</v>
      </c>
      <c r="D654" s="6" t="s">
        <v>117</v>
      </c>
      <c r="E654" s="6" t="n">
        <v>16</v>
      </c>
      <c r="F654" s="6" t="n">
        <v>10</v>
      </c>
      <c r="G654" s="6" t="s">
        <v>71</v>
      </c>
      <c r="H654" s="11" t="n">
        <v>0.05</v>
      </c>
      <c r="I654" s="6" t="n">
        <v>20</v>
      </c>
      <c r="J654" s="6" t="n">
        <v>0</v>
      </c>
      <c r="K654" s="6" t="n">
        <v>20</v>
      </c>
      <c r="L654" s="6" t="n">
        <v>0</v>
      </c>
      <c r="M654" s="6" t="n">
        <v>20</v>
      </c>
      <c r="N654" s="11" t="n">
        <f aca="false">J654/(J654+K654)</f>
        <v>0</v>
      </c>
      <c r="O654" s="11" t="str">
        <f aca="false">IF(J654+L654=0,"",J654/(J654+L654))</f>
        <v/>
      </c>
      <c r="P654" s="11" t="n">
        <f aca="false">2*J654/(2*J654+L654+K654)</f>
        <v>0</v>
      </c>
      <c r="Q654" s="11" t="n">
        <f aca="false">L654/(L654+M654)</f>
        <v>0</v>
      </c>
      <c r="R654" s="6" t="n">
        <v>0</v>
      </c>
      <c r="S654" s="11"/>
      <c r="T654" s="11" t="n">
        <v>0</v>
      </c>
      <c r="U654" s="11" t="n">
        <v>0.8</v>
      </c>
      <c r="V654" s="11" t="n">
        <v>0.8</v>
      </c>
    </row>
    <row r="655" customFormat="false" ht="15" hidden="false" customHeight="false" outlineLevel="0" collapsed="false">
      <c r="A655" s="6" t="s">
        <v>54</v>
      </c>
      <c r="B655" s="6" t="s">
        <v>43</v>
      </c>
      <c r="C655" s="6" t="s">
        <v>49</v>
      </c>
      <c r="D655" s="6" t="s">
        <v>117</v>
      </c>
      <c r="E655" s="6" t="n">
        <v>16</v>
      </c>
      <c r="F655" s="6" t="n">
        <v>10</v>
      </c>
      <c r="G655" s="6" t="s">
        <v>72</v>
      </c>
      <c r="H655" s="11" t="n">
        <v>0.05</v>
      </c>
      <c r="I655" s="6" t="n">
        <v>20</v>
      </c>
      <c r="J655" s="6" t="n">
        <v>1</v>
      </c>
      <c r="K655" s="6" t="n">
        <v>19</v>
      </c>
      <c r="L655" s="6" t="n">
        <v>1</v>
      </c>
      <c r="M655" s="6" t="n">
        <v>19</v>
      </c>
      <c r="N655" s="11" t="n">
        <f aca="false">J655/(J655+K655)</f>
        <v>0.05</v>
      </c>
      <c r="O655" s="11" t="n">
        <f aca="false">IF(J655+L655=0,"",J655/(J655+L655))</f>
        <v>0.5</v>
      </c>
      <c r="P655" s="11" t="n">
        <f aca="false">2*J655/(2*J655+L655+K655)</f>
        <v>0.0909090909090909</v>
      </c>
      <c r="Q655" s="11" t="n">
        <f aca="false">L655/(L655+M655)</f>
        <v>0.05</v>
      </c>
      <c r="R655" s="6" t="n">
        <v>0</v>
      </c>
      <c r="S655" s="11"/>
      <c r="T655" s="11" t="n">
        <v>0.05</v>
      </c>
      <c r="U655" s="11" t="n">
        <v>0.9</v>
      </c>
      <c r="V655" s="11" t="n">
        <v>0.9</v>
      </c>
    </row>
    <row r="656" customFormat="false" ht="15" hidden="false" customHeight="false" outlineLevel="0" collapsed="false">
      <c r="A656" s="6" t="s">
        <v>54</v>
      </c>
      <c r="B656" s="6" t="s">
        <v>43</v>
      </c>
      <c r="C656" s="6" t="s">
        <v>49</v>
      </c>
      <c r="D656" s="6" t="s">
        <v>117</v>
      </c>
      <c r="E656" s="6" t="n">
        <v>16</v>
      </c>
      <c r="F656" s="6" t="n">
        <v>10</v>
      </c>
      <c r="G656" s="6" t="s">
        <v>73</v>
      </c>
      <c r="H656" s="11" t="n">
        <v>0.05</v>
      </c>
      <c r="I656" s="6" t="n">
        <v>20</v>
      </c>
      <c r="J656" s="6" t="n">
        <v>0</v>
      </c>
      <c r="K656" s="6" t="n">
        <v>20</v>
      </c>
      <c r="L656" s="6" t="n">
        <v>0</v>
      </c>
      <c r="M656" s="6" t="n">
        <v>20</v>
      </c>
      <c r="N656" s="11" t="n">
        <f aca="false">J656/(J656+K656)</f>
        <v>0</v>
      </c>
      <c r="O656" s="11" t="str">
        <f aca="false">IF(J656+L656=0,"",J656/(J656+L656))</f>
        <v/>
      </c>
      <c r="P656" s="11" t="n">
        <f aca="false">2*J656/(2*J656+L656+K656)</f>
        <v>0</v>
      </c>
      <c r="Q656" s="11" t="n">
        <f aca="false">L656/(L656+M656)</f>
        <v>0</v>
      </c>
      <c r="R656" s="6" t="n">
        <v>0</v>
      </c>
      <c r="S656" s="11"/>
      <c r="T656" s="11" t="n">
        <v>0</v>
      </c>
      <c r="U656" s="11" t="n">
        <v>0.65</v>
      </c>
      <c r="V656" s="11" t="n">
        <v>0.65</v>
      </c>
    </row>
    <row r="657" customFormat="false" ht="15" hidden="false" customHeight="false" outlineLevel="0" collapsed="false">
      <c r="A657" s="6" t="s">
        <v>54</v>
      </c>
      <c r="B657" s="6" t="s">
        <v>43</v>
      </c>
      <c r="C657" s="6" t="s">
        <v>49</v>
      </c>
      <c r="D657" s="6" t="s">
        <v>117</v>
      </c>
      <c r="E657" s="6" t="n">
        <v>16</v>
      </c>
      <c r="F657" s="6" t="n">
        <v>10</v>
      </c>
      <c r="G657" s="6" t="s">
        <v>74</v>
      </c>
      <c r="H657" s="11" t="n">
        <v>0.05</v>
      </c>
      <c r="I657" s="6" t="n">
        <v>20</v>
      </c>
      <c r="J657" s="6" t="n">
        <v>1</v>
      </c>
      <c r="K657" s="6" t="n">
        <v>19</v>
      </c>
      <c r="L657" s="6" t="n">
        <v>1</v>
      </c>
      <c r="M657" s="6" t="n">
        <v>19</v>
      </c>
      <c r="N657" s="11" t="n">
        <f aca="false">J657/(J657+K657)</f>
        <v>0.05</v>
      </c>
      <c r="O657" s="11" t="n">
        <f aca="false">IF(J657+L657=0,"",J657/(J657+L657))</f>
        <v>0.5</v>
      </c>
      <c r="P657" s="11" t="n">
        <f aca="false">2*J657/(2*J657+L657+K657)</f>
        <v>0.0909090909090909</v>
      </c>
      <c r="Q657" s="11" t="n">
        <f aca="false">L657/(L657+M657)</f>
        <v>0.05</v>
      </c>
      <c r="R657" s="6" t="n">
        <v>0</v>
      </c>
      <c r="S657" s="11"/>
      <c r="T657" s="11" t="n">
        <v>0.05</v>
      </c>
      <c r="U657" s="11" t="n">
        <v>0.85</v>
      </c>
      <c r="V657" s="11" t="n">
        <v>0.85</v>
      </c>
    </row>
    <row r="658" customFormat="false" ht="15" hidden="false" customHeight="false" outlineLevel="0" collapsed="false">
      <c r="A658" s="6" t="s">
        <v>54</v>
      </c>
      <c r="B658" s="6" t="s">
        <v>43</v>
      </c>
      <c r="C658" s="6" t="s">
        <v>49</v>
      </c>
      <c r="D658" s="6" t="s">
        <v>117</v>
      </c>
      <c r="E658" s="6" t="n">
        <v>16</v>
      </c>
      <c r="F658" s="6" t="n">
        <v>10</v>
      </c>
      <c r="G658" s="6" t="s">
        <v>75</v>
      </c>
      <c r="H658" s="11" t="n">
        <v>0.05</v>
      </c>
      <c r="I658" s="6" t="n">
        <v>20</v>
      </c>
      <c r="J658" s="6" t="n">
        <v>0</v>
      </c>
      <c r="K658" s="6" t="n">
        <v>20</v>
      </c>
      <c r="L658" s="6" t="n">
        <v>0</v>
      </c>
      <c r="M658" s="6" t="n">
        <v>20</v>
      </c>
      <c r="N658" s="11" t="n">
        <f aca="false">J658/(J658+K658)</f>
        <v>0</v>
      </c>
      <c r="O658" s="11" t="str">
        <f aca="false">IF(J658+L658=0,"",J658/(J658+L658))</f>
        <v/>
      </c>
      <c r="P658" s="11" t="n">
        <f aca="false">2*J658/(2*J658+L658+K658)</f>
        <v>0</v>
      </c>
      <c r="Q658" s="11" t="n">
        <f aca="false">L658/(L658+M658)</f>
        <v>0</v>
      </c>
      <c r="R658" s="6" t="n">
        <v>0</v>
      </c>
      <c r="S658" s="11"/>
      <c r="T658" s="11" t="n">
        <v>0</v>
      </c>
      <c r="U658" s="11" t="n">
        <v>0.9</v>
      </c>
      <c r="V658" s="11" t="n">
        <v>0.9</v>
      </c>
    </row>
    <row r="659" customFormat="false" ht="15" hidden="false" customHeight="false" outlineLevel="0" collapsed="false">
      <c r="A659" s="6" t="s">
        <v>54</v>
      </c>
      <c r="B659" s="6" t="s">
        <v>43</v>
      </c>
      <c r="C659" s="6" t="s">
        <v>49</v>
      </c>
      <c r="D659" s="6" t="s">
        <v>117</v>
      </c>
      <c r="E659" s="6" t="n">
        <v>16</v>
      </c>
      <c r="F659" s="6" t="n">
        <v>10</v>
      </c>
      <c r="G659" s="6" t="s">
        <v>76</v>
      </c>
      <c r="H659" s="11" t="n">
        <v>0.05</v>
      </c>
      <c r="I659" s="6" t="n">
        <v>20</v>
      </c>
      <c r="J659" s="6" t="n">
        <v>0</v>
      </c>
      <c r="K659" s="6" t="n">
        <v>20</v>
      </c>
      <c r="L659" s="6" t="n">
        <v>0</v>
      </c>
      <c r="M659" s="6" t="n">
        <v>20</v>
      </c>
      <c r="N659" s="11" t="n">
        <f aca="false">J659/(J659+K659)</f>
        <v>0</v>
      </c>
      <c r="O659" s="11" t="str">
        <f aca="false">IF(J659+L659=0,"",J659/(J659+L659))</f>
        <v/>
      </c>
      <c r="P659" s="11" t="n">
        <f aca="false">2*J659/(2*J659+L659+K659)</f>
        <v>0</v>
      </c>
      <c r="Q659" s="11" t="n">
        <f aca="false">L659/(L659+M659)</f>
        <v>0</v>
      </c>
      <c r="R659" s="6" t="n">
        <v>0</v>
      </c>
      <c r="S659" s="11"/>
      <c r="T659" s="11" t="n">
        <v>0</v>
      </c>
      <c r="U659" s="11" t="n">
        <v>0.95</v>
      </c>
      <c r="V659" s="11" t="n">
        <v>0.95</v>
      </c>
    </row>
    <row r="660" customFormat="false" ht="15" hidden="false" customHeight="false" outlineLevel="0" collapsed="false">
      <c r="A660" s="6" t="s">
        <v>54</v>
      </c>
      <c r="B660" s="6" t="s">
        <v>43</v>
      </c>
      <c r="C660" s="6" t="s">
        <v>49</v>
      </c>
      <c r="D660" s="6" t="s">
        <v>117</v>
      </c>
      <c r="E660" s="6" t="n">
        <v>16</v>
      </c>
      <c r="F660" s="6" t="n">
        <v>10</v>
      </c>
      <c r="G660" s="6" t="s">
        <v>77</v>
      </c>
      <c r="H660" s="11" t="n">
        <v>0.05</v>
      </c>
      <c r="I660" s="6" t="n">
        <v>20</v>
      </c>
      <c r="J660" s="6" t="n">
        <v>1</v>
      </c>
      <c r="K660" s="6" t="n">
        <v>19</v>
      </c>
      <c r="L660" s="6" t="n">
        <v>1</v>
      </c>
      <c r="M660" s="6" t="n">
        <v>19</v>
      </c>
      <c r="N660" s="11" t="n">
        <f aca="false">J660/(J660+K660)</f>
        <v>0.05</v>
      </c>
      <c r="O660" s="11" t="n">
        <f aca="false">IF(J660+L660=0,"",J660/(J660+L660))</f>
        <v>0.5</v>
      </c>
      <c r="P660" s="11" t="n">
        <f aca="false">2*J660/(2*J660+L660+K660)</f>
        <v>0.0909090909090909</v>
      </c>
      <c r="Q660" s="11" t="n">
        <f aca="false">L660/(L660+M660)</f>
        <v>0.05</v>
      </c>
      <c r="R660" s="6" t="n">
        <v>0</v>
      </c>
      <c r="S660" s="11"/>
      <c r="T660" s="11" t="n">
        <v>0.05</v>
      </c>
      <c r="U660" s="11" t="n">
        <v>1</v>
      </c>
      <c r="V660" s="11" t="n">
        <v>1</v>
      </c>
    </row>
    <row r="661" customFormat="false" ht="15" hidden="false" customHeight="false" outlineLevel="0" collapsed="false">
      <c r="A661" s="6" t="s">
        <v>54</v>
      </c>
      <c r="B661" s="6" t="s">
        <v>43</v>
      </c>
      <c r="C661" s="6" t="s">
        <v>49</v>
      </c>
      <c r="D661" s="6" t="s">
        <v>117</v>
      </c>
      <c r="E661" s="6" t="n">
        <v>16</v>
      </c>
      <c r="F661" s="6" t="n">
        <v>10</v>
      </c>
      <c r="G661" s="6" t="s">
        <v>78</v>
      </c>
      <c r="H661" s="11" t="n">
        <v>0.05</v>
      </c>
      <c r="I661" s="6" t="n">
        <v>200</v>
      </c>
      <c r="J661" s="6" t="n">
        <v>6</v>
      </c>
      <c r="K661" s="6" t="n">
        <v>194</v>
      </c>
      <c r="L661" s="6" t="n">
        <v>6</v>
      </c>
      <c r="M661" s="6" t="n">
        <v>194</v>
      </c>
      <c r="N661" s="11" t="n">
        <f aca="false">J661/(J661+K661)</f>
        <v>0.03</v>
      </c>
      <c r="O661" s="11" t="n">
        <f aca="false">IF(J661+L661=0,"",J661/(J661+L661))</f>
        <v>0.5</v>
      </c>
      <c r="P661" s="11" t="n">
        <f aca="false">2*J661/(2*J661+L661+K661)</f>
        <v>0.0566037735849057</v>
      </c>
      <c r="Q661" s="11" t="n">
        <f aca="false">L661/(L661+M661)</f>
        <v>0.03</v>
      </c>
      <c r="R661" s="6" t="n">
        <v>0</v>
      </c>
      <c r="S661" s="11"/>
      <c r="T661" s="11" t="n">
        <v>0.03</v>
      </c>
      <c r="U661" s="11" t="n">
        <v>0.88</v>
      </c>
      <c r="V661" s="11" t="n">
        <v>0.88</v>
      </c>
    </row>
    <row r="662" customFormat="false" ht="15" hidden="false" customHeight="false" outlineLevel="0" collapsed="false">
      <c r="A662" s="6" t="s">
        <v>56</v>
      </c>
      <c r="B662" s="6" t="s">
        <v>43</v>
      </c>
      <c r="C662" s="6" t="s">
        <v>51</v>
      </c>
      <c r="D662" s="6" t="s">
        <v>118</v>
      </c>
      <c r="E662" s="6" t="n">
        <v>16</v>
      </c>
      <c r="F662" s="6" t="n">
        <v>1</v>
      </c>
      <c r="G662" s="6" t="s">
        <v>68</v>
      </c>
      <c r="H662" s="11" t="n">
        <v>0.05</v>
      </c>
      <c r="I662" s="6" t="n">
        <v>20</v>
      </c>
      <c r="J662" s="6" t="n">
        <v>2</v>
      </c>
      <c r="K662" s="6" t="n">
        <v>18</v>
      </c>
      <c r="L662" s="6" t="n">
        <v>2</v>
      </c>
      <c r="M662" s="6" t="n">
        <v>18</v>
      </c>
      <c r="N662" s="11" t="n">
        <f aca="false">J662/(J662+K662)</f>
        <v>0.1</v>
      </c>
      <c r="O662" s="11" t="n">
        <f aca="false">IF(J662+L662=0,"",J662/(J662+L662))</f>
        <v>0.5</v>
      </c>
      <c r="P662" s="11" t="n">
        <f aca="false">2*J662/(2*J662+L662+K662)</f>
        <v>0.166666666666667</v>
      </c>
      <c r="Q662" s="11" t="n">
        <f aca="false">L662/(L662+M662)</f>
        <v>0.1</v>
      </c>
      <c r="R662" s="6" t="n">
        <v>0</v>
      </c>
      <c r="S662" s="11"/>
      <c r="T662" s="11" t="n">
        <v>0.1</v>
      </c>
      <c r="U662" s="11" t="n">
        <v>0.85</v>
      </c>
      <c r="V662" s="11" t="n">
        <v>0.85</v>
      </c>
    </row>
    <row r="663" customFormat="false" ht="15" hidden="false" customHeight="false" outlineLevel="0" collapsed="false">
      <c r="A663" s="6" t="s">
        <v>56</v>
      </c>
      <c r="B663" s="6" t="s">
        <v>43</v>
      </c>
      <c r="C663" s="6" t="s">
        <v>51</v>
      </c>
      <c r="D663" s="6" t="s">
        <v>118</v>
      </c>
      <c r="E663" s="6" t="n">
        <v>16</v>
      </c>
      <c r="F663" s="6" t="n">
        <v>1</v>
      </c>
      <c r="G663" s="6" t="s">
        <v>69</v>
      </c>
      <c r="H663" s="11" t="n">
        <v>0.05</v>
      </c>
      <c r="I663" s="6" t="n">
        <v>20</v>
      </c>
      <c r="J663" s="6" t="n">
        <v>1</v>
      </c>
      <c r="K663" s="6" t="n">
        <v>19</v>
      </c>
      <c r="L663" s="6" t="n">
        <v>1</v>
      </c>
      <c r="M663" s="6" t="n">
        <v>19</v>
      </c>
      <c r="N663" s="11" t="n">
        <f aca="false">J663/(J663+K663)</f>
        <v>0.05</v>
      </c>
      <c r="O663" s="11" t="n">
        <f aca="false">IF(J663+L663=0,"",J663/(J663+L663))</f>
        <v>0.5</v>
      </c>
      <c r="P663" s="11" t="n">
        <f aca="false">2*J663/(2*J663+L663+K663)</f>
        <v>0.0909090909090909</v>
      </c>
      <c r="Q663" s="11" t="n">
        <f aca="false">L663/(L663+M663)</f>
        <v>0.05</v>
      </c>
      <c r="R663" s="6" t="n">
        <v>0</v>
      </c>
      <c r="S663" s="11"/>
      <c r="T663" s="11" t="n">
        <v>0.05</v>
      </c>
      <c r="U663" s="11" t="n">
        <v>1</v>
      </c>
      <c r="V663" s="11" t="n">
        <v>1</v>
      </c>
    </row>
    <row r="664" customFormat="false" ht="15" hidden="false" customHeight="false" outlineLevel="0" collapsed="false">
      <c r="A664" s="6" t="s">
        <v>56</v>
      </c>
      <c r="B664" s="6" t="s">
        <v>43</v>
      </c>
      <c r="C664" s="6" t="s">
        <v>51</v>
      </c>
      <c r="D664" s="6" t="s">
        <v>118</v>
      </c>
      <c r="E664" s="6" t="n">
        <v>16</v>
      </c>
      <c r="F664" s="6" t="n">
        <v>1</v>
      </c>
      <c r="G664" s="6" t="s">
        <v>70</v>
      </c>
      <c r="H664" s="11" t="n">
        <v>0.05</v>
      </c>
      <c r="I664" s="6" t="n">
        <v>20</v>
      </c>
      <c r="J664" s="6" t="n">
        <v>0</v>
      </c>
      <c r="K664" s="6" t="n">
        <v>20</v>
      </c>
      <c r="L664" s="6" t="n">
        <v>0</v>
      </c>
      <c r="M664" s="6" t="n">
        <v>20</v>
      </c>
      <c r="N664" s="11" t="n">
        <f aca="false">J664/(J664+K664)</f>
        <v>0</v>
      </c>
      <c r="O664" s="11" t="str">
        <f aca="false">IF(J664+L664=0,"",J664/(J664+L664))</f>
        <v/>
      </c>
      <c r="P664" s="11" t="n">
        <f aca="false">2*J664/(2*J664+L664+K664)</f>
        <v>0</v>
      </c>
      <c r="Q664" s="11" t="n">
        <f aca="false">L664/(L664+M664)</f>
        <v>0</v>
      </c>
      <c r="R664" s="6" t="n">
        <v>0</v>
      </c>
      <c r="S664" s="11"/>
      <c r="T664" s="11" t="n">
        <v>0</v>
      </c>
      <c r="U664" s="11" t="n">
        <v>0.9</v>
      </c>
      <c r="V664" s="11" t="n">
        <v>0.9</v>
      </c>
    </row>
    <row r="665" customFormat="false" ht="15" hidden="false" customHeight="false" outlineLevel="0" collapsed="false">
      <c r="A665" s="6" t="s">
        <v>56</v>
      </c>
      <c r="B665" s="6" t="s">
        <v>43</v>
      </c>
      <c r="C665" s="6" t="s">
        <v>51</v>
      </c>
      <c r="D665" s="6" t="s">
        <v>118</v>
      </c>
      <c r="E665" s="6" t="n">
        <v>16</v>
      </c>
      <c r="F665" s="6" t="n">
        <v>1</v>
      </c>
      <c r="G665" s="6" t="s">
        <v>71</v>
      </c>
      <c r="H665" s="11" t="n">
        <v>0.05</v>
      </c>
      <c r="I665" s="6" t="n">
        <v>20</v>
      </c>
      <c r="J665" s="6" t="n">
        <v>0</v>
      </c>
      <c r="K665" s="6" t="n">
        <v>20</v>
      </c>
      <c r="L665" s="6" t="n">
        <v>0</v>
      </c>
      <c r="M665" s="6" t="n">
        <v>20</v>
      </c>
      <c r="N665" s="11" t="n">
        <f aca="false">J665/(J665+K665)</f>
        <v>0</v>
      </c>
      <c r="O665" s="11" t="str">
        <f aca="false">IF(J665+L665=0,"",J665/(J665+L665))</f>
        <v/>
      </c>
      <c r="P665" s="11" t="n">
        <f aca="false">2*J665/(2*J665+L665+K665)</f>
        <v>0</v>
      </c>
      <c r="Q665" s="11" t="n">
        <f aca="false">L665/(L665+M665)</f>
        <v>0</v>
      </c>
      <c r="R665" s="6" t="n">
        <v>0</v>
      </c>
      <c r="S665" s="11"/>
      <c r="T665" s="11" t="n">
        <v>0</v>
      </c>
      <c r="U665" s="11" t="n">
        <v>0.8</v>
      </c>
      <c r="V665" s="11" t="n">
        <v>0.8</v>
      </c>
    </row>
    <row r="666" customFormat="false" ht="15" hidden="false" customHeight="false" outlineLevel="0" collapsed="false">
      <c r="A666" s="6" t="s">
        <v>56</v>
      </c>
      <c r="B666" s="6" t="s">
        <v>43</v>
      </c>
      <c r="C666" s="6" t="s">
        <v>51</v>
      </c>
      <c r="D666" s="6" t="s">
        <v>118</v>
      </c>
      <c r="E666" s="6" t="n">
        <v>16</v>
      </c>
      <c r="F666" s="6" t="n">
        <v>1</v>
      </c>
      <c r="G666" s="6" t="s">
        <v>72</v>
      </c>
      <c r="H666" s="11" t="n">
        <v>0.05</v>
      </c>
      <c r="I666" s="6" t="n">
        <v>20</v>
      </c>
      <c r="J666" s="6" t="n">
        <v>1</v>
      </c>
      <c r="K666" s="6" t="n">
        <v>19</v>
      </c>
      <c r="L666" s="6" t="n">
        <v>1</v>
      </c>
      <c r="M666" s="6" t="n">
        <v>19</v>
      </c>
      <c r="N666" s="11" t="n">
        <f aca="false">J666/(J666+K666)</f>
        <v>0.05</v>
      </c>
      <c r="O666" s="11" t="n">
        <f aca="false">IF(J666+L666=0,"",J666/(J666+L666))</f>
        <v>0.5</v>
      </c>
      <c r="P666" s="11" t="n">
        <f aca="false">2*J666/(2*J666+L666+K666)</f>
        <v>0.0909090909090909</v>
      </c>
      <c r="Q666" s="11" t="n">
        <f aca="false">L666/(L666+M666)</f>
        <v>0.05</v>
      </c>
      <c r="R666" s="6" t="n">
        <v>0</v>
      </c>
      <c r="S666" s="11"/>
      <c r="T666" s="11" t="n">
        <v>0.05</v>
      </c>
      <c r="U666" s="11" t="n">
        <v>0.9</v>
      </c>
      <c r="V666" s="11" t="n">
        <v>0.9</v>
      </c>
    </row>
    <row r="667" customFormat="false" ht="15" hidden="false" customHeight="false" outlineLevel="0" collapsed="false">
      <c r="A667" s="6" t="s">
        <v>56</v>
      </c>
      <c r="B667" s="6" t="s">
        <v>43</v>
      </c>
      <c r="C667" s="6" t="s">
        <v>51</v>
      </c>
      <c r="D667" s="6" t="s">
        <v>118</v>
      </c>
      <c r="E667" s="6" t="n">
        <v>16</v>
      </c>
      <c r="F667" s="6" t="n">
        <v>1</v>
      </c>
      <c r="G667" s="6" t="s">
        <v>73</v>
      </c>
      <c r="H667" s="11" t="n">
        <v>0.05</v>
      </c>
      <c r="I667" s="6" t="n">
        <v>20</v>
      </c>
      <c r="J667" s="6" t="n">
        <v>0</v>
      </c>
      <c r="K667" s="6" t="n">
        <v>20</v>
      </c>
      <c r="L667" s="6" t="n">
        <v>0</v>
      </c>
      <c r="M667" s="6" t="n">
        <v>20</v>
      </c>
      <c r="N667" s="11" t="n">
        <f aca="false">J667/(J667+K667)</f>
        <v>0</v>
      </c>
      <c r="O667" s="11" t="str">
        <f aca="false">IF(J667+L667=0,"",J667/(J667+L667))</f>
        <v/>
      </c>
      <c r="P667" s="11" t="n">
        <f aca="false">2*J667/(2*J667+L667+K667)</f>
        <v>0</v>
      </c>
      <c r="Q667" s="11" t="n">
        <f aca="false">L667/(L667+M667)</f>
        <v>0</v>
      </c>
      <c r="R667" s="6" t="n">
        <v>0</v>
      </c>
      <c r="S667" s="11"/>
      <c r="T667" s="11" t="n">
        <v>0</v>
      </c>
      <c r="U667" s="11" t="n">
        <v>0.65</v>
      </c>
      <c r="V667" s="11" t="n">
        <v>0.65</v>
      </c>
    </row>
    <row r="668" customFormat="false" ht="15" hidden="false" customHeight="false" outlineLevel="0" collapsed="false">
      <c r="A668" s="6" t="s">
        <v>56</v>
      </c>
      <c r="B668" s="6" t="s">
        <v>43</v>
      </c>
      <c r="C668" s="6" t="s">
        <v>51</v>
      </c>
      <c r="D668" s="6" t="s">
        <v>118</v>
      </c>
      <c r="E668" s="6" t="n">
        <v>16</v>
      </c>
      <c r="F668" s="6" t="n">
        <v>1</v>
      </c>
      <c r="G668" s="6" t="s">
        <v>74</v>
      </c>
      <c r="H668" s="11" t="n">
        <v>0.05</v>
      </c>
      <c r="I668" s="6" t="n">
        <v>20</v>
      </c>
      <c r="J668" s="6" t="n">
        <v>1</v>
      </c>
      <c r="K668" s="6" t="n">
        <v>19</v>
      </c>
      <c r="L668" s="6" t="n">
        <v>1</v>
      </c>
      <c r="M668" s="6" t="n">
        <v>19</v>
      </c>
      <c r="N668" s="11" t="n">
        <f aca="false">J668/(J668+K668)</f>
        <v>0.05</v>
      </c>
      <c r="O668" s="11" t="n">
        <f aca="false">IF(J668+L668=0,"",J668/(J668+L668))</f>
        <v>0.5</v>
      </c>
      <c r="P668" s="11" t="n">
        <f aca="false">2*J668/(2*J668+L668+K668)</f>
        <v>0.0909090909090909</v>
      </c>
      <c r="Q668" s="11" t="n">
        <f aca="false">L668/(L668+M668)</f>
        <v>0.05</v>
      </c>
      <c r="R668" s="6" t="n">
        <v>0</v>
      </c>
      <c r="S668" s="11"/>
      <c r="T668" s="11" t="n">
        <v>0.05</v>
      </c>
      <c r="U668" s="11" t="n">
        <v>0.85</v>
      </c>
      <c r="V668" s="11" t="n">
        <v>0.85</v>
      </c>
    </row>
    <row r="669" customFormat="false" ht="15" hidden="false" customHeight="false" outlineLevel="0" collapsed="false">
      <c r="A669" s="6" t="s">
        <v>56</v>
      </c>
      <c r="B669" s="6" t="s">
        <v>43</v>
      </c>
      <c r="C669" s="6" t="s">
        <v>51</v>
      </c>
      <c r="D669" s="6" t="s">
        <v>118</v>
      </c>
      <c r="E669" s="6" t="n">
        <v>16</v>
      </c>
      <c r="F669" s="6" t="n">
        <v>1</v>
      </c>
      <c r="G669" s="6" t="s">
        <v>75</v>
      </c>
      <c r="H669" s="11" t="n">
        <v>0.05</v>
      </c>
      <c r="I669" s="6" t="n">
        <v>20</v>
      </c>
      <c r="J669" s="6" t="n">
        <v>0</v>
      </c>
      <c r="K669" s="6" t="n">
        <v>20</v>
      </c>
      <c r="L669" s="6" t="n">
        <v>0</v>
      </c>
      <c r="M669" s="6" t="n">
        <v>20</v>
      </c>
      <c r="N669" s="11" t="n">
        <f aca="false">J669/(J669+K669)</f>
        <v>0</v>
      </c>
      <c r="O669" s="11" t="str">
        <f aca="false">IF(J669+L669=0,"",J669/(J669+L669))</f>
        <v/>
      </c>
      <c r="P669" s="11" t="n">
        <f aca="false">2*J669/(2*J669+L669+K669)</f>
        <v>0</v>
      </c>
      <c r="Q669" s="11" t="n">
        <f aca="false">L669/(L669+M669)</f>
        <v>0</v>
      </c>
      <c r="R669" s="6" t="n">
        <v>0</v>
      </c>
      <c r="S669" s="11"/>
      <c r="T669" s="11" t="n">
        <v>0</v>
      </c>
      <c r="U669" s="11" t="n">
        <v>0.9</v>
      </c>
      <c r="V669" s="11" t="n">
        <v>0.9</v>
      </c>
    </row>
    <row r="670" customFormat="false" ht="15" hidden="false" customHeight="false" outlineLevel="0" collapsed="false">
      <c r="A670" s="6" t="s">
        <v>56</v>
      </c>
      <c r="B670" s="6" t="s">
        <v>43</v>
      </c>
      <c r="C670" s="6" t="s">
        <v>51</v>
      </c>
      <c r="D670" s="6" t="s">
        <v>118</v>
      </c>
      <c r="E670" s="6" t="n">
        <v>16</v>
      </c>
      <c r="F670" s="6" t="n">
        <v>1</v>
      </c>
      <c r="G670" s="6" t="s">
        <v>76</v>
      </c>
      <c r="H670" s="11" t="n">
        <v>0.05</v>
      </c>
      <c r="I670" s="6" t="n">
        <v>20</v>
      </c>
      <c r="J670" s="6" t="n">
        <v>0</v>
      </c>
      <c r="K670" s="6" t="n">
        <v>20</v>
      </c>
      <c r="L670" s="6" t="n">
        <v>0</v>
      </c>
      <c r="M670" s="6" t="n">
        <v>20</v>
      </c>
      <c r="N670" s="11" t="n">
        <f aca="false">J670/(J670+K670)</f>
        <v>0</v>
      </c>
      <c r="O670" s="11" t="str">
        <f aca="false">IF(J670+L670=0,"",J670/(J670+L670))</f>
        <v/>
      </c>
      <c r="P670" s="11" t="n">
        <f aca="false">2*J670/(2*J670+L670+K670)</f>
        <v>0</v>
      </c>
      <c r="Q670" s="11" t="n">
        <f aca="false">L670/(L670+M670)</f>
        <v>0</v>
      </c>
      <c r="R670" s="6" t="n">
        <v>0</v>
      </c>
      <c r="S670" s="11"/>
      <c r="T670" s="11" t="n">
        <v>0</v>
      </c>
      <c r="U670" s="11" t="n">
        <v>0.95</v>
      </c>
      <c r="V670" s="11" t="n">
        <v>0.95</v>
      </c>
    </row>
    <row r="671" customFormat="false" ht="15" hidden="false" customHeight="false" outlineLevel="0" collapsed="false">
      <c r="A671" s="6" t="s">
        <v>56</v>
      </c>
      <c r="B671" s="6" t="s">
        <v>43</v>
      </c>
      <c r="C671" s="6" t="s">
        <v>51</v>
      </c>
      <c r="D671" s="6" t="s">
        <v>118</v>
      </c>
      <c r="E671" s="6" t="n">
        <v>16</v>
      </c>
      <c r="F671" s="6" t="n">
        <v>1</v>
      </c>
      <c r="G671" s="6" t="s">
        <v>77</v>
      </c>
      <c r="H671" s="11" t="n">
        <v>0.05</v>
      </c>
      <c r="I671" s="6" t="n">
        <v>20</v>
      </c>
      <c r="J671" s="6" t="n">
        <v>1</v>
      </c>
      <c r="K671" s="6" t="n">
        <v>19</v>
      </c>
      <c r="L671" s="6" t="n">
        <v>1</v>
      </c>
      <c r="M671" s="6" t="n">
        <v>19</v>
      </c>
      <c r="N671" s="11" t="n">
        <f aca="false">J671/(J671+K671)</f>
        <v>0.05</v>
      </c>
      <c r="O671" s="11" t="n">
        <f aca="false">IF(J671+L671=0,"",J671/(J671+L671))</f>
        <v>0.5</v>
      </c>
      <c r="P671" s="11" t="n">
        <f aca="false">2*J671/(2*J671+L671+K671)</f>
        <v>0.0909090909090909</v>
      </c>
      <c r="Q671" s="11" t="n">
        <f aca="false">L671/(L671+M671)</f>
        <v>0.05</v>
      </c>
      <c r="R671" s="6" t="n">
        <v>0</v>
      </c>
      <c r="S671" s="11"/>
      <c r="T671" s="11" t="n">
        <v>0.05</v>
      </c>
      <c r="U671" s="11" t="n">
        <v>1</v>
      </c>
      <c r="V671" s="11" t="n">
        <v>1</v>
      </c>
    </row>
    <row r="672" customFormat="false" ht="15" hidden="false" customHeight="false" outlineLevel="0" collapsed="false">
      <c r="A672" s="6" t="s">
        <v>56</v>
      </c>
      <c r="B672" s="6" t="s">
        <v>43</v>
      </c>
      <c r="C672" s="6" t="s">
        <v>51</v>
      </c>
      <c r="D672" s="6" t="s">
        <v>118</v>
      </c>
      <c r="E672" s="6" t="n">
        <v>16</v>
      </c>
      <c r="F672" s="6" t="n">
        <v>1</v>
      </c>
      <c r="G672" s="6" t="s">
        <v>78</v>
      </c>
      <c r="H672" s="11" t="n">
        <v>0.05</v>
      </c>
      <c r="I672" s="6" t="n">
        <v>200</v>
      </c>
      <c r="J672" s="6" t="n">
        <v>6</v>
      </c>
      <c r="K672" s="6" t="n">
        <v>194</v>
      </c>
      <c r="L672" s="6" t="n">
        <v>6</v>
      </c>
      <c r="M672" s="6" t="n">
        <v>194</v>
      </c>
      <c r="N672" s="11" t="n">
        <f aca="false">J672/(J672+K672)</f>
        <v>0.03</v>
      </c>
      <c r="O672" s="11" t="n">
        <f aca="false">IF(J672+L672=0,"",J672/(J672+L672))</f>
        <v>0.5</v>
      </c>
      <c r="P672" s="11" t="n">
        <f aca="false">2*J672/(2*J672+L672+K672)</f>
        <v>0.0566037735849057</v>
      </c>
      <c r="Q672" s="11" t="n">
        <f aca="false">L672/(L672+M672)</f>
        <v>0.03</v>
      </c>
      <c r="R672" s="6" t="n">
        <v>0</v>
      </c>
      <c r="S672" s="11"/>
      <c r="T672" s="11" t="n">
        <v>0.03</v>
      </c>
      <c r="U672" s="11" t="n">
        <v>0.88</v>
      </c>
      <c r="V672" s="11" t="n">
        <v>0.88</v>
      </c>
    </row>
    <row r="673" customFormat="false" ht="15" hidden="false" customHeight="false" outlineLevel="0" collapsed="false">
      <c r="A673" s="6" t="s">
        <v>56</v>
      </c>
      <c r="B673" s="6" t="s">
        <v>43</v>
      </c>
      <c r="C673" s="6" t="s">
        <v>51</v>
      </c>
      <c r="D673" s="6" t="s">
        <v>118</v>
      </c>
      <c r="E673" s="6" t="n">
        <v>16</v>
      </c>
      <c r="F673" s="6" t="n">
        <v>2</v>
      </c>
      <c r="G673" s="6" t="s">
        <v>68</v>
      </c>
      <c r="H673" s="11" t="n">
        <v>0.05</v>
      </c>
      <c r="I673" s="6" t="n">
        <v>20</v>
      </c>
      <c r="J673" s="6" t="n">
        <v>2</v>
      </c>
      <c r="K673" s="6" t="n">
        <v>18</v>
      </c>
      <c r="L673" s="6" t="n">
        <v>2</v>
      </c>
      <c r="M673" s="6" t="n">
        <v>18</v>
      </c>
      <c r="N673" s="11" t="n">
        <f aca="false">J673/(J673+K673)</f>
        <v>0.1</v>
      </c>
      <c r="O673" s="11" t="n">
        <f aca="false">IF(J673+L673=0,"",J673/(J673+L673))</f>
        <v>0.5</v>
      </c>
      <c r="P673" s="11" t="n">
        <f aca="false">2*J673/(2*J673+L673+K673)</f>
        <v>0.166666666666667</v>
      </c>
      <c r="Q673" s="11" t="n">
        <f aca="false">L673/(L673+M673)</f>
        <v>0.1</v>
      </c>
      <c r="R673" s="6" t="n">
        <v>0</v>
      </c>
      <c r="S673" s="11"/>
      <c r="T673" s="11" t="n">
        <v>0.1</v>
      </c>
      <c r="U673" s="11" t="n">
        <v>0.85</v>
      </c>
      <c r="V673" s="11" t="n">
        <v>0.85</v>
      </c>
    </row>
    <row r="674" customFormat="false" ht="15" hidden="false" customHeight="false" outlineLevel="0" collapsed="false">
      <c r="A674" s="6" t="s">
        <v>56</v>
      </c>
      <c r="B674" s="6" t="s">
        <v>43</v>
      </c>
      <c r="C674" s="6" t="s">
        <v>51</v>
      </c>
      <c r="D674" s="6" t="s">
        <v>118</v>
      </c>
      <c r="E674" s="6" t="n">
        <v>16</v>
      </c>
      <c r="F674" s="6" t="n">
        <v>2</v>
      </c>
      <c r="G674" s="6" t="s">
        <v>69</v>
      </c>
      <c r="H674" s="11" t="n">
        <v>0.05</v>
      </c>
      <c r="I674" s="6" t="n">
        <v>20</v>
      </c>
      <c r="J674" s="6" t="n">
        <v>1</v>
      </c>
      <c r="K674" s="6" t="n">
        <v>19</v>
      </c>
      <c r="L674" s="6" t="n">
        <v>1</v>
      </c>
      <c r="M674" s="6" t="n">
        <v>19</v>
      </c>
      <c r="N674" s="11" t="n">
        <f aca="false">J674/(J674+K674)</f>
        <v>0.05</v>
      </c>
      <c r="O674" s="11" t="n">
        <f aca="false">IF(J674+L674=0,"",J674/(J674+L674))</f>
        <v>0.5</v>
      </c>
      <c r="P674" s="11" t="n">
        <f aca="false">2*J674/(2*J674+L674+K674)</f>
        <v>0.0909090909090909</v>
      </c>
      <c r="Q674" s="11" t="n">
        <f aca="false">L674/(L674+M674)</f>
        <v>0.05</v>
      </c>
      <c r="R674" s="6" t="n">
        <v>0</v>
      </c>
      <c r="S674" s="11"/>
      <c r="T674" s="11" t="n">
        <v>0.05</v>
      </c>
      <c r="U674" s="11" t="n">
        <v>1</v>
      </c>
      <c r="V674" s="11" t="n">
        <v>1</v>
      </c>
    </row>
    <row r="675" customFormat="false" ht="15" hidden="false" customHeight="false" outlineLevel="0" collapsed="false">
      <c r="A675" s="6" t="s">
        <v>56</v>
      </c>
      <c r="B675" s="6" t="s">
        <v>43</v>
      </c>
      <c r="C675" s="6" t="s">
        <v>51</v>
      </c>
      <c r="D675" s="6" t="s">
        <v>118</v>
      </c>
      <c r="E675" s="6" t="n">
        <v>16</v>
      </c>
      <c r="F675" s="6" t="n">
        <v>2</v>
      </c>
      <c r="G675" s="6" t="s">
        <v>70</v>
      </c>
      <c r="H675" s="11" t="n">
        <v>0.05</v>
      </c>
      <c r="I675" s="6" t="n">
        <v>20</v>
      </c>
      <c r="J675" s="6" t="n">
        <v>0</v>
      </c>
      <c r="K675" s="6" t="n">
        <v>20</v>
      </c>
      <c r="L675" s="6" t="n">
        <v>0</v>
      </c>
      <c r="M675" s="6" t="n">
        <v>20</v>
      </c>
      <c r="N675" s="11" t="n">
        <f aca="false">J675/(J675+K675)</f>
        <v>0</v>
      </c>
      <c r="O675" s="11" t="str">
        <f aca="false">IF(J675+L675=0,"",J675/(J675+L675))</f>
        <v/>
      </c>
      <c r="P675" s="11" t="n">
        <f aca="false">2*J675/(2*J675+L675+K675)</f>
        <v>0</v>
      </c>
      <c r="Q675" s="11" t="n">
        <f aca="false">L675/(L675+M675)</f>
        <v>0</v>
      </c>
      <c r="R675" s="6" t="n">
        <v>0</v>
      </c>
      <c r="S675" s="11"/>
      <c r="T675" s="11" t="n">
        <v>0</v>
      </c>
      <c r="U675" s="11" t="n">
        <v>0.9</v>
      </c>
      <c r="V675" s="11" t="n">
        <v>0.9</v>
      </c>
    </row>
    <row r="676" customFormat="false" ht="15" hidden="false" customHeight="false" outlineLevel="0" collapsed="false">
      <c r="A676" s="6" t="s">
        <v>56</v>
      </c>
      <c r="B676" s="6" t="s">
        <v>43</v>
      </c>
      <c r="C676" s="6" t="s">
        <v>51</v>
      </c>
      <c r="D676" s="6" t="s">
        <v>118</v>
      </c>
      <c r="E676" s="6" t="n">
        <v>16</v>
      </c>
      <c r="F676" s="6" t="n">
        <v>2</v>
      </c>
      <c r="G676" s="6" t="s">
        <v>71</v>
      </c>
      <c r="H676" s="11" t="n">
        <v>0.05</v>
      </c>
      <c r="I676" s="6" t="n">
        <v>20</v>
      </c>
      <c r="J676" s="6" t="n">
        <v>0</v>
      </c>
      <c r="K676" s="6" t="n">
        <v>20</v>
      </c>
      <c r="L676" s="6" t="n">
        <v>0</v>
      </c>
      <c r="M676" s="6" t="n">
        <v>20</v>
      </c>
      <c r="N676" s="11" t="n">
        <f aca="false">J676/(J676+K676)</f>
        <v>0</v>
      </c>
      <c r="O676" s="11" t="str">
        <f aca="false">IF(J676+L676=0,"",J676/(J676+L676))</f>
        <v/>
      </c>
      <c r="P676" s="11" t="n">
        <f aca="false">2*J676/(2*J676+L676+K676)</f>
        <v>0</v>
      </c>
      <c r="Q676" s="11" t="n">
        <f aca="false">L676/(L676+M676)</f>
        <v>0</v>
      </c>
      <c r="R676" s="6" t="n">
        <v>0</v>
      </c>
      <c r="S676" s="11"/>
      <c r="T676" s="11" t="n">
        <v>0</v>
      </c>
      <c r="U676" s="11" t="n">
        <v>0.8</v>
      </c>
      <c r="V676" s="11" t="n">
        <v>0.8</v>
      </c>
    </row>
    <row r="677" customFormat="false" ht="15" hidden="false" customHeight="false" outlineLevel="0" collapsed="false">
      <c r="A677" s="6" t="s">
        <v>56</v>
      </c>
      <c r="B677" s="6" t="s">
        <v>43</v>
      </c>
      <c r="C677" s="6" t="s">
        <v>51</v>
      </c>
      <c r="D677" s="6" t="s">
        <v>118</v>
      </c>
      <c r="E677" s="6" t="n">
        <v>16</v>
      </c>
      <c r="F677" s="6" t="n">
        <v>2</v>
      </c>
      <c r="G677" s="6" t="s">
        <v>72</v>
      </c>
      <c r="H677" s="11" t="n">
        <v>0.05</v>
      </c>
      <c r="I677" s="6" t="n">
        <v>20</v>
      </c>
      <c r="J677" s="6" t="n">
        <v>1</v>
      </c>
      <c r="K677" s="6" t="n">
        <v>19</v>
      </c>
      <c r="L677" s="6" t="n">
        <v>1</v>
      </c>
      <c r="M677" s="6" t="n">
        <v>19</v>
      </c>
      <c r="N677" s="11" t="n">
        <f aca="false">J677/(J677+K677)</f>
        <v>0.05</v>
      </c>
      <c r="O677" s="11" t="n">
        <f aca="false">IF(J677+L677=0,"",J677/(J677+L677))</f>
        <v>0.5</v>
      </c>
      <c r="P677" s="11" t="n">
        <f aca="false">2*J677/(2*J677+L677+K677)</f>
        <v>0.0909090909090909</v>
      </c>
      <c r="Q677" s="11" t="n">
        <f aca="false">L677/(L677+M677)</f>
        <v>0.05</v>
      </c>
      <c r="R677" s="6" t="n">
        <v>0</v>
      </c>
      <c r="S677" s="11"/>
      <c r="T677" s="11" t="n">
        <v>0.05</v>
      </c>
      <c r="U677" s="11" t="n">
        <v>0.9</v>
      </c>
      <c r="V677" s="11" t="n">
        <v>0.9</v>
      </c>
    </row>
    <row r="678" customFormat="false" ht="15" hidden="false" customHeight="false" outlineLevel="0" collapsed="false">
      <c r="A678" s="6" t="s">
        <v>56</v>
      </c>
      <c r="B678" s="6" t="s">
        <v>43</v>
      </c>
      <c r="C678" s="6" t="s">
        <v>51</v>
      </c>
      <c r="D678" s="6" t="s">
        <v>118</v>
      </c>
      <c r="E678" s="6" t="n">
        <v>16</v>
      </c>
      <c r="F678" s="6" t="n">
        <v>2</v>
      </c>
      <c r="G678" s="6" t="s">
        <v>73</v>
      </c>
      <c r="H678" s="11" t="n">
        <v>0.05</v>
      </c>
      <c r="I678" s="6" t="n">
        <v>20</v>
      </c>
      <c r="J678" s="6" t="n">
        <v>0</v>
      </c>
      <c r="K678" s="6" t="n">
        <v>20</v>
      </c>
      <c r="L678" s="6" t="n">
        <v>0</v>
      </c>
      <c r="M678" s="6" t="n">
        <v>20</v>
      </c>
      <c r="N678" s="11" t="n">
        <f aca="false">J678/(J678+K678)</f>
        <v>0</v>
      </c>
      <c r="O678" s="11" t="str">
        <f aca="false">IF(J678+L678=0,"",J678/(J678+L678))</f>
        <v/>
      </c>
      <c r="P678" s="11" t="n">
        <f aca="false">2*J678/(2*J678+L678+K678)</f>
        <v>0</v>
      </c>
      <c r="Q678" s="11" t="n">
        <f aca="false">L678/(L678+M678)</f>
        <v>0</v>
      </c>
      <c r="R678" s="6" t="n">
        <v>0</v>
      </c>
      <c r="S678" s="11"/>
      <c r="T678" s="11" t="n">
        <v>0</v>
      </c>
      <c r="U678" s="11" t="n">
        <v>0.65</v>
      </c>
      <c r="V678" s="11" t="n">
        <v>0.65</v>
      </c>
    </row>
    <row r="679" customFormat="false" ht="15" hidden="false" customHeight="false" outlineLevel="0" collapsed="false">
      <c r="A679" s="6" t="s">
        <v>56</v>
      </c>
      <c r="B679" s="6" t="s">
        <v>43</v>
      </c>
      <c r="C679" s="6" t="s">
        <v>51</v>
      </c>
      <c r="D679" s="6" t="s">
        <v>118</v>
      </c>
      <c r="E679" s="6" t="n">
        <v>16</v>
      </c>
      <c r="F679" s="6" t="n">
        <v>2</v>
      </c>
      <c r="G679" s="6" t="s">
        <v>74</v>
      </c>
      <c r="H679" s="11" t="n">
        <v>0.05</v>
      </c>
      <c r="I679" s="6" t="n">
        <v>20</v>
      </c>
      <c r="J679" s="6" t="n">
        <v>1</v>
      </c>
      <c r="K679" s="6" t="n">
        <v>19</v>
      </c>
      <c r="L679" s="6" t="n">
        <v>1</v>
      </c>
      <c r="M679" s="6" t="n">
        <v>19</v>
      </c>
      <c r="N679" s="11" t="n">
        <f aca="false">J679/(J679+K679)</f>
        <v>0.05</v>
      </c>
      <c r="O679" s="11" t="n">
        <f aca="false">IF(J679+L679=0,"",J679/(J679+L679))</f>
        <v>0.5</v>
      </c>
      <c r="P679" s="11" t="n">
        <f aca="false">2*J679/(2*J679+L679+K679)</f>
        <v>0.0909090909090909</v>
      </c>
      <c r="Q679" s="11" t="n">
        <f aca="false">L679/(L679+M679)</f>
        <v>0.05</v>
      </c>
      <c r="R679" s="6" t="n">
        <v>0</v>
      </c>
      <c r="S679" s="11"/>
      <c r="T679" s="11" t="n">
        <v>0.05</v>
      </c>
      <c r="U679" s="11" t="n">
        <v>0.85</v>
      </c>
      <c r="V679" s="11" t="n">
        <v>0.85</v>
      </c>
    </row>
    <row r="680" customFormat="false" ht="15" hidden="false" customHeight="false" outlineLevel="0" collapsed="false">
      <c r="A680" s="6" t="s">
        <v>56</v>
      </c>
      <c r="B680" s="6" t="s">
        <v>43</v>
      </c>
      <c r="C680" s="6" t="s">
        <v>51</v>
      </c>
      <c r="D680" s="6" t="s">
        <v>118</v>
      </c>
      <c r="E680" s="6" t="n">
        <v>16</v>
      </c>
      <c r="F680" s="6" t="n">
        <v>2</v>
      </c>
      <c r="G680" s="6" t="s">
        <v>75</v>
      </c>
      <c r="H680" s="11" t="n">
        <v>0.05</v>
      </c>
      <c r="I680" s="6" t="n">
        <v>20</v>
      </c>
      <c r="J680" s="6" t="n">
        <v>0</v>
      </c>
      <c r="K680" s="6" t="n">
        <v>20</v>
      </c>
      <c r="L680" s="6" t="n">
        <v>0</v>
      </c>
      <c r="M680" s="6" t="n">
        <v>20</v>
      </c>
      <c r="N680" s="11" t="n">
        <f aca="false">J680/(J680+K680)</f>
        <v>0</v>
      </c>
      <c r="O680" s="11" t="str">
        <f aca="false">IF(J680+L680=0,"",J680/(J680+L680))</f>
        <v/>
      </c>
      <c r="P680" s="11" t="n">
        <f aca="false">2*J680/(2*J680+L680+K680)</f>
        <v>0</v>
      </c>
      <c r="Q680" s="11" t="n">
        <f aca="false">L680/(L680+M680)</f>
        <v>0</v>
      </c>
      <c r="R680" s="6" t="n">
        <v>0</v>
      </c>
      <c r="S680" s="11"/>
      <c r="T680" s="11" t="n">
        <v>0</v>
      </c>
      <c r="U680" s="11" t="n">
        <v>0.9</v>
      </c>
      <c r="V680" s="11" t="n">
        <v>0.9</v>
      </c>
    </row>
    <row r="681" customFormat="false" ht="15" hidden="false" customHeight="false" outlineLevel="0" collapsed="false">
      <c r="A681" s="6" t="s">
        <v>56</v>
      </c>
      <c r="B681" s="6" t="s">
        <v>43</v>
      </c>
      <c r="C681" s="6" t="s">
        <v>51</v>
      </c>
      <c r="D681" s="6" t="s">
        <v>118</v>
      </c>
      <c r="E681" s="6" t="n">
        <v>16</v>
      </c>
      <c r="F681" s="6" t="n">
        <v>2</v>
      </c>
      <c r="G681" s="6" t="s">
        <v>76</v>
      </c>
      <c r="H681" s="11" t="n">
        <v>0.05</v>
      </c>
      <c r="I681" s="6" t="n">
        <v>20</v>
      </c>
      <c r="J681" s="6" t="n">
        <v>0</v>
      </c>
      <c r="K681" s="6" t="n">
        <v>20</v>
      </c>
      <c r="L681" s="6" t="n">
        <v>0</v>
      </c>
      <c r="M681" s="6" t="n">
        <v>20</v>
      </c>
      <c r="N681" s="11" t="n">
        <f aca="false">J681/(J681+K681)</f>
        <v>0</v>
      </c>
      <c r="O681" s="11" t="str">
        <f aca="false">IF(J681+L681=0,"",J681/(J681+L681))</f>
        <v/>
      </c>
      <c r="P681" s="11" t="n">
        <f aca="false">2*J681/(2*J681+L681+K681)</f>
        <v>0</v>
      </c>
      <c r="Q681" s="11" t="n">
        <f aca="false">L681/(L681+M681)</f>
        <v>0</v>
      </c>
      <c r="R681" s="6" t="n">
        <v>0</v>
      </c>
      <c r="S681" s="11"/>
      <c r="T681" s="11" t="n">
        <v>0</v>
      </c>
      <c r="U681" s="11" t="n">
        <v>0.95</v>
      </c>
      <c r="V681" s="11" t="n">
        <v>0.95</v>
      </c>
    </row>
    <row r="682" customFormat="false" ht="15" hidden="false" customHeight="false" outlineLevel="0" collapsed="false">
      <c r="A682" s="6" t="s">
        <v>56</v>
      </c>
      <c r="B682" s="6" t="s">
        <v>43</v>
      </c>
      <c r="C682" s="6" t="s">
        <v>51</v>
      </c>
      <c r="D682" s="6" t="s">
        <v>118</v>
      </c>
      <c r="E682" s="6" t="n">
        <v>16</v>
      </c>
      <c r="F682" s="6" t="n">
        <v>2</v>
      </c>
      <c r="G682" s="6" t="s">
        <v>77</v>
      </c>
      <c r="H682" s="11" t="n">
        <v>0.05</v>
      </c>
      <c r="I682" s="6" t="n">
        <v>20</v>
      </c>
      <c r="J682" s="6" t="n">
        <v>1</v>
      </c>
      <c r="K682" s="6" t="n">
        <v>19</v>
      </c>
      <c r="L682" s="6" t="n">
        <v>1</v>
      </c>
      <c r="M682" s="6" t="n">
        <v>19</v>
      </c>
      <c r="N682" s="11" t="n">
        <f aca="false">J682/(J682+K682)</f>
        <v>0.05</v>
      </c>
      <c r="O682" s="11" t="n">
        <f aca="false">IF(J682+L682=0,"",J682/(J682+L682))</f>
        <v>0.5</v>
      </c>
      <c r="P682" s="11" t="n">
        <f aca="false">2*J682/(2*J682+L682+K682)</f>
        <v>0.0909090909090909</v>
      </c>
      <c r="Q682" s="11" t="n">
        <f aca="false">L682/(L682+M682)</f>
        <v>0.05</v>
      </c>
      <c r="R682" s="6" t="n">
        <v>0</v>
      </c>
      <c r="S682" s="11"/>
      <c r="T682" s="11" t="n">
        <v>0.05</v>
      </c>
      <c r="U682" s="11" t="n">
        <v>1</v>
      </c>
      <c r="V682" s="11" t="n">
        <v>1</v>
      </c>
    </row>
    <row r="683" customFormat="false" ht="15" hidden="false" customHeight="false" outlineLevel="0" collapsed="false">
      <c r="A683" s="6" t="s">
        <v>56</v>
      </c>
      <c r="B683" s="6" t="s">
        <v>43</v>
      </c>
      <c r="C683" s="6" t="s">
        <v>51</v>
      </c>
      <c r="D683" s="6" t="s">
        <v>118</v>
      </c>
      <c r="E683" s="6" t="n">
        <v>16</v>
      </c>
      <c r="F683" s="6" t="n">
        <v>2</v>
      </c>
      <c r="G683" s="6" t="s">
        <v>78</v>
      </c>
      <c r="H683" s="11" t="n">
        <v>0.05</v>
      </c>
      <c r="I683" s="6" t="n">
        <v>200</v>
      </c>
      <c r="J683" s="6" t="n">
        <v>6</v>
      </c>
      <c r="K683" s="6" t="n">
        <v>194</v>
      </c>
      <c r="L683" s="6" t="n">
        <v>6</v>
      </c>
      <c r="M683" s="6" t="n">
        <v>194</v>
      </c>
      <c r="N683" s="11" t="n">
        <f aca="false">J683/(J683+K683)</f>
        <v>0.03</v>
      </c>
      <c r="O683" s="11" t="n">
        <f aca="false">IF(J683+L683=0,"",J683/(J683+L683))</f>
        <v>0.5</v>
      </c>
      <c r="P683" s="11" t="n">
        <f aca="false">2*J683/(2*J683+L683+K683)</f>
        <v>0.0566037735849057</v>
      </c>
      <c r="Q683" s="11" t="n">
        <f aca="false">L683/(L683+M683)</f>
        <v>0.03</v>
      </c>
      <c r="R683" s="6" t="n">
        <v>0</v>
      </c>
      <c r="S683" s="11"/>
      <c r="T683" s="11" t="n">
        <v>0.03</v>
      </c>
      <c r="U683" s="11" t="n">
        <v>0.88</v>
      </c>
      <c r="V683" s="11" t="n">
        <v>0.88</v>
      </c>
    </row>
    <row r="684" customFormat="false" ht="15" hidden="false" customHeight="false" outlineLevel="0" collapsed="false">
      <c r="A684" s="6" t="s">
        <v>56</v>
      </c>
      <c r="B684" s="6" t="s">
        <v>43</v>
      </c>
      <c r="C684" s="6" t="s">
        <v>51</v>
      </c>
      <c r="D684" s="6" t="s">
        <v>118</v>
      </c>
      <c r="E684" s="6" t="n">
        <v>16</v>
      </c>
      <c r="F684" s="6" t="n">
        <v>3</v>
      </c>
      <c r="G684" s="6" t="s">
        <v>68</v>
      </c>
      <c r="H684" s="11" t="n">
        <v>0.05</v>
      </c>
      <c r="I684" s="6" t="n">
        <v>20</v>
      </c>
      <c r="J684" s="6" t="n">
        <v>2</v>
      </c>
      <c r="K684" s="6" t="n">
        <v>18</v>
      </c>
      <c r="L684" s="6" t="n">
        <v>2</v>
      </c>
      <c r="M684" s="6" t="n">
        <v>18</v>
      </c>
      <c r="N684" s="11" t="n">
        <f aca="false">J684/(J684+K684)</f>
        <v>0.1</v>
      </c>
      <c r="O684" s="11" t="n">
        <f aca="false">IF(J684+L684=0,"",J684/(J684+L684))</f>
        <v>0.5</v>
      </c>
      <c r="P684" s="11" t="n">
        <f aca="false">2*J684/(2*J684+L684+K684)</f>
        <v>0.166666666666667</v>
      </c>
      <c r="Q684" s="11" t="n">
        <f aca="false">L684/(L684+M684)</f>
        <v>0.1</v>
      </c>
      <c r="R684" s="6" t="n">
        <v>0</v>
      </c>
      <c r="S684" s="11"/>
      <c r="T684" s="11" t="n">
        <v>0.1</v>
      </c>
      <c r="U684" s="11" t="n">
        <v>0.85</v>
      </c>
      <c r="V684" s="11" t="n">
        <v>0.85</v>
      </c>
    </row>
    <row r="685" customFormat="false" ht="15" hidden="false" customHeight="false" outlineLevel="0" collapsed="false">
      <c r="A685" s="6" t="s">
        <v>56</v>
      </c>
      <c r="B685" s="6" t="s">
        <v>43</v>
      </c>
      <c r="C685" s="6" t="s">
        <v>51</v>
      </c>
      <c r="D685" s="6" t="s">
        <v>118</v>
      </c>
      <c r="E685" s="6" t="n">
        <v>16</v>
      </c>
      <c r="F685" s="6" t="n">
        <v>3</v>
      </c>
      <c r="G685" s="6" t="s">
        <v>69</v>
      </c>
      <c r="H685" s="11" t="n">
        <v>0.05</v>
      </c>
      <c r="I685" s="6" t="n">
        <v>20</v>
      </c>
      <c r="J685" s="6" t="n">
        <v>1</v>
      </c>
      <c r="K685" s="6" t="n">
        <v>19</v>
      </c>
      <c r="L685" s="6" t="n">
        <v>1</v>
      </c>
      <c r="M685" s="6" t="n">
        <v>19</v>
      </c>
      <c r="N685" s="11" t="n">
        <f aca="false">J685/(J685+K685)</f>
        <v>0.05</v>
      </c>
      <c r="O685" s="11" t="n">
        <f aca="false">IF(J685+L685=0,"",J685/(J685+L685))</f>
        <v>0.5</v>
      </c>
      <c r="P685" s="11" t="n">
        <f aca="false">2*J685/(2*J685+L685+K685)</f>
        <v>0.0909090909090909</v>
      </c>
      <c r="Q685" s="11" t="n">
        <f aca="false">L685/(L685+M685)</f>
        <v>0.05</v>
      </c>
      <c r="R685" s="6" t="n">
        <v>0</v>
      </c>
      <c r="S685" s="11"/>
      <c r="T685" s="11" t="n">
        <v>0.05</v>
      </c>
      <c r="U685" s="11" t="n">
        <v>1</v>
      </c>
      <c r="V685" s="11" t="n">
        <v>1</v>
      </c>
    </row>
    <row r="686" customFormat="false" ht="15" hidden="false" customHeight="false" outlineLevel="0" collapsed="false">
      <c r="A686" s="6" t="s">
        <v>56</v>
      </c>
      <c r="B686" s="6" t="s">
        <v>43</v>
      </c>
      <c r="C686" s="6" t="s">
        <v>51</v>
      </c>
      <c r="D686" s="6" t="s">
        <v>118</v>
      </c>
      <c r="E686" s="6" t="n">
        <v>16</v>
      </c>
      <c r="F686" s="6" t="n">
        <v>3</v>
      </c>
      <c r="G686" s="6" t="s">
        <v>70</v>
      </c>
      <c r="H686" s="11" t="n">
        <v>0.05</v>
      </c>
      <c r="I686" s="6" t="n">
        <v>20</v>
      </c>
      <c r="J686" s="6" t="n">
        <v>0</v>
      </c>
      <c r="K686" s="6" t="n">
        <v>20</v>
      </c>
      <c r="L686" s="6" t="n">
        <v>0</v>
      </c>
      <c r="M686" s="6" t="n">
        <v>20</v>
      </c>
      <c r="N686" s="11" t="n">
        <f aca="false">J686/(J686+K686)</f>
        <v>0</v>
      </c>
      <c r="O686" s="11" t="str">
        <f aca="false">IF(J686+L686=0,"",J686/(J686+L686))</f>
        <v/>
      </c>
      <c r="P686" s="11" t="n">
        <f aca="false">2*J686/(2*J686+L686+K686)</f>
        <v>0</v>
      </c>
      <c r="Q686" s="11" t="n">
        <f aca="false">L686/(L686+M686)</f>
        <v>0</v>
      </c>
      <c r="R686" s="6" t="n">
        <v>0</v>
      </c>
      <c r="S686" s="11"/>
      <c r="T686" s="11" t="n">
        <v>0</v>
      </c>
      <c r="U686" s="11" t="n">
        <v>0.9</v>
      </c>
      <c r="V686" s="11" t="n">
        <v>0.9</v>
      </c>
    </row>
    <row r="687" customFormat="false" ht="15" hidden="false" customHeight="false" outlineLevel="0" collapsed="false">
      <c r="A687" s="6" t="s">
        <v>56</v>
      </c>
      <c r="B687" s="6" t="s">
        <v>43</v>
      </c>
      <c r="C687" s="6" t="s">
        <v>51</v>
      </c>
      <c r="D687" s="6" t="s">
        <v>118</v>
      </c>
      <c r="E687" s="6" t="n">
        <v>16</v>
      </c>
      <c r="F687" s="6" t="n">
        <v>3</v>
      </c>
      <c r="G687" s="6" t="s">
        <v>71</v>
      </c>
      <c r="H687" s="11" t="n">
        <v>0.05</v>
      </c>
      <c r="I687" s="6" t="n">
        <v>20</v>
      </c>
      <c r="J687" s="6" t="n">
        <v>0</v>
      </c>
      <c r="K687" s="6" t="n">
        <v>20</v>
      </c>
      <c r="L687" s="6" t="n">
        <v>0</v>
      </c>
      <c r="M687" s="6" t="n">
        <v>20</v>
      </c>
      <c r="N687" s="11" t="n">
        <f aca="false">J687/(J687+K687)</f>
        <v>0</v>
      </c>
      <c r="O687" s="11" t="str">
        <f aca="false">IF(J687+L687=0,"",J687/(J687+L687))</f>
        <v/>
      </c>
      <c r="P687" s="11" t="n">
        <f aca="false">2*J687/(2*J687+L687+K687)</f>
        <v>0</v>
      </c>
      <c r="Q687" s="11" t="n">
        <f aca="false">L687/(L687+M687)</f>
        <v>0</v>
      </c>
      <c r="R687" s="6" t="n">
        <v>0</v>
      </c>
      <c r="S687" s="11"/>
      <c r="T687" s="11" t="n">
        <v>0</v>
      </c>
      <c r="U687" s="11" t="n">
        <v>0.8</v>
      </c>
      <c r="V687" s="11" t="n">
        <v>0.8</v>
      </c>
    </row>
    <row r="688" customFormat="false" ht="15" hidden="false" customHeight="false" outlineLevel="0" collapsed="false">
      <c r="A688" s="6" t="s">
        <v>56</v>
      </c>
      <c r="B688" s="6" t="s">
        <v>43</v>
      </c>
      <c r="C688" s="6" t="s">
        <v>51</v>
      </c>
      <c r="D688" s="6" t="s">
        <v>118</v>
      </c>
      <c r="E688" s="6" t="n">
        <v>16</v>
      </c>
      <c r="F688" s="6" t="n">
        <v>3</v>
      </c>
      <c r="G688" s="6" t="s">
        <v>72</v>
      </c>
      <c r="H688" s="11" t="n">
        <v>0.05</v>
      </c>
      <c r="I688" s="6" t="n">
        <v>20</v>
      </c>
      <c r="J688" s="6" t="n">
        <v>1</v>
      </c>
      <c r="K688" s="6" t="n">
        <v>19</v>
      </c>
      <c r="L688" s="6" t="n">
        <v>1</v>
      </c>
      <c r="M688" s="6" t="n">
        <v>19</v>
      </c>
      <c r="N688" s="11" t="n">
        <f aca="false">J688/(J688+K688)</f>
        <v>0.05</v>
      </c>
      <c r="O688" s="11" t="n">
        <f aca="false">IF(J688+L688=0,"",J688/(J688+L688))</f>
        <v>0.5</v>
      </c>
      <c r="P688" s="11" t="n">
        <f aca="false">2*J688/(2*J688+L688+K688)</f>
        <v>0.0909090909090909</v>
      </c>
      <c r="Q688" s="11" t="n">
        <f aca="false">L688/(L688+M688)</f>
        <v>0.05</v>
      </c>
      <c r="R688" s="6" t="n">
        <v>0</v>
      </c>
      <c r="S688" s="11"/>
      <c r="T688" s="11" t="n">
        <v>0.05</v>
      </c>
      <c r="U688" s="11" t="n">
        <v>0.9</v>
      </c>
      <c r="V688" s="11" t="n">
        <v>0.9</v>
      </c>
    </row>
    <row r="689" customFormat="false" ht="15" hidden="false" customHeight="false" outlineLevel="0" collapsed="false">
      <c r="A689" s="6" t="s">
        <v>56</v>
      </c>
      <c r="B689" s="6" t="s">
        <v>43</v>
      </c>
      <c r="C689" s="6" t="s">
        <v>51</v>
      </c>
      <c r="D689" s="6" t="s">
        <v>118</v>
      </c>
      <c r="E689" s="6" t="n">
        <v>16</v>
      </c>
      <c r="F689" s="6" t="n">
        <v>3</v>
      </c>
      <c r="G689" s="6" t="s">
        <v>73</v>
      </c>
      <c r="H689" s="11" t="n">
        <v>0.05</v>
      </c>
      <c r="I689" s="6" t="n">
        <v>20</v>
      </c>
      <c r="J689" s="6" t="n">
        <v>0</v>
      </c>
      <c r="K689" s="6" t="n">
        <v>20</v>
      </c>
      <c r="L689" s="6" t="n">
        <v>0</v>
      </c>
      <c r="M689" s="6" t="n">
        <v>20</v>
      </c>
      <c r="N689" s="11" t="n">
        <f aca="false">J689/(J689+K689)</f>
        <v>0</v>
      </c>
      <c r="O689" s="11" t="str">
        <f aca="false">IF(J689+L689=0,"",J689/(J689+L689))</f>
        <v/>
      </c>
      <c r="P689" s="11" t="n">
        <f aca="false">2*J689/(2*J689+L689+K689)</f>
        <v>0</v>
      </c>
      <c r="Q689" s="11" t="n">
        <f aca="false">L689/(L689+M689)</f>
        <v>0</v>
      </c>
      <c r="R689" s="6" t="n">
        <v>0</v>
      </c>
      <c r="S689" s="11"/>
      <c r="T689" s="11" t="n">
        <v>0</v>
      </c>
      <c r="U689" s="11" t="n">
        <v>0.65</v>
      </c>
      <c r="V689" s="11" t="n">
        <v>0.65</v>
      </c>
    </row>
    <row r="690" customFormat="false" ht="15" hidden="false" customHeight="false" outlineLevel="0" collapsed="false">
      <c r="A690" s="6" t="s">
        <v>56</v>
      </c>
      <c r="B690" s="6" t="s">
        <v>43</v>
      </c>
      <c r="C690" s="6" t="s">
        <v>51</v>
      </c>
      <c r="D690" s="6" t="s">
        <v>118</v>
      </c>
      <c r="E690" s="6" t="n">
        <v>16</v>
      </c>
      <c r="F690" s="6" t="n">
        <v>3</v>
      </c>
      <c r="G690" s="6" t="s">
        <v>74</v>
      </c>
      <c r="H690" s="11" t="n">
        <v>0.05</v>
      </c>
      <c r="I690" s="6" t="n">
        <v>20</v>
      </c>
      <c r="J690" s="6" t="n">
        <v>1</v>
      </c>
      <c r="K690" s="6" t="n">
        <v>19</v>
      </c>
      <c r="L690" s="6" t="n">
        <v>1</v>
      </c>
      <c r="M690" s="6" t="n">
        <v>19</v>
      </c>
      <c r="N690" s="11" t="n">
        <f aca="false">J690/(J690+K690)</f>
        <v>0.05</v>
      </c>
      <c r="O690" s="11" t="n">
        <f aca="false">IF(J690+L690=0,"",J690/(J690+L690))</f>
        <v>0.5</v>
      </c>
      <c r="P690" s="11" t="n">
        <f aca="false">2*J690/(2*J690+L690+K690)</f>
        <v>0.0909090909090909</v>
      </c>
      <c r="Q690" s="11" t="n">
        <f aca="false">L690/(L690+M690)</f>
        <v>0.05</v>
      </c>
      <c r="R690" s="6" t="n">
        <v>0</v>
      </c>
      <c r="S690" s="11"/>
      <c r="T690" s="11" t="n">
        <v>0.05</v>
      </c>
      <c r="U690" s="11" t="n">
        <v>0.85</v>
      </c>
      <c r="V690" s="11" t="n">
        <v>0.85</v>
      </c>
    </row>
    <row r="691" customFormat="false" ht="15" hidden="false" customHeight="false" outlineLevel="0" collapsed="false">
      <c r="A691" s="6" t="s">
        <v>56</v>
      </c>
      <c r="B691" s="6" t="s">
        <v>43</v>
      </c>
      <c r="C691" s="6" t="s">
        <v>51</v>
      </c>
      <c r="D691" s="6" t="s">
        <v>118</v>
      </c>
      <c r="E691" s="6" t="n">
        <v>16</v>
      </c>
      <c r="F691" s="6" t="n">
        <v>3</v>
      </c>
      <c r="G691" s="6" t="s">
        <v>75</v>
      </c>
      <c r="H691" s="11" t="n">
        <v>0.05</v>
      </c>
      <c r="I691" s="6" t="n">
        <v>20</v>
      </c>
      <c r="J691" s="6" t="n">
        <v>0</v>
      </c>
      <c r="K691" s="6" t="n">
        <v>20</v>
      </c>
      <c r="L691" s="6" t="n">
        <v>0</v>
      </c>
      <c r="M691" s="6" t="n">
        <v>20</v>
      </c>
      <c r="N691" s="11" t="n">
        <f aca="false">J691/(J691+K691)</f>
        <v>0</v>
      </c>
      <c r="O691" s="11" t="str">
        <f aca="false">IF(J691+L691=0,"",J691/(J691+L691))</f>
        <v/>
      </c>
      <c r="P691" s="11" t="n">
        <f aca="false">2*J691/(2*J691+L691+K691)</f>
        <v>0</v>
      </c>
      <c r="Q691" s="11" t="n">
        <f aca="false">L691/(L691+M691)</f>
        <v>0</v>
      </c>
      <c r="R691" s="6" t="n">
        <v>0</v>
      </c>
      <c r="S691" s="11"/>
      <c r="T691" s="11" t="n">
        <v>0</v>
      </c>
      <c r="U691" s="11" t="n">
        <v>0.9</v>
      </c>
      <c r="V691" s="11" t="n">
        <v>0.9</v>
      </c>
    </row>
    <row r="692" customFormat="false" ht="15" hidden="false" customHeight="false" outlineLevel="0" collapsed="false">
      <c r="A692" s="6" t="s">
        <v>56</v>
      </c>
      <c r="B692" s="6" t="s">
        <v>43</v>
      </c>
      <c r="C692" s="6" t="s">
        <v>51</v>
      </c>
      <c r="D692" s="6" t="s">
        <v>118</v>
      </c>
      <c r="E692" s="6" t="n">
        <v>16</v>
      </c>
      <c r="F692" s="6" t="n">
        <v>3</v>
      </c>
      <c r="G692" s="6" t="s">
        <v>76</v>
      </c>
      <c r="H692" s="11" t="n">
        <v>0.05</v>
      </c>
      <c r="I692" s="6" t="n">
        <v>20</v>
      </c>
      <c r="J692" s="6" t="n">
        <v>0</v>
      </c>
      <c r="K692" s="6" t="n">
        <v>20</v>
      </c>
      <c r="L692" s="6" t="n">
        <v>0</v>
      </c>
      <c r="M692" s="6" t="n">
        <v>20</v>
      </c>
      <c r="N692" s="11" t="n">
        <f aca="false">J692/(J692+K692)</f>
        <v>0</v>
      </c>
      <c r="O692" s="11" t="str">
        <f aca="false">IF(J692+L692=0,"",J692/(J692+L692))</f>
        <v/>
      </c>
      <c r="P692" s="11" t="n">
        <f aca="false">2*J692/(2*J692+L692+K692)</f>
        <v>0</v>
      </c>
      <c r="Q692" s="11" t="n">
        <f aca="false">L692/(L692+M692)</f>
        <v>0</v>
      </c>
      <c r="R692" s="6" t="n">
        <v>0</v>
      </c>
      <c r="S692" s="11"/>
      <c r="T692" s="11" t="n">
        <v>0</v>
      </c>
      <c r="U692" s="11" t="n">
        <v>0.95</v>
      </c>
      <c r="V692" s="11" t="n">
        <v>0.95</v>
      </c>
    </row>
    <row r="693" customFormat="false" ht="15" hidden="false" customHeight="false" outlineLevel="0" collapsed="false">
      <c r="A693" s="6" t="s">
        <v>56</v>
      </c>
      <c r="B693" s="6" t="s">
        <v>43</v>
      </c>
      <c r="C693" s="6" t="s">
        <v>51</v>
      </c>
      <c r="D693" s="6" t="s">
        <v>118</v>
      </c>
      <c r="E693" s="6" t="n">
        <v>16</v>
      </c>
      <c r="F693" s="6" t="n">
        <v>3</v>
      </c>
      <c r="G693" s="6" t="s">
        <v>77</v>
      </c>
      <c r="H693" s="11" t="n">
        <v>0.05</v>
      </c>
      <c r="I693" s="6" t="n">
        <v>20</v>
      </c>
      <c r="J693" s="6" t="n">
        <v>1</v>
      </c>
      <c r="K693" s="6" t="n">
        <v>19</v>
      </c>
      <c r="L693" s="6" t="n">
        <v>1</v>
      </c>
      <c r="M693" s="6" t="n">
        <v>19</v>
      </c>
      <c r="N693" s="11" t="n">
        <f aca="false">J693/(J693+K693)</f>
        <v>0.05</v>
      </c>
      <c r="O693" s="11" t="n">
        <f aca="false">IF(J693+L693=0,"",J693/(J693+L693))</f>
        <v>0.5</v>
      </c>
      <c r="P693" s="11" t="n">
        <f aca="false">2*J693/(2*J693+L693+K693)</f>
        <v>0.0909090909090909</v>
      </c>
      <c r="Q693" s="11" t="n">
        <f aca="false">L693/(L693+M693)</f>
        <v>0.05</v>
      </c>
      <c r="R693" s="6" t="n">
        <v>0</v>
      </c>
      <c r="S693" s="11"/>
      <c r="T693" s="11" t="n">
        <v>0.05</v>
      </c>
      <c r="U693" s="11" t="n">
        <v>1</v>
      </c>
      <c r="V693" s="11" t="n">
        <v>1</v>
      </c>
    </row>
    <row r="694" customFormat="false" ht="15" hidden="false" customHeight="false" outlineLevel="0" collapsed="false">
      <c r="A694" s="6" t="s">
        <v>56</v>
      </c>
      <c r="B694" s="6" t="s">
        <v>43</v>
      </c>
      <c r="C694" s="6" t="s">
        <v>51</v>
      </c>
      <c r="D694" s="6" t="s">
        <v>118</v>
      </c>
      <c r="E694" s="6" t="n">
        <v>16</v>
      </c>
      <c r="F694" s="6" t="n">
        <v>3</v>
      </c>
      <c r="G694" s="6" t="s">
        <v>78</v>
      </c>
      <c r="H694" s="11" t="n">
        <v>0.05</v>
      </c>
      <c r="I694" s="6" t="n">
        <v>200</v>
      </c>
      <c r="J694" s="6" t="n">
        <v>6</v>
      </c>
      <c r="K694" s="6" t="n">
        <v>194</v>
      </c>
      <c r="L694" s="6" t="n">
        <v>6</v>
      </c>
      <c r="M694" s="6" t="n">
        <v>194</v>
      </c>
      <c r="N694" s="11" t="n">
        <f aca="false">J694/(J694+K694)</f>
        <v>0.03</v>
      </c>
      <c r="O694" s="11" t="n">
        <f aca="false">IF(J694+L694=0,"",J694/(J694+L694))</f>
        <v>0.5</v>
      </c>
      <c r="P694" s="11" t="n">
        <f aca="false">2*J694/(2*J694+L694+K694)</f>
        <v>0.0566037735849057</v>
      </c>
      <c r="Q694" s="11" t="n">
        <f aca="false">L694/(L694+M694)</f>
        <v>0.03</v>
      </c>
      <c r="R694" s="6" t="n">
        <v>0</v>
      </c>
      <c r="S694" s="11"/>
      <c r="T694" s="11" t="n">
        <v>0.03</v>
      </c>
      <c r="U694" s="11" t="n">
        <v>0.88</v>
      </c>
      <c r="V694" s="11" t="n">
        <v>0.88</v>
      </c>
    </row>
    <row r="695" customFormat="false" ht="15" hidden="false" customHeight="false" outlineLevel="0" collapsed="false">
      <c r="A695" s="6" t="s">
        <v>56</v>
      </c>
      <c r="B695" s="6" t="s">
        <v>43</v>
      </c>
      <c r="C695" s="6" t="s">
        <v>51</v>
      </c>
      <c r="D695" s="6" t="s">
        <v>118</v>
      </c>
      <c r="E695" s="6" t="n">
        <v>16</v>
      </c>
      <c r="F695" s="6" t="n">
        <v>4</v>
      </c>
      <c r="G695" s="6" t="s">
        <v>68</v>
      </c>
      <c r="H695" s="11" t="n">
        <v>0.05</v>
      </c>
      <c r="I695" s="6" t="n">
        <v>20</v>
      </c>
      <c r="J695" s="6" t="n">
        <v>2</v>
      </c>
      <c r="K695" s="6" t="n">
        <v>18</v>
      </c>
      <c r="L695" s="6" t="n">
        <v>2</v>
      </c>
      <c r="M695" s="6" t="n">
        <v>18</v>
      </c>
      <c r="N695" s="11" t="n">
        <f aca="false">J695/(J695+K695)</f>
        <v>0.1</v>
      </c>
      <c r="O695" s="11" t="n">
        <f aca="false">IF(J695+L695=0,"",J695/(J695+L695))</f>
        <v>0.5</v>
      </c>
      <c r="P695" s="11" t="n">
        <f aca="false">2*J695/(2*J695+L695+K695)</f>
        <v>0.166666666666667</v>
      </c>
      <c r="Q695" s="11" t="n">
        <f aca="false">L695/(L695+M695)</f>
        <v>0.1</v>
      </c>
      <c r="R695" s="6" t="n">
        <v>0</v>
      </c>
      <c r="S695" s="11"/>
      <c r="T695" s="11" t="n">
        <v>0.1</v>
      </c>
      <c r="U695" s="11" t="n">
        <v>0.85</v>
      </c>
      <c r="V695" s="11" t="n">
        <v>0.85</v>
      </c>
    </row>
    <row r="696" customFormat="false" ht="15" hidden="false" customHeight="false" outlineLevel="0" collapsed="false">
      <c r="A696" s="6" t="s">
        <v>56</v>
      </c>
      <c r="B696" s="6" t="s">
        <v>43</v>
      </c>
      <c r="C696" s="6" t="s">
        <v>51</v>
      </c>
      <c r="D696" s="6" t="s">
        <v>118</v>
      </c>
      <c r="E696" s="6" t="n">
        <v>16</v>
      </c>
      <c r="F696" s="6" t="n">
        <v>4</v>
      </c>
      <c r="G696" s="6" t="s">
        <v>69</v>
      </c>
      <c r="H696" s="11" t="n">
        <v>0.05</v>
      </c>
      <c r="I696" s="6" t="n">
        <v>20</v>
      </c>
      <c r="J696" s="6" t="n">
        <v>1</v>
      </c>
      <c r="K696" s="6" t="n">
        <v>19</v>
      </c>
      <c r="L696" s="6" t="n">
        <v>1</v>
      </c>
      <c r="M696" s="6" t="n">
        <v>19</v>
      </c>
      <c r="N696" s="11" t="n">
        <f aca="false">J696/(J696+K696)</f>
        <v>0.05</v>
      </c>
      <c r="O696" s="11" t="n">
        <f aca="false">IF(J696+L696=0,"",J696/(J696+L696))</f>
        <v>0.5</v>
      </c>
      <c r="P696" s="11" t="n">
        <f aca="false">2*J696/(2*J696+L696+K696)</f>
        <v>0.0909090909090909</v>
      </c>
      <c r="Q696" s="11" t="n">
        <f aca="false">L696/(L696+M696)</f>
        <v>0.05</v>
      </c>
      <c r="R696" s="6" t="n">
        <v>0</v>
      </c>
      <c r="S696" s="11"/>
      <c r="T696" s="11" t="n">
        <v>0.05</v>
      </c>
      <c r="U696" s="11" t="n">
        <v>1</v>
      </c>
      <c r="V696" s="11" t="n">
        <v>1</v>
      </c>
    </row>
    <row r="697" customFormat="false" ht="15" hidden="false" customHeight="false" outlineLevel="0" collapsed="false">
      <c r="A697" s="6" t="s">
        <v>56</v>
      </c>
      <c r="B697" s="6" t="s">
        <v>43</v>
      </c>
      <c r="C697" s="6" t="s">
        <v>51</v>
      </c>
      <c r="D697" s="6" t="s">
        <v>118</v>
      </c>
      <c r="E697" s="6" t="n">
        <v>16</v>
      </c>
      <c r="F697" s="6" t="n">
        <v>4</v>
      </c>
      <c r="G697" s="6" t="s">
        <v>70</v>
      </c>
      <c r="H697" s="11" t="n">
        <v>0.05</v>
      </c>
      <c r="I697" s="6" t="n">
        <v>20</v>
      </c>
      <c r="J697" s="6" t="n">
        <v>0</v>
      </c>
      <c r="K697" s="6" t="n">
        <v>20</v>
      </c>
      <c r="L697" s="6" t="n">
        <v>0</v>
      </c>
      <c r="M697" s="6" t="n">
        <v>20</v>
      </c>
      <c r="N697" s="11" t="n">
        <f aca="false">J697/(J697+K697)</f>
        <v>0</v>
      </c>
      <c r="O697" s="11" t="str">
        <f aca="false">IF(J697+L697=0,"",J697/(J697+L697))</f>
        <v/>
      </c>
      <c r="P697" s="11" t="n">
        <f aca="false">2*J697/(2*J697+L697+K697)</f>
        <v>0</v>
      </c>
      <c r="Q697" s="11" t="n">
        <f aca="false">L697/(L697+M697)</f>
        <v>0</v>
      </c>
      <c r="R697" s="6" t="n">
        <v>0</v>
      </c>
      <c r="S697" s="11"/>
      <c r="T697" s="11" t="n">
        <v>0</v>
      </c>
      <c r="U697" s="11" t="n">
        <v>0.9</v>
      </c>
      <c r="V697" s="11" t="n">
        <v>0.9</v>
      </c>
    </row>
    <row r="698" customFormat="false" ht="15" hidden="false" customHeight="false" outlineLevel="0" collapsed="false">
      <c r="A698" s="6" t="s">
        <v>56</v>
      </c>
      <c r="B698" s="6" t="s">
        <v>43</v>
      </c>
      <c r="C698" s="6" t="s">
        <v>51</v>
      </c>
      <c r="D698" s="6" t="s">
        <v>118</v>
      </c>
      <c r="E698" s="6" t="n">
        <v>16</v>
      </c>
      <c r="F698" s="6" t="n">
        <v>4</v>
      </c>
      <c r="G698" s="6" t="s">
        <v>71</v>
      </c>
      <c r="H698" s="11" t="n">
        <v>0.05</v>
      </c>
      <c r="I698" s="6" t="n">
        <v>20</v>
      </c>
      <c r="J698" s="6" t="n">
        <v>0</v>
      </c>
      <c r="K698" s="6" t="n">
        <v>20</v>
      </c>
      <c r="L698" s="6" t="n">
        <v>0</v>
      </c>
      <c r="M698" s="6" t="n">
        <v>20</v>
      </c>
      <c r="N698" s="11" t="n">
        <f aca="false">J698/(J698+K698)</f>
        <v>0</v>
      </c>
      <c r="O698" s="11" t="str">
        <f aca="false">IF(J698+L698=0,"",J698/(J698+L698))</f>
        <v/>
      </c>
      <c r="P698" s="11" t="n">
        <f aca="false">2*J698/(2*J698+L698+K698)</f>
        <v>0</v>
      </c>
      <c r="Q698" s="11" t="n">
        <f aca="false">L698/(L698+M698)</f>
        <v>0</v>
      </c>
      <c r="R698" s="6" t="n">
        <v>0</v>
      </c>
      <c r="S698" s="11"/>
      <c r="T698" s="11" t="n">
        <v>0</v>
      </c>
      <c r="U698" s="11" t="n">
        <v>0.8</v>
      </c>
      <c r="V698" s="11" t="n">
        <v>0.8</v>
      </c>
    </row>
    <row r="699" customFormat="false" ht="15" hidden="false" customHeight="false" outlineLevel="0" collapsed="false">
      <c r="A699" s="6" t="s">
        <v>56</v>
      </c>
      <c r="B699" s="6" t="s">
        <v>43</v>
      </c>
      <c r="C699" s="6" t="s">
        <v>51</v>
      </c>
      <c r="D699" s="6" t="s">
        <v>118</v>
      </c>
      <c r="E699" s="6" t="n">
        <v>16</v>
      </c>
      <c r="F699" s="6" t="n">
        <v>4</v>
      </c>
      <c r="G699" s="6" t="s">
        <v>72</v>
      </c>
      <c r="H699" s="11" t="n">
        <v>0.05</v>
      </c>
      <c r="I699" s="6" t="n">
        <v>20</v>
      </c>
      <c r="J699" s="6" t="n">
        <v>1</v>
      </c>
      <c r="K699" s="6" t="n">
        <v>19</v>
      </c>
      <c r="L699" s="6" t="n">
        <v>1</v>
      </c>
      <c r="M699" s="6" t="n">
        <v>19</v>
      </c>
      <c r="N699" s="11" t="n">
        <f aca="false">J699/(J699+K699)</f>
        <v>0.05</v>
      </c>
      <c r="O699" s="11" t="n">
        <f aca="false">IF(J699+L699=0,"",J699/(J699+L699))</f>
        <v>0.5</v>
      </c>
      <c r="P699" s="11" t="n">
        <f aca="false">2*J699/(2*J699+L699+K699)</f>
        <v>0.0909090909090909</v>
      </c>
      <c r="Q699" s="11" t="n">
        <f aca="false">L699/(L699+M699)</f>
        <v>0.05</v>
      </c>
      <c r="R699" s="6" t="n">
        <v>0</v>
      </c>
      <c r="S699" s="11"/>
      <c r="T699" s="11" t="n">
        <v>0.05</v>
      </c>
      <c r="U699" s="11" t="n">
        <v>0.9</v>
      </c>
      <c r="V699" s="11" t="n">
        <v>0.9</v>
      </c>
    </row>
    <row r="700" customFormat="false" ht="15" hidden="false" customHeight="false" outlineLevel="0" collapsed="false">
      <c r="A700" s="6" t="s">
        <v>56</v>
      </c>
      <c r="B700" s="6" t="s">
        <v>43</v>
      </c>
      <c r="C700" s="6" t="s">
        <v>51</v>
      </c>
      <c r="D700" s="6" t="s">
        <v>118</v>
      </c>
      <c r="E700" s="6" t="n">
        <v>16</v>
      </c>
      <c r="F700" s="6" t="n">
        <v>4</v>
      </c>
      <c r="G700" s="6" t="s">
        <v>73</v>
      </c>
      <c r="H700" s="11" t="n">
        <v>0.05</v>
      </c>
      <c r="I700" s="6" t="n">
        <v>20</v>
      </c>
      <c r="J700" s="6" t="n">
        <v>0</v>
      </c>
      <c r="K700" s="6" t="n">
        <v>20</v>
      </c>
      <c r="L700" s="6" t="n">
        <v>0</v>
      </c>
      <c r="M700" s="6" t="n">
        <v>20</v>
      </c>
      <c r="N700" s="11" t="n">
        <f aca="false">J700/(J700+K700)</f>
        <v>0</v>
      </c>
      <c r="O700" s="11" t="str">
        <f aca="false">IF(J700+L700=0,"",J700/(J700+L700))</f>
        <v/>
      </c>
      <c r="P700" s="11" t="n">
        <f aca="false">2*J700/(2*J700+L700+K700)</f>
        <v>0</v>
      </c>
      <c r="Q700" s="11" t="n">
        <f aca="false">L700/(L700+M700)</f>
        <v>0</v>
      </c>
      <c r="R700" s="6" t="n">
        <v>0</v>
      </c>
      <c r="S700" s="11"/>
      <c r="T700" s="11" t="n">
        <v>0</v>
      </c>
      <c r="U700" s="11" t="n">
        <v>0.65</v>
      </c>
      <c r="V700" s="11" t="n">
        <v>0.65</v>
      </c>
    </row>
    <row r="701" customFormat="false" ht="15" hidden="false" customHeight="false" outlineLevel="0" collapsed="false">
      <c r="A701" s="6" t="s">
        <v>56</v>
      </c>
      <c r="B701" s="6" t="s">
        <v>43</v>
      </c>
      <c r="C701" s="6" t="s">
        <v>51</v>
      </c>
      <c r="D701" s="6" t="s">
        <v>118</v>
      </c>
      <c r="E701" s="6" t="n">
        <v>16</v>
      </c>
      <c r="F701" s="6" t="n">
        <v>4</v>
      </c>
      <c r="G701" s="6" t="s">
        <v>74</v>
      </c>
      <c r="H701" s="11" t="n">
        <v>0.05</v>
      </c>
      <c r="I701" s="6" t="n">
        <v>20</v>
      </c>
      <c r="J701" s="6" t="n">
        <v>1</v>
      </c>
      <c r="K701" s="6" t="n">
        <v>19</v>
      </c>
      <c r="L701" s="6" t="n">
        <v>1</v>
      </c>
      <c r="M701" s="6" t="n">
        <v>19</v>
      </c>
      <c r="N701" s="11" t="n">
        <f aca="false">J701/(J701+K701)</f>
        <v>0.05</v>
      </c>
      <c r="O701" s="11" t="n">
        <f aca="false">IF(J701+L701=0,"",J701/(J701+L701))</f>
        <v>0.5</v>
      </c>
      <c r="P701" s="11" t="n">
        <f aca="false">2*J701/(2*J701+L701+K701)</f>
        <v>0.0909090909090909</v>
      </c>
      <c r="Q701" s="11" t="n">
        <f aca="false">L701/(L701+M701)</f>
        <v>0.05</v>
      </c>
      <c r="R701" s="6" t="n">
        <v>0</v>
      </c>
      <c r="S701" s="11"/>
      <c r="T701" s="11" t="n">
        <v>0.05</v>
      </c>
      <c r="U701" s="11" t="n">
        <v>0.85</v>
      </c>
      <c r="V701" s="11" t="n">
        <v>0.85</v>
      </c>
    </row>
    <row r="702" customFormat="false" ht="15" hidden="false" customHeight="false" outlineLevel="0" collapsed="false">
      <c r="A702" s="6" t="s">
        <v>56</v>
      </c>
      <c r="B702" s="6" t="s">
        <v>43</v>
      </c>
      <c r="C702" s="6" t="s">
        <v>51</v>
      </c>
      <c r="D702" s="6" t="s">
        <v>118</v>
      </c>
      <c r="E702" s="6" t="n">
        <v>16</v>
      </c>
      <c r="F702" s="6" t="n">
        <v>4</v>
      </c>
      <c r="G702" s="6" t="s">
        <v>75</v>
      </c>
      <c r="H702" s="11" t="n">
        <v>0.05</v>
      </c>
      <c r="I702" s="6" t="n">
        <v>20</v>
      </c>
      <c r="J702" s="6" t="n">
        <v>0</v>
      </c>
      <c r="K702" s="6" t="n">
        <v>20</v>
      </c>
      <c r="L702" s="6" t="n">
        <v>0</v>
      </c>
      <c r="M702" s="6" t="n">
        <v>20</v>
      </c>
      <c r="N702" s="11" t="n">
        <f aca="false">J702/(J702+K702)</f>
        <v>0</v>
      </c>
      <c r="O702" s="11" t="str">
        <f aca="false">IF(J702+L702=0,"",J702/(J702+L702))</f>
        <v/>
      </c>
      <c r="P702" s="11" t="n">
        <f aca="false">2*J702/(2*J702+L702+K702)</f>
        <v>0</v>
      </c>
      <c r="Q702" s="11" t="n">
        <f aca="false">L702/(L702+M702)</f>
        <v>0</v>
      </c>
      <c r="R702" s="6" t="n">
        <v>0</v>
      </c>
      <c r="S702" s="11"/>
      <c r="T702" s="11" t="n">
        <v>0</v>
      </c>
      <c r="U702" s="11" t="n">
        <v>0.9</v>
      </c>
      <c r="V702" s="11" t="n">
        <v>0.9</v>
      </c>
    </row>
    <row r="703" customFormat="false" ht="15" hidden="false" customHeight="false" outlineLevel="0" collapsed="false">
      <c r="A703" s="6" t="s">
        <v>56</v>
      </c>
      <c r="B703" s="6" t="s">
        <v>43</v>
      </c>
      <c r="C703" s="6" t="s">
        <v>51</v>
      </c>
      <c r="D703" s="6" t="s">
        <v>118</v>
      </c>
      <c r="E703" s="6" t="n">
        <v>16</v>
      </c>
      <c r="F703" s="6" t="n">
        <v>4</v>
      </c>
      <c r="G703" s="6" t="s">
        <v>76</v>
      </c>
      <c r="H703" s="11" t="n">
        <v>0.05</v>
      </c>
      <c r="I703" s="6" t="n">
        <v>20</v>
      </c>
      <c r="J703" s="6" t="n">
        <v>0</v>
      </c>
      <c r="K703" s="6" t="n">
        <v>20</v>
      </c>
      <c r="L703" s="6" t="n">
        <v>0</v>
      </c>
      <c r="M703" s="6" t="n">
        <v>20</v>
      </c>
      <c r="N703" s="11" t="n">
        <f aca="false">J703/(J703+K703)</f>
        <v>0</v>
      </c>
      <c r="O703" s="11" t="str">
        <f aca="false">IF(J703+L703=0,"",J703/(J703+L703))</f>
        <v/>
      </c>
      <c r="P703" s="11" t="n">
        <f aca="false">2*J703/(2*J703+L703+K703)</f>
        <v>0</v>
      </c>
      <c r="Q703" s="11" t="n">
        <f aca="false">L703/(L703+M703)</f>
        <v>0</v>
      </c>
      <c r="R703" s="6" t="n">
        <v>0</v>
      </c>
      <c r="S703" s="11"/>
      <c r="T703" s="11" t="n">
        <v>0</v>
      </c>
      <c r="U703" s="11" t="n">
        <v>0.95</v>
      </c>
      <c r="V703" s="11" t="n">
        <v>0.95</v>
      </c>
    </row>
    <row r="704" customFormat="false" ht="15" hidden="false" customHeight="false" outlineLevel="0" collapsed="false">
      <c r="A704" s="6" t="s">
        <v>56</v>
      </c>
      <c r="B704" s="6" t="s">
        <v>43</v>
      </c>
      <c r="C704" s="6" t="s">
        <v>51</v>
      </c>
      <c r="D704" s="6" t="s">
        <v>118</v>
      </c>
      <c r="E704" s="6" t="n">
        <v>16</v>
      </c>
      <c r="F704" s="6" t="n">
        <v>4</v>
      </c>
      <c r="G704" s="6" t="s">
        <v>77</v>
      </c>
      <c r="H704" s="11" t="n">
        <v>0.05</v>
      </c>
      <c r="I704" s="6" t="n">
        <v>20</v>
      </c>
      <c r="J704" s="6" t="n">
        <v>1</v>
      </c>
      <c r="K704" s="6" t="n">
        <v>19</v>
      </c>
      <c r="L704" s="6" t="n">
        <v>1</v>
      </c>
      <c r="M704" s="6" t="n">
        <v>19</v>
      </c>
      <c r="N704" s="11" t="n">
        <f aca="false">J704/(J704+K704)</f>
        <v>0.05</v>
      </c>
      <c r="O704" s="11" t="n">
        <f aca="false">IF(J704+L704=0,"",J704/(J704+L704))</f>
        <v>0.5</v>
      </c>
      <c r="P704" s="11" t="n">
        <f aca="false">2*J704/(2*J704+L704+K704)</f>
        <v>0.0909090909090909</v>
      </c>
      <c r="Q704" s="11" t="n">
        <f aca="false">L704/(L704+M704)</f>
        <v>0.05</v>
      </c>
      <c r="R704" s="6" t="n">
        <v>0</v>
      </c>
      <c r="S704" s="11"/>
      <c r="T704" s="11" t="n">
        <v>0.05</v>
      </c>
      <c r="U704" s="11" t="n">
        <v>1</v>
      </c>
      <c r="V704" s="11" t="n">
        <v>1</v>
      </c>
    </row>
    <row r="705" customFormat="false" ht="15" hidden="false" customHeight="false" outlineLevel="0" collapsed="false">
      <c r="A705" s="6" t="s">
        <v>56</v>
      </c>
      <c r="B705" s="6" t="s">
        <v>43</v>
      </c>
      <c r="C705" s="6" t="s">
        <v>51</v>
      </c>
      <c r="D705" s="6" t="s">
        <v>118</v>
      </c>
      <c r="E705" s="6" t="n">
        <v>16</v>
      </c>
      <c r="F705" s="6" t="n">
        <v>4</v>
      </c>
      <c r="G705" s="6" t="s">
        <v>78</v>
      </c>
      <c r="H705" s="11" t="n">
        <v>0.05</v>
      </c>
      <c r="I705" s="6" t="n">
        <v>200</v>
      </c>
      <c r="J705" s="6" t="n">
        <v>6</v>
      </c>
      <c r="K705" s="6" t="n">
        <v>194</v>
      </c>
      <c r="L705" s="6" t="n">
        <v>6</v>
      </c>
      <c r="M705" s="6" t="n">
        <v>194</v>
      </c>
      <c r="N705" s="11" t="n">
        <f aca="false">J705/(J705+K705)</f>
        <v>0.03</v>
      </c>
      <c r="O705" s="11" t="n">
        <f aca="false">IF(J705+L705=0,"",J705/(J705+L705))</f>
        <v>0.5</v>
      </c>
      <c r="P705" s="11" t="n">
        <f aca="false">2*J705/(2*J705+L705+K705)</f>
        <v>0.0566037735849057</v>
      </c>
      <c r="Q705" s="11" t="n">
        <f aca="false">L705/(L705+M705)</f>
        <v>0.03</v>
      </c>
      <c r="R705" s="6" t="n">
        <v>0</v>
      </c>
      <c r="S705" s="11"/>
      <c r="T705" s="11" t="n">
        <v>0.03</v>
      </c>
      <c r="U705" s="11" t="n">
        <v>0.88</v>
      </c>
      <c r="V705" s="11" t="n">
        <v>0.88</v>
      </c>
    </row>
    <row r="706" customFormat="false" ht="15" hidden="false" customHeight="false" outlineLevel="0" collapsed="false">
      <c r="A706" s="6" t="s">
        <v>56</v>
      </c>
      <c r="B706" s="6" t="s">
        <v>43</v>
      </c>
      <c r="C706" s="6" t="s">
        <v>51</v>
      </c>
      <c r="D706" s="6" t="s">
        <v>118</v>
      </c>
      <c r="E706" s="6" t="n">
        <v>16</v>
      </c>
      <c r="F706" s="6" t="n">
        <v>5</v>
      </c>
      <c r="G706" s="6" t="s">
        <v>68</v>
      </c>
      <c r="H706" s="11" t="n">
        <v>0.05</v>
      </c>
      <c r="I706" s="6" t="n">
        <v>20</v>
      </c>
      <c r="J706" s="6" t="n">
        <v>2</v>
      </c>
      <c r="K706" s="6" t="n">
        <v>18</v>
      </c>
      <c r="L706" s="6" t="n">
        <v>2</v>
      </c>
      <c r="M706" s="6" t="n">
        <v>18</v>
      </c>
      <c r="N706" s="11" t="n">
        <f aca="false">J706/(J706+K706)</f>
        <v>0.1</v>
      </c>
      <c r="O706" s="11" t="n">
        <f aca="false">IF(J706+L706=0,"",J706/(J706+L706))</f>
        <v>0.5</v>
      </c>
      <c r="P706" s="11" t="n">
        <f aca="false">2*J706/(2*J706+L706+K706)</f>
        <v>0.166666666666667</v>
      </c>
      <c r="Q706" s="11" t="n">
        <f aca="false">L706/(L706+M706)</f>
        <v>0.1</v>
      </c>
      <c r="R706" s="6" t="n">
        <v>0</v>
      </c>
      <c r="S706" s="11"/>
      <c r="T706" s="11" t="n">
        <v>0.1</v>
      </c>
      <c r="U706" s="11" t="n">
        <v>0.85</v>
      </c>
      <c r="V706" s="11" t="n">
        <v>0.85</v>
      </c>
    </row>
    <row r="707" customFormat="false" ht="15" hidden="false" customHeight="false" outlineLevel="0" collapsed="false">
      <c r="A707" s="6" t="s">
        <v>56</v>
      </c>
      <c r="B707" s="6" t="s">
        <v>43</v>
      </c>
      <c r="C707" s="6" t="s">
        <v>51</v>
      </c>
      <c r="D707" s="6" t="s">
        <v>118</v>
      </c>
      <c r="E707" s="6" t="n">
        <v>16</v>
      </c>
      <c r="F707" s="6" t="n">
        <v>5</v>
      </c>
      <c r="G707" s="6" t="s">
        <v>69</v>
      </c>
      <c r="H707" s="11" t="n">
        <v>0.05</v>
      </c>
      <c r="I707" s="6" t="n">
        <v>20</v>
      </c>
      <c r="J707" s="6" t="n">
        <v>1</v>
      </c>
      <c r="K707" s="6" t="n">
        <v>19</v>
      </c>
      <c r="L707" s="6" t="n">
        <v>1</v>
      </c>
      <c r="M707" s="6" t="n">
        <v>19</v>
      </c>
      <c r="N707" s="11" t="n">
        <f aca="false">J707/(J707+K707)</f>
        <v>0.05</v>
      </c>
      <c r="O707" s="11" t="n">
        <f aca="false">IF(J707+L707=0,"",J707/(J707+L707))</f>
        <v>0.5</v>
      </c>
      <c r="P707" s="11" t="n">
        <f aca="false">2*J707/(2*J707+L707+K707)</f>
        <v>0.0909090909090909</v>
      </c>
      <c r="Q707" s="11" t="n">
        <f aca="false">L707/(L707+M707)</f>
        <v>0.05</v>
      </c>
      <c r="R707" s="6" t="n">
        <v>0</v>
      </c>
      <c r="S707" s="11"/>
      <c r="T707" s="11" t="n">
        <v>0.05</v>
      </c>
      <c r="U707" s="11" t="n">
        <v>1</v>
      </c>
      <c r="V707" s="11" t="n">
        <v>1</v>
      </c>
    </row>
    <row r="708" customFormat="false" ht="15" hidden="false" customHeight="false" outlineLevel="0" collapsed="false">
      <c r="A708" s="6" t="s">
        <v>56</v>
      </c>
      <c r="B708" s="6" t="s">
        <v>43</v>
      </c>
      <c r="C708" s="6" t="s">
        <v>51</v>
      </c>
      <c r="D708" s="6" t="s">
        <v>118</v>
      </c>
      <c r="E708" s="6" t="n">
        <v>16</v>
      </c>
      <c r="F708" s="6" t="n">
        <v>5</v>
      </c>
      <c r="G708" s="6" t="s">
        <v>70</v>
      </c>
      <c r="H708" s="11" t="n">
        <v>0.05</v>
      </c>
      <c r="I708" s="6" t="n">
        <v>20</v>
      </c>
      <c r="J708" s="6" t="n">
        <v>0</v>
      </c>
      <c r="K708" s="6" t="n">
        <v>20</v>
      </c>
      <c r="L708" s="6" t="n">
        <v>0</v>
      </c>
      <c r="M708" s="6" t="n">
        <v>20</v>
      </c>
      <c r="N708" s="11" t="n">
        <f aca="false">J708/(J708+K708)</f>
        <v>0</v>
      </c>
      <c r="O708" s="11" t="str">
        <f aca="false">IF(J708+L708=0,"",J708/(J708+L708))</f>
        <v/>
      </c>
      <c r="P708" s="11" t="n">
        <f aca="false">2*J708/(2*J708+L708+K708)</f>
        <v>0</v>
      </c>
      <c r="Q708" s="11" t="n">
        <f aca="false">L708/(L708+M708)</f>
        <v>0</v>
      </c>
      <c r="R708" s="6" t="n">
        <v>0</v>
      </c>
      <c r="S708" s="11"/>
      <c r="T708" s="11" t="n">
        <v>0</v>
      </c>
      <c r="U708" s="11" t="n">
        <v>0.9</v>
      </c>
      <c r="V708" s="11" t="n">
        <v>0.9</v>
      </c>
    </row>
    <row r="709" customFormat="false" ht="15" hidden="false" customHeight="false" outlineLevel="0" collapsed="false">
      <c r="A709" s="6" t="s">
        <v>56</v>
      </c>
      <c r="B709" s="6" t="s">
        <v>43</v>
      </c>
      <c r="C709" s="6" t="s">
        <v>51</v>
      </c>
      <c r="D709" s="6" t="s">
        <v>118</v>
      </c>
      <c r="E709" s="6" t="n">
        <v>16</v>
      </c>
      <c r="F709" s="6" t="n">
        <v>5</v>
      </c>
      <c r="G709" s="6" t="s">
        <v>71</v>
      </c>
      <c r="H709" s="11" t="n">
        <v>0.05</v>
      </c>
      <c r="I709" s="6" t="n">
        <v>20</v>
      </c>
      <c r="J709" s="6" t="n">
        <v>0</v>
      </c>
      <c r="K709" s="6" t="n">
        <v>20</v>
      </c>
      <c r="L709" s="6" t="n">
        <v>0</v>
      </c>
      <c r="M709" s="6" t="n">
        <v>20</v>
      </c>
      <c r="N709" s="11" t="n">
        <f aca="false">J709/(J709+K709)</f>
        <v>0</v>
      </c>
      <c r="O709" s="11" t="str">
        <f aca="false">IF(J709+L709=0,"",J709/(J709+L709))</f>
        <v/>
      </c>
      <c r="P709" s="11" t="n">
        <f aca="false">2*J709/(2*J709+L709+K709)</f>
        <v>0</v>
      </c>
      <c r="Q709" s="11" t="n">
        <f aca="false">L709/(L709+M709)</f>
        <v>0</v>
      </c>
      <c r="R709" s="6" t="n">
        <v>0</v>
      </c>
      <c r="S709" s="11"/>
      <c r="T709" s="11" t="n">
        <v>0</v>
      </c>
      <c r="U709" s="11" t="n">
        <v>0.8</v>
      </c>
      <c r="V709" s="11" t="n">
        <v>0.8</v>
      </c>
    </row>
    <row r="710" customFormat="false" ht="15" hidden="false" customHeight="false" outlineLevel="0" collapsed="false">
      <c r="A710" s="6" t="s">
        <v>56</v>
      </c>
      <c r="B710" s="6" t="s">
        <v>43</v>
      </c>
      <c r="C710" s="6" t="s">
        <v>51</v>
      </c>
      <c r="D710" s="6" t="s">
        <v>118</v>
      </c>
      <c r="E710" s="6" t="n">
        <v>16</v>
      </c>
      <c r="F710" s="6" t="n">
        <v>5</v>
      </c>
      <c r="G710" s="6" t="s">
        <v>72</v>
      </c>
      <c r="H710" s="11" t="n">
        <v>0.05</v>
      </c>
      <c r="I710" s="6" t="n">
        <v>20</v>
      </c>
      <c r="J710" s="6" t="n">
        <v>1</v>
      </c>
      <c r="K710" s="6" t="n">
        <v>19</v>
      </c>
      <c r="L710" s="6" t="n">
        <v>1</v>
      </c>
      <c r="M710" s="6" t="n">
        <v>19</v>
      </c>
      <c r="N710" s="11" t="n">
        <f aca="false">J710/(J710+K710)</f>
        <v>0.05</v>
      </c>
      <c r="O710" s="11" t="n">
        <f aca="false">IF(J710+L710=0,"",J710/(J710+L710))</f>
        <v>0.5</v>
      </c>
      <c r="P710" s="11" t="n">
        <f aca="false">2*J710/(2*J710+L710+K710)</f>
        <v>0.0909090909090909</v>
      </c>
      <c r="Q710" s="11" t="n">
        <f aca="false">L710/(L710+M710)</f>
        <v>0.05</v>
      </c>
      <c r="R710" s="6" t="n">
        <v>0</v>
      </c>
      <c r="S710" s="11"/>
      <c r="T710" s="11" t="n">
        <v>0.05</v>
      </c>
      <c r="U710" s="11" t="n">
        <v>0.9</v>
      </c>
      <c r="V710" s="11" t="n">
        <v>0.9</v>
      </c>
    </row>
    <row r="711" customFormat="false" ht="15" hidden="false" customHeight="false" outlineLevel="0" collapsed="false">
      <c r="A711" s="6" t="s">
        <v>56</v>
      </c>
      <c r="B711" s="6" t="s">
        <v>43</v>
      </c>
      <c r="C711" s="6" t="s">
        <v>51</v>
      </c>
      <c r="D711" s="6" t="s">
        <v>118</v>
      </c>
      <c r="E711" s="6" t="n">
        <v>16</v>
      </c>
      <c r="F711" s="6" t="n">
        <v>5</v>
      </c>
      <c r="G711" s="6" t="s">
        <v>73</v>
      </c>
      <c r="H711" s="11" t="n">
        <v>0.05</v>
      </c>
      <c r="I711" s="6" t="n">
        <v>20</v>
      </c>
      <c r="J711" s="6" t="n">
        <v>0</v>
      </c>
      <c r="K711" s="6" t="n">
        <v>20</v>
      </c>
      <c r="L711" s="6" t="n">
        <v>0</v>
      </c>
      <c r="M711" s="6" t="n">
        <v>20</v>
      </c>
      <c r="N711" s="11" t="n">
        <f aca="false">J711/(J711+K711)</f>
        <v>0</v>
      </c>
      <c r="O711" s="11" t="str">
        <f aca="false">IF(J711+L711=0,"",J711/(J711+L711))</f>
        <v/>
      </c>
      <c r="P711" s="11" t="n">
        <f aca="false">2*J711/(2*J711+L711+K711)</f>
        <v>0</v>
      </c>
      <c r="Q711" s="11" t="n">
        <f aca="false">L711/(L711+M711)</f>
        <v>0</v>
      </c>
      <c r="R711" s="6" t="n">
        <v>0</v>
      </c>
      <c r="S711" s="11"/>
      <c r="T711" s="11" t="n">
        <v>0</v>
      </c>
      <c r="U711" s="11" t="n">
        <v>0.65</v>
      </c>
      <c r="V711" s="11" t="n">
        <v>0.65</v>
      </c>
    </row>
    <row r="712" customFormat="false" ht="15" hidden="false" customHeight="false" outlineLevel="0" collapsed="false">
      <c r="A712" s="6" t="s">
        <v>56</v>
      </c>
      <c r="B712" s="6" t="s">
        <v>43</v>
      </c>
      <c r="C712" s="6" t="s">
        <v>51</v>
      </c>
      <c r="D712" s="6" t="s">
        <v>118</v>
      </c>
      <c r="E712" s="6" t="n">
        <v>16</v>
      </c>
      <c r="F712" s="6" t="n">
        <v>5</v>
      </c>
      <c r="G712" s="6" t="s">
        <v>74</v>
      </c>
      <c r="H712" s="11" t="n">
        <v>0.05</v>
      </c>
      <c r="I712" s="6" t="n">
        <v>20</v>
      </c>
      <c r="J712" s="6" t="n">
        <v>1</v>
      </c>
      <c r="K712" s="6" t="n">
        <v>19</v>
      </c>
      <c r="L712" s="6" t="n">
        <v>1</v>
      </c>
      <c r="M712" s="6" t="n">
        <v>19</v>
      </c>
      <c r="N712" s="11" t="n">
        <f aca="false">J712/(J712+K712)</f>
        <v>0.05</v>
      </c>
      <c r="O712" s="11" t="n">
        <f aca="false">IF(J712+L712=0,"",J712/(J712+L712))</f>
        <v>0.5</v>
      </c>
      <c r="P712" s="11" t="n">
        <f aca="false">2*J712/(2*J712+L712+K712)</f>
        <v>0.0909090909090909</v>
      </c>
      <c r="Q712" s="11" t="n">
        <f aca="false">L712/(L712+M712)</f>
        <v>0.05</v>
      </c>
      <c r="R712" s="6" t="n">
        <v>0</v>
      </c>
      <c r="S712" s="11"/>
      <c r="T712" s="11" t="n">
        <v>0.05</v>
      </c>
      <c r="U712" s="11" t="n">
        <v>0.85</v>
      </c>
      <c r="V712" s="11" t="n">
        <v>0.85</v>
      </c>
    </row>
    <row r="713" customFormat="false" ht="15" hidden="false" customHeight="false" outlineLevel="0" collapsed="false">
      <c r="A713" s="6" t="s">
        <v>56</v>
      </c>
      <c r="B713" s="6" t="s">
        <v>43</v>
      </c>
      <c r="C713" s="6" t="s">
        <v>51</v>
      </c>
      <c r="D713" s="6" t="s">
        <v>118</v>
      </c>
      <c r="E713" s="6" t="n">
        <v>16</v>
      </c>
      <c r="F713" s="6" t="n">
        <v>5</v>
      </c>
      <c r="G713" s="6" t="s">
        <v>75</v>
      </c>
      <c r="H713" s="11" t="n">
        <v>0.05</v>
      </c>
      <c r="I713" s="6" t="n">
        <v>20</v>
      </c>
      <c r="J713" s="6" t="n">
        <v>0</v>
      </c>
      <c r="K713" s="6" t="n">
        <v>20</v>
      </c>
      <c r="L713" s="6" t="n">
        <v>0</v>
      </c>
      <c r="M713" s="6" t="n">
        <v>20</v>
      </c>
      <c r="N713" s="11" t="n">
        <f aca="false">J713/(J713+K713)</f>
        <v>0</v>
      </c>
      <c r="O713" s="11" t="str">
        <f aca="false">IF(J713+L713=0,"",J713/(J713+L713))</f>
        <v/>
      </c>
      <c r="P713" s="11" t="n">
        <f aca="false">2*J713/(2*J713+L713+K713)</f>
        <v>0</v>
      </c>
      <c r="Q713" s="11" t="n">
        <f aca="false">L713/(L713+M713)</f>
        <v>0</v>
      </c>
      <c r="R713" s="6" t="n">
        <v>0</v>
      </c>
      <c r="S713" s="11"/>
      <c r="T713" s="11" t="n">
        <v>0</v>
      </c>
      <c r="U713" s="11" t="n">
        <v>0.9</v>
      </c>
      <c r="V713" s="11" t="n">
        <v>0.9</v>
      </c>
    </row>
    <row r="714" customFormat="false" ht="15" hidden="false" customHeight="false" outlineLevel="0" collapsed="false">
      <c r="A714" s="6" t="s">
        <v>56</v>
      </c>
      <c r="B714" s="6" t="s">
        <v>43</v>
      </c>
      <c r="C714" s="6" t="s">
        <v>51</v>
      </c>
      <c r="D714" s="6" t="s">
        <v>118</v>
      </c>
      <c r="E714" s="6" t="n">
        <v>16</v>
      </c>
      <c r="F714" s="6" t="n">
        <v>5</v>
      </c>
      <c r="G714" s="6" t="s">
        <v>76</v>
      </c>
      <c r="H714" s="11" t="n">
        <v>0.05</v>
      </c>
      <c r="I714" s="6" t="n">
        <v>20</v>
      </c>
      <c r="J714" s="6" t="n">
        <v>0</v>
      </c>
      <c r="K714" s="6" t="n">
        <v>20</v>
      </c>
      <c r="L714" s="6" t="n">
        <v>0</v>
      </c>
      <c r="M714" s="6" t="n">
        <v>20</v>
      </c>
      <c r="N714" s="11" t="n">
        <f aca="false">J714/(J714+K714)</f>
        <v>0</v>
      </c>
      <c r="O714" s="11" t="str">
        <f aca="false">IF(J714+L714=0,"",J714/(J714+L714))</f>
        <v/>
      </c>
      <c r="P714" s="11" t="n">
        <f aca="false">2*J714/(2*J714+L714+K714)</f>
        <v>0</v>
      </c>
      <c r="Q714" s="11" t="n">
        <f aca="false">L714/(L714+M714)</f>
        <v>0</v>
      </c>
      <c r="R714" s="6" t="n">
        <v>0</v>
      </c>
      <c r="S714" s="11"/>
      <c r="T714" s="11" t="n">
        <v>0</v>
      </c>
      <c r="U714" s="11" t="n">
        <v>0.95</v>
      </c>
      <c r="V714" s="11" t="n">
        <v>0.95</v>
      </c>
    </row>
    <row r="715" customFormat="false" ht="15" hidden="false" customHeight="false" outlineLevel="0" collapsed="false">
      <c r="A715" s="6" t="s">
        <v>56</v>
      </c>
      <c r="B715" s="6" t="s">
        <v>43</v>
      </c>
      <c r="C715" s="6" t="s">
        <v>51</v>
      </c>
      <c r="D715" s="6" t="s">
        <v>118</v>
      </c>
      <c r="E715" s="6" t="n">
        <v>16</v>
      </c>
      <c r="F715" s="6" t="n">
        <v>5</v>
      </c>
      <c r="G715" s="6" t="s">
        <v>77</v>
      </c>
      <c r="H715" s="11" t="n">
        <v>0.05</v>
      </c>
      <c r="I715" s="6" t="n">
        <v>20</v>
      </c>
      <c r="J715" s="6" t="n">
        <v>1</v>
      </c>
      <c r="K715" s="6" t="n">
        <v>19</v>
      </c>
      <c r="L715" s="6" t="n">
        <v>1</v>
      </c>
      <c r="M715" s="6" t="n">
        <v>19</v>
      </c>
      <c r="N715" s="11" t="n">
        <f aca="false">J715/(J715+K715)</f>
        <v>0.05</v>
      </c>
      <c r="O715" s="11" t="n">
        <f aca="false">IF(J715+L715=0,"",J715/(J715+L715))</f>
        <v>0.5</v>
      </c>
      <c r="P715" s="11" t="n">
        <f aca="false">2*J715/(2*J715+L715+K715)</f>
        <v>0.0909090909090909</v>
      </c>
      <c r="Q715" s="11" t="n">
        <f aca="false">L715/(L715+M715)</f>
        <v>0.05</v>
      </c>
      <c r="R715" s="6" t="n">
        <v>0</v>
      </c>
      <c r="S715" s="11"/>
      <c r="T715" s="11" t="n">
        <v>0.05</v>
      </c>
      <c r="U715" s="11" t="n">
        <v>1</v>
      </c>
      <c r="V715" s="11" t="n">
        <v>1</v>
      </c>
    </row>
    <row r="716" customFormat="false" ht="15" hidden="false" customHeight="false" outlineLevel="0" collapsed="false">
      <c r="A716" s="6" t="s">
        <v>56</v>
      </c>
      <c r="B716" s="6" t="s">
        <v>43</v>
      </c>
      <c r="C716" s="6" t="s">
        <v>51</v>
      </c>
      <c r="D716" s="6" t="s">
        <v>118</v>
      </c>
      <c r="E716" s="6" t="n">
        <v>16</v>
      </c>
      <c r="F716" s="6" t="n">
        <v>5</v>
      </c>
      <c r="G716" s="6" t="s">
        <v>78</v>
      </c>
      <c r="H716" s="11" t="n">
        <v>0.05</v>
      </c>
      <c r="I716" s="6" t="n">
        <v>200</v>
      </c>
      <c r="J716" s="6" t="n">
        <v>6</v>
      </c>
      <c r="K716" s="6" t="n">
        <v>194</v>
      </c>
      <c r="L716" s="6" t="n">
        <v>6</v>
      </c>
      <c r="M716" s="6" t="n">
        <v>194</v>
      </c>
      <c r="N716" s="11" t="n">
        <f aca="false">J716/(J716+K716)</f>
        <v>0.03</v>
      </c>
      <c r="O716" s="11" t="n">
        <f aca="false">IF(J716+L716=0,"",J716/(J716+L716))</f>
        <v>0.5</v>
      </c>
      <c r="P716" s="11" t="n">
        <f aca="false">2*J716/(2*J716+L716+K716)</f>
        <v>0.0566037735849057</v>
      </c>
      <c r="Q716" s="11" t="n">
        <f aca="false">L716/(L716+M716)</f>
        <v>0.03</v>
      </c>
      <c r="R716" s="6" t="n">
        <v>0</v>
      </c>
      <c r="S716" s="11"/>
      <c r="T716" s="11" t="n">
        <v>0.03</v>
      </c>
      <c r="U716" s="11" t="n">
        <v>0.88</v>
      </c>
      <c r="V716" s="11" t="n">
        <v>0.88</v>
      </c>
    </row>
    <row r="717" customFormat="false" ht="15" hidden="false" customHeight="false" outlineLevel="0" collapsed="false">
      <c r="A717" s="6" t="s">
        <v>56</v>
      </c>
      <c r="B717" s="6" t="s">
        <v>43</v>
      </c>
      <c r="C717" s="6" t="s">
        <v>51</v>
      </c>
      <c r="D717" s="6" t="s">
        <v>118</v>
      </c>
      <c r="E717" s="6" t="n">
        <v>16</v>
      </c>
      <c r="F717" s="6" t="n">
        <v>6</v>
      </c>
      <c r="G717" s="6" t="s">
        <v>68</v>
      </c>
      <c r="H717" s="11" t="n">
        <v>0.05</v>
      </c>
      <c r="I717" s="6" t="n">
        <v>20</v>
      </c>
      <c r="J717" s="6" t="n">
        <v>2</v>
      </c>
      <c r="K717" s="6" t="n">
        <v>18</v>
      </c>
      <c r="L717" s="6" t="n">
        <v>2</v>
      </c>
      <c r="M717" s="6" t="n">
        <v>18</v>
      </c>
      <c r="N717" s="11" t="n">
        <f aca="false">J717/(J717+K717)</f>
        <v>0.1</v>
      </c>
      <c r="O717" s="11" t="n">
        <f aca="false">IF(J717+L717=0,"",J717/(J717+L717))</f>
        <v>0.5</v>
      </c>
      <c r="P717" s="11" t="n">
        <f aca="false">2*J717/(2*J717+L717+K717)</f>
        <v>0.166666666666667</v>
      </c>
      <c r="Q717" s="11" t="n">
        <f aca="false">L717/(L717+M717)</f>
        <v>0.1</v>
      </c>
      <c r="R717" s="6" t="n">
        <v>0</v>
      </c>
      <c r="S717" s="11"/>
      <c r="T717" s="11" t="n">
        <v>0.1</v>
      </c>
      <c r="U717" s="11" t="n">
        <v>0.85</v>
      </c>
      <c r="V717" s="11" t="n">
        <v>0.85</v>
      </c>
    </row>
    <row r="718" customFormat="false" ht="15" hidden="false" customHeight="false" outlineLevel="0" collapsed="false">
      <c r="A718" s="6" t="s">
        <v>56</v>
      </c>
      <c r="B718" s="6" t="s">
        <v>43</v>
      </c>
      <c r="C718" s="6" t="s">
        <v>51</v>
      </c>
      <c r="D718" s="6" t="s">
        <v>118</v>
      </c>
      <c r="E718" s="6" t="n">
        <v>16</v>
      </c>
      <c r="F718" s="6" t="n">
        <v>6</v>
      </c>
      <c r="G718" s="6" t="s">
        <v>69</v>
      </c>
      <c r="H718" s="11" t="n">
        <v>0.05</v>
      </c>
      <c r="I718" s="6" t="n">
        <v>20</v>
      </c>
      <c r="J718" s="6" t="n">
        <v>1</v>
      </c>
      <c r="K718" s="6" t="n">
        <v>19</v>
      </c>
      <c r="L718" s="6" t="n">
        <v>1</v>
      </c>
      <c r="M718" s="6" t="n">
        <v>19</v>
      </c>
      <c r="N718" s="11" t="n">
        <f aca="false">J718/(J718+K718)</f>
        <v>0.05</v>
      </c>
      <c r="O718" s="11" t="n">
        <f aca="false">IF(J718+L718=0,"",J718/(J718+L718))</f>
        <v>0.5</v>
      </c>
      <c r="P718" s="11" t="n">
        <f aca="false">2*J718/(2*J718+L718+K718)</f>
        <v>0.0909090909090909</v>
      </c>
      <c r="Q718" s="11" t="n">
        <f aca="false">L718/(L718+M718)</f>
        <v>0.05</v>
      </c>
      <c r="R718" s="6" t="n">
        <v>0</v>
      </c>
      <c r="S718" s="11"/>
      <c r="T718" s="11" t="n">
        <v>0.05</v>
      </c>
      <c r="U718" s="11" t="n">
        <v>1</v>
      </c>
      <c r="V718" s="11" t="n">
        <v>1</v>
      </c>
    </row>
    <row r="719" customFormat="false" ht="15" hidden="false" customHeight="false" outlineLevel="0" collapsed="false">
      <c r="A719" s="6" t="s">
        <v>56</v>
      </c>
      <c r="B719" s="6" t="s">
        <v>43</v>
      </c>
      <c r="C719" s="6" t="s">
        <v>51</v>
      </c>
      <c r="D719" s="6" t="s">
        <v>118</v>
      </c>
      <c r="E719" s="6" t="n">
        <v>16</v>
      </c>
      <c r="F719" s="6" t="n">
        <v>6</v>
      </c>
      <c r="G719" s="6" t="s">
        <v>70</v>
      </c>
      <c r="H719" s="11" t="n">
        <v>0.05</v>
      </c>
      <c r="I719" s="6" t="n">
        <v>20</v>
      </c>
      <c r="J719" s="6" t="n">
        <v>0</v>
      </c>
      <c r="K719" s="6" t="n">
        <v>20</v>
      </c>
      <c r="L719" s="6" t="n">
        <v>0</v>
      </c>
      <c r="M719" s="6" t="n">
        <v>20</v>
      </c>
      <c r="N719" s="11" t="n">
        <f aca="false">J719/(J719+K719)</f>
        <v>0</v>
      </c>
      <c r="O719" s="11" t="str">
        <f aca="false">IF(J719+L719=0,"",J719/(J719+L719))</f>
        <v/>
      </c>
      <c r="P719" s="11" t="n">
        <f aca="false">2*J719/(2*J719+L719+K719)</f>
        <v>0</v>
      </c>
      <c r="Q719" s="11" t="n">
        <f aca="false">L719/(L719+M719)</f>
        <v>0</v>
      </c>
      <c r="R719" s="6" t="n">
        <v>0</v>
      </c>
      <c r="S719" s="11"/>
      <c r="T719" s="11" t="n">
        <v>0</v>
      </c>
      <c r="U719" s="11" t="n">
        <v>0.9</v>
      </c>
      <c r="V719" s="11" t="n">
        <v>0.9</v>
      </c>
    </row>
    <row r="720" customFormat="false" ht="15" hidden="false" customHeight="false" outlineLevel="0" collapsed="false">
      <c r="A720" s="6" t="s">
        <v>56</v>
      </c>
      <c r="B720" s="6" t="s">
        <v>43</v>
      </c>
      <c r="C720" s="6" t="s">
        <v>51</v>
      </c>
      <c r="D720" s="6" t="s">
        <v>118</v>
      </c>
      <c r="E720" s="6" t="n">
        <v>16</v>
      </c>
      <c r="F720" s="6" t="n">
        <v>6</v>
      </c>
      <c r="G720" s="6" t="s">
        <v>71</v>
      </c>
      <c r="H720" s="11" t="n">
        <v>0.05</v>
      </c>
      <c r="I720" s="6" t="n">
        <v>20</v>
      </c>
      <c r="J720" s="6" t="n">
        <v>0</v>
      </c>
      <c r="K720" s="6" t="n">
        <v>20</v>
      </c>
      <c r="L720" s="6" t="n">
        <v>0</v>
      </c>
      <c r="M720" s="6" t="n">
        <v>20</v>
      </c>
      <c r="N720" s="11" t="n">
        <f aca="false">J720/(J720+K720)</f>
        <v>0</v>
      </c>
      <c r="O720" s="11" t="str">
        <f aca="false">IF(J720+L720=0,"",J720/(J720+L720))</f>
        <v/>
      </c>
      <c r="P720" s="11" t="n">
        <f aca="false">2*J720/(2*J720+L720+K720)</f>
        <v>0</v>
      </c>
      <c r="Q720" s="11" t="n">
        <f aca="false">L720/(L720+M720)</f>
        <v>0</v>
      </c>
      <c r="R720" s="6" t="n">
        <v>0</v>
      </c>
      <c r="S720" s="11"/>
      <c r="T720" s="11" t="n">
        <v>0</v>
      </c>
      <c r="U720" s="11" t="n">
        <v>0.8</v>
      </c>
      <c r="V720" s="11" t="n">
        <v>0.8</v>
      </c>
    </row>
    <row r="721" customFormat="false" ht="15" hidden="false" customHeight="false" outlineLevel="0" collapsed="false">
      <c r="A721" s="6" t="s">
        <v>56</v>
      </c>
      <c r="B721" s="6" t="s">
        <v>43</v>
      </c>
      <c r="C721" s="6" t="s">
        <v>51</v>
      </c>
      <c r="D721" s="6" t="s">
        <v>118</v>
      </c>
      <c r="E721" s="6" t="n">
        <v>16</v>
      </c>
      <c r="F721" s="6" t="n">
        <v>6</v>
      </c>
      <c r="G721" s="6" t="s">
        <v>72</v>
      </c>
      <c r="H721" s="11" t="n">
        <v>0.05</v>
      </c>
      <c r="I721" s="6" t="n">
        <v>20</v>
      </c>
      <c r="J721" s="6" t="n">
        <v>1</v>
      </c>
      <c r="K721" s="6" t="n">
        <v>19</v>
      </c>
      <c r="L721" s="6" t="n">
        <v>1</v>
      </c>
      <c r="M721" s="6" t="n">
        <v>19</v>
      </c>
      <c r="N721" s="11" t="n">
        <f aca="false">J721/(J721+K721)</f>
        <v>0.05</v>
      </c>
      <c r="O721" s="11" t="n">
        <f aca="false">IF(J721+L721=0,"",J721/(J721+L721))</f>
        <v>0.5</v>
      </c>
      <c r="P721" s="11" t="n">
        <f aca="false">2*J721/(2*J721+L721+K721)</f>
        <v>0.0909090909090909</v>
      </c>
      <c r="Q721" s="11" t="n">
        <f aca="false">L721/(L721+M721)</f>
        <v>0.05</v>
      </c>
      <c r="R721" s="6" t="n">
        <v>0</v>
      </c>
      <c r="S721" s="11"/>
      <c r="T721" s="11" t="n">
        <v>0.05</v>
      </c>
      <c r="U721" s="11" t="n">
        <v>0.9</v>
      </c>
      <c r="V721" s="11" t="n">
        <v>0.9</v>
      </c>
    </row>
    <row r="722" customFormat="false" ht="15" hidden="false" customHeight="false" outlineLevel="0" collapsed="false">
      <c r="A722" s="6" t="s">
        <v>56</v>
      </c>
      <c r="B722" s="6" t="s">
        <v>43</v>
      </c>
      <c r="C722" s="6" t="s">
        <v>51</v>
      </c>
      <c r="D722" s="6" t="s">
        <v>118</v>
      </c>
      <c r="E722" s="6" t="n">
        <v>16</v>
      </c>
      <c r="F722" s="6" t="n">
        <v>6</v>
      </c>
      <c r="G722" s="6" t="s">
        <v>73</v>
      </c>
      <c r="H722" s="11" t="n">
        <v>0.05</v>
      </c>
      <c r="I722" s="6" t="n">
        <v>20</v>
      </c>
      <c r="J722" s="6" t="n">
        <v>0</v>
      </c>
      <c r="K722" s="6" t="n">
        <v>20</v>
      </c>
      <c r="L722" s="6" t="n">
        <v>0</v>
      </c>
      <c r="M722" s="6" t="n">
        <v>20</v>
      </c>
      <c r="N722" s="11" t="n">
        <f aca="false">J722/(J722+K722)</f>
        <v>0</v>
      </c>
      <c r="O722" s="11" t="str">
        <f aca="false">IF(J722+L722=0,"",J722/(J722+L722))</f>
        <v/>
      </c>
      <c r="P722" s="11" t="n">
        <f aca="false">2*J722/(2*J722+L722+K722)</f>
        <v>0</v>
      </c>
      <c r="Q722" s="11" t="n">
        <f aca="false">L722/(L722+M722)</f>
        <v>0</v>
      </c>
      <c r="R722" s="6" t="n">
        <v>0</v>
      </c>
      <c r="S722" s="11"/>
      <c r="T722" s="11" t="n">
        <v>0</v>
      </c>
      <c r="U722" s="11" t="n">
        <v>0.65</v>
      </c>
      <c r="V722" s="11" t="n">
        <v>0.65</v>
      </c>
    </row>
    <row r="723" customFormat="false" ht="15" hidden="false" customHeight="false" outlineLevel="0" collapsed="false">
      <c r="A723" s="6" t="s">
        <v>56</v>
      </c>
      <c r="B723" s="6" t="s">
        <v>43</v>
      </c>
      <c r="C723" s="6" t="s">
        <v>51</v>
      </c>
      <c r="D723" s="6" t="s">
        <v>118</v>
      </c>
      <c r="E723" s="6" t="n">
        <v>16</v>
      </c>
      <c r="F723" s="6" t="n">
        <v>6</v>
      </c>
      <c r="G723" s="6" t="s">
        <v>74</v>
      </c>
      <c r="H723" s="11" t="n">
        <v>0.05</v>
      </c>
      <c r="I723" s="6" t="n">
        <v>20</v>
      </c>
      <c r="J723" s="6" t="n">
        <v>1</v>
      </c>
      <c r="K723" s="6" t="n">
        <v>19</v>
      </c>
      <c r="L723" s="6" t="n">
        <v>1</v>
      </c>
      <c r="M723" s="6" t="n">
        <v>19</v>
      </c>
      <c r="N723" s="11" t="n">
        <f aca="false">J723/(J723+K723)</f>
        <v>0.05</v>
      </c>
      <c r="O723" s="11" t="n">
        <f aca="false">IF(J723+L723=0,"",J723/(J723+L723))</f>
        <v>0.5</v>
      </c>
      <c r="P723" s="11" t="n">
        <f aca="false">2*J723/(2*J723+L723+K723)</f>
        <v>0.0909090909090909</v>
      </c>
      <c r="Q723" s="11" t="n">
        <f aca="false">L723/(L723+M723)</f>
        <v>0.05</v>
      </c>
      <c r="R723" s="6" t="n">
        <v>0</v>
      </c>
      <c r="S723" s="11"/>
      <c r="T723" s="11" t="n">
        <v>0.05</v>
      </c>
      <c r="U723" s="11" t="n">
        <v>0.85</v>
      </c>
      <c r="V723" s="11" t="n">
        <v>0.85</v>
      </c>
    </row>
    <row r="724" customFormat="false" ht="15" hidden="false" customHeight="false" outlineLevel="0" collapsed="false">
      <c r="A724" s="6" t="s">
        <v>56</v>
      </c>
      <c r="B724" s="6" t="s">
        <v>43</v>
      </c>
      <c r="C724" s="6" t="s">
        <v>51</v>
      </c>
      <c r="D724" s="6" t="s">
        <v>118</v>
      </c>
      <c r="E724" s="6" t="n">
        <v>16</v>
      </c>
      <c r="F724" s="6" t="n">
        <v>6</v>
      </c>
      <c r="G724" s="6" t="s">
        <v>75</v>
      </c>
      <c r="H724" s="11" t="n">
        <v>0.05</v>
      </c>
      <c r="I724" s="6" t="n">
        <v>20</v>
      </c>
      <c r="J724" s="6" t="n">
        <v>0</v>
      </c>
      <c r="K724" s="6" t="n">
        <v>20</v>
      </c>
      <c r="L724" s="6" t="n">
        <v>0</v>
      </c>
      <c r="M724" s="6" t="n">
        <v>20</v>
      </c>
      <c r="N724" s="11" t="n">
        <f aca="false">J724/(J724+K724)</f>
        <v>0</v>
      </c>
      <c r="O724" s="11" t="str">
        <f aca="false">IF(J724+L724=0,"",J724/(J724+L724))</f>
        <v/>
      </c>
      <c r="P724" s="11" t="n">
        <f aca="false">2*J724/(2*J724+L724+K724)</f>
        <v>0</v>
      </c>
      <c r="Q724" s="11" t="n">
        <f aca="false">L724/(L724+M724)</f>
        <v>0</v>
      </c>
      <c r="R724" s="6" t="n">
        <v>0</v>
      </c>
      <c r="S724" s="11"/>
      <c r="T724" s="11" t="n">
        <v>0</v>
      </c>
      <c r="U724" s="11" t="n">
        <v>0.9</v>
      </c>
      <c r="V724" s="11" t="n">
        <v>0.9</v>
      </c>
    </row>
    <row r="725" customFormat="false" ht="15" hidden="false" customHeight="false" outlineLevel="0" collapsed="false">
      <c r="A725" s="6" t="s">
        <v>56</v>
      </c>
      <c r="B725" s="6" t="s">
        <v>43</v>
      </c>
      <c r="C725" s="6" t="s">
        <v>51</v>
      </c>
      <c r="D725" s="6" t="s">
        <v>118</v>
      </c>
      <c r="E725" s="6" t="n">
        <v>16</v>
      </c>
      <c r="F725" s="6" t="n">
        <v>6</v>
      </c>
      <c r="G725" s="6" t="s">
        <v>76</v>
      </c>
      <c r="H725" s="11" t="n">
        <v>0.05</v>
      </c>
      <c r="I725" s="6" t="n">
        <v>20</v>
      </c>
      <c r="J725" s="6" t="n">
        <v>0</v>
      </c>
      <c r="K725" s="6" t="n">
        <v>20</v>
      </c>
      <c r="L725" s="6" t="n">
        <v>0</v>
      </c>
      <c r="M725" s="6" t="n">
        <v>20</v>
      </c>
      <c r="N725" s="11" t="n">
        <f aca="false">J725/(J725+K725)</f>
        <v>0</v>
      </c>
      <c r="O725" s="11" t="str">
        <f aca="false">IF(J725+L725=0,"",J725/(J725+L725))</f>
        <v/>
      </c>
      <c r="P725" s="11" t="n">
        <f aca="false">2*J725/(2*J725+L725+K725)</f>
        <v>0</v>
      </c>
      <c r="Q725" s="11" t="n">
        <f aca="false">L725/(L725+M725)</f>
        <v>0</v>
      </c>
      <c r="R725" s="6" t="n">
        <v>0</v>
      </c>
      <c r="S725" s="11"/>
      <c r="T725" s="11" t="n">
        <v>0</v>
      </c>
      <c r="U725" s="11" t="n">
        <v>0.95</v>
      </c>
      <c r="V725" s="11" t="n">
        <v>0.95</v>
      </c>
    </row>
    <row r="726" customFormat="false" ht="15" hidden="false" customHeight="false" outlineLevel="0" collapsed="false">
      <c r="A726" s="6" t="s">
        <v>56</v>
      </c>
      <c r="B726" s="6" t="s">
        <v>43</v>
      </c>
      <c r="C726" s="6" t="s">
        <v>51</v>
      </c>
      <c r="D726" s="6" t="s">
        <v>118</v>
      </c>
      <c r="E726" s="6" t="n">
        <v>16</v>
      </c>
      <c r="F726" s="6" t="n">
        <v>6</v>
      </c>
      <c r="G726" s="6" t="s">
        <v>77</v>
      </c>
      <c r="H726" s="11" t="n">
        <v>0.05</v>
      </c>
      <c r="I726" s="6" t="n">
        <v>20</v>
      </c>
      <c r="J726" s="6" t="n">
        <v>1</v>
      </c>
      <c r="K726" s="6" t="n">
        <v>19</v>
      </c>
      <c r="L726" s="6" t="n">
        <v>1</v>
      </c>
      <c r="M726" s="6" t="n">
        <v>19</v>
      </c>
      <c r="N726" s="11" t="n">
        <f aca="false">J726/(J726+K726)</f>
        <v>0.05</v>
      </c>
      <c r="O726" s="11" t="n">
        <f aca="false">IF(J726+L726=0,"",J726/(J726+L726))</f>
        <v>0.5</v>
      </c>
      <c r="P726" s="11" t="n">
        <f aca="false">2*J726/(2*J726+L726+K726)</f>
        <v>0.0909090909090909</v>
      </c>
      <c r="Q726" s="11" t="n">
        <f aca="false">L726/(L726+M726)</f>
        <v>0.05</v>
      </c>
      <c r="R726" s="6" t="n">
        <v>0</v>
      </c>
      <c r="S726" s="11"/>
      <c r="T726" s="11" t="n">
        <v>0.05</v>
      </c>
      <c r="U726" s="11" t="n">
        <v>1</v>
      </c>
      <c r="V726" s="11" t="n">
        <v>1</v>
      </c>
    </row>
    <row r="727" customFormat="false" ht="15" hidden="false" customHeight="false" outlineLevel="0" collapsed="false">
      <c r="A727" s="6" t="s">
        <v>56</v>
      </c>
      <c r="B727" s="6" t="s">
        <v>43</v>
      </c>
      <c r="C727" s="6" t="s">
        <v>51</v>
      </c>
      <c r="D727" s="6" t="s">
        <v>118</v>
      </c>
      <c r="E727" s="6" t="n">
        <v>16</v>
      </c>
      <c r="F727" s="6" t="n">
        <v>6</v>
      </c>
      <c r="G727" s="6" t="s">
        <v>78</v>
      </c>
      <c r="H727" s="11" t="n">
        <v>0.05</v>
      </c>
      <c r="I727" s="6" t="n">
        <v>200</v>
      </c>
      <c r="J727" s="6" t="n">
        <v>6</v>
      </c>
      <c r="K727" s="6" t="n">
        <v>194</v>
      </c>
      <c r="L727" s="6" t="n">
        <v>6</v>
      </c>
      <c r="M727" s="6" t="n">
        <v>194</v>
      </c>
      <c r="N727" s="11" t="n">
        <f aca="false">J727/(J727+K727)</f>
        <v>0.03</v>
      </c>
      <c r="O727" s="11" t="n">
        <f aca="false">IF(J727+L727=0,"",J727/(J727+L727))</f>
        <v>0.5</v>
      </c>
      <c r="P727" s="11" t="n">
        <f aca="false">2*J727/(2*J727+L727+K727)</f>
        <v>0.0566037735849057</v>
      </c>
      <c r="Q727" s="11" t="n">
        <f aca="false">L727/(L727+M727)</f>
        <v>0.03</v>
      </c>
      <c r="R727" s="6" t="n">
        <v>0</v>
      </c>
      <c r="S727" s="11"/>
      <c r="T727" s="11" t="n">
        <v>0.03</v>
      </c>
      <c r="U727" s="11" t="n">
        <v>0.88</v>
      </c>
      <c r="V727" s="11" t="n">
        <v>0.88</v>
      </c>
    </row>
    <row r="728" customFormat="false" ht="15" hidden="false" customHeight="false" outlineLevel="0" collapsed="false">
      <c r="A728" s="6" t="s">
        <v>56</v>
      </c>
      <c r="B728" s="6" t="s">
        <v>43</v>
      </c>
      <c r="C728" s="6" t="s">
        <v>51</v>
      </c>
      <c r="D728" s="6" t="s">
        <v>118</v>
      </c>
      <c r="E728" s="6" t="n">
        <v>16</v>
      </c>
      <c r="F728" s="6" t="n">
        <v>7</v>
      </c>
      <c r="G728" s="6" t="s">
        <v>68</v>
      </c>
      <c r="H728" s="11" t="n">
        <v>0.05</v>
      </c>
      <c r="I728" s="6" t="n">
        <v>20</v>
      </c>
      <c r="J728" s="6" t="n">
        <v>2</v>
      </c>
      <c r="K728" s="6" t="n">
        <v>18</v>
      </c>
      <c r="L728" s="6" t="n">
        <v>2</v>
      </c>
      <c r="M728" s="6" t="n">
        <v>18</v>
      </c>
      <c r="N728" s="11" t="n">
        <f aca="false">J728/(J728+K728)</f>
        <v>0.1</v>
      </c>
      <c r="O728" s="11" t="n">
        <f aca="false">IF(J728+L728=0,"",J728/(J728+L728))</f>
        <v>0.5</v>
      </c>
      <c r="P728" s="11" t="n">
        <f aca="false">2*J728/(2*J728+L728+K728)</f>
        <v>0.166666666666667</v>
      </c>
      <c r="Q728" s="11" t="n">
        <f aca="false">L728/(L728+M728)</f>
        <v>0.1</v>
      </c>
      <c r="R728" s="6" t="n">
        <v>0</v>
      </c>
      <c r="S728" s="11"/>
      <c r="T728" s="11" t="n">
        <v>0.1</v>
      </c>
      <c r="U728" s="11" t="n">
        <v>0.85</v>
      </c>
      <c r="V728" s="11" t="n">
        <v>0.85</v>
      </c>
    </row>
    <row r="729" customFormat="false" ht="15" hidden="false" customHeight="false" outlineLevel="0" collapsed="false">
      <c r="A729" s="6" t="s">
        <v>56</v>
      </c>
      <c r="B729" s="6" t="s">
        <v>43</v>
      </c>
      <c r="C729" s="6" t="s">
        <v>51</v>
      </c>
      <c r="D729" s="6" t="s">
        <v>118</v>
      </c>
      <c r="E729" s="6" t="n">
        <v>16</v>
      </c>
      <c r="F729" s="6" t="n">
        <v>7</v>
      </c>
      <c r="G729" s="6" t="s">
        <v>69</v>
      </c>
      <c r="H729" s="11" t="n">
        <v>0.05</v>
      </c>
      <c r="I729" s="6" t="n">
        <v>20</v>
      </c>
      <c r="J729" s="6" t="n">
        <v>1</v>
      </c>
      <c r="K729" s="6" t="n">
        <v>19</v>
      </c>
      <c r="L729" s="6" t="n">
        <v>1</v>
      </c>
      <c r="M729" s="6" t="n">
        <v>19</v>
      </c>
      <c r="N729" s="11" t="n">
        <f aca="false">J729/(J729+K729)</f>
        <v>0.05</v>
      </c>
      <c r="O729" s="11" t="n">
        <f aca="false">IF(J729+L729=0,"",J729/(J729+L729))</f>
        <v>0.5</v>
      </c>
      <c r="P729" s="11" t="n">
        <f aca="false">2*J729/(2*J729+L729+K729)</f>
        <v>0.0909090909090909</v>
      </c>
      <c r="Q729" s="11" t="n">
        <f aca="false">L729/(L729+M729)</f>
        <v>0.05</v>
      </c>
      <c r="R729" s="6" t="n">
        <v>0</v>
      </c>
      <c r="S729" s="11"/>
      <c r="T729" s="11" t="n">
        <v>0.05</v>
      </c>
      <c r="U729" s="11" t="n">
        <v>1</v>
      </c>
      <c r="V729" s="11" t="n">
        <v>1</v>
      </c>
    </row>
    <row r="730" customFormat="false" ht="15" hidden="false" customHeight="false" outlineLevel="0" collapsed="false">
      <c r="A730" s="6" t="s">
        <v>56</v>
      </c>
      <c r="B730" s="6" t="s">
        <v>43</v>
      </c>
      <c r="C730" s="6" t="s">
        <v>51</v>
      </c>
      <c r="D730" s="6" t="s">
        <v>118</v>
      </c>
      <c r="E730" s="6" t="n">
        <v>16</v>
      </c>
      <c r="F730" s="6" t="n">
        <v>7</v>
      </c>
      <c r="G730" s="6" t="s">
        <v>70</v>
      </c>
      <c r="H730" s="11" t="n">
        <v>0.05</v>
      </c>
      <c r="I730" s="6" t="n">
        <v>20</v>
      </c>
      <c r="J730" s="6" t="n">
        <v>0</v>
      </c>
      <c r="K730" s="6" t="n">
        <v>20</v>
      </c>
      <c r="L730" s="6" t="n">
        <v>0</v>
      </c>
      <c r="M730" s="6" t="n">
        <v>20</v>
      </c>
      <c r="N730" s="11" t="n">
        <f aca="false">J730/(J730+K730)</f>
        <v>0</v>
      </c>
      <c r="O730" s="11" t="str">
        <f aca="false">IF(J730+L730=0,"",J730/(J730+L730))</f>
        <v/>
      </c>
      <c r="P730" s="11" t="n">
        <f aca="false">2*J730/(2*J730+L730+K730)</f>
        <v>0</v>
      </c>
      <c r="Q730" s="11" t="n">
        <f aca="false">L730/(L730+M730)</f>
        <v>0</v>
      </c>
      <c r="R730" s="6" t="n">
        <v>0</v>
      </c>
      <c r="S730" s="11"/>
      <c r="T730" s="11" t="n">
        <v>0</v>
      </c>
      <c r="U730" s="11" t="n">
        <v>0.9</v>
      </c>
      <c r="V730" s="11" t="n">
        <v>0.9</v>
      </c>
    </row>
    <row r="731" customFormat="false" ht="15" hidden="false" customHeight="false" outlineLevel="0" collapsed="false">
      <c r="A731" s="6" t="s">
        <v>56</v>
      </c>
      <c r="B731" s="6" t="s">
        <v>43</v>
      </c>
      <c r="C731" s="6" t="s">
        <v>51</v>
      </c>
      <c r="D731" s="6" t="s">
        <v>118</v>
      </c>
      <c r="E731" s="6" t="n">
        <v>16</v>
      </c>
      <c r="F731" s="6" t="n">
        <v>7</v>
      </c>
      <c r="G731" s="6" t="s">
        <v>71</v>
      </c>
      <c r="H731" s="11" t="n">
        <v>0.05</v>
      </c>
      <c r="I731" s="6" t="n">
        <v>20</v>
      </c>
      <c r="J731" s="6" t="n">
        <v>0</v>
      </c>
      <c r="K731" s="6" t="n">
        <v>20</v>
      </c>
      <c r="L731" s="6" t="n">
        <v>0</v>
      </c>
      <c r="M731" s="6" t="n">
        <v>20</v>
      </c>
      <c r="N731" s="11" t="n">
        <f aca="false">J731/(J731+K731)</f>
        <v>0</v>
      </c>
      <c r="O731" s="11" t="str">
        <f aca="false">IF(J731+L731=0,"",J731/(J731+L731))</f>
        <v/>
      </c>
      <c r="P731" s="11" t="n">
        <f aca="false">2*J731/(2*J731+L731+K731)</f>
        <v>0</v>
      </c>
      <c r="Q731" s="11" t="n">
        <f aca="false">L731/(L731+M731)</f>
        <v>0</v>
      </c>
      <c r="R731" s="6" t="n">
        <v>0</v>
      </c>
      <c r="S731" s="11"/>
      <c r="T731" s="11" t="n">
        <v>0</v>
      </c>
      <c r="U731" s="11" t="n">
        <v>0.8</v>
      </c>
      <c r="V731" s="11" t="n">
        <v>0.8</v>
      </c>
    </row>
    <row r="732" customFormat="false" ht="15" hidden="false" customHeight="false" outlineLevel="0" collapsed="false">
      <c r="A732" s="6" t="s">
        <v>56</v>
      </c>
      <c r="B732" s="6" t="s">
        <v>43</v>
      </c>
      <c r="C732" s="6" t="s">
        <v>51</v>
      </c>
      <c r="D732" s="6" t="s">
        <v>118</v>
      </c>
      <c r="E732" s="6" t="n">
        <v>16</v>
      </c>
      <c r="F732" s="6" t="n">
        <v>7</v>
      </c>
      <c r="G732" s="6" t="s">
        <v>72</v>
      </c>
      <c r="H732" s="11" t="n">
        <v>0.05</v>
      </c>
      <c r="I732" s="6" t="n">
        <v>20</v>
      </c>
      <c r="J732" s="6" t="n">
        <v>1</v>
      </c>
      <c r="K732" s="6" t="n">
        <v>19</v>
      </c>
      <c r="L732" s="6" t="n">
        <v>1</v>
      </c>
      <c r="M732" s="6" t="n">
        <v>19</v>
      </c>
      <c r="N732" s="11" t="n">
        <f aca="false">J732/(J732+K732)</f>
        <v>0.05</v>
      </c>
      <c r="O732" s="11" t="n">
        <f aca="false">IF(J732+L732=0,"",J732/(J732+L732))</f>
        <v>0.5</v>
      </c>
      <c r="P732" s="11" t="n">
        <f aca="false">2*J732/(2*J732+L732+K732)</f>
        <v>0.0909090909090909</v>
      </c>
      <c r="Q732" s="11" t="n">
        <f aca="false">L732/(L732+M732)</f>
        <v>0.05</v>
      </c>
      <c r="R732" s="6" t="n">
        <v>0</v>
      </c>
      <c r="S732" s="11"/>
      <c r="T732" s="11" t="n">
        <v>0.05</v>
      </c>
      <c r="U732" s="11" t="n">
        <v>0.9</v>
      </c>
      <c r="V732" s="11" t="n">
        <v>0.9</v>
      </c>
    </row>
    <row r="733" customFormat="false" ht="15" hidden="false" customHeight="false" outlineLevel="0" collapsed="false">
      <c r="A733" s="6" t="s">
        <v>56</v>
      </c>
      <c r="B733" s="6" t="s">
        <v>43</v>
      </c>
      <c r="C733" s="6" t="s">
        <v>51</v>
      </c>
      <c r="D733" s="6" t="s">
        <v>118</v>
      </c>
      <c r="E733" s="6" t="n">
        <v>16</v>
      </c>
      <c r="F733" s="6" t="n">
        <v>7</v>
      </c>
      <c r="G733" s="6" t="s">
        <v>73</v>
      </c>
      <c r="H733" s="11" t="n">
        <v>0.05</v>
      </c>
      <c r="I733" s="6" t="n">
        <v>20</v>
      </c>
      <c r="J733" s="6" t="n">
        <v>0</v>
      </c>
      <c r="K733" s="6" t="n">
        <v>20</v>
      </c>
      <c r="L733" s="6" t="n">
        <v>0</v>
      </c>
      <c r="M733" s="6" t="n">
        <v>20</v>
      </c>
      <c r="N733" s="11" t="n">
        <f aca="false">J733/(J733+K733)</f>
        <v>0</v>
      </c>
      <c r="O733" s="11" t="str">
        <f aca="false">IF(J733+L733=0,"",J733/(J733+L733))</f>
        <v/>
      </c>
      <c r="P733" s="11" t="n">
        <f aca="false">2*J733/(2*J733+L733+K733)</f>
        <v>0</v>
      </c>
      <c r="Q733" s="11" t="n">
        <f aca="false">L733/(L733+M733)</f>
        <v>0</v>
      </c>
      <c r="R733" s="6" t="n">
        <v>0</v>
      </c>
      <c r="S733" s="11"/>
      <c r="T733" s="11" t="n">
        <v>0</v>
      </c>
      <c r="U733" s="11" t="n">
        <v>0.65</v>
      </c>
      <c r="V733" s="11" t="n">
        <v>0.65</v>
      </c>
    </row>
    <row r="734" customFormat="false" ht="15" hidden="false" customHeight="false" outlineLevel="0" collapsed="false">
      <c r="A734" s="6" t="s">
        <v>56</v>
      </c>
      <c r="B734" s="6" t="s">
        <v>43</v>
      </c>
      <c r="C734" s="6" t="s">
        <v>51</v>
      </c>
      <c r="D734" s="6" t="s">
        <v>118</v>
      </c>
      <c r="E734" s="6" t="n">
        <v>16</v>
      </c>
      <c r="F734" s="6" t="n">
        <v>7</v>
      </c>
      <c r="G734" s="6" t="s">
        <v>74</v>
      </c>
      <c r="H734" s="11" t="n">
        <v>0.05</v>
      </c>
      <c r="I734" s="6" t="n">
        <v>20</v>
      </c>
      <c r="J734" s="6" t="n">
        <v>1</v>
      </c>
      <c r="K734" s="6" t="n">
        <v>19</v>
      </c>
      <c r="L734" s="6" t="n">
        <v>1</v>
      </c>
      <c r="M734" s="6" t="n">
        <v>19</v>
      </c>
      <c r="N734" s="11" t="n">
        <f aca="false">J734/(J734+K734)</f>
        <v>0.05</v>
      </c>
      <c r="O734" s="11" t="n">
        <f aca="false">IF(J734+L734=0,"",J734/(J734+L734))</f>
        <v>0.5</v>
      </c>
      <c r="P734" s="11" t="n">
        <f aca="false">2*J734/(2*J734+L734+K734)</f>
        <v>0.0909090909090909</v>
      </c>
      <c r="Q734" s="11" t="n">
        <f aca="false">L734/(L734+M734)</f>
        <v>0.05</v>
      </c>
      <c r="R734" s="6" t="n">
        <v>0</v>
      </c>
      <c r="S734" s="11"/>
      <c r="T734" s="11" t="n">
        <v>0.05</v>
      </c>
      <c r="U734" s="11" t="n">
        <v>0.85</v>
      </c>
      <c r="V734" s="11" t="n">
        <v>0.85</v>
      </c>
    </row>
    <row r="735" customFormat="false" ht="15" hidden="false" customHeight="false" outlineLevel="0" collapsed="false">
      <c r="A735" s="6" t="s">
        <v>56</v>
      </c>
      <c r="B735" s="6" t="s">
        <v>43</v>
      </c>
      <c r="C735" s="6" t="s">
        <v>51</v>
      </c>
      <c r="D735" s="6" t="s">
        <v>118</v>
      </c>
      <c r="E735" s="6" t="n">
        <v>16</v>
      </c>
      <c r="F735" s="6" t="n">
        <v>7</v>
      </c>
      <c r="G735" s="6" t="s">
        <v>75</v>
      </c>
      <c r="H735" s="11" t="n">
        <v>0.05</v>
      </c>
      <c r="I735" s="6" t="n">
        <v>20</v>
      </c>
      <c r="J735" s="6" t="n">
        <v>0</v>
      </c>
      <c r="K735" s="6" t="n">
        <v>20</v>
      </c>
      <c r="L735" s="6" t="n">
        <v>0</v>
      </c>
      <c r="M735" s="6" t="n">
        <v>20</v>
      </c>
      <c r="N735" s="11" t="n">
        <f aca="false">J735/(J735+K735)</f>
        <v>0</v>
      </c>
      <c r="O735" s="11" t="str">
        <f aca="false">IF(J735+L735=0,"",J735/(J735+L735))</f>
        <v/>
      </c>
      <c r="P735" s="11" t="n">
        <f aca="false">2*J735/(2*J735+L735+K735)</f>
        <v>0</v>
      </c>
      <c r="Q735" s="11" t="n">
        <f aca="false">L735/(L735+M735)</f>
        <v>0</v>
      </c>
      <c r="R735" s="6" t="n">
        <v>0</v>
      </c>
      <c r="S735" s="11"/>
      <c r="T735" s="11" t="n">
        <v>0</v>
      </c>
      <c r="U735" s="11" t="n">
        <v>0.9</v>
      </c>
      <c r="V735" s="11" t="n">
        <v>0.9</v>
      </c>
    </row>
    <row r="736" customFormat="false" ht="15" hidden="false" customHeight="false" outlineLevel="0" collapsed="false">
      <c r="A736" s="6" t="s">
        <v>56</v>
      </c>
      <c r="B736" s="6" t="s">
        <v>43</v>
      </c>
      <c r="C736" s="6" t="s">
        <v>51</v>
      </c>
      <c r="D736" s="6" t="s">
        <v>118</v>
      </c>
      <c r="E736" s="6" t="n">
        <v>16</v>
      </c>
      <c r="F736" s="6" t="n">
        <v>7</v>
      </c>
      <c r="G736" s="6" t="s">
        <v>76</v>
      </c>
      <c r="H736" s="11" t="n">
        <v>0.05</v>
      </c>
      <c r="I736" s="6" t="n">
        <v>20</v>
      </c>
      <c r="J736" s="6" t="n">
        <v>0</v>
      </c>
      <c r="K736" s="6" t="n">
        <v>20</v>
      </c>
      <c r="L736" s="6" t="n">
        <v>0</v>
      </c>
      <c r="M736" s="6" t="n">
        <v>20</v>
      </c>
      <c r="N736" s="11" t="n">
        <f aca="false">J736/(J736+K736)</f>
        <v>0</v>
      </c>
      <c r="O736" s="11" t="str">
        <f aca="false">IF(J736+L736=0,"",J736/(J736+L736))</f>
        <v/>
      </c>
      <c r="P736" s="11" t="n">
        <f aca="false">2*J736/(2*J736+L736+K736)</f>
        <v>0</v>
      </c>
      <c r="Q736" s="11" t="n">
        <f aca="false">L736/(L736+M736)</f>
        <v>0</v>
      </c>
      <c r="R736" s="6" t="n">
        <v>0</v>
      </c>
      <c r="S736" s="11"/>
      <c r="T736" s="11" t="n">
        <v>0</v>
      </c>
      <c r="U736" s="11" t="n">
        <v>0.95</v>
      </c>
      <c r="V736" s="11" t="n">
        <v>0.95</v>
      </c>
    </row>
    <row r="737" customFormat="false" ht="15" hidden="false" customHeight="false" outlineLevel="0" collapsed="false">
      <c r="A737" s="6" t="s">
        <v>56</v>
      </c>
      <c r="B737" s="6" t="s">
        <v>43</v>
      </c>
      <c r="C737" s="6" t="s">
        <v>51</v>
      </c>
      <c r="D737" s="6" t="s">
        <v>118</v>
      </c>
      <c r="E737" s="6" t="n">
        <v>16</v>
      </c>
      <c r="F737" s="6" t="n">
        <v>7</v>
      </c>
      <c r="G737" s="6" t="s">
        <v>77</v>
      </c>
      <c r="H737" s="11" t="n">
        <v>0.05</v>
      </c>
      <c r="I737" s="6" t="n">
        <v>20</v>
      </c>
      <c r="J737" s="6" t="n">
        <v>1</v>
      </c>
      <c r="K737" s="6" t="n">
        <v>19</v>
      </c>
      <c r="L737" s="6" t="n">
        <v>1</v>
      </c>
      <c r="M737" s="6" t="n">
        <v>19</v>
      </c>
      <c r="N737" s="11" t="n">
        <f aca="false">J737/(J737+K737)</f>
        <v>0.05</v>
      </c>
      <c r="O737" s="11" t="n">
        <f aca="false">IF(J737+L737=0,"",J737/(J737+L737))</f>
        <v>0.5</v>
      </c>
      <c r="P737" s="11" t="n">
        <f aca="false">2*J737/(2*J737+L737+K737)</f>
        <v>0.0909090909090909</v>
      </c>
      <c r="Q737" s="11" t="n">
        <f aca="false">L737/(L737+M737)</f>
        <v>0.05</v>
      </c>
      <c r="R737" s="6" t="n">
        <v>0</v>
      </c>
      <c r="S737" s="11"/>
      <c r="T737" s="11" t="n">
        <v>0.05</v>
      </c>
      <c r="U737" s="11" t="n">
        <v>1</v>
      </c>
      <c r="V737" s="11" t="n">
        <v>1</v>
      </c>
    </row>
    <row r="738" customFormat="false" ht="15" hidden="false" customHeight="false" outlineLevel="0" collapsed="false">
      <c r="A738" s="6" t="s">
        <v>56</v>
      </c>
      <c r="B738" s="6" t="s">
        <v>43</v>
      </c>
      <c r="C738" s="6" t="s">
        <v>51</v>
      </c>
      <c r="D738" s="6" t="s">
        <v>118</v>
      </c>
      <c r="E738" s="6" t="n">
        <v>16</v>
      </c>
      <c r="F738" s="6" t="n">
        <v>7</v>
      </c>
      <c r="G738" s="6" t="s">
        <v>78</v>
      </c>
      <c r="H738" s="11" t="n">
        <v>0.05</v>
      </c>
      <c r="I738" s="6" t="n">
        <v>200</v>
      </c>
      <c r="J738" s="6" t="n">
        <v>6</v>
      </c>
      <c r="K738" s="6" t="n">
        <v>194</v>
      </c>
      <c r="L738" s="6" t="n">
        <v>6</v>
      </c>
      <c r="M738" s="6" t="n">
        <v>194</v>
      </c>
      <c r="N738" s="11" t="n">
        <f aca="false">J738/(J738+K738)</f>
        <v>0.03</v>
      </c>
      <c r="O738" s="11" t="n">
        <f aca="false">IF(J738+L738=0,"",J738/(J738+L738))</f>
        <v>0.5</v>
      </c>
      <c r="P738" s="11" t="n">
        <f aca="false">2*J738/(2*J738+L738+K738)</f>
        <v>0.0566037735849057</v>
      </c>
      <c r="Q738" s="11" t="n">
        <f aca="false">L738/(L738+M738)</f>
        <v>0.03</v>
      </c>
      <c r="R738" s="6" t="n">
        <v>0</v>
      </c>
      <c r="S738" s="11"/>
      <c r="T738" s="11" t="n">
        <v>0.03</v>
      </c>
      <c r="U738" s="11" t="n">
        <v>0.88</v>
      </c>
      <c r="V738" s="11" t="n">
        <v>0.88</v>
      </c>
    </row>
    <row r="739" customFormat="false" ht="15" hidden="false" customHeight="false" outlineLevel="0" collapsed="false">
      <c r="A739" s="6" t="s">
        <v>56</v>
      </c>
      <c r="B739" s="6" t="s">
        <v>43</v>
      </c>
      <c r="C739" s="6" t="s">
        <v>51</v>
      </c>
      <c r="D739" s="6" t="s">
        <v>118</v>
      </c>
      <c r="E739" s="6" t="n">
        <v>16</v>
      </c>
      <c r="F739" s="6" t="n">
        <v>8</v>
      </c>
      <c r="G739" s="6" t="s">
        <v>68</v>
      </c>
      <c r="H739" s="11" t="n">
        <v>0.05</v>
      </c>
      <c r="I739" s="6" t="n">
        <v>20</v>
      </c>
      <c r="J739" s="6" t="n">
        <v>2</v>
      </c>
      <c r="K739" s="6" t="n">
        <v>18</v>
      </c>
      <c r="L739" s="6" t="n">
        <v>2</v>
      </c>
      <c r="M739" s="6" t="n">
        <v>18</v>
      </c>
      <c r="N739" s="11" t="n">
        <f aca="false">J739/(J739+K739)</f>
        <v>0.1</v>
      </c>
      <c r="O739" s="11" t="n">
        <f aca="false">IF(J739+L739=0,"",J739/(J739+L739))</f>
        <v>0.5</v>
      </c>
      <c r="P739" s="11" t="n">
        <f aca="false">2*J739/(2*J739+L739+K739)</f>
        <v>0.166666666666667</v>
      </c>
      <c r="Q739" s="11" t="n">
        <f aca="false">L739/(L739+M739)</f>
        <v>0.1</v>
      </c>
      <c r="R739" s="6" t="n">
        <v>0</v>
      </c>
      <c r="S739" s="11"/>
      <c r="T739" s="11" t="n">
        <v>0.1</v>
      </c>
      <c r="U739" s="11" t="n">
        <v>0.85</v>
      </c>
      <c r="V739" s="11" t="n">
        <v>0.85</v>
      </c>
    </row>
    <row r="740" customFormat="false" ht="15" hidden="false" customHeight="false" outlineLevel="0" collapsed="false">
      <c r="A740" s="6" t="s">
        <v>56</v>
      </c>
      <c r="B740" s="6" t="s">
        <v>43</v>
      </c>
      <c r="C740" s="6" t="s">
        <v>51</v>
      </c>
      <c r="D740" s="6" t="s">
        <v>118</v>
      </c>
      <c r="E740" s="6" t="n">
        <v>16</v>
      </c>
      <c r="F740" s="6" t="n">
        <v>8</v>
      </c>
      <c r="G740" s="6" t="s">
        <v>69</v>
      </c>
      <c r="H740" s="11" t="n">
        <v>0.05</v>
      </c>
      <c r="I740" s="6" t="n">
        <v>20</v>
      </c>
      <c r="J740" s="6" t="n">
        <v>1</v>
      </c>
      <c r="K740" s="6" t="n">
        <v>19</v>
      </c>
      <c r="L740" s="6" t="n">
        <v>1</v>
      </c>
      <c r="M740" s="6" t="n">
        <v>19</v>
      </c>
      <c r="N740" s="11" t="n">
        <f aca="false">J740/(J740+K740)</f>
        <v>0.05</v>
      </c>
      <c r="O740" s="11" t="n">
        <f aca="false">IF(J740+L740=0,"",J740/(J740+L740))</f>
        <v>0.5</v>
      </c>
      <c r="P740" s="11" t="n">
        <f aca="false">2*J740/(2*J740+L740+K740)</f>
        <v>0.0909090909090909</v>
      </c>
      <c r="Q740" s="11" t="n">
        <f aca="false">L740/(L740+M740)</f>
        <v>0.05</v>
      </c>
      <c r="R740" s="6" t="n">
        <v>0</v>
      </c>
      <c r="S740" s="11"/>
      <c r="T740" s="11" t="n">
        <v>0.05</v>
      </c>
      <c r="U740" s="11" t="n">
        <v>1</v>
      </c>
      <c r="V740" s="11" t="n">
        <v>1</v>
      </c>
    </row>
    <row r="741" customFormat="false" ht="15" hidden="false" customHeight="false" outlineLevel="0" collapsed="false">
      <c r="A741" s="6" t="s">
        <v>56</v>
      </c>
      <c r="B741" s="6" t="s">
        <v>43</v>
      </c>
      <c r="C741" s="6" t="s">
        <v>51</v>
      </c>
      <c r="D741" s="6" t="s">
        <v>118</v>
      </c>
      <c r="E741" s="6" t="n">
        <v>16</v>
      </c>
      <c r="F741" s="6" t="n">
        <v>8</v>
      </c>
      <c r="G741" s="6" t="s">
        <v>70</v>
      </c>
      <c r="H741" s="11" t="n">
        <v>0.05</v>
      </c>
      <c r="I741" s="6" t="n">
        <v>20</v>
      </c>
      <c r="J741" s="6" t="n">
        <v>0</v>
      </c>
      <c r="K741" s="6" t="n">
        <v>20</v>
      </c>
      <c r="L741" s="6" t="n">
        <v>0</v>
      </c>
      <c r="M741" s="6" t="n">
        <v>20</v>
      </c>
      <c r="N741" s="11" t="n">
        <f aca="false">J741/(J741+K741)</f>
        <v>0</v>
      </c>
      <c r="O741" s="11" t="str">
        <f aca="false">IF(J741+L741=0,"",J741/(J741+L741))</f>
        <v/>
      </c>
      <c r="P741" s="11" t="n">
        <f aca="false">2*J741/(2*J741+L741+K741)</f>
        <v>0</v>
      </c>
      <c r="Q741" s="11" t="n">
        <f aca="false">L741/(L741+M741)</f>
        <v>0</v>
      </c>
      <c r="R741" s="6" t="n">
        <v>0</v>
      </c>
      <c r="S741" s="11"/>
      <c r="T741" s="11" t="n">
        <v>0</v>
      </c>
      <c r="U741" s="11" t="n">
        <v>0.9</v>
      </c>
      <c r="V741" s="11" t="n">
        <v>0.9</v>
      </c>
    </row>
    <row r="742" customFormat="false" ht="15" hidden="false" customHeight="false" outlineLevel="0" collapsed="false">
      <c r="A742" s="6" t="s">
        <v>56</v>
      </c>
      <c r="B742" s="6" t="s">
        <v>43</v>
      </c>
      <c r="C742" s="6" t="s">
        <v>51</v>
      </c>
      <c r="D742" s="6" t="s">
        <v>118</v>
      </c>
      <c r="E742" s="6" t="n">
        <v>16</v>
      </c>
      <c r="F742" s="6" t="n">
        <v>8</v>
      </c>
      <c r="G742" s="6" t="s">
        <v>71</v>
      </c>
      <c r="H742" s="11" t="n">
        <v>0.05</v>
      </c>
      <c r="I742" s="6" t="n">
        <v>20</v>
      </c>
      <c r="J742" s="6" t="n">
        <v>0</v>
      </c>
      <c r="K742" s="6" t="n">
        <v>20</v>
      </c>
      <c r="L742" s="6" t="n">
        <v>0</v>
      </c>
      <c r="M742" s="6" t="n">
        <v>20</v>
      </c>
      <c r="N742" s="11" t="n">
        <f aca="false">J742/(J742+K742)</f>
        <v>0</v>
      </c>
      <c r="O742" s="11" t="str">
        <f aca="false">IF(J742+L742=0,"",J742/(J742+L742))</f>
        <v/>
      </c>
      <c r="P742" s="11" t="n">
        <f aca="false">2*J742/(2*J742+L742+K742)</f>
        <v>0</v>
      </c>
      <c r="Q742" s="11" t="n">
        <f aca="false">L742/(L742+M742)</f>
        <v>0</v>
      </c>
      <c r="R742" s="6" t="n">
        <v>0</v>
      </c>
      <c r="S742" s="11"/>
      <c r="T742" s="11" t="n">
        <v>0</v>
      </c>
      <c r="U742" s="11" t="n">
        <v>0.8</v>
      </c>
      <c r="V742" s="11" t="n">
        <v>0.8</v>
      </c>
    </row>
    <row r="743" customFormat="false" ht="15" hidden="false" customHeight="false" outlineLevel="0" collapsed="false">
      <c r="A743" s="6" t="s">
        <v>56</v>
      </c>
      <c r="B743" s="6" t="s">
        <v>43</v>
      </c>
      <c r="C743" s="6" t="s">
        <v>51</v>
      </c>
      <c r="D743" s="6" t="s">
        <v>118</v>
      </c>
      <c r="E743" s="6" t="n">
        <v>16</v>
      </c>
      <c r="F743" s="6" t="n">
        <v>8</v>
      </c>
      <c r="G743" s="6" t="s">
        <v>72</v>
      </c>
      <c r="H743" s="11" t="n">
        <v>0.05</v>
      </c>
      <c r="I743" s="6" t="n">
        <v>20</v>
      </c>
      <c r="J743" s="6" t="n">
        <v>1</v>
      </c>
      <c r="K743" s="6" t="n">
        <v>19</v>
      </c>
      <c r="L743" s="6" t="n">
        <v>1</v>
      </c>
      <c r="M743" s="6" t="n">
        <v>19</v>
      </c>
      <c r="N743" s="11" t="n">
        <f aca="false">J743/(J743+K743)</f>
        <v>0.05</v>
      </c>
      <c r="O743" s="11" t="n">
        <f aca="false">IF(J743+L743=0,"",J743/(J743+L743))</f>
        <v>0.5</v>
      </c>
      <c r="P743" s="11" t="n">
        <f aca="false">2*J743/(2*J743+L743+K743)</f>
        <v>0.0909090909090909</v>
      </c>
      <c r="Q743" s="11" t="n">
        <f aca="false">L743/(L743+M743)</f>
        <v>0.05</v>
      </c>
      <c r="R743" s="6" t="n">
        <v>0</v>
      </c>
      <c r="S743" s="11"/>
      <c r="T743" s="11" t="n">
        <v>0.05</v>
      </c>
      <c r="U743" s="11" t="n">
        <v>0.9</v>
      </c>
      <c r="V743" s="11" t="n">
        <v>0.9</v>
      </c>
    </row>
    <row r="744" customFormat="false" ht="15" hidden="false" customHeight="false" outlineLevel="0" collapsed="false">
      <c r="A744" s="6" t="s">
        <v>56</v>
      </c>
      <c r="B744" s="6" t="s">
        <v>43</v>
      </c>
      <c r="C744" s="6" t="s">
        <v>51</v>
      </c>
      <c r="D744" s="6" t="s">
        <v>118</v>
      </c>
      <c r="E744" s="6" t="n">
        <v>16</v>
      </c>
      <c r="F744" s="6" t="n">
        <v>8</v>
      </c>
      <c r="G744" s="6" t="s">
        <v>73</v>
      </c>
      <c r="H744" s="11" t="n">
        <v>0.05</v>
      </c>
      <c r="I744" s="6" t="n">
        <v>20</v>
      </c>
      <c r="J744" s="6" t="n">
        <v>0</v>
      </c>
      <c r="K744" s="6" t="n">
        <v>20</v>
      </c>
      <c r="L744" s="6" t="n">
        <v>0</v>
      </c>
      <c r="M744" s="6" t="n">
        <v>20</v>
      </c>
      <c r="N744" s="11" t="n">
        <f aca="false">J744/(J744+K744)</f>
        <v>0</v>
      </c>
      <c r="O744" s="11" t="str">
        <f aca="false">IF(J744+L744=0,"",J744/(J744+L744))</f>
        <v/>
      </c>
      <c r="P744" s="11" t="n">
        <f aca="false">2*J744/(2*J744+L744+K744)</f>
        <v>0</v>
      </c>
      <c r="Q744" s="11" t="n">
        <f aca="false">L744/(L744+M744)</f>
        <v>0</v>
      </c>
      <c r="R744" s="6" t="n">
        <v>0</v>
      </c>
      <c r="S744" s="11"/>
      <c r="T744" s="11" t="n">
        <v>0</v>
      </c>
      <c r="U744" s="11" t="n">
        <v>0.65</v>
      </c>
      <c r="V744" s="11" t="n">
        <v>0.65</v>
      </c>
    </row>
    <row r="745" customFormat="false" ht="15" hidden="false" customHeight="false" outlineLevel="0" collapsed="false">
      <c r="A745" s="6" t="s">
        <v>56</v>
      </c>
      <c r="B745" s="6" t="s">
        <v>43</v>
      </c>
      <c r="C745" s="6" t="s">
        <v>51</v>
      </c>
      <c r="D745" s="6" t="s">
        <v>118</v>
      </c>
      <c r="E745" s="6" t="n">
        <v>16</v>
      </c>
      <c r="F745" s="6" t="n">
        <v>8</v>
      </c>
      <c r="G745" s="6" t="s">
        <v>74</v>
      </c>
      <c r="H745" s="11" t="n">
        <v>0.05</v>
      </c>
      <c r="I745" s="6" t="n">
        <v>20</v>
      </c>
      <c r="J745" s="6" t="n">
        <v>1</v>
      </c>
      <c r="K745" s="6" t="n">
        <v>19</v>
      </c>
      <c r="L745" s="6" t="n">
        <v>1</v>
      </c>
      <c r="M745" s="6" t="n">
        <v>19</v>
      </c>
      <c r="N745" s="11" t="n">
        <f aca="false">J745/(J745+K745)</f>
        <v>0.05</v>
      </c>
      <c r="O745" s="11" t="n">
        <f aca="false">IF(J745+L745=0,"",J745/(J745+L745))</f>
        <v>0.5</v>
      </c>
      <c r="P745" s="11" t="n">
        <f aca="false">2*J745/(2*J745+L745+K745)</f>
        <v>0.0909090909090909</v>
      </c>
      <c r="Q745" s="11" t="n">
        <f aca="false">L745/(L745+M745)</f>
        <v>0.05</v>
      </c>
      <c r="R745" s="6" t="n">
        <v>0</v>
      </c>
      <c r="S745" s="11"/>
      <c r="T745" s="11" t="n">
        <v>0.05</v>
      </c>
      <c r="U745" s="11" t="n">
        <v>0.85</v>
      </c>
      <c r="V745" s="11" t="n">
        <v>0.85</v>
      </c>
    </row>
    <row r="746" customFormat="false" ht="15" hidden="false" customHeight="false" outlineLevel="0" collapsed="false">
      <c r="A746" s="6" t="s">
        <v>56</v>
      </c>
      <c r="B746" s="6" t="s">
        <v>43</v>
      </c>
      <c r="C746" s="6" t="s">
        <v>51</v>
      </c>
      <c r="D746" s="6" t="s">
        <v>118</v>
      </c>
      <c r="E746" s="6" t="n">
        <v>16</v>
      </c>
      <c r="F746" s="6" t="n">
        <v>8</v>
      </c>
      <c r="G746" s="6" t="s">
        <v>75</v>
      </c>
      <c r="H746" s="11" t="n">
        <v>0.05</v>
      </c>
      <c r="I746" s="6" t="n">
        <v>20</v>
      </c>
      <c r="J746" s="6" t="n">
        <v>0</v>
      </c>
      <c r="K746" s="6" t="n">
        <v>20</v>
      </c>
      <c r="L746" s="6" t="n">
        <v>0</v>
      </c>
      <c r="M746" s="6" t="n">
        <v>20</v>
      </c>
      <c r="N746" s="11" t="n">
        <f aca="false">J746/(J746+K746)</f>
        <v>0</v>
      </c>
      <c r="O746" s="11" t="str">
        <f aca="false">IF(J746+L746=0,"",J746/(J746+L746))</f>
        <v/>
      </c>
      <c r="P746" s="11" t="n">
        <f aca="false">2*J746/(2*J746+L746+K746)</f>
        <v>0</v>
      </c>
      <c r="Q746" s="11" t="n">
        <f aca="false">L746/(L746+M746)</f>
        <v>0</v>
      </c>
      <c r="R746" s="6" t="n">
        <v>0</v>
      </c>
      <c r="S746" s="11"/>
      <c r="T746" s="11" t="n">
        <v>0</v>
      </c>
      <c r="U746" s="11" t="n">
        <v>0.9</v>
      </c>
      <c r="V746" s="11" t="n">
        <v>0.9</v>
      </c>
    </row>
    <row r="747" customFormat="false" ht="15" hidden="false" customHeight="false" outlineLevel="0" collapsed="false">
      <c r="A747" s="6" t="s">
        <v>56</v>
      </c>
      <c r="B747" s="6" t="s">
        <v>43</v>
      </c>
      <c r="C747" s="6" t="s">
        <v>51</v>
      </c>
      <c r="D747" s="6" t="s">
        <v>118</v>
      </c>
      <c r="E747" s="6" t="n">
        <v>16</v>
      </c>
      <c r="F747" s="6" t="n">
        <v>8</v>
      </c>
      <c r="G747" s="6" t="s">
        <v>76</v>
      </c>
      <c r="H747" s="11" t="n">
        <v>0.05</v>
      </c>
      <c r="I747" s="6" t="n">
        <v>20</v>
      </c>
      <c r="J747" s="6" t="n">
        <v>0</v>
      </c>
      <c r="K747" s="6" t="n">
        <v>20</v>
      </c>
      <c r="L747" s="6" t="n">
        <v>0</v>
      </c>
      <c r="M747" s="6" t="n">
        <v>20</v>
      </c>
      <c r="N747" s="11" t="n">
        <f aca="false">J747/(J747+K747)</f>
        <v>0</v>
      </c>
      <c r="O747" s="11" t="str">
        <f aca="false">IF(J747+L747=0,"",J747/(J747+L747))</f>
        <v/>
      </c>
      <c r="P747" s="11" t="n">
        <f aca="false">2*J747/(2*J747+L747+K747)</f>
        <v>0</v>
      </c>
      <c r="Q747" s="11" t="n">
        <f aca="false">L747/(L747+M747)</f>
        <v>0</v>
      </c>
      <c r="R747" s="6" t="n">
        <v>0</v>
      </c>
      <c r="S747" s="11"/>
      <c r="T747" s="11" t="n">
        <v>0</v>
      </c>
      <c r="U747" s="11" t="n">
        <v>0.95</v>
      </c>
      <c r="V747" s="11" t="n">
        <v>0.95</v>
      </c>
    </row>
    <row r="748" customFormat="false" ht="15" hidden="false" customHeight="false" outlineLevel="0" collapsed="false">
      <c r="A748" s="6" t="s">
        <v>56</v>
      </c>
      <c r="B748" s="6" t="s">
        <v>43</v>
      </c>
      <c r="C748" s="6" t="s">
        <v>51</v>
      </c>
      <c r="D748" s="6" t="s">
        <v>118</v>
      </c>
      <c r="E748" s="6" t="n">
        <v>16</v>
      </c>
      <c r="F748" s="6" t="n">
        <v>8</v>
      </c>
      <c r="G748" s="6" t="s">
        <v>77</v>
      </c>
      <c r="H748" s="11" t="n">
        <v>0.05</v>
      </c>
      <c r="I748" s="6" t="n">
        <v>20</v>
      </c>
      <c r="J748" s="6" t="n">
        <v>1</v>
      </c>
      <c r="K748" s="6" t="n">
        <v>19</v>
      </c>
      <c r="L748" s="6" t="n">
        <v>1</v>
      </c>
      <c r="M748" s="6" t="n">
        <v>19</v>
      </c>
      <c r="N748" s="11" t="n">
        <f aca="false">J748/(J748+K748)</f>
        <v>0.05</v>
      </c>
      <c r="O748" s="11" t="n">
        <f aca="false">IF(J748+L748=0,"",J748/(J748+L748))</f>
        <v>0.5</v>
      </c>
      <c r="P748" s="11" t="n">
        <f aca="false">2*J748/(2*J748+L748+K748)</f>
        <v>0.0909090909090909</v>
      </c>
      <c r="Q748" s="11" t="n">
        <f aca="false">L748/(L748+M748)</f>
        <v>0.05</v>
      </c>
      <c r="R748" s="6" t="n">
        <v>0</v>
      </c>
      <c r="S748" s="11"/>
      <c r="T748" s="11" t="n">
        <v>0.05</v>
      </c>
      <c r="U748" s="11" t="n">
        <v>1</v>
      </c>
      <c r="V748" s="11" t="n">
        <v>1</v>
      </c>
    </row>
    <row r="749" customFormat="false" ht="15" hidden="false" customHeight="false" outlineLevel="0" collapsed="false">
      <c r="A749" s="6" t="s">
        <v>56</v>
      </c>
      <c r="B749" s="6" t="s">
        <v>43</v>
      </c>
      <c r="C749" s="6" t="s">
        <v>51</v>
      </c>
      <c r="D749" s="6" t="s">
        <v>118</v>
      </c>
      <c r="E749" s="6" t="n">
        <v>16</v>
      </c>
      <c r="F749" s="6" t="n">
        <v>8</v>
      </c>
      <c r="G749" s="6" t="s">
        <v>78</v>
      </c>
      <c r="H749" s="11" t="n">
        <v>0.05</v>
      </c>
      <c r="I749" s="6" t="n">
        <v>200</v>
      </c>
      <c r="J749" s="6" t="n">
        <v>6</v>
      </c>
      <c r="K749" s="6" t="n">
        <v>194</v>
      </c>
      <c r="L749" s="6" t="n">
        <v>6</v>
      </c>
      <c r="M749" s="6" t="n">
        <v>194</v>
      </c>
      <c r="N749" s="11" t="n">
        <f aca="false">J749/(J749+K749)</f>
        <v>0.03</v>
      </c>
      <c r="O749" s="11" t="n">
        <f aca="false">IF(J749+L749=0,"",J749/(J749+L749))</f>
        <v>0.5</v>
      </c>
      <c r="P749" s="11" t="n">
        <f aca="false">2*J749/(2*J749+L749+K749)</f>
        <v>0.0566037735849057</v>
      </c>
      <c r="Q749" s="11" t="n">
        <f aca="false">L749/(L749+M749)</f>
        <v>0.03</v>
      </c>
      <c r="R749" s="6" t="n">
        <v>0</v>
      </c>
      <c r="S749" s="11"/>
      <c r="T749" s="11" t="n">
        <v>0.03</v>
      </c>
      <c r="U749" s="11" t="n">
        <v>0.88</v>
      </c>
      <c r="V749" s="11" t="n">
        <v>0.88</v>
      </c>
    </row>
    <row r="750" customFormat="false" ht="15" hidden="false" customHeight="false" outlineLevel="0" collapsed="false">
      <c r="A750" s="6" t="s">
        <v>56</v>
      </c>
      <c r="B750" s="6" t="s">
        <v>43</v>
      </c>
      <c r="C750" s="6" t="s">
        <v>51</v>
      </c>
      <c r="D750" s="6" t="s">
        <v>118</v>
      </c>
      <c r="E750" s="6" t="n">
        <v>16</v>
      </c>
      <c r="F750" s="6" t="n">
        <v>9</v>
      </c>
      <c r="G750" s="6" t="s">
        <v>68</v>
      </c>
      <c r="H750" s="11" t="n">
        <v>0.05</v>
      </c>
      <c r="I750" s="6" t="n">
        <v>20</v>
      </c>
      <c r="J750" s="6" t="n">
        <v>2</v>
      </c>
      <c r="K750" s="6" t="n">
        <v>18</v>
      </c>
      <c r="L750" s="6" t="n">
        <v>2</v>
      </c>
      <c r="M750" s="6" t="n">
        <v>18</v>
      </c>
      <c r="N750" s="11" t="n">
        <f aca="false">J750/(J750+K750)</f>
        <v>0.1</v>
      </c>
      <c r="O750" s="11" t="n">
        <f aca="false">IF(J750+L750=0,"",J750/(J750+L750))</f>
        <v>0.5</v>
      </c>
      <c r="P750" s="11" t="n">
        <f aca="false">2*J750/(2*J750+L750+K750)</f>
        <v>0.166666666666667</v>
      </c>
      <c r="Q750" s="11" t="n">
        <f aca="false">L750/(L750+M750)</f>
        <v>0.1</v>
      </c>
      <c r="R750" s="6" t="n">
        <v>0</v>
      </c>
      <c r="S750" s="11"/>
      <c r="T750" s="11" t="n">
        <v>0.1</v>
      </c>
      <c r="U750" s="11" t="n">
        <v>0.85</v>
      </c>
      <c r="V750" s="11" t="n">
        <v>0.85</v>
      </c>
    </row>
    <row r="751" customFormat="false" ht="15" hidden="false" customHeight="false" outlineLevel="0" collapsed="false">
      <c r="A751" s="6" t="s">
        <v>56</v>
      </c>
      <c r="B751" s="6" t="s">
        <v>43</v>
      </c>
      <c r="C751" s="6" t="s">
        <v>51</v>
      </c>
      <c r="D751" s="6" t="s">
        <v>118</v>
      </c>
      <c r="E751" s="6" t="n">
        <v>16</v>
      </c>
      <c r="F751" s="6" t="n">
        <v>9</v>
      </c>
      <c r="G751" s="6" t="s">
        <v>69</v>
      </c>
      <c r="H751" s="11" t="n">
        <v>0.05</v>
      </c>
      <c r="I751" s="6" t="n">
        <v>20</v>
      </c>
      <c r="J751" s="6" t="n">
        <v>1</v>
      </c>
      <c r="K751" s="6" t="n">
        <v>19</v>
      </c>
      <c r="L751" s="6" t="n">
        <v>1</v>
      </c>
      <c r="M751" s="6" t="n">
        <v>19</v>
      </c>
      <c r="N751" s="11" t="n">
        <f aca="false">J751/(J751+K751)</f>
        <v>0.05</v>
      </c>
      <c r="O751" s="11" t="n">
        <f aca="false">IF(J751+L751=0,"",J751/(J751+L751))</f>
        <v>0.5</v>
      </c>
      <c r="P751" s="11" t="n">
        <f aca="false">2*J751/(2*J751+L751+K751)</f>
        <v>0.0909090909090909</v>
      </c>
      <c r="Q751" s="11" t="n">
        <f aca="false">L751/(L751+M751)</f>
        <v>0.05</v>
      </c>
      <c r="R751" s="6" t="n">
        <v>0</v>
      </c>
      <c r="S751" s="11"/>
      <c r="T751" s="11" t="n">
        <v>0.05</v>
      </c>
      <c r="U751" s="11" t="n">
        <v>1</v>
      </c>
      <c r="V751" s="11" t="n">
        <v>1</v>
      </c>
    </row>
    <row r="752" customFormat="false" ht="15" hidden="false" customHeight="false" outlineLevel="0" collapsed="false">
      <c r="A752" s="6" t="s">
        <v>56</v>
      </c>
      <c r="B752" s="6" t="s">
        <v>43</v>
      </c>
      <c r="C752" s="6" t="s">
        <v>51</v>
      </c>
      <c r="D752" s="6" t="s">
        <v>118</v>
      </c>
      <c r="E752" s="6" t="n">
        <v>16</v>
      </c>
      <c r="F752" s="6" t="n">
        <v>9</v>
      </c>
      <c r="G752" s="6" t="s">
        <v>70</v>
      </c>
      <c r="H752" s="11" t="n">
        <v>0.05</v>
      </c>
      <c r="I752" s="6" t="n">
        <v>20</v>
      </c>
      <c r="J752" s="6" t="n">
        <v>0</v>
      </c>
      <c r="K752" s="6" t="n">
        <v>20</v>
      </c>
      <c r="L752" s="6" t="n">
        <v>0</v>
      </c>
      <c r="M752" s="6" t="n">
        <v>20</v>
      </c>
      <c r="N752" s="11" t="n">
        <f aca="false">J752/(J752+K752)</f>
        <v>0</v>
      </c>
      <c r="O752" s="11" t="str">
        <f aca="false">IF(J752+L752=0,"",J752/(J752+L752))</f>
        <v/>
      </c>
      <c r="P752" s="11" t="n">
        <f aca="false">2*J752/(2*J752+L752+K752)</f>
        <v>0</v>
      </c>
      <c r="Q752" s="11" t="n">
        <f aca="false">L752/(L752+M752)</f>
        <v>0</v>
      </c>
      <c r="R752" s="6" t="n">
        <v>0</v>
      </c>
      <c r="S752" s="11"/>
      <c r="T752" s="11" t="n">
        <v>0</v>
      </c>
      <c r="U752" s="11" t="n">
        <v>0.9</v>
      </c>
      <c r="V752" s="11" t="n">
        <v>0.9</v>
      </c>
    </row>
    <row r="753" customFormat="false" ht="15" hidden="false" customHeight="false" outlineLevel="0" collapsed="false">
      <c r="A753" s="6" t="s">
        <v>56</v>
      </c>
      <c r="B753" s="6" t="s">
        <v>43</v>
      </c>
      <c r="C753" s="6" t="s">
        <v>51</v>
      </c>
      <c r="D753" s="6" t="s">
        <v>118</v>
      </c>
      <c r="E753" s="6" t="n">
        <v>16</v>
      </c>
      <c r="F753" s="6" t="n">
        <v>9</v>
      </c>
      <c r="G753" s="6" t="s">
        <v>71</v>
      </c>
      <c r="H753" s="11" t="n">
        <v>0.05</v>
      </c>
      <c r="I753" s="6" t="n">
        <v>20</v>
      </c>
      <c r="J753" s="6" t="n">
        <v>0</v>
      </c>
      <c r="K753" s="6" t="n">
        <v>20</v>
      </c>
      <c r="L753" s="6" t="n">
        <v>0</v>
      </c>
      <c r="M753" s="6" t="n">
        <v>20</v>
      </c>
      <c r="N753" s="11" t="n">
        <f aca="false">J753/(J753+K753)</f>
        <v>0</v>
      </c>
      <c r="O753" s="11" t="str">
        <f aca="false">IF(J753+L753=0,"",J753/(J753+L753))</f>
        <v/>
      </c>
      <c r="P753" s="11" t="n">
        <f aca="false">2*J753/(2*J753+L753+K753)</f>
        <v>0</v>
      </c>
      <c r="Q753" s="11" t="n">
        <f aca="false">L753/(L753+M753)</f>
        <v>0</v>
      </c>
      <c r="R753" s="6" t="n">
        <v>0</v>
      </c>
      <c r="S753" s="11"/>
      <c r="T753" s="11" t="n">
        <v>0</v>
      </c>
      <c r="U753" s="11" t="n">
        <v>0.8</v>
      </c>
      <c r="V753" s="11" t="n">
        <v>0.8</v>
      </c>
    </row>
    <row r="754" customFormat="false" ht="15" hidden="false" customHeight="false" outlineLevel="0" collapsed="false">
      <c r="A754" s="6" t="s">
        <v>56</v>
      </c>
      <c r="B754" s="6" t="s">
        <v>43</v>
      </c>
      <c r="C754" s="6" t="s">
        <v>51</v>
      </c>
      <c r="D754" s="6" t="s">
        <v>118</v>
      </c>
      <c r="E754" s="6" t="n">
        <v>16</v>
      </c>
      <c r="F754" s="6" t="n">
        <v>9</v>
      </c>
      <c r="G754" s="6" t="s">
        <v>72</v>
      </c>
      <c r="H754" s="11" t="n">
        <v>0.05</v>
      </c>
      <c r="I754" s="6" t="n">
        <v>20</v>
      </c>
      <c r="J754" s="6" t="n">
        <v>1</v>
      </c>
      <c r="K754" s="6" t="n">
        <v>19</v>
      </c>
      <c r="L754" s="6" t="n">
        <v>1</v>
      </c>
      <c r="M754" s="6" t="n">
        <v>19</v>
      </c>
      <c r="N754" s="11" t="n">
        <f aca="false">J754/(J754+K754)</f>
        <v>0.05</v>
      </c>
      <c r="O754" s="11" t="n">
        <f aca="false">IF(J754+L754=0,"",J754/(J754+L754))</f>
        <v>0.5</v>
      </c>
      <c r="P754" s="11" t="n">
        <f aca="false">2*J754/(2*J754+L754+K754)</f>
        <v>0.0909090909090909</v>
      </c>
      <c r="Q754" s="11" t="n">
        <f aca="false">L754/(L754+M754)</f>
        <v>0.05</v>
      </c>
      <c r="R754" s="6" t="n">
        <v>0</v>
      </c>
      <c r="S754" s="11"/>
      <c r="T754" s="11" t="n">
        <v>0.05</v>
      </c>
      <c r="U754" s="11" t="n">
        <v>0.9</v>
      </c>
      <c r="V754" s="11" t="n">
        <v>0.9</v>
      </c>
    </row>
    <row r="755" customFormat="false" ht="15" hidden="false" customHeight="false" outlineLevel="0" collapsed="false">
      <c r="A755" s="6" t="s">
        <v>56</v>
      </c>
      <c r="B755" s="6" t="s">
        <v>43</v>
      </c>
      <c r="C755" s="6" t="s">
        <v>51</v>
      </c>
      <c r="D755" s="6" t="s">
        <v>118</v>
      </c>
      <c r="E755" s="6" t="n">
        <v>16</v>
      </c>
      <c r="F755" s="6" t="n">
        <v>9</v>
      </c>
      <c r="G755" s="6" t="s">
        <v>73</v>
      </c>
      <c r="H755" s="11" t="n">
        <v>0.05</v>
      </c>
      <c r="I755" s="6" t="n">
        <v>20</v>
      </c>
      <c r="J755" s="6" t="n">
        <v>0</v>
      </c>
      <c r="K755" s="6" t="n">
        <v>20</v>
      </c>
      <c r="L755" s="6" t="n">
        <v>0</v>
      </c>
      <c r="M755" s="6" t="n">
        <v>20</v>
      </c>
      <c r="N755" s="11" t="n">
        <f aca="false">J755/(J755+K755)</f>
        <v>0</v>
      </c>
      <c r="O755" s="11" t="str">
        <f aca="false">IF(J755+L755=0,"",J755/(J755+L755))</f>
        <v/>
      </c>
      <c r="P755" s="11" t="n">
        <f aca="false">2*J755/(2*J755+L755+K755)</f>
        <v>0</v>
      </c>
      <c r="Q755" s="11" t="n">
        <f aca="false">L755/(L755+M755)</f>
        <v>0</v>
      </c>
      <c r="R755" s="6" t="n">
        <v>0</v>
      </c>
      <c r="S755" s="11"/>
      <c r="T755" s="11" t="n">
        <v>0</v>
      </c>
      <c r="U755" s="11" t="n">
        <v>0.65</v>
      </c>
      <c r="V755" s="11" t="n">
        <v>0.65</v>
      </c>
    </row>
    <row r="756" customFormat="false" ht="15" hidden="false" customHeight="false" outlineLevel="0" collapsed="false">
      <c r="A756" s="6" t="s">
        <v>56</v>
      </c>
      <c r="B756" s="6" t="s">
        <v>43</v>
      </c>
      <c r="C756" s="6" t="s">
        <v>51</v>
      </c>
      <c r="D756" s="6" t="s">
        <v>118</v>
      </c>
      <c r="E756" s="6" t="n">
        <v>16</v>
      </c>
      <c r="F756" s="6" t="n">
        <v>9</v>
      </c>
      <c r="G756" s="6" t="s">
        <v>74</v>
      </c>
      <c r="H756" s="11" t="n">
        <v>0.05</v>
      </c>
      <c r="I756" s="6" t="n">
        <v>20</v>
      </c>
      <c r="J756" s="6" t="n">
        <v>1</v>
      </c>
      <c r="K756" s="6" t="n">
        <v>19</v>
      </c>
      <c r="L756" s="6" t="n">
        <v>1</v>
      </c>
      <c r="M756" s="6" t="n">
        <v>19</v>
      </c>
      <c r="N756" s="11" t="n">
        <f aca="false">J756/(J756+K756)</f>
        <v>0.05</v>
      </c>
      <c r="O756" s="11" t="n">
        <f aca="false">IF(J756+L756=0,"",J756/(J756+L756))</f>
        <v>0.5</v>
      </c>
      <c r="P756" s="11" t="n">
        <f aca="false">2*J756/(2*J756+L756+K756)</f>
        <v>0.0909090909090909</v>
      </c>
      <c r="Q756" s="11" t="n">
        <f aca="false">L756/(L756+M756)</f>
        <v>0.05</v>
      </c>
      <c r="R756" s="6" t="n">
        <v>0</v>
      </c>
      <c r="S756" s="11"/>
      <c r="T756" s="11" t="n">
        <v>0.05</v>
      </c>
      <c r="U756" s="11" t="n">
        <v>0.85</v>
      </c>
      <c r="V756" s="11" t="n">
        <v>0.85</v>
      </c>
    </row>
    <row r="757" customFormat="false" ht="15" hidden="false" customHeight="false" outlineLevel="0" collapsed="false">
      <c r="A757" s="6" t="s">
        <v>56</v>
      </c>
      <c r="B757" s="6" t="s">
        <v>43</v>
      </c>
      <c r="C757" s="6" t="s">
        <v>51</v>
      </c>
      <c r="D757" s="6" t="s">
        <v>118</v>
      </c>
      <c r="E757" s="6" t="n">
        <v>16</v>
      </c>
      <c r="F757" s="6" t="n">
        <v>9</v>
      </c>
      <c r="G757" s="6" t="s">
        <v>75</v>
      </c>
      <c r="H757" s="11" t="n">
        <v>0.05</v>
      </c>
      <c r="I757" s="6" t="n">
        <v>20</v>
      </c>
      <c r="J757" s="6" t="n">
        <v>0</v>
      </c>
      <c r="K757" s="6" t="n">
        <v>20</v>
      </c>
      <c r="L757" s="6" t="n">
        <v>0</v>
      </c>
      <c r="M757" s="6" t="n">
        <v>20</v>
      </c>
      <c r="N757" s="11" t="n">
        <f aca="false">J757/(J757+K757)</f>
        <v>0</v>
      </c>
      <c r="O757" s="11" t="str">
        <f aca="false">IF(J757+L757=0,"",J757/(J757+L757))</f>
        <v/>
      </c>
      <c r="P757" s="11" t="n">
        <f aca="false">2*J757/(2*J757+L757+K757)</f>
        <v>0</v>
      </c>
      <c r="Q757" s="11" t="n">
        <f aca="false">L757/(L757+M757)</f>
        <v>0</v>
      </c>
      <c r="R757" s="6" t="n">
        <v>0</v>
      </c>
      <c r="S757" s="11"/>
      <c r="T757" s="11" t="n">
        <v>0</v>
      </c>
      <c r="U757" s="11" t="n">
        <v>0.9</v>
      </c>
      <c r="V757" s="11" t="n">
        <v>0.9</v>
      </c>
    </row>
    <row r="758" customFormat="false" ht="15" hidden="false" customHeight="false" outlineLevel="0" collapsed="false">
      <c r="A758" s="6" t="s">
        <v>56</v>
      </c>
      <c r="B758" s="6" t="s">
        <v>43</v>
      </c>
      <c r="C758" s="6" t="s">
        <v>51</v>
      </c>
      <c r="D758" s="6" t="s">
        <v>118</v>
      </c>
      <c r="E758" s="6" t="n">
        <v>16</v>
      </c>
      <c r="F758" s="6" t="n">
        <v>9</v>
      </c>
      <c r="G758" s="6" t="s">
        <v>76</v>
      </c>
      <c r="H758" s="11" t="n">
        <v>0.05</v>
      </c>
      <c r="I758" s="6" t="n">
        <v>20</v>
      </c>
      <c r="J758" s="6" t="n">
        <v>0</v>
      </c>
      <c r="K758" s="6" t="n">
        <v>20</v>
      </c>
      <c r="L758" s="6" t="n">
        <v>0</v>
      </c>
      <c r="M758" s="6" t="n">
        <v>20</v>
      </c>
      <c r="N758" s="11" t="n">
        <f aca="false">J758/(J758+K758)</f>
        <v>0</v>
      </c>
      <c r="O758" s="11" t="str">
        <f aca="false">IF(J758+L758=0,"",J758/(J758+L758))</f>
        <v/>
      </c>
      <c r="P758" s="11" t="n">
        <f aca="false">2*J758/(2*J758+L758+K758)</f>
        <v>0</v>
      </c>
      <c r="Q758" s="11" t="n">
        <f aca="false">L758/(L758+M758)</f>
        <v>0</v>
      </c>
      <c r="R758" s="6" t="n">
        <v>0</v>
      </c>
      <c r="S758" s="11"/>
      <c r="T758" s="11" t="n">
        <v>0</v>
      </c>
      <c r="U758" s="11" t="n">
        <v>0.95</v>
      </c>
      <c r="V758" s="11" t="n">
        <v>0.95</v>
      </c>
    </row>
    <row r="759" customFormat="false" ht="15" hidden="false" customHeight="false" outlineLevel="0" collapsed="false">
      <c r="A759" s="6" t="s">
        <v>56</v>
      </c>
      <c r="B759" s="6" t="s">
        <v>43</v>
      </c>
      <c r="C759" s="6" t="s">
        <v>51</v>
      </c>
      <c r="D759" s="6" t="s">
        <v>118</v>
      </c>
      <c r="E759" s="6" t="n">
        <v>16</v>
      </c>
      <c r="F759" s="6" t="n">
        <v>9</v>
      </c>
      <c r="G759" s="6" t="s">
        <v>77</v>
      </c>
      <c r="H759" s="11" t="n">
        <v>0.05</v>
      </c>
      <c r="I759" s="6" t="n">
        <v>20</v>
      </c>
      <c r="J759" s="6" t="n">
        <v>1</v>
      </c>
      <c r="K759" s="6" t="n">
        <v>19</v>
      </c>
      <c r="L759" s="6" t="n">
        <v>1</v>
      </c>
      <c r="M759" s="6" t="n">
        <v>19</v>
      </c>
      <c r="N759" s="11" t="n">
        <f aca="false">J759/(J759+K759)</f>
        <v>0.05</v>
      </c>
      <c r="O759" s="11" t="n">
        <f aca="false">IF(J759+L759=0,"",J759/(J759+L759))</f>
        <v>0.5</v>
      </c>
      <c r="P759" s="11" t="n">
        <f aca="false">2*J759/(2*J759+L759+K759)</f>
        <v>0.0909090909090909</v>
      </c>
      <c r="Q759" s="11" t="n">
        <f aca="false">L759/(L759+M759)</f>
        <v>0.05</v>
      </c>
      <c r="R759" s="6" t="n">
        <v>0</v>
      </c>
      <c r="S759" s="11"/>
      <c r="T759" s="11" t="n">
        <v>0.05</v>
      </c>
      <c r="U759" s="11" t="n">
        <v>1</v>
      </c>
      <c r="V759" s="11" t="n">
        <v>1</v>
      </c>
    </row>
    <row r="760" customFormat="false" ht="15" hidden="false" customHeight="false" outlineLevel="0" collapsed="false">
      <c r="A760" s="6" t="s">
        <v>56</v>
      </c>
      <c r="B760" s="6" t="s">
        <v>43</v>
      </c>
      <c r="C760" s="6" t="s">
        <v>51</v>
      </c>
      <c r="D760" s="6" t="s">
        <v>118</v>
      </c>
      <c r="E760" s="6" t="n">
        <v>16</v>
      </c>
      <c r="F760" s="6" t="n">
        <v>9</v>
      </c>
      <c r="G760" s="6" t="s">
        <v>78</v>
      </c>
      <c r="H760" s="11" t="n">
        <v>0.05</v>
      </c>
      <c r="I760" s="6" t="n">
        <v>200</v>
      </c>
      <c r="J760" s="6" t="n">
        <v>6</v>
      </c>
      <c r="K760" s="6" t="n">
        <v>194</v>
      </c>
      <c r="L760" s="6" t="n">
        <v>6</v>
      </c>
      <c r="M760" s="6" t="n">
        <v>194</v>
      </c>
      <c r="N760" s="11" t="n">
        <f aca="false">J760/(J760+K760)</f>
        <v>0.03</v>
      </c>
      <c r="O760" s="11" t="n">
        <f aca="false">IF(J760+L760=0,"",J760/(J760+L760))</f>
        <v>0.5</v>
      </c>
      <c r="P760" s="11" t="n">
        <f aca="false">2*J760/(2*J760+L760+K760)</f>
        <v>0.0566037735849057</v>
      </c>
      <c r="Q760" s="11" t="n">
        <f aca="false">L760/(L760+M760)</f>
        <v>0.03</v>
      </c>
      <c r="R760" s="6" t="n">
        <v>0</v>
      </c>
      <c r="S760" s="11"/>
      <c r="T760" s="11" t="n">
        <v>0.03</v>
      </c>
      <c r="U760" s="11" t="n">
        <v>0.88</v>
      </c>
      <c r="V760" s="11" t="n">
        <v>0.88</v>
      </c>
    </row>
    <row r="761" customFormat="false" ht="15" hidden="false" customHeight="false" outlineLevel="0" collapsed="false">
      <c r="A761" s="6" t="s">
        <v>56</v>
      </c>
      <c r="B761" s="6" t="s">
        <v>43</v>
      </c>
      <c r="C761" s="6" t="s">
        <v>51</v>
      </c>
      <c r="D761" s="6" t="s">
        <v>118</v>
      </c>
      <c r="E761" s="6" t="n">
        <v>16</v>
      </c>
      <c r="F761" s="6" t="n">
        <v>10</v>
      </c>
      <c r="G761" s="6" t="s">
        <v>68</v>
      </c>
      <c r="H761" s="11" t="n">
        <v>0.05</v>
      </c>
      <c r="I761" s="6" t="n">
        <v>20</v>
      </c>
      <c r="J761" s="6" t="n">
        <v>2</v>
      </c>
      <c r="K761" s="6" t="n">
        <v>18</v>
      </c>
      <c r="L761" s="6" t="n">
        <v>2</v>
      </c>
      <c r="M761" s="6" t="n">
        <v>18</v>
      </c>
      <c r="N761" s="11" t="n">
        <f aca="false">J761/(J761+K761)</f>
        <v>0.1</v>
      </c>
      <c r="O761" s="11" t="n">
        <f aca="false">IF(J761+L761=0,"",J761/(J761+L761))</f>
        <v>0.5</v>
      </c>
      <c r="P761" s="11" t="n">
        <f aca="false">2*J761/(2*J761+L761+K761)</f>
        <v>0.166666666666667</v>
      </c>
      <c r="Q761" s="11" t="n">
        <f aca="false">L761/(L761+M761)</f>
        <v>0.1</v>
      </c>
      <c r="R761" s="6" t="n">
        <v>0</v>
      </c>
      <c r="S761" s="11"/>
      <c r="T761" s="11" t="n">
        <v>0.1</v>
      </c>
      <c r="U761" s="11" t="n">
        <v>0.85</v>
      </c>
      <c r="V761" s="11" t="n">
        <v>0.85</v>
      </c>
    </row>
    <row r="762" customFormat="false" ht="15" hidden="false" customHeight="false" outlineLevel="0" collapsed="false">
      <c r="A762" s="6" t="s">
        <v>56</v>
      </c>
      <c r="B762" s="6" t="s">
        <v>43</v>
      </c>
      <c r="C762" s="6" t="s">
        <v>51</v>
      </c>
      <c r="D762" s="6" t="s">
        <v>118</v>
      </c>
      <c r="E762" s="6" t="n">
        <v>16</v>
      </c>
      <c r="F762" s="6" t="n">
        <v>10</v>
      </c>
      <c r="G762" s="6" t="s">
        <v>69</v>
      </c>
      <c r="H762" s="11" t="n">
        <v>0.05</v>
      </c>
      <c r="I762" s="6" t="n">
        <v>20</v>
      </c>
      <c r="J762" s="6" t="n">
        <v>1</v>
      </c>
      <c r="K762" s="6" t="n">
        <v>19</v>
      </c>
      <c r="L762" s="6" t="n">
        <v>1</v>
      </c>
      <c r="M762" s="6" t="n">
        <v>19</v>
      </c>
      <c r="N762" s="11" t="n">
        <f aca="false">J762/(J762+K762)</f>
        <v>0.05</v>
      </c>
      <c r="O762" s="11" t="n">
        <f aca="false">IF(J762+L762=0,"",J762/(J762+L762))</f>
        <v>0.5</v>
      </c>
      <c r="P762" s="11" t="n">
        <f aca="false">2*J762/(2*J762+L762+K762)</f>
        <v>0.0909090909090909</v>
      </c>
      <c r="Q762" s="11" t="n">
        <f aca="false">L762/(L762+M762)</f>
        <v>0.05</v>
      </c>
      <c r="R762" s="6" t="n">
        <v>0</v>
      </c>
      <c r="S762" s="11"/>
      <c r="T762" s="11" t="n">
        <v>0.05</v>
      </c>
      <c r="U762" s="11" t="n">
        <v>1</v>
      </c>
      <c r="V762" s="11" t="n">
        <v>1</v>
      </c>
    </row>
    <row r="763" customFormat="false" ht="15" hidden="false" customHeight="false" outlineLevel="0" collapsed="false">
      <c r="A763" s="6" t="s">
        <v>56</v>
      </c>
      <c r="B763" s="6" t="s">
        <v>43</v>
      </c>
      <c r="C763" s="6" t="s">
        <v>51</v>
      </c>
      <c r="D763" s="6" t="s">
        <v>118</v>
      </c>
      <c r="E763" s="6" t="n">
        <v>16</v>
      </c>
      <c r="F763" s="6" t="n">
        <v>10</v>
      </c>
      <c r="G763" s="6" t="s">
        <v>70</v>
      </c>
      <c r="H763" s="11" t="n">
        <v>0.05</v>
      </c>
      <c r="I763" s="6" t="n">
        <v>20</v>
      </c>
      <c r="J763" s="6" t="n">
        <v>0</v>
      </c>
      <c r="K763" s="6" t="n">
        <v>20</v>
      </c>
      <c r="L763" s="6" t="n">
        <v>0</v>
      </c>
      <c r="M763" s="6" t="n">
        <v>20</v>
      </c>
      <c r="N763" s="11" t="n">
        <f aca="false">J763/(J763+K763)</f>
        <v>0</v>
      </c>
      <c r="O763" s="11" t="str">
        <f aca="false">IF(J763+L763=0,"",J763/(J763+L763))</f>
        <v/>
      </c>
      <c r="P763" s="11" t="n">
        <f aca="false">2*J763/(2*J763+L763+K763)</f>
        <v>0</v>
      </c>
      <c r="Q763" s="11" t="n">
        <f aca="false">L763/(L763+M763)</f>
        <v>0</v>
      </c>
      <c r="R763" s="6" t="n">
        <v>0</v>
      </c>
      <c r="S763" s="11"/>
      <c r="T763" s="11" t="n">
        <v>0</v>
      </c>
      <c r="U763" s="11" t="n">
        <v>0.9</v>
      </c>
      <c r="V763" s="11" t="n">
        <v>0.9</v>
      </c>
    </row>
    <row r="764" customFormat="false" ht="15" hidden="false" customHeight="false" outlineLevel="0" collapsed="false">
      <c r="A764" s="6" t="s">
        <v>56</v>
      </c>
      <c r="B764" s="6" t="s">
        <v>43</v>
      </c>
      <c r="C764" s="6" t="s">
        <v>51</v>
      </c>
      <c r="D764" s="6" t="s">
        <v>118</v>
      </c>
      <c r="E764" s="6" t="n">
        <v>16</v>
      </c>
      <c r="F764" s="6" t="n">
        <v>10</v>
      </c>
      <c r="G764" s="6" t="s">
        <v>71</v>
      </c>
      <c r="H764" s="11" t="n">
        <v>0.05</v>
      </c>
      <c r="I764" s="6" t="n">
        <v>20</v>
      </c>
      <c r="J764" s="6" t="n">
        <v>0</v>
      </c>
      <c r="K764" s="6" t="n">
        <v>20</v>
      </c>
      <c r="L764" s="6" t="n">
        <v>0</v>
      </c>
      <c r="M764" s="6" t="n">
        <v>20</v>
      </c>
      <c r="N764" s="11" t="n">
        <f aca="false">J764/(J764+K764)</f>
        <v>0</v>
      </c>
      <c r="O764" s="11" t="str">
        <f aca="false">IF(J764+L764=0,"",J764/(J764+L764))</f>
        <v/>
      </c>
      <c r="P764" s="11" t="n">
        <f aca="false">2*J764/(2*J764+L764+K764)</f>
        <v>0</v>
      </c>
      <c r="Q764" s="11" t="n">
        <f aca="false">L764/(L764+M764)</f>
        <v>0</v>
      </c>
      <c r="R764" s="6" t="n">
        <v>0</v>
      </c>
      <c r="S764" s="11"/>
      <c r="T764" s="11" t="n">
        <v>0</v>
      </c>
      <c r="U764" s="11" t="n">
        <v>0.8</v>
      </c>
      <c r="V764" s="11" t="n">
        <v>0.8</v>
      </c>
    </row>
    <row r="765" customFormat="false" ht="15" hidden="false" customHeight="false" outlineLevel="0" collapsed="false">
      <c r="A765" s="6" t="s">
        <v>56</v>
      </c>
      <c r="B765" s="6" t="s">
        <v>43</v>
      </c>
      <c r="C765" s="6" t="s">
        <v>51</v>
      </c>
      <c r="D765" s="6" t="s">
        <v>118</v>
      </c>
      <c r="E765" s="6" t="n">
        <v>16</v>
      </c>
      <c r="F765" s="6" t="n">
        <v>10</v>
      </c>
      <c r="G765" s="6" t="s">
        <v>72</v>
      </c>
      <c r="H765" s="11" t="n">
        <v>0.05</v>
      </c>
      <c r="I765" s="6" t="n">
        <v>20</v>
      </c>
      <c r="J765" s="6" t="n">
        <v>1</v>
      </c>
      <c r="K765" s="6" t="n">
        <v>19</v>
      </c>
      <c r="L765" s="6" t="n">
        <v>1</v>
      </c>
      <c r="M765" s="6" t="n">
        <v>19</v>
      </c>
      <c r="N765" s="11" t="n">
        <f aca="false">J765/(J765+K765)</f>
        <v>0.05</v>
      </c>
      <c r="O765" s="11" t="n">
        <f aca="false">IF(J765+L765=0,"",J765/(J765+L765))</f>
        <v>0.5</v>
      </c>
      <c r="P765" s="11" t="n">
        <f aca="false">2*J765/(2*J765+L765+K765)</f>
        <v>0.0909090909090909</v>
      </c>
      <c r="Q765" s="11" t="n">
        <f aca="false">L765/(L765+M765)</f>
        <v>0.05</v>
      </c>
      <c r="R765" s="6" t="n">
        <v>0</v>
      </c>
      <c r="S765" s="11"/>
      <c r="T765" s="11" t="n">
        <v>0.05</v>
      </c>
      <c r="U765" s="11" t="n">
        <v>0.9</v>
      </c>
      <c r="V765" s="11" t="n">
        <v>0.9</v>
      </c>
    </row>
    <row r="766" customFormat="false" ht="15" hidden="false" customHeight="false" outlineLevel="0" collapsed="false">
      <c r="A766" s="6" t="s">
        <v>56</v>
      </c>
      <c r="B766" s="6" t="s">
        <v>43</v>
      </c>
      <c r="C766" s="6" t="s">
        <v>51</v>
      </c>
      <c r="D766" s="6" t="s">
        <v>118</v>
      </c>
      <c r="E766" s="6" t="n">
        <v>16</v>
      </c>
      <c r="F766" s="6" t="n">
        <v>10</v>
      </c>
      <c r="G766" s="6" t="s">
        <v>73</v>
      </c>
      <c r="H766" s="11" t="n">
        <v>0.05</v>
      </c>
      <c r="I766" s="6" t="n">
        <v>20</v>
      </c>
      <c r="J766" s="6" t="n">
        <v>0</v>
      </c>
      <c r="K766" s="6" t="n">
        <v>20</v>
      </c>
      <c r="L766" s="6" t="n">
        <v>0</v>
      </c>
      <c r="M766" s="6" t="n">
        <v>20</v>
      </c>
      <c r="N766" s="11" t="n">
        <f aca="false">J766/(J766+K766)</f>
        <v>0</v>
      </c>
      <c r="O766" s="11" t="str">
        <f aca="false">IF(J766+L766=0,"",J766/(J766+L766))</f>
        <v/>
      </c>
      <c r="P766" s="11" t="n">
        <f aca="false">2*J766/(2*J766+L766+K766)</f>
        <v>0</v>
      </c>
      <c r="Q766" s="11" t="n">
        <f aca="false">L766/(L766+M766)</f>
        <v>0</v>
      </c>
      <c r="R766" s="6" t="n">
        <v>0</v>
      </c>
      <c r="S766" s="11"/>
      <c r="T766" s="11" t="n">
        <v>0</v>
      </c>
      <c r="U766" s="11" t="n">
        <v>0.65</v>
      </c>
      <c r="V766" s="11" t="n">
        <v>0.65</v>
      </c>
    </row>
    <row r="767" customFormat="false" ht="15" hidden="false" customHeight="false" outlineLevel="0" collapsed="false">
      <c r="A767" s="6" t="s">
        <v>56</v>
      </c>
      <c r="B767" s="6" t="s">
        <v>43</v>
      </c>
      <c r="C767" s="6" t="s">
        <v>51</v>
      </c>
      <c r="D767" s="6" t="s">
        <v>118</v>
      </c>
      <c r="E767" s="6" t="n">
        <v>16</v>
      </c>
      <c r="F767" s="6" t="n">
        <v>10</v>
      </c>
      <c r="G767" s="6" t="s">
        <v>74</v>
      </c>
      <c r="H767" s="11" t="n">
        <v>0.05</v>
      </c>
      <c r="I767" s="6" t="n">
        <v>20</v>
      </c>
      <c r="J767" s="6" t="n">
        <v>1</v>
      </c>
      <c r="K767" s="6" t="n">
        <v>19</v>
      </c>
      <c r="L767" s="6" t="n">
        <v>1</v>
      </c>
      <c r="M767" s="6" t="n">
        <v>19</v>
      </c>
      <c r="N767" s="11" t="n">
        <f aca="false">J767/(J767+K767)</f>
        <v>0.05</v>
      </c>
      <c r="O767" s="11" t="n">
        <f aca="false">IF(J767+L767=0,"",J767/(J767+L767))</f>
        <v>0.5</v>
      </c>
      <c r="P767" s="11" t="n">
        <f aca="false">2*J767/(2*J767+L767+K767)</f>
        <v>0.0909090909090909</v>
      </c>
      <c r="Q767" s="11" t="n">
        <f aca="false">L767/(L767+M767)</f>
        <v>0.05</v>
      </c>
      <c r="R767" s="6" t="n">
        <v>0</v>
      </c>
      <c r="S767" s="11"/>
      <c r="T767" s="11" t="n">
        <v>0.05</v>
      </c>
      <c r="U767" s="11" t="n">
        <v>0.85</v>
      </c>
      <c r="V767" s="11" t="n">
        <v>0.85</v>
      </c>
    </row>
    <row r="768" customFormat="false" ht="15" hidden="false" customHeight="false" outlineLevel="0" collapsed="false">
      <c r="A768" s="6" t="s">
        <v>56</v>
      </c>
      <c r="B768" s="6" t="s">
        <v>43</v>
      </c>
      <c r="C768" s="6" t="s">
        <v>51</v>
      </c>
      <c r="D768" s="6" t="s">
        <v>118</v>
      </c>
      <c r="E768" s="6" t="n">
        <v>16</v>
      </c>
      <c r="F768" s="6" t="n">
        <v>10</v>
      </c>
      <c r="G768" s="6" t="s">
        <v>75</v>
      </c>
      <c r="H768" s="11" t="n">
        <v>0.05</v>
      </c>
      <c r="I768" s="6" t="n">
        <v>20</v>
      </c>
      <c r="J768" s="6" t="n">
        <v>0</v>
      </c>
      <c r="K768" s="6" t="n">
        <v>20</v>
      </c>
      <c r="L768" s="6" t="n">
        <v>0</v>
      </c>
      <c r="M768" s="6" t="n">
        <v>20</v>
      </c>
      <c r="N768" s="11" t="n">
        <f aca="false">J768/(J768+K768)</f>
        <v>0</v>
      </c>
      <c r="O768" s="11" t="str">
        <f aca="false">IF(J768+L768=0,"",J768/(J768+L768))</f>
        <v/>
      </c>
      <c r="P768" s="11" t="n">
        <f aca="false">2*J768/(2*J768+L768+K768)</f>
        <v>0</v>
      </c>
      <c r="Q768" s="11" t="n">
        <f aca="false">L768/(L768+M768)</f>
        <v>0</v>
      </c>
      <c r="R768" s="6" t="n">
        <v>0</v>
      </c>
      <c r="S768" s="11"/>
      <c r="T768" s="11" t="n">
        <v>0</v>
      </c>
      <c r="U768" s="11" t="n">
        <v>0.9</v>
      </c>
      <c r="V768" s="11" t="n">
        <v>0.9</v>
      </c>
    </row>
    <row r="769" customFormat="false" ht="15" hidden="false" customHeight="false" outlineLevel="0" collapsed="false">
      <c r="A769" s="6" t="s">
        <v>56</v>
      </c>
      <c r="B769" s="6" t="s">
        <v>43</v>
      </c>
      <c r="C769" s="6" t="s">
        <v>51</v>
      </c>
      <c r="D769" s="6" t="s">
        <v>118</v>
      </c>
      <c r="E769" s="6" t="n">
        <v>16</v>
      </c>
      <c r="F769" s="6" t="n">
        <v>10</v>
      </c>
      <c r="G769" s="6" t="s">
        <v>76</v>
      </c>
      <c r="H769" s="11" t="n">
        <v>0.05</v>
      </c>
      <c r="I769" s="6" t="n">
        <v>20</v>
      </c>
      <c r="J769" s="6" t="n">
        <v>0</v>
      </c>
      <c r="K769" s="6" t="n">
        <v>20</v>
      </c>
      <c r="L769" s="6" t="n">
        <v>0</v>
      </c>
      <c r="M769" s="6" t="n">
        <v>20</v>
      </c>
      <c r="N769" s="11" t="n">
        <f aca="false">J769/(J769+K769)</f>
        <v>0</v>
      </c>
      <c r="O769" s="11" t="str">
        <f aca="false">IF(J769+L769=0,"",J769/(J769+L769))</f>
        <v/>
      </c>
      <c r="P769" s="11" t="n">
        <f aca="false">2*J769/(2*J769+L769+K769)</f>
        <v>0</v>
      </c>
      <c r="Q769" s="11" t="n">
        <f aca="false">L769/(L769+M769)</f>
        <v>0</v>
      </c>
      <c r="R769" s="6" t="n">
        <v>0</v>
      </c>
      <c r="S769" s="11"/>
      <c r="T769" s="11" t="n">
        <v>0</v>
      </c>
      <c r="U769" s="11" t="n">
        <v>0.95</v>
      </c>
      <c r="V769" s="11" t="n">
        <v>0.95</v>
      </c>
    </row>
    <row r="770" customFormat="false" ht="15" hidden="false" customHeight="false" outlineLevel="0" collapsed="false">
      <c r="A770" s="6" t="s">
        <v>56</v>
      </c>
      <c r="B770" s="6" t="s">
        <v>43</v>
      </c>
      <c r="C770" s="6" t="s">
        <v>51</v>
      </c>
      <c r="D770" s="6" t="s">
        <v>118</v>
      </c>
      <c r="E770" s="6" t="n">
        <v>16</v>
      </c>
      <c r="F770" s="6" t="n">
        <v>10</v>
      </c>
      <c r="G770" s="6" t="s">
        <v>77</v>
      </c>
      <c r="H770" s="11" t="n">
        <v>0.05</v>
      </c>
      <c r="I770" s="6" t="n">
        <v>20</v>
      </c>
      <c r="J770" s="6" t="n">
        <v>1</v>
      </c>
      <c r="K770" s="6" t="n">
        <v>19</v>
      </c>
      <c r="L770" s="6" t="n">
        <v>1</v>
      </c>
      <c r="M770" s="6" t="n">
        <v>19</v>
      </c>
      <c r="N770" s="11" t="n">
        <f aca="false">J770/(J770+K770)</f>
        <v>0.05</v>
      </c>
      <c r="O770" s="11" t="n">
        <f aca="false">IF(J770+L770=0,"",J770/(J770+L770))</f>
        <v>0.5</v>
      </c>
      <c r="P770" s="11" t="n">
        <f aca="false">2*J770/(2*J770+L770+K770)</f>
        <v>0.0909090909090909</v>
      </c>
      <c r="Q770" s="11" t="n">
        <f aca="false">L770/(L770+M770)</f>
        <v>0.05</v>
      </c>
      <c r="R770" s="6" t="n">
        <v>0</v>
      </c>
      <c r="S770" s="11"/>
      <c r="T770" s="11" t="n">
        <v>0.05</v>
      </c>
      <c r="U770" s="11" t="n">
        <v>1</v>
      </c>
      <c r="V770" s="11" t="n">
        <v>1</v>
      </c>
    </row>
    <row r="771" customFormat="false" ht="15" hidden="false" customHeight="false" outlineLevel="0" collapsed="false">
      <c r="A771" s="6" t="s">
        <v>56</v>
      </c>
      <c r="B771" s="6" t="s">
        <v>43</v>
      </c>
      <c r="C771" s="6" t="s">
        <v>51</v>
      </c>
      <c r="D771" s="6" t="s">
        <v>118</v>
      </c>
      <c r="E771" s="6" t="n">
        <v>16</v>
      </c>
      <c r="F771" s="6" t="n">
        <v>10</v>
      </c>
      <c r="G771" s="6" t="s">
        <v>78</v>
      </c>
      <c r="H771" s="11" t="n">
        <v>0.05</v>
      </c>
      <c r="I771" s="6" t="n">
        <v>200</v>
      </c>
      <c r="J771" s="6" t="n">
        <v>6</v>
      </c>
      <c r="K771" s="6" t="n">
        <v>194</v>
      </c>
      <c r="L771" s="6" t="n">
        <v>6</v>
      </c>
      <c r="M771" s="6" t="n">
        <v>194</v>
      </c>
      <c r="N771" s="11" t="n">
        <f aca="false">J771/(J771+K771)</f>
        <v>0.03</v>
      </c>
      <c r="O771" s="11" t="n">
        <f aca="false">IF(J771+L771=0,"",J771/(J771+L771))</f>
        <v>0.5</v>
      </c>
      <c r="P771" s="11" t="n">
        <f aca="false">2*J771/(2*J771+L771+K771)</f>
        <v>0.0566037735849057</v>
      </c>
      <c r="Q771" s="11" t="n">
        <f aca="false">L771/(L771+M771)</f>
        <v>0.03</v>
      </c>
      <c r="R771" s="6" t="n">
        <v>0</v>
      </c>
      <c r="S771" s="11"/>
      <c r="T771" s="11" t="n">
        <v>0.03</v>
      </c>
      <c r="U771" s="11" t="n">
        <v>0.88</v>
      </c>
      <c r="V771" s="11" t="n">
        <v>0.88</v>
      </c>
    </row>
    <row r="772" customFormat="false" ht="15" hidden="false" customHeight="false" outlineLevel="0" collapsed="false">
      <c r="A772" s="6" t="s">
        <v>58</v>
      </c>
      <c r="B772" s="6" t="s">
        <v>59</v>
      </c>
      <c r="C772" s="6" t="s">
        <v>44</v>
      </c>
      <c r="D772" s="6" t="s">
        <v>114</v>
      </c>
      <c r="E772" s="6" t="n">
        <v>4</v>
      </c>
      <c r="F772" s="6" t="n">
        <v>1</v>
      </c>
      <c r="G772" s="6" t="s">
        <v>68</v>
      </c>
      <c r="H772" s="11" t="n">
        <v>0.05</v>
      </c>
      <c r="I772" s="6" t="n">
        <v>20</v>
      </c>
      <c r="J772" s="6" t="n">
        <v>1</v>
      </c>
      <c r="K772" s="6" t="n">
        <v>19</v>
      </c>
      <c r="L772" s="6" t="n">
        <v>1</v>
      </c>
      <c r="M772" s="6" t="n">
        <v>19</v>
      </c>
      <c r="N772" s="11" t="n">
        <f aca="false">J772/(J772+K772)</f>
        <v>0.05</v>
      </c>
      <c r="O772" s="11" t="n">
        <f aca="false">IF(J772+L772=0,"",J772/(J772+L772))</f>
        <v>0.5</v>
      </c>
      <c r="P772" s="11" t="n">
        <f aca="false">2*J772/(2*J772+L772+K772)</f>
        <v>0.0909090909090909</v>
      </c>
      <c r="Q772" s="11" t="n">
        <f aca="false">L772/(L772+M772)</f>
        <v>0.05</v>
      </c>
      <c r="R772" s="6" t="n">
        <v>0</v>
      </c>
      <c r="S772" s="11"/>
      <c r="T772" s="11" t="n">
        <v>0.05</v>
      </c>
      <c r="U772" s="11" t="n">
        <v>0.85</v>
      </c>
      <c r="V772" s="11" t="n">
        <v>0.85</v>
      </c>
    </row>
    <row r="773" customFormat="false" ht="15" hidden="false" customHeight="false" outlineLevel="0" collapsed="false">
      <c r="A773" s="6" t="s">
        <v>58</v>
      </c>
      <c r="B773" s="6" t="s">
        <v>59</v>
      </c>
      <c r="C773" s="6" t="s">
        <v>44</v>
      </c>
      <c r="D773" s="6" t="s">
        <v>114</v>
      </c>
      <c r="E773" s="6" t="n">
        <v>4</v>
      </c>
      <c r="F773" s="6" t="n">
        <v>1</v>
      </c>
      <c r="G773" s="6" t="s">
        <v>69</v>
      </c>
      <c r="H773" s="11" t="n">
        <v>0.05</v>
      </c>
      <c r="I773" s="6" t="n">
        <v>20</v>
      </c>
      <c r="J773" s="6" t="n">
        <v>1</v>
      </c>
      <c r="K773" s="6" t="n">
        <v>19</v>
      </c>
      <c r="L773" s="6" t="n">
        <v>1</v>
      </c>
      <c r="M773" s="6" t="n">
        <v>19</v>
      </c>
      <c r="N773" s="11" t="n">
        <f aca="false">J773/(J773+K773)</f>
        <v>0.05</v>
      </c>
      <c r="O773" s="11" t="n">
        <f aca="false">IF(J773+L773=0,"",J773/(J773+L773))</f>
        <v>0.5</v>
      </c>
      <c r="P773" s="11" t="n">
        <f aca="false">2*J773/(2*J773+L773+K773)</f>
        <v>0.0909090909090909</v>
      </c>
      <c r="Q773" s="11" t="n">
        <f aca="false">L773/(L773+M773)</f>
        <v>0.05</v>
      </c>
      <c r="R773" s="6" t="n">
        <v>0</v>
      </c>
      <c r="S773" s="11"/>
      <c r="T773" s="11" t="n">
        <v>0.05</v>
      </c>
      <c r="U773" s="11" t="n">
        <v>1</v>
      </c>
      <c r="V773" s="11" t="n">
        <v>1</v>
      </c>
    </row>
    <row r="774" customFormat="false" ht="15" hidden="false" customHeight="false" outlineLevel="0" collapsed="false">
      <c r="A774" s="6" t="s">
        <v>58</v>
      </c>
      <c r="B774" s="6" t="s">
        <v>59</v>
      </c>
      <c r="C774" s="6" t="s">
        <v>44</v>
      </c>
      <c r="D774" s="6" t="s">
        <v>114</v>
      </c>
      <c r="E774" s="6" t="n">
        <v>4</v>
      </c>
      <c r="F774" s="6" t="n">
        <v>1</v>
      </c>
      <c r="G774" s="6" t="s">
        <v>70</v>
      </c>
      <c r="H774" s="11" t="n">
        <v>0.05</v>
      </c>
      <c r="I774" s="6" t="n">
        <v>20</v>
      </c>
      <c r="J774" s="6" t="n">
        <v>0</v>
      </c>
      <c r="K774" s="6" t="n">
        <v>20</v>
      </c>
      <c r="L774" s="6" t="n">
        <v>0</v>
      </c>
      <c r="M774" s="6" t="n">
        <v>20</v>
      </c>
      <c r="N774" s="11" t="n">
        <f aca="false">J774/(J774+K774)</f>
        <v>0</v>
      </c>
      <c r="O774" s="11" t="str">
        <f aca="false">IF(J774+L774=0,"",J774/(J774+L774))</f>
        <v/>
      </c>
      <c r="P774" s="11" t="n">
        <f aca="false">2*J774/(2*J774+L774+K774)</f>
        <v>0</v>
      </c>
      <c r="Q774" s="11" t="n">
        <f aca="false">L774/(L774+M774)</f>
        <v>0</v>
      </c>
      <c r="R774" s="6" t="n">
        <v>0</v>
      </c>
      <c r="S774" s="11"/>
      <c r="T774" s="11" t="n">
        <v>0</v>
      </c>
      <c r="U774" s="11" t="n">
        <v>0.9</v>
      </c>
      <c r="V774" s="11" t="n">
        <v>0.9</v>
      </c>
    </row>
    <row r="775" customFormat="false" ht="15" hidden="false" customHeight="false" outlineLevel="0" collapsed="false">
      <c r="A775" s="6" t="s">
        <v>58</v>
      </c>
      <c r="B775" s="6" t="s">
        <v>59</v>
      </c>
      <c r="C775" s="6" t="s">
        <v>44</v>
      </c>
      <c r="D775" s="6" t="s">
        <v>114</v>
      </c>
      <c r="E775" s="6" t="n">
        <v>4</v>
      </c>
      <c r="F775" s="6" t="n">
        <v>1</v>
      </c>
      <c r="G775" s="6" t="s">
        <v>71</v>
      </c>
      <c r="H775" s="11" t="n">
        <v>0.05</v>
      </c>
      <c r="I775" s="6" t="n">
        <v>20</v>
      </c>
      <c r="J775" s="6" t="n">
        <v>0</v>
      </c>
      <c r="K775" s="6" t="n">
        <v>20</v>
      </c>
      <c r="L775" s="6" t="n">
        <v>0</v>
      </c>
      <c r="M775" s="6" t="n">
        <v>20</v>
      </c>
      <c r="N775" s="11" t="n">
        <f aca="false">J775/(J775+K775)</f>
        <v>0</v>
      </c>
      <c r="O775" s="11" t="str">
        <f aca="false">IF(J775+L775=0,"",J775/(J775+L775))</f>
        <v/>
      </c>
      <c r="P775" s="11" t="n">
        <f aca="false">2*J775/(2*J775+L775+K775)</f>
        <v>0</v>
      </c>
      <c r="Q775" s="11" t="n">
        <f aca="false">L775/(L775+M775)</f>
        <v>0</v>
      </c>
      <c r="R775" s="6" t="n">
        <v>0</v>
      </c>
      <c r="S775" s="11"/>
      <c r="T775" s="11" t="n">
        <v>0</v>
      </c>
      <c r="U775" s="11" t="n">
        <v>0.8</v>
      </c>
      <c r="V775" s="11" t="n">
        <v>0.8</v>
      </c>
    </row>
    <row r="776" customFormat="false" ht="15" hidden="false" customHeight="false" outlineLevel="0" collapsed="false">
      <c r="A776" s="6" t="s">
        <v>58</v>
      </c>
      <c r="B776" s="6" t="s">
        <v>59</v>
      </c>
      <c r="C776" s="6" t="s">
        <v>44</v>
      </c>
      <c r="D776" s="6" t="s">
        <v>114</v>
      </c>
      <c r="E776" s="6" t="n">
        <v>4</v>
      </c>
      <c r="F776" s="6" t="n">
        <v>1</v>
      </c>
      <c r="G776" s="6" t="s">
        <v>72</v>
      </c>
      <c r="H776" s="11" t="n">
        <v>0.05</v>
      </c>
      <c r="I776" s="6" t="n">
        <v>20</v>
      </c>
      <c r="J776" s="6" t="n">
        <v>0</v>
      </c>
      <c r="K776" s="6" t="n">
        <v>20</v>
      </c>
      <c r="L776" s="6" t="n">
        <v>0</v>
      </c>
      <c r="M776" s="6" t="n">
        <v>20</v>
      </c>
      <c r="N776" s="11" t="n">
        <f aca="false">J776/(J776+K776)</f>
        <v>0</v>
      </c>
      <c r="O776" s="11" t="str">
        <f aca="false">IF(J776+L776=0,"",J776/(J776+L776))</f>
        <v/>
      </c>
      <c r="P776" s="11" t="n">
        <f aca="false">2*J776/(2*J776+L776+K776)</f>
        <v>0</v>
      </c>
      <c r="Q776" s="11" t="n">
        <f aca="false">L776/(L776+M776)</f>
        <v>0</v>
      </c>
      <c r="R776" s="6" t="n">
        <v>0</v>
      </c>
      <c r="S776" s="11"/>
      <c r="T776" s="11" t="n">
        <v>0</v>
      </c>
      <c r="U776" s="11" t="n">
        <v>0.9</v>
      </c>
      <c r="V776" s="11" t="n">
        <v>0.9</v>
      </c>
    </row>
    <row r="777" customFormat="false" ht="15" hidden="false" customHeight="false" outlineLevel="0" collapsed="false">
      <c r="A777" s="6" t="s">
        <v>58</v>
      </c>
      <c r="B777" s="6" t="s">
        <v>59</v>
      </c>
      <c r="C777" s="6" t="s">
        <v>44</v>
      </c>
      <c r="D777" s="6" t="s">
        <v>114</v>
      </c>
      <c r="E777" s="6" t="n">
        <v>4</v>
      </c>
      <c r="F777" s="6" t="n">
        <v>1</v>
      </c>
      <c r="G777" s="6" t="s">
        <v>73</v>
      </c>
      <c r="H777" s="11" t="n">
        <v>0.05</v>
      </c>
      <c r="I777" s="6" t="n">
        <v>20</v>
      </c>
      <c r="J777" s="6" t="n">
        <v>0</v>
      </c>
      <c r="K777" s="6" t="n">
        <v>20</v>
      </c>
      <c r="L777" s="6" t="n">
        <v>0</v>
      </c>
      <c r="M777" s="6" t="n">
        <v>20</v>
      </c>
      <c r="N777" s="11" t="n">
        <f aca="false">J777/(J777+K777)</f>
        <v>0</v>
      </c>
      <c r="O777" s="11" t="str">
        <f aca="false">IF(J777+L777=0,"",J777/(J777+L777))</f>
        <v/>
      </c>
      <c r="P777" s="11" t="n">
        <f aca="false">2*J777/(2*J777+L777+K777)</f>
        <v>0</v>
      </c>
      <c r="Q777" s="11" t="n">
        <f aca="false">L777/(L777+M777)</f>
        <v>0</v>
      </c>
      <c r="R777" s="6" t="n">
        <v>1</v>
      </c>
      <c r="S777" s="11" t="n">
        <v>0</v>
      </c>
      <c r="T777" s="11" t="n">
        <v>0</v>
      </c>
      <c r="U777" s="11" t="n">
        <v>0.65</v>
      </c>
      <c r="V777" s="11" t="n">
        <v>0.65</v>
      </c>
    </row>
    <row r="778" customFormat="false" ht="15" hidden="false" customHeight="false" outlineLevel="0" collapsed="false">
      <c r="A778" s="6" t="s">
        <v>58</v>
      </c>
      <c r="B778" s="6" t="s">
        <v>59</v>
      </c>
      <c r="C778" s="6" t="s">
        <v>44</v>
      </c>
      <c r="D778" s="6" t="s">
        <v>114</v>
      </c>
      <c r="E778" s="6" t="n">
        <v>4</v>
      </c>
      <c r="F778" s="6" t="n">
        <v>1</v>
      </c>
      <c r="G778" s="6" t="s">
        <v>74</v>
      </c>
      <c r="H778" s="11" t="n">
        <v>0.05</v>
      </c>
      <c r="I778" s="6" t="n">
        <v>20</v>
      </c>
      <c r="J778" s="6" t="n">
        <v>1</v>
      </c>
      <c r="K778" s="6" t="n">
        <v>19</v>
      </c>
      <c r="L778" s="6" t="n">
        <v>1</v>
      </c>
      <c r="M778" s="6" t="n">
        <v>19</v>
      </c>
      <c r="N778" s="11" t="n">
        <f aca="false">J778/(J778+K778)</f>
        <v>0.05</v>
      </c>
      <c r="O778" s="11" t="n">
        <f aca="false">IF(J778+L778=0,"",J778/(J778+L778))</f>
        <v>0.5</v>
      </c>
      <c r="P778" s="11" t="n">
        <f aca="false">2*J778/(2*J778+L778+K778)</f>
        <v>0.0909090909090909</v>
      </c>
      <c r="Q778" s="11" t="n">
        <f aca="false">L778/(L778+M778)</f>
        <v>0.05</v>
      </c>
      <c r="R778" s="6" t="n">
        <v>0</v>
      </c>
      <c r="S778" s="11"/>
      <c r="T778" s="11" t="n">
        <v>0.05</v>
      </c>
      <c r="U778" s="11" t="n">
        <v>0.85</v>
      </c>
      <c r="V778" s="11" t="n">
        <v>0.85</v>
      </c>
    </row>
    <row r="779" customFormat="false" ht="15" hidden="false" customHeight="false" outlineLevel="0" collapsed="false">
      <c r="A779" s="6" t="s">
        <v>58</v>
      </c>
      <c r="B779" s="6" t="s">
        <v>59</v>
      </c>
      <c r="C779" s="6" t="s">
        <v>44</v>
      </c>
      <c r="D779" s="6" t="s">
        <v>114</v>
      </c>
      <c r="E779" s="6" t="n">
        <v>4</v>
      </c>
      <c r="F779" s="6" t="n">
        <v>1</v>
      </c>
      <c r="G779" s="6" t="s">
        <v>75</v>
      </c>
      <c r="H779" s="11" t="n">
        <v>0.05</v>
      </c>
      <c r="I779" s="6" t="n">
        <v>20</v>
      </c>
      <c r="J779" s="6" t="n">
        <v>0</v>
      </c>
      <c r="K779" s="6" t="n">
        <v>20</v>
      </c>
      <c r="L779" s="6" t="n">
        <v>0</v>
      </c>
      <c r="M779" s="6" t="n">
        <v>20</v>
      </c>
      <c r="N779" s="11" t="n">
        <f aca="false">J779/(J779+K779)</f>
        <v>0</v>
      </c>
      <c r="O779" s="11" t="str">
        <f aca="false">IF(J779+L779=0,"",J779/(J779+L779))</f>
        <v/>
      </c>
      <c r="P779" s="11" t="n">
        <f aca="false">2*J779/(2*J779+L779+K779)</f>
        <v>0</v>
      </c>
      <c r="Q779" s="11" t="n">
        <f aca="false">L779/(L779+M779)</f>
        <v>0</v>
      </c>
      <c r="R779" s="6" t="n">
        <v>0</v>
      </c>
      <c r="S779" s="11"/>
      <c r="T779" s="11" t="n">
        <v>0</v>
      </c>
      <c r="U779" s="11" t="n">
        <v>0.9</v>
      </c>
      <c r="V779" s="11" t="n">
        <v>0.9</v>
      </c>
    </row>
    <row r="780" customFormat="false" ht="15" hidden="false" customHeight="false" outlineLevel="0" collapsed="false">
      <c r="A780" s="6" t="s">
        <v>58</v>
      </c>
      <c r="B780" s="6" t="s">
        <v>59</v>
      </c>
      <c r="C780" s="6" t="s">
        <v>44</v>
      </c>
      <c r="D780" s="6" t="s">
        <v>114</v>
      </c>
      <c r="E780" s="6" t="n">
        <v>4</v>
      </c>
      <c r="F780" s="6" t="n">
        <v>1</v>
      </c>
      <c r="G780" s="6" t="s">
        <v>76</v>
      </c>
      <c r="H780" s="11" t="n">
        <v>0.05</v>
      </c>
      <c r="I780" s="6" t="n">
        <v>20</v>
      </c>
      <c r="J780" s="6" t="n">
        <v>0</v>
      </c>
      <c r="K780" s="6" t="n">
        <v>20</v>
      </c>
      <c r="L780" s="6" t="n">
        <v>0</v>
      </c>
      <c r="M780" s="6" t="n">
        <v>20</v>
      </c>
      <c r="N780" s="11" t="n">
        <f aca="false">J780/(J780+K780)</f>
        <v>0</v>
      </c>
      <c r="O780" s="11" t="str">
        <f aca="false">IF(J780+L780=0,"",J780/(J780+L780))</f>
        <v/>
      </c>
      <c r="P780" s="11" t="n">
        <f aca="false">2*J780/(2*J780+L780+K780)</f>
        <v>0</v>
      </c>
      <c r="Q780" s="11" t="n">
        <f aca="false">L780/(L780+M780)</f>
        <v>0</v>
      </c>
      <c r="R780" s="6" t="n">
        <v>0</v>
      </c>
      <c r="S780" s="11"/>
      <c r="T780" s="11" t="n">
        <v>0</v>
      </c>
      <c r="U780" s="11" t="n">
        <v>0.95</v>
      </c>
      <c r="V780" s="11" t="n">
        <v>0.95</v>
      </c>
    </row>
    <row r="781" customFormat="false" ht="15" hidden="false" customHeight="false" outlineLevel="0" collapsed="false">
      <c r="A781" s="6" t="s">
        <v>58</v>
      </c>
      <c r="B781" s="6" t="s">
        <v>59</v>
      </c>
      <c r="C781" s="6" t="s">
        <v>44</v>
      </c>
      <c r="D781" s="6" t="s">
        <v>114</v>
      </c>
      <c r="E781" s="6" t="n">
        <v>4</v>
      </c>
      <c r="F781" s="6" t="n">
        <v>1</v>
      </c>
      <c r="G781" s="6" t="s">
        <v>77</v>
      </c>
      <c r="H781" s="11" t="n">
        <v>0.05</v>
      </c>
      <c r="I781" s="6" t="n">
        <v>20</v>
      </c>
      <c r="J781" s="6" t="n">
        <v>1</v>
      </c>
      <c r="K781" s="6" t="n">
        <v>19</v>
      </c>
      <c r="L781" s="6" t="n">
        <v>1</v>
      </c>
      <c r="M781" s="6" t="n">
        <v>19</v>
      </c>
      <c r="N781" s="11" t="n">
        <f aca="false">J781/(J781+K781)</f>
        <v>0.05</v>
      </c>
      <c r="O781" s="11" t="n">
        <f aca="false">IF(J781+L781=0,"",J781/(J781+L781))</f>
        <v>0.5</v>
      </c>
      <c r="P781" s="11" t="n">
        <f aca="false">2*J781/(2*J781+L781+K781)</f>
        <v>0.0909090909090909</v>
      </c>
      <c r="Q781" s="11" t="n">
        <f aca="false">L781/(L781+M781)</f>
        <v>0.05</v>
      </c>
      <c r="R781" s="6" t="n">
        <v>0</v>
      </c>
      <c r="S781" s="11"/>
      <c r="T781" s="11" t="n">
        <v>0.05</v>
      </c>
      <c r="U781" s="11" t="n">
        <v>1</v>
      </c>
      <c r="V781" s="11" t="n">
        <v>1</v>
      </c>
    </row>
    <row r="782" customFormat="false" ht="15" hidden="false" customHeight="false" outlineLevel="0" collapsed="false">
      <c r="A782" s="6" t="s">
        <v>58</v>
      </c>
      <c r="B782" s="6" t="s">
        <v>59</v>
      </c>
      <c r="C782" s="6" t="s">
        <v>44</v>
      </c>
      <c r="D782" s="6" t="s">
        <v>114</v>
      </c>
      <c r="E782" s="6" t="n">
        <v>4</v>
      </c>
      <c r="F782" s="6" t="n">
        <v>1</v>
      </c>
      <c r="G782" s="6" t="s">
        <v>78</v>
      </c>
      <c r="H782" s="11" t="n">
        <v>0.05</v>
      </c>
      <c r="I782" s="6" t="n">
        <v>200</v>
      </c>
      <c r="J782" s="6" t="n">
        <v>4</v>
      </c>
      <c r="K782" s="6" t="n">
        <v>196</v>
      </c>
      <c r="L782" s="6" t="n">
        <v>4</v>
      </c>
      <c r="M782" s="6" t="n">
        <v>196</v>
      </c>
      <c r="N782" s="11" t="n">
        <f aca="false">J782/(J782+K782)</f>
        <v>0.02</v>
      </c>
      <c r="O782" s="11" t="n">
        <f aca="false">IF(J782+L782=0,"",J782/(J782+L782))</f>
        <v>0.5</v>
      </c>
      <c r="P782" s="11" t="n">
        <f aca="false">2*J782/(2*J782+L782+K782)</f>
        <v>0.0384615384615385</v>
      </c>
      <c r="Q782" s="11" t="n">
        <f aca="false">L782/(L782+M782)</f>
        <v>0.02</v>
      </c>
      <c r="R782" s="6" t="n">
        <v>1</v>
      </c>
      <c r="S782" s="11" t="n">
        <v>0</v>
      </c>
      <c r="T782" s="11" t="n">
        <v>0.0201005025125628</v>
      </c>
      <c r="U782" s="11" t="n">
        <v>0.88</v>
      </c>
      <c r="V782" s="11" t="n">
        <v>0.88</v>
      </c>
    </row>
    <row r="783" customFormat="false" ht="15" hidden="false" customHeight="false" outlineLevel="0" collapsed="false">
      <c r="A783" s="6" t="s">
        <v>58</v>
      </c>
      <c r="B783" s="6" t="s">
        <v>59</v>
      </c>
      <c r="C783" s="6" t="s">
        <v>44</v>
      </c>
      <c r="D783" s="6" t="s">
        <v>114</v>
      </c>
      <c r="E783" s="6" t="n">
        <v>4</v>
      </c>
      <c r="F783" s="6" t="n">
        <v>2</v>
      </c>
      <c r="G783" s="6" t="s">
        <v>68</v>
      </c>
      <c r="H783" s="11" t="n">
        <v>0.05</v>
      </c>
      <c r="I783" s="6" t="n">
        <v>20</v>
      </c>
      <c r="J783" s="6" t="n">
        <v>2</v>
      </c>
      <c r="K783" s="6" t="n">
        <v>18</v>
      </c>
      <c r="L783" s="6" t="n">
        <v>1</v>
      </c>
      <c r="M783" s="6" t="n">
        <v>19</v>
      </c>
      <c r="N783" s="11" t="n">
        <f aca="false">J783/(J783+K783)</f>
        <v>0.1</v>
      </c>
      <c r="O783" s="11" t="n">
        <f aca="false">IF(J783+L783=0,"",J783/(J783+L783))</f>
        <v>0.666666666666667</v>
      </c>
      <c r="P783" s="11" t="n">
        <f aca="false">2*J783/(2*J783+L783+K783)</f>
        <v>0.173913043478261</v>
      </c>
      <c r="Q783" s="11" t="n">
        <f aca="false">L783/(L783+M783)</f>
        <v>0.05</v>
      </c>
      <c r="R783" s="6" t="n">
        <v>0</v>
      </c>
      <c r="S783" s="11"/>
      <c r="T783" s="11" t="n">
        <v>0.1</v>
      </c>
      <c r="U783" s="11" t="n">
        <v>0.85</v>
      </c>
      <c r="V783" s="11" t="n">
        <v>0.85</v>
      </c>
    </row>
    <row r="784" customFormat="false" ht="15" hidden="false" customHeight="false" outlineLevel="0" collapsed="false">
      <c r="A784" s="6" t="s">
        <v>58</v>
      </c>
      <c r="B784" s="6" t="s">
        <v>59</v>
      </c>
      <c r="C784" s="6" t="s">
        <v>44</v>
      </c>
      <c r="D784" s="6" t="s">
        <v>114</v>
      </c>
      <c r="E784" s="6" t="n">
        <v>4</v>
      </c>
      <c r="F784" s="6" t="n">
        <v>2</v>
      </c>
      <c r="G784" s="6" t="s">
        <v>69</v>
      </c>
      <c r="H784" s="11" t="n">
        <v>0.05</v>
      </c>
      <c r="I784" s="6" t="n">
        <v>20</v>
      </c>
      <c r="J784" s="6" t="n">
        <v>1</v>
      </c>
      <c r="K784" s="6" t="n">
        <v>19</v>
      </c>
      <c r="L784" s="6" t="n">
        <v>1</v>
      </c>
      <c r="M784" s="6" t="n">
        <v>19</v>
      </c>
      <c r="N784" s="11" t="n">
        <f aca="false">J784/(J784+K784)</f>
        <v>0.05</v>
      </c>
      <c r="O784" s="11" t="n">
        <f aca="false">IF(J784+L784=0,"",J784/(J784+L784))</f>
        <v>0.5</v>
      </c>
      <c r="P784" s="11" t="n">
        <f aca="false">2*J784/(2*J784+L784+K784)</f>
        <v>0.0909090909090909</v>
      </c>
      <c r="Q784" s="11" t="n">
        <f aca="false">L784/(L784+M784)</f>
        <v>0.05</v>
      </c>
      <c r="R784" s="6" t="n">
        <v>0</v>
      </c>
      <c r="S784" s="11"/>
      <c r="T784" s="11" t="n">
        <v>0.05</v>
      </c>
      <c r="U784" s="11" t="n">
        <v>1</v>
      </c>
      <c r="V784" s="11" t="n">
        <v>1</v>
      </c>
    </row>
    <row r="785" customFormat="false" ht="15" hidden="false" customHeight="false" outlineLevel="0" collapsed="false">
      <c r="A785" s="6" t="s">
        <v>58</v>
      </c>
      <c r="B785" s="6" t="s">
        <v>59</v>
      </c>
      <c r="C785" s="6" t="s">
        <v>44</v>
      </c>
      <c r="D785" s="6" t="s">
        <v>114</v>
      </c>
      <c r="E785" s="6" t="n">
        <v>4</v>
      </c>
      <c r="F785" s="6" t="n">
        <v>2</v>
      </c>
      <c r="G785" s="6" t="s">
        <v>70</v>
      </c>
      <c r="H785" s="11" t="n">
        <v>0.05</v>
      </c>
      <c r="I785" s="6" t="n">
        <v>20</v>
      </c>
      <c r="J785" s="6" t="n">
        <v>1</v>
      </c>
      <c r="K785" s="6" t="n">
        <v>19</v>
      </c>
      <c r="L785" s="6" t="n">
        <v>0</v>
      </c>
      <c r="M785" s="6" t="n">
        <v>20</v>
      </c>
      <c r="N785" s="11" t="n">
        <f aca="false">J785/(J785+K785)</f>
        <v>0.05</v>
      </c>
      <c r="O785" s="11" t="n">
        <f aca="false">IF(J785+L785=0,"",J785/(J785+L785))</f>
        <v>1</v>
      </c>
      <c r="P785" s="11" t="n">
        <f aca="false">2*J785/(2*J785+L785+K785)</f>
        <v>0.0952380952380952</v>
      </c>
      <c r="Q785" s="11" t="n">
        <f aca="false">L785/(L785+M785)</f>
        <v>0</v>
      </c>
      <c r="R785" s="6" t="n">
        <v>0</v>
      </c>
      <c r="S785" s="11"/>
      <c r="T785" s="11" t="n">
        <v>0.05</v>
      </c>
      <c r="U785" s="11" t="n">
        <v>0.9</v>
      </c>
      <c r="V785" s="11" t="n">
        <v>0.9</v>
      </c>
    </row>
    <row r="786" customFormat="false" ht="15" hidden="false" customHeight="false" outlineLevel="0" collapsed="false">
      <c r="A786" s="6" t="s">
        <v>58</v>
      </c>
      <c r="B786" s="6" t="s">
        <v>59</v>
      </c>
      <c r="C786" s="6" t="s">
        <v>44</v>
      </c>
      <c r="D786" s="6" t="s">
        <v>114</v>
      </c>
      <c r="E786" s="6" t="n">
        <v>4</v>
      </c>
      <c r="F786" s="6" t="n">
        <v>2</v>
      </c>
      <c r="G786" s="6" t="s">
        <v>71</v>
      </c>
      <c r="H786" s="11" t="n">
        <v>0.05</v>
      </c>
      <c r="I786" s="6" t="n">
        <v>20</v>
      </c>
      <c r="J786" s="6" t="n">
        <v>0</v>
      </c>
      <c r="K786" s="6" t="n">
        <v>20</v>
      </c>
      <c r="L786" s="6" t="n">
        <v>0</v>
      </c>
      <c r="M786" s="6" t="n">
        <v>20</v>
      </c>
      <c r="N786" s="11" t="n">
        <f aca="false">J786/(J786+K786)</f>
        <v>0</v>
      </c>
      <c r="O786" s="11" t="str">
        <f aca="false">IF(J786+L786=0,"",J786/(J786+L786))</f>
        <v/>
      </c>
      <c r="P786" s="11" t="n">
        <f aca="false">2*J786/(2*J786+L786+K786)</f>
        <v>0</v>
      </c>
      <c r="Q786" s="11" t="n">
        <f aca="false">L786/(L786+M786)</f>
        <v>0</v>
      </c>
      <c r="R786" s="6" t="n">
        <v>0</v>
      </c>
      <c r="S786" s="11"/>
      <c r="T786" s="11" t="n">
        <v>0</v>
      </c>
      <c r="U786" s="11" t="n">
        <v>0.8</v>
      </c>
      <c r="V786" s="11" t="n">
        <v>0.8</v>
      </c>
    </row>
    <row r="787" customFormat="false" ht="15" hidden="false" customHeight="false" outlineLevel="0" collapsed="false">
      <c r="A787" s="6" t="s">
        <v>58</v>
      </c>
      <c r="B787" s="6" t="s">
        <v>59</v>
      </c>
      <c r="C787" s="6" t="s">
        <v>44</v>
      </c>
      <c r="D787" s="6" t="s">
        <v>114</v>
      </c>
      <c r="E787" s="6" t="n">
        <v>4</v>
      </c>
      <c r="F787" s="6" t="n">
        <v>2</v>
      </c>
      <c r="G787" s="6" t="s">
        <v>72</v>
      </c>
      <c r="H787" s="11" t="n">
        <v>0.05</v>
      </c>
      <c r="I787" s="6" t="n">
        <v>20</v>
      </c>
      <c r="J787" s="6" t="n">
        <v>0</v>
      </c>
      <c r="K787" s="6" t="n">
        <v>20</v>
      </c>
      <c r="L787" s="6" t="n">
        <v>0</v>
      </c>
      <c r="M787" s="6" t="n">
        <v>20</v>
      </c>
      <c r="N787" s="11" t="n">
        <f aca="false">J787/(J787+K787)</f>
        <v>0</v>
      </c>
      <c r="O787" s="11" t="str">
        <f aca="false">IF(J787+L787=0,"",J787/(J787+L787))</f>
        <v/>
      </c>
      <c r="P787" s="11" t="n">
        <f aca="false">2*J787/(2*J787+L787+K787)</f>
        <v>0</v>
      </c>
      <c r="Q787" s="11" t="n">
        <f aca="false">L787/(L787+M787)</f>
        <v>0</v>
      </c>
      <c r="R787" s="6" t="n">
        <v>1</v>
      </c>
      <c r="S787" s="11" t="n">
        <v>0</v>
      </c>
      <c r="T787" s="11" t="n">
        <v>0</v>
      </c>
      <c r="U787" s="11" t="n">
        <v>0.9</v>
      </c>
      <c r="V787" s="11" t="n">
        <v>0.9</v>
      </c>
    </row>
    <row r="788" customFormat="false" ht="15" hidden="false" customHeight="false" outlineLevel="0" collapsed="false">
      <c r="A788" s="6" t="s">
        <v>58</v>
      </c>
      <c r="B788" s="6" t="s">
        <v>59</v>
      </c>
      <c r="C788" s="6" t="s">
        <v>44</v>
      </c>
      <c r="D788" s="6" t="s">
        <v>114</v>
      </c>
      <c r="E788" s="6" t="n">
        <v>4</v>
      </c>
      <c r="F788" s="6" t="n">
        <v>2</v>
      </c>
      <c r="G788" s="6" t="s">
        <v>73</v>
      </c>
      <c r="H788" s="11" t="n">
        <v>0.05</v>
      </c>
      <c r="I788" s="6" t="n">
        <v>20</v>
      </c>
      <c r="J788" s="6" t="n">
        <v>0</v>
      </c>
      <c r="K788" s="6" t="n">
        <v>20</v>
      </c>
      <c r="L788" s="6" t="n">
        <v>0</v>
      </c>
      <c r="M788" s="6" t="n">
        <v>20</v>
      </c>
      <c r="N788" s="11" t="n">
        <f aca="false">J788/(J788+K788)</f>
        <v>0</v>
      </c>
      <c r="O788" s="11" t="str">
        <f aca="false">IF(J788+L788=0,"",J788/(J788+L788))</f>
        <v/>
      </c>
      <c r="P788" s="11" t="n">
        <f aca="false">2*J788/(2*J788+L788+K788)</f>
        <v>0</v>
      </c>
      <c r="Q788" s="11" t="n">
        <f aca="false">L788/(L788+M788)</f>
        <v>0</v>
      </c>
      <c r="R788" s="6" t="n">
        <v>1</v>
      </c>
      <c r="S788" s="11" t="n">
        <v>0</v>
      </c>
      <c r="T788" s="11" t="n">
        <v>0</v>
      </c>
      <c r="U788" s="11" t="n">
        <v>0.65</v>
      </c>
      <c r="V788" s="11" t="n">
        <v>0.65</v>
      </c>
    </row>
    <row r="789" customFormat="false" ht="15" hidden="false" customHeight="false" outlineLevel="0" collapsed="false">
      <c r="A789" s="6" t="s">
        <v>58</v>
      </c>
      <c r="B789" s="6" t="s">
        <v>59</v>
      </c>
      <c r="C789" s="6" t="s">
        <v>44</v>
      </c>
      <c r="D789" s="6" t="s">
        <v>114</v>
      </c>
      <c r="E789" s="6" t="n">
        <v>4</v>
      </c>
      <c r="F789" s="6" t="n">
        <v>2</v>
      </c>
      <c r="G789" s="6" t="s">
        <v>74</v>
      </c>
      <c r="H789" s="11" t="n">
        <v>0.05</v>
      </c>
      <c r="I789" s="6" t="n">
        <v>20</v>
      </c>
      <c r="J789" s="6" t="n">
        <v>1</v>
      </c>
      <c r="K789" s="6" t="n">
        <v>19</v>
      </c>
      <c r="L789" s="6" t="n">
        <v>1</v>
      </c>
      <c r="M789" s="6" t="n">
        <v>19</v>
      </c>
      <c r="N789" s="11" t="n">
        <f aca="false">J789/(J789+K789)</f>
        <v>0.05</v>
      </c>
      <c r="O789" s="11" t="n">
        <f aca="false">IF(J789+L789=0,"",J789/(J789+L789))</f>
        <v>0.5</v>
      </c>
      <c r="P789" s="11" t="n">
        <f aca="false">2*J789/(2*J789+L789+K789)</f>
        <v>0.0909090909090909</v>
      </c>
      <c r="Q789" s="11" t="n">
        <f aca="false">L789/(L789+M789)</f>
        <v>0.05</v>
      </c>
      <c r="R789" s="6" t="n">
        <v>2</v>
      </c>
      <c r="S789" s="11" t="n">
        <v>0</v>
      </c>
      <c r="T789" s="11" t="n">
        <v>0.0555555555555556</v>
      </c>
      <c r="U789" s="11" t="n">
        <v>0.85</v>
      </c>
      <c r="V789" s="11" t="n">
        <v>0.75</v>
      </c>
    </row>
    <row r="790" customFormat="false" ht="15" hidden="false" customHeight="false" outlineLevel="0" collapsed="false">
      <c r="A790" s="6" t="s">
        <v>58</v>
      </c>
      <c r="B790" s="6" t="s">
        <v>59</v>
      </c>
      <c r="C790" s="6" t="s">
        <v>44</v>
      </c>
      <c r="D790" s="6" t="s">
        <v>114</v>
      </c>
      <c r="E790" s="6" t="n">
        <v>4</v>
      </c>
      <c r="F790" s="6" t="n">
        <v>2</v>
      </c>
      <c r="G790" s="6" t="s">
        <v>75</v>
      </c>
      <c r="H790" s="11" t="n">
        <v>0.05</v>
      </c>
      <c r="I790" s="6" t="n">
        <v>20</v>
      </c>
      <c r="J790" s="6" t="n">
        <v>0</v>
      </c>
      <c r="K790" s="6" t="n">
        <v>20</v>
      </c>
      <c r="L790" s="6" t="n">
        <v>0</v>
      </c>
      <c r="M790" s="6" t="n">
        <v>20</v>
      </c>
      <c r="N790" s="11" t="n">
        <f aca="false">J790/(J790+K790)</f>
        <v>0</v>
      </c>
      <c r="O790" s="11" t="str">
        <f aca="false">IF(J790+L790=0,"",J790/(J790+L790))</f>
        <v/>
      </c>
      <c r="P790" s="11" t="n">
        <f aca="false">2*J790/(2*J790+L790+K790)</f>
        <v>0</v>
      </c>
      <c r="Q790" s="11" t="n">
        <f aca="false">L790/(L790+M790)</f>
        <v>0</v>
      </c>
      <c r="R790" s="6" t="n">
        <v>1</v>
      </c>
      <c r="S790" s="11" t="n">
        <v>0</v>
      </c>
      <c r="T790" s="11" t="n">
        <v>0</v>
      </c>
      <c r="U790" s="11" t="n">
        <v>0.9</v>
      </c>
      <c r="V790" s="11" t="n">
        <v>0.95</v>
      </c>
    </row>
    <row r="791" customFormat="false" ht="15" hidden="false" customHeight="false" outlineLevel="0" collapsed="false">
      <c r="A791" s="6" t="s">
        <v>58</v>
      </c>
      <c r="B791" s="6" t="s">
        <v>59</v>
      </c>
      <c r="C791" s="6" t="s">
        <v>44</v>
      </c>
      <c r="D791" s="6" t="s">
        <v>114</v>
      </c>
      <c r="E791" s="6" t="n">
        <v>4</v>
      </c>
      <c r="F791" s="6" t="n">
        <v>2</v>
      </c>
      <c r="G791" s="6" t="s">
        <v>76</v>
      </c>
      <c r="H791" s="11" t="n">
        <v>0.05</v>
      </c>
      <c r="I791" s="6" t="n">
        <v>20</v>
      </c>
      <c r="J791" s="6" t="n">
        <v>0</v>
      </c>
      <c r="K791" s="6" t="n">
        <v>20</v>
      </c>
      <c r="L791" s="6" t="n">
        <v>0</v>
      </c>
      <c r="M791" s="6" t="n">
        <v>20</v>
      </c>
      <c r="N791" s="11" t="n">
        <f aca="false">J791/(J791+K791)</f>
        <v>0</v>
      </c>
      <c r="O791" s="11" t="str">
        <f aca="false">IF(J791+L791=0,"",J791/(J791+L791))</f>
        <v/>
      </c>
      <c r="P791" s="11" t="n">
        <f aca="false">2*J791/(2*J791+L791+K791)</f>
        <v>0</v>
      </c>
      <c r="Q791" s="11" t="n">
        <f aca="false">L791/(L791+M791)</f>
        <v>0</v>
      </c>
      <c r="R791" s="6" t="n">
        <v>0</v>
      </c>
      <c r="S791" s="11"/>
      <c r="T791" s="11" t="n">
        <v>0</v>
      </c>
      <c r="U791" s="11" t="n">
        <v>0.95</v>
      </c>
      <c r="V791" s="11" t="n">
        <v>0.95</v>
      </c>
    </row>
    <row r="792" customFormat="false" ht="15" hidden="false" customHeight="false" outlineLevel="0" collapsed="false">
      <c r="A792" s="6" t="s">
        <v>58</v>
      </c>
      <c r="B792" s="6" t="s">
        <v>59</v>
      </c>
      <c r="C792" s="6" t="s">
        <v>44</v>
      </c>
      <c r="D792" s="6" t="s">
        <v>114</v>
      </c>
      <c r="E792" s="6" t="n">
        <v>4</v>
      </c>
      <c r="F792" s="6" t="n">
        <v>2</v>
      </c>
      <c r="G792" s="6" t="s">
        <v>77</v>
      </c>
      <c r="H792" s="11" t="n">
        <v>0.05</v>
      </c>
      <c r="I792" s="6" t="n">
        <v>20</v>
      </c>
      <c r="J792" s="6" t="n">
        <v>2</v>
      </c>
      <c r="K792" s="6" t="n">
        <v>18</v>
      </c>
      <c r="L792" s="6" t="n">
        <v>1</v>
      </c>
      <c r="M792" s="6" t="n">
        <v>19</v>
      </c>
      <c r="N792" s="11" t="n">
        <f aca="false">J792/(J792+K792)</f>
        <v>0.1</v>
      </c>
      <c r="O792" s="11" t="n">
        <f aca="false">IF(J792+L792=0,"",J792/(J792+L792))</f>
        <v>0.666666666666667</v>
      </c>
      <c r="P792" s="11" t="n">
        <f aca="false">2*J792/(2*J792+L792+K792)</f>
        <v>0.173913043478261</v>
      </c>
      <c r="Q792" s="11" t="n">
        <f aca="false">L792/(L792+M792)</f>
        <v>0.05</v>
      </c>
      <c r="R792" s="6" t="n">
        <v>0</v>
      </c>
      <c r="S792" s="11"/>
      <c r="T792" s="11" t="n">
        <v>0.1</v>
      </c>
      <c r="U792" s="11" t="n">
        <v>1</v>
      </c>
      <c r="V792" s="11" t="n">
        <v>1</v>
      </c>
    </row>
    <row r="793" customFormat="false" ht="15" hidden="false" customHeight="false" outlineLevel="0" collapsed="false">
      <c r="A793" s="6" t="s">
        <v>58</v>
      </c>
      <c r="B793" s="6" t="s">
        <v>59</v>
      </c>
      <c r="C793" s="6" t="s">
        <v>44</v>
      </c>
      <c r="D793" s="6" t="s">
        <v>114</v>
      </c>
      <c r="E793" s="6" t="n">
        <v>4</v>
      </c>
      <c r="F793" s="6" t="n">
        <v>2</v>
      </c>
      <c r="G793" s="6" t="s">
        <v>78</v>
      </c>
      <c r="H793" s="11" t="n">
        <v>0.05</v>
      </c>
      <c r="I793" s="6" t="n">
        <v>200</v>
      </c>
      <c r="J793" s="6" t="n">
        <v>7</v>
      </c>
      <c r="K793" s="6" t="n">
        <v>193</v>
      </c>
      <c r="L793" s="6" t="n">
        <v>4</v>
      </c>
      <c r="M793" s="6" t="n">
        <v>196</v>
      </c>
      <c r="N793" s="11" t="n">
        <f aca="false">J793/(J793+K793)</f>
        <v>0.035</v>
      </c>
      <c r="O793" s="11" t="n">
        <f aca="false">IF(J793+L793=0,"",J793/(J793+L793))</f>
        <v>0.636363636363636</v>
      </c>
      <c r="P793" s="11" t="n">
        <f aca="false">2*J793/(2*J793+L793+K793)</f>
        <v>0.0663507109004739</v>
      </c>
      <c r="Q793" s="11" t="n">
        <f aca="false">L793/(L793+M793)</f>
        <v>0.02</v>
      </c>
      <c r="R793" s="6" t="n">
        <v>5</v>
      </c>
      <c r="S793" s="11" t="n">
        <v>0</v>
      </c>
      <c r="T793" s="11" t="n">
        <v>0.0358974358974359</v>
      </c>
      <c r="U793" s="11" t="n">
        <v>0.88</v>
      </c>
      <c r="V793" s="11" t="n">
        <v>0.875</v>
      </c>
    </row>
    <row r="794" customFormat="false" ht="15" hidden="false" customHeight="false" outlineLevel="0" collapsed="false">
      <c r="A794" s="6" t="s">
        <v>58</v>
      </c>
      <c r="B794" s="6" t="s">
        <v>59</v>
      </c>
      <c r="C794" s="6" t="s">
        <v>44</v>
      </c>
      <c r="D794" s="6" t="s">
        <v>114</v>
      </c>
      <c r="E794" s="6" t="n">
        <v>4</v>
      </c>
      <c r="F794" s="6" t="n">
        <v>3</v>
      </c>
      <c r="G794" s="6" t="s">
        <v>68</v>
      </c>
      <c r="H794" s="11" t="n">
        <v>0.05</v>
      </c>
      <c r="I794" s="6" t="n">
        <v>20</v>
      </c>
      <c r="J794" s="6" t="n">
        <v>2</v>
      </c>
      <c r="K794" s="6" t="n">
        <v>18</v>
      </c>
      <c r="L794" s="6" t="n">
        <v>1</v>
      </c>
      <c r="M794" s="6" t="n">
        <v>19</v>
      </c>
      <c r="N794" s="11" t="n">
        <f aca="false">J794/(J794+K794)</f>
        <v>0.1</v>
      </c>
      <c r="O794" s="11" t="n">
        <f aca="false">IF(J794+L794=0,"",J794/(J794+L794))</f>
        <v>0.666666666666667</v>
      </c>
      <c r="P794" s="11" t="n">
        <f aca="false">2*J794/(2*J794+L794+K794)</f>
        <v>0.173913043478261</v>
      </c>
      <c r="Q794" s="11" t="n">
        <f aca="false">L794/(L794+M794)</f>
        <v>0.05</v>
      </c>
      <c r="R794" s="6" t="n">
        <v>0</v>
      </c>
      <c r="S794" s="11"/>
      <c r="T794" s="11" t="n">
        <v>0.1</v>
      </c>
      <c r="U794" s="11" t="n">
        <v>0.85</v>
      </c>
      <c r="V794" s="11" t="n">
        <v>0.85</v>
      </c>
    </row>
    <row r="795" customFormat="false" ht="15" hidden="false" customHeight="false" outlineLevel="0" collapsed="false">
      <c r="A795" s="6" t="s">
        <v>58</v>
      </c>
      <c r="B795" s="6" t="s">
        <v>59</v>
      </c>
      <c r="C795" s="6" t="s">
        <v>44</v>
      </c>
      <c r="D795" s="6" t="s">
        <v>114</v>
      </c>
      <c r="E795" s="6" t="n">
        <v>4</v>
      </c>
      <c r="F795" s="6" t="n">
        <v>3</v>
      </c>
      <c r="G795" s="6" t="s">
        <v>69</v>
      </c>
      <c r="H795" s="11" t="n">
        <v>0.05</v>
      </c>
      <c r="I795" s="6" t="n">
        <v>20</v>
      </c>
      <c r="J795" s="6" t="n">
        <v>2</v>
      </c>
      <c r="K795" s="6" t="n">
        <v>18</v>
      </c>
      <c r="L795" s="6" t="n">
        <v>1</v>
      </c>
      <c r="M795" s="6" t="n">
        <v>19</v>
      </c>
      <c r="N795" s="11" t="n">
        <f aca="false">J795/(J795+K795)</f>
        <v>0.1</v>
      </c>
      <c r="O795" s="11" t="n">
        <f aca="false">IF(J795+L795=0,"",J795/(J795+L795))</f>
        <v>0.666666666666667</v>
      </c>
      <c r="P795" s="11" t="n">
        <f aca="false">2*J795/(2*J795+L795+K795)</f>
        <v>0.173913043478261</v>
      </c>
      <c r="Q795" s="11" t="n">
        <f aca="false">L795/(L795+M795)</f>
        <v>0.05</v>
      </c>
      <c r="R795" s="6" t="n">
        <v>0</v>
      </c>
      <c r="S795" s="11"/>
      <c r="T795" s="11" t="n">
        <v>0.1</v>
      </c>
      <c r="U795" s="11" t="n">
        <v>1</v>
      </c>
      <c r="V795" s="11" t="n">
        <v>1</v>
      </c>
    </row>
    <row r="796" customFormat="false" ht="15" hidden="false" customHeight="false" outlineLevel="0" collapsed="false">
      <c r="A796" s="6" t="s">
        <v>58</v>
      </c>
      <c r="B796" s="6" t="s">
        <v>59</v>
      </c>
      <c r="C796" s="6" t="s">
        <v>44</v>
      </c>
      <c r="D796" s="6" t="s">
        <v>114</v>
      </c>
      <c r="E796" s="6" t="n">
        <v>4</v>
      </c>
      <c r="F796" s="6" t="n">
        <v>3</v>
      </c>
      <c r="G796" s="6" t="s">
        <v>70</v>
      </c>
      <c r="H796" s="11" t="n">
        <v>0.05</v>
      </c>
      <c r="I796" s="6" t="n">
        <v>20</v>
      </c>
      <c r="J796" s="6" t="n">
        <v>0</v>
      </c>
      <c r="K796" s="6" t="n">
        <v>20</v>
      </c>
      <c r="L796" s="6" t="n">
        <v>0</v>
      </c>
      <c r="M796" s="6" t="n">
        <v>20</v>
      </c>
      <c r="N796" s="11" t="n">
        <f aca="false">J796/(J796+K796)</f>
        <v>0</v>
      </c>
      <c r="O796" s="11" t="str">
        <f aca="false">IF(J796+L796=0,"",J796/(J796+L796))</f>
        <v/>
      </c>
      <c r="P796" s="11" t="n">
        <f aca="false">2*J796/(2*J796+L796+K796)</f>
        <v>0</v>
      </c>
      <c r="Q796" s="11" t="n">
        <f aca="false">L796/(L796+M796)</f>
        <v>0</v>
      </c>
      <c r="R796" s="6" t="n">
        <v>1</v>
      </c>
      <c r="S796" s="11" t="n">
        <v>0</v>
      </c>
      <c r="T796" s="11" t="n">
        <v>0</v>
      </c>
      <c r="U796" s="11" t="n">
        <v>0.9</v>
      </c>
      <c r="V796" s="11" t="n">
        <v>0.95</v>
      </c>
    </row>
    <row r="797" customFormat="false" ht="15" hidden="false" customHeight="false" outlineLevel="0" collapsed="false">
      <c r="A797" s="6" t="s">
        <v>58</v>
      </c>
      <c r="B797" s="6" t="s">
        <v>59</v>
      </c>
      <c r="C797" s="6" t="s">
        <v>44</v>
      </c>
      <c r="D797" s="6" t="s">
        <v>114</v>
      </c>
      <c r="E797" s="6" t="n">
        <v>4</v>
      </c>
      <c r="F797" s="6" t="n">
        <v>3</v>
      </c>
      <c r="G797" s="6" t="s">
        <v>71</v>
      </c>
      <c r="H797" s="11" t="n">
        <v>0.05</v>
      </c>
      <c r="I797" s="6" t="n">
        <v>20</v>
      </c>
      <c r="J797" s="6" t="n">
        <v>0</v>
      </c>
      <c r="K797" s="6" t="n">
        <v>20</v>
      </c>
      <c r="L797" s="6" t="n">
        <v>0</v>
      </c>
      <c r="M797" s="6" t="n">
        <v>20</v>
      </c>
      <c r="N797" s="11" t="n">
        <f aca="false">J797/(J797+K797)</f>
        <v>0</v>
      </c>
      <c r="O797" s="11" t="str">
        <f aca="false">IF(J797+L797=0,"",J797/(J797+L797))</f>
        <v/>
      </c>
      <c r="P797" s="11" t="n">
        <f aca="false">2*J797/(2*J797+L797+K797)</f>
        <v>0</v>
      </c>
      <c r="Q797" s="11" t="n">
        <f aca="false">L797/(L797+M797)</f>
        <v>0</v>
      </c>
      <c r="R797" s="6" t="n">
        <v>0</v>
      </c>
      <c r="S797" s="11"/>
      <c r="T797" s="11" t="n">
        <v>0</v>
      </c>
      <c r="U797" s="11" t="n">
        <v>0.8</v>
      </c>
      <c r="V797" s="11" t="n">
        <v>0.8</v>
      </c>
    </row>
    <row r="798" customFormat="false" ht="15" hidden="false" customHeight="false" outlineLevel="0" collapsed="false">
      <c r="A798" s="6" t="s">
        <v>58</v>
      </c>
      <c r="B798" s="6" t="s">
        <v>59</v>
      </c>
      <c r="C798" s="6" t="s">
        <v>44</v>
      </c>
      <c r="D798" s="6" t="s">
        <v>114</v>
      </c>
      <c r="E798" s="6" t="n">
        <v>4</v>
      </c>
      <c r="F798" s="6" t="n">
        <v>3</v>
      </c>
      <c r="G798" s="6" t="s">
        <v>72</v>
      </c>
      <c r="H798" s="11" t="n">
        <v>0.05</v>
      </c>
      <c r="I798" s="6" t="n">
        <v>20</v>
      </c>
      <c r="J798" s="6" t="n">
        <v>0</v>
      </c>
      <c r="K798" s="6" t="n">
        <v>20</v>
      </c>
      <c r="L798" s="6" t="n">
        <v>0</v>
      </c>
      <c r="M798" s="6" t="n">
        <v>20</v>
      </c>
      <c r="N798" s="11" t="n">
        <f aca="false">J798/(J798+K798)</f>
        <v>0</v>
      </c>
      <c r="O798" s="11" t="str">
        <f aca="false">IF(J798+L798=0,"",J798/(J798+L798))</f>
        <v/>
      </c>
      <c r="P798" s="11" t="n">
        <f aca="false">2*J798/(2*J798+L798+K798)</f>
        <v>0</v>
      </c>
      <c r="Q798" s="11" t="n">
        <f aca="false">L798/(L798+M798)</f>
        <v>0</v>
      </c>
      <c r="R798" s="6" t="n">
        <v>0</v>
      </c>
      <c r="S798" s="11"/>
      <c r="T798" s="11" t="n">
        <v>0</v>
      </c>
      <c r="U798" s="11" t="n">
        <v>0.9</v>
      </c>
      <c r="V798" s="11" t="n">
        <v>0.9</v>
      </c>
    </row>
    <row r="799" customFormat="false" ht="15" hidden="false" customHeight="false" outlineLevel="0" collapsed="false">
      <c r="A799" s="6" t="s">
        <v>58</v>
      </c>
      <c r="B799" s="6" t="s">
        <v>59</v>
      </c>
      <c r="C799" s="6" t="s">
        <v>44</v>
      </c>
      <c r="D799" s="6" t="s">
        <v>114</v>
      </c>
      <c r="E799" s="6" t="n">
        <v>4</v>
      </c>
      <c r="F799" s="6" t="n">
        <v>3</v>
      </c>
      <c r="G799" s="6" t="s">
        <v>73</v>
      </c>
      <c r="H799" s="11" t="n">
        <v>0.05</v>
      </c>
      <c r="I799" s="6" t="n">
        <v>20</v>
      </c>
      <c r="J799" s="6" t="n">
        <v>0</v>
      </c>
      <c r="K799" s="6" t="n">
        <v>20</v>
      </c>
      <c r="L799" s="6" t="n">
        <v>0</v>
      </c>
      <c r="M799" s="6" t="n">
        <v>20</v>
      </c>
      <c r="N799" s="11" t="n">
        <f aca="false">J799/(J799+K799)</f>
        <v>0</v>
      </c>
      <c r="O799" s="11" t="str">
        <f aca="false">IF(J799+L799=0,"",J799/(J799+L799))</f>
        <v/>
      </c>
      <c r="P799" s="11" t="n">
        <f aca="false">2*J799/(2*J799+L799+K799)</f>
        <v>0</v>
      </c>
      <c r="Q799" s="11" t="n">
        <f aca="false">L799/(L799+M799)</f>
        <v>0</v>
      </c>
      <c r="R799" s="6" t="n">
        <v>1</v>
      </c>
      <c r="S799" s="11" t="n">
        <v>0</v>
      </c>
      <c r="T799" s="11" t="n">
        <v>0</v>
      </c>
      <c r="U799" s="11" t="n">
        <v>0.65</v>
      </c>
      <c r="V799" s="11" t="n">
        <v>0.65</v>
      </c>
    </row>
    <row r="800" customFormat="false" ht="15" hidden="false" customHeight="false" outlineLevel="0" collapsed="false">
      <c r="A800" s="6" t="s">
        <v>58</v>
      </c>
      <c r="B800" s="6" t="s">
        <v>59</v>
      </c>
      <c r="C800" s="6" t="s">
        <v>44</v>
      </c>
      <c r="D800" s="6" t="s">
        <v>114</v>
      </c>
      <c r="E800" s="6" t="n">
        <v>4</v>
      </c>
      <c r="F800" s="6" t="n">
        <v>3</v>
      </c>
      <c r="G800" s="6" t="s">
        <v>74</v>
      </c>
      <c r="H800" s="11" t="n">
        <v>0.05</v>
      </c>
      <c r="I800" s="6" t="n">
        <v>20</v>
      </c>
      <c r="J800" s="6" t="n">
        <v>1</v>
      </c>
      <c r="K800" s="6" t="n">
        <v>19</v>
      </c>
      <c r="L800" s="6" t="n">
        <v>1</v>
      </c>
      <c r="M800" s="6" t="n">
        <v>19</v>
      </c>
      <c r="N800" s="11" t="n">
        <f aca="false">J800/(J800+K800)</f>
        <v>0.05</v>
      </c>
      <c r="O800" s="11" t="n">
        <f aca="false">IF(J800+L800=0,"",J800/(J800+L800))</f>
        <v>0.5</v>
      </c>
      <c r="P800" s="11" t="n">
        <f aca="false">2*J800/(2*J800+L800+K800)</f>
        <v>0.0909090909090909</v>
      </c>
      <c r="Q800" s="11" t="n">
        <f aca="false">L800/(L800+M800)</f>
        <v>0.05</v>
      </c>
      <c r="R800" s="6" t="n">
        <v>3</v>
      </c>
      <c r="S800" s="11" t="n">
        <v>0.333333333333333</v>
      </c>
      <c r="T800" s="11" t="n">
        <v>0</v>
      </c>
      <c r="U800" s="11" t="n">
        <v>0.85</v>
      </c>
      <c r="V800" s="11" t="n">
        <v>0.7</v>
      </c>
    </row>
    <row r="801" customFormat="false" ht="15" hidden="false" customHeight="false" outlineLevel="0" collapsed="false">
      <c r="A801" s="6" t="s">
        <v>58</v>
      </c>
      <c r="B801" s="6" t="s">
        <v>59</v>
      </c>
      <c r="C801" s="6" t="s">
        <v>44</v>
      </c>
      <c r="D801" s="6" t="s">
        <v>114</v>
      </c>
      <c r="E801" s="6" t="n">
        <v>4</v>
      </c>
      <c r="F801" s="6" t="n">
        <v>3</v>
      </c>
      <c r="G801" s="6" t="s">
        <v>75</v>
      </c>
      <c r="H801" s="11" t="n">
        <v>0.05</v>
      </c>
      <c r="I801" s="6" t="n">
        <v>20</v>
      </c>
      <c r="J801" s="6" t="n">
        <v>0</v>
      </c>
      <c r="K801" s="6" t="n">
        <v>20</v>
      </c>
      <c r="L801" s="6" t="n">
        <v>0</v>
      </c>
      <c r="M801" s="6" t="n">
        <v>20</v>
      </c>
      <c r="N801" s="11" t="n">
        <f aca="false">J801/(J801+K801)</f>
        <v>0</v>
      </c>
      <c r="O801" s="11" t="str">
        <f aca="false">IF(J801+L801=0,"",J801/(J801+L801))</f>
        <v/>
      </c>
      <c r="P801" s="11" t="n">
        <f aca="false">2*J801/(2*J801+L801+K801)</f>
        <v>0</v>
      </c>
      <c r="Q801" s="11" t="n">
        <f aca="false">L801/(L801+M801)</f>
        <v>0</v>
      </c>
      <c r="R801" s="6" t="n">
        <v>1</v>
      </c>
      <c r="S801" s="11" t="n">
        <v>0</v>
      </c>
      <c r="T801" s="11" t="n">
        <v>0</v>
      </c>
      <c r="U801" s="11" t="n">
        <v>0.9</v>
      </c>
      <c r="V801" s="11" t="n">
        <v>0.95</v>
      </c>
    </row>
    <row r="802" customFormat="false" ht="15" hidden="false" customHeight="false" outlineLevel="0" collapsed="false">
      <c r="A802" s="6" t="s">
        <v>58</v>
      </c>
      <c r="B802" s="6" t="s">
        <v>59</v>
      </c>
      <c r="C802" s="6" t="s">
        <v>44</v>
      </c>
      <c r="D802" s="6" t="s">
        <v>114</v>
      </c>
      <c r="E802" s="6" t="n">
        <v>4</v>
      </c>
      <c r="F802" s="6" t="n">
        <v>3</v>
      </c>
      <c r="G802" s="6" t="s">
        <v>76</v>
      </c>
      <c r="H802" s="11" t="n">
        <v>0.05</v>
      </c>
      <c r="I802" s="6" t="n">
        <v>20</v>
      </c>
      <c r="J802" s="6" t="n">
        <v>0</v>
      </c>
      <c r="K802" s="6" t="n">
        <v>20</v>
      </c>
      <c r="L802" s="6" t="n">
        <v>0</v>
      </c>
      <c r="M802" s="6" t="n">
        <v>20</v>
      </c>
      <c r="N802" s="11" t="n">
        <f aca="false">J802/(J802+K802)</f>
        <v>0</v>
      </c>
      <c r="O802" s="11" t="str">
        <f aca="false">IF(J802+L802=0,"",J802/(J802+L802))</f>
        <v/>
      </c>
      <c r="P802" s="11" t="n">
        <f aca="false">2*J802/(2*J802+L802+K802)</f>
        <v>0</v>
      </c>
      <c r="Q802" s="11" t="n">
        <f aca="false">L802/(L802+M802)</f>
        <v>0</v>
      </c>
      <c r="R802" s="6" t="n">
        <v>0</v>
      </c>
      <c r="S802" s="11"/>
      <c r="T802" s="11" t="n">
        <v>0</v>
      </c>
      <c r="U802" s="11" t="n">
        <v>0.95</v>
      </c>
      <c r="V802" s="11" t="n">
        <v>0.95</v>
      </c>
    </row>
    <row r="803" customFormat="false" ht="15" hidden="false" customHeight="false" outlineLevel="0" collapsed="false">
      <c r="A803" s="6" t="s">
        <v>58</v>
      </c>
      <c r="B803" s="6" t="s">
        <v>59</v>
      </c>
      <c r="C803" s="6" t="s">
        <v>44</v>
      </c>
      <c r="D803" s="6" t="s">
        <v>114</v>
      </c>
      <c r="E803" s="6" t="n">
        <v>4</v>
      </c>
      <c r="F803" s="6" t="n">
        <v>3</v>
      </c>
      <c r="G803" s="6" t="s">
        <v>77</v>
      </c>
      <c r="H803" s="11" t="n">
        <v>0.05</v>
      </c>
      <c r="I803" s="6" t="n">
        <v>20</v>
      </c>
      <c r="J803" s="6" t="n">
        <v>1</v>
      </c>
      <c r="K803" s="6" t="n">
        <v>19</v>
      </c>
      <c r="L803" s="6" t="n">
        <v>1</v>
      </c>
      <c r="M803" s="6" t="n">
        <v>19</v>
      </c>
      <c r="N803" s="11" t="n">
        <f aca="false">J803/(J803+K803)</f>
        <v>0.05</v>
      </c>
      <c r="O803" s="11" t="n">
        <f aca="false">IF(J803+L803=0,"",J803/(J803+L803))</f>
        <v>0.5</v>
      </c>
      <c r="P803" s="11" t="n">
        <f aca="false">2*J803/(2*J803+L803+K803)</f>
        <v>0.0909090909090909</v>
      </c>
      <c r="Q803" s="11" t="n">
        <f aca="false">L803/(L803+M803)</f>
        <v>0.05</v>
      </c>
      <c r="R803" s="6" t="n">
        <v>0</v>
      </c>
      <c r="S803" s="11"/>
      <c r="T803" s="11" t="n">
        <v>0.05</v>
      </c>
      <c r="U803" s="11" t="n">
        <v>1</v>
      </c>
      <c r="V803" s="11" t="n">
        <v>1</v>
      </c>
    </row>
    <row r="804" customFormat="false" ht="15" hidden="false" customHeight="false" outlineLevel="0" collapsed="false">
      <c r="A804" s="6" t="s">
        <v>58</v>
      </c>
      <c r="B804" s="6" t="s">
        <v>59</v>
      </c>
      <c r="C804" s="6" t="s">
        <v>44</v>
      </c>
      <c r="D804" s="6" t="s">
        <v>114</v>
      </c>
      <c r="E804" s="6" t="n">
        <v>4</v>
      </c>
      <c r="F804" s="6" t="n">
        <v>3</v>
      </c>
      <c r="G804" s="6" t="s">
        <v>78</v>
      </c>
      <c r="H804" s="11" t="n">
        <v>0.05</v>
      </c>
      <c r="I804" s="6" t="n">
        <v>200</v>
      </c>
      <c r="J804" s="6" t="n">
        <v>6</v>
      </c>
      <c r="K804" s="6" t="n">
        <v>194</v>
      </c>
      <c r="L804" s="6" t="n">
        <v>4</v>
      </c>
      <c r="M804" s="6" t="n">
        <v>196</v>
      </c>
      <c r="N804" s="11" t="n">
        <f aca="false">J804/(J804+K804)</f>
        <v>0.03</v>
      </c>
      <c r="O804" s="11" t="n">
        <f aca="false">IF(J804+L804=0,"",J804/(J804+L804))</f>
        <v>0.6</v>
      </c>
      <c r="P804" s="11" t="n">
        <f aca="false">2*J804/(2*J804+L804+K804)</f>
        <v>0.0571428571428571</v>
      </c>
      <c r="Q804" s="11" t="n">
        <f aca="false">L804/(L804+M804)</f>
        <v>0.02</v>
      </c>
      <c r="R804" s="6" t="n">
        <v>6</v>
      </c>
      <c r="S804" s="11" t="n">
        <v>0.166666666666667</v>
      </c>
      <c r="T804" s="11" t="n">
        <v>0.0257731958762887</v>
      </c>
      <c r="U804" s="11" t="n">
        <v>0.88</v>
      </c>
      <c r="V804" s="11" t="n">
        <v>0.875</v>
      </c>
    </row>
    <row r="805" customFormat="false" ht="15" hidden="false" customHeight="false" outlineLevel="0" collapsed="false">
      <c r="A805" s="6" t="s">
        <v>58</v>
      </c>
      <c r="B805" s="6" t="s">
        <v>59</v>
      </c>
      <c r="C805" s="6" t="s">
        <v>44</v>
      </c>
      <c r="D805" s="6" t="s">
        <v>114</v>
      </c>
      <c r="E805" s="6" t="n">
        <v>4</v>
      </c>
      <c r="F805" s="6" t="n">
        <v>4</v>
      </c>
      <c r="G805" s="6" t="s">
        <v>68</v>
      </c>
      <c r="H805" s="11" t="n">
        <v>0.05</v>
      </c>
      <c r="I805" s="6" t="n">
        <v>20</v>
      </c>
      <c r="J805" s="6" t="n">
        <v>1</v>
      </c>
      <c r="K805" s="6" t="n">
        <v>19</v>
      </c>
      <c r="L805" s="6" t="n">
        <v>1</v>
      </c>
      <c r="M805" s="6" t="n">
        <v>19</v>
      </c>
      <c r="N805" s="11" t="n">
        <f aca="false">J805/(J805+K805)</f>
        <v>0.05</v>
      </c>
      <c r="O805" s="11" t="n">
        <f aca="false">IF(J805+L805=0,"",J805/(J805+L805))</f>
        <v>0.5</v>
      </c>
      <c r="P805" s="11" t="n">
        <f aca="false">2*J805/(2*J805+L805+K805)</f>
        <v>0.0909090909090909</v>
      </c>
      <c r="Q805" s="11" t="n">
        <f aca="false">L805/(L805+M805)</f>
        <v>0.05</v>
      </c>
      <c r="R805" s="6" t="n">
        <v>1</v>
      </c>
      <c r="S805" s="11" t="n">
        <v>0</v>
      </c>
      <c r="T805" s="11" t="n">
        <v>0.0526315789473684</v>
      </c>
      <c r="U805" s="11" t="n">
        <v>0.85</v>
      </c>
      <c r="V805" s="11" t="n">
        <v>0.85</v>
      </c>
    </row>
    <row r="806" customFormat="false" ht="15" hidden="false" customHeight="false" outlineLevel="0" collapsed="false">
      <c r="A806" s="6" t="s">
        <v>58</v>
      </c>
      <c r="B806" s="6" t="s">
        <v>59</v>
      </c>
      <c r="C806" s="6" t="s">
        <v>44</v>
      </c>
      <c r="D806" s="6" t="s">
        <v>114</v>
      </c>
      <c r="E806" s="6" t="n">
        <v>4</v>
      </c>
      <c r="F806" s="6" t="n">
        <v>4</v>
      </c>
      <c r="G806" s="6" t="s">
        <v>69</v>
      </c>
      <c r="H806" s="11" t="n">
        <v>0.05</v>
      </c>
      <c r="I806" s="6" t="n">
        <v>20</v>
      </c>
      <c r="J806" s="6" t="n">
        <v>2</v>
      </c>
      <c r="K806" s="6" t="n">
        <v>18</v>
      </c>
      <c r="L806" s="6" t="n">
        <v>1</v>
      </c>
      <c r="M806" s="6" t="n">
        <v>19</v>
      </c>
      <c r="N806" s="11" t="n">
        <f aca="false">J806/(J806+K806)</f>
        <v>0.1</v>
      </c>
      <c r="O806" s="11" t="n">
        <f aca="false">IF(J806+L806=0,"",J806/(J806+L806))</f>
        <v>0.666666666666667</v>
      </c>
      <c r="P806" s="11" t="n">
        <f aca="false">2*J806/(2*J806+L806+K806)</f>
        <v>0.173913043478261</v>
      </c>
      <c r="Q806" s="11" t="n">
        <f aca="false">L806/(L806+M806)</f>
        <v>0.05</v>
      </c>
      <c r="R806" s="6" t="n">
        <v>0</v>
      </c>
      <c r="S806" s="11"/>
      <c r="T806" s="11" t="n">
        <v>0.1</v>
      </c>
      <c r="U806" s="11" t="n">
        <v>1</v>
      </c>
      <c r="V806" s="11" t="n">
        <v>1</v>
      </c>
    </row>
    <row r="807" customFormat="false" ht="15" hidden="false" customHeight="false" outlineLevel="0" collapsed="false">
      <c r="A807" s="6" t="s">
        <v>58</v>
      </c>
      <c r="B807" s="6" t="s">
        <v>59</v>
      </c>
      <c r="C807" s="6" t="s">
        <v>44</v>
      </c>
      <c r="D807" s="6" t="s">
        <v>114</v>
      </c>
      <c r="E807" s="6" t="n">
        <v>4</v>
      </c>
      <c r="F807" s="6" t="n">
        <v>4</v>
      </c>
      <c r="G807" s="6" t="s">
        <v>70</v>
      </c>
      <c r="H807" s="11" t="n">
        <v>0.05</v>
      </c>
      <c r="I807" s="6" t="n">
        <v>20</v>
      </c>
      <c r="J807" s="6" t="n">
        <v>1</v>
      </c>
      <c r="K807" s="6" t="n">
        <v>19</v>
      </c>
      <c r="L807" s="6" t="n">
        <v>0</v>
      </c>
      <c r="M807" s="6" t="n">
        <v>20</v>
      </c>
      <c r="N807" s="11" t="n">
        <f aca="false">J807/(J807+K807)</f>
        <v>0.05</v>
      </c>
      <c r="O807" s="11" t="n">
        <f aca="false">IF(J807+L807=0,"",J807/(J807+L807))</f>
        <v>1</v>
      </c>
      <c r="P807" s="11" t="n">
        <f aca="false">2*J807/(2*J807+L807+K807)</f>
        <v>0.0952380952380952</v>
      </c>
      <c r="Q807" s="11" t="n">
        <f aca="false">L807/(L807+M807)</f>
        <v>0</v>
      </c>
      <c r="R807" s="6" t="n">
        <v>2</v>
      </c>
      <c r="S807" s="11" t="n">
        <v>0</v>
      </c>
      <c r="T807" s="11" t="n">
        <v>0.0555555555555556</v>
      </c>
      <c r="U807" s="11" t="n">
        <v>0.9</v>
      </c>
      <c r="V807" s="11" t="n">
        <v>0.95</v>
      </c>
    </row>
    <row r="808" customFormat="false" ht="15" hidden="false" customHeight="false" outlineLevel="0" collapsed="false">
      <c r="A808" s="6" t="s">
        <v>58</v>
      </c>
      <c r="B808" s="6" t="s">
        <v>59</v>
      </c>
      <c r="C808" s="6" t="s">
        <v>44</v>
      </c>
      <c r="D808" s="6" t="s">
        <v>114</v>
      </c>
      <c r="E808" s="6" t="n">
        <v>4</v>
      </c>
      <c r="F808" s="6" t="n">
        <v>4</v>
      </c>
      <c r="G808" s="6" t="s">
        <v>71</v>
      </c>
      <c r="H808" s="11" t="n">
        <v>0.05</v>
      </c>
      <c r="I808" s="6" t="n">
        <v>20</v>
      </c>
      <c r="J808" s="6" t="n">
        <v>2</v>
      </c>
      <c r="K808" s="6" t="n">
        <v>18</v>
      </c>
      <c r="L808" s="6" t="n">
        <v>0</v>
      </c>
      <c r="M808" s="6" t="n">
        <v>20</v>
      </c>
      <c r="N808" s="11" t="n">
        <f aca="false">J808/(J808+K808)</f>
        <v>0.1</v>
      </c>
      <c r="O808" s="11" t="n">
        <f aca="false">IF(J808+L808=0,"",J808/(J808+L808))</f>
        <v>1</v>
      </c>
      <c r="P808" s="11" t="n">
        <f aca="false">2*J808/(2*J808+L808+K808)</f>
        <v>0.181818181818182</v>
      </c>
      <c r="Q808" s="11" t="n">
        <f aca="false">L808/(L808+M808)</f>
        <v>0</v>
      </c>
      <c r="R808" s="6" t="n">
        <v>2</v>
      </c>
      <c r="S808" s="11" t="n">
        <v>0</v>
      </c>
      <c r="T808" s="11" t="n">
        <v>0.111111111111111</v>
      </c>
      <c r="U808" s="11" t="n">
        <v>0.8</v>
      </c>
      <c r="V808" s="11" t="n">
        <v>0.9</v>
      </c>
    </row>
    <row r="809" customFormat="false" ht="15" hidden="false" customHeight="false" outlineLevel="0" collapsed="false">
      <c r="A809" s="6" t="s">
        <v>58</v>
      </c>
      <c r="B809" s="6" t="s">
        <v>59</v>
      </c>
      <c r="C809" s="6" t="s">
        <v>44</v>
      </c>
      <c r="D809" s="6" t="s">
        <v>114</v>
      </c>
      <c r="E809" s="6" t="n">
        <v>4</v>
      </c>
      <c r="F809" s="6" t="n">
        <v>4</v>
      </c>
      <c r="G809" s="6" t="s">
        <v>72</v>
      </c>
      <c r="H809" s="11" t="n">
        <v>0.05</v>
      </c>
      <c r="I809" s="6" t="n">
        <v>20</v>
      </c>
      <c r="J809" s="6" t="n">
        <v>0</v>
      </c>
      <c r="K809" s="6" t="n">
        <v>20</v>
      </c>
      <c r="L809" s="6" t="n">
        <v>0</v>
      </c>
      <c r="M809" s="6" t="n">
        <v>20</v>
      </c>
      <c r="N809" s="11" t="n">
        <f aca="false">J809/(J809+K809)</f>
        <v>0</v>
      </c>
      <c r="O809" s="11" t="str">
        <f aca="false">IF(J809+L809=0,"",J809/(J809+L809))</f>
        <v/>
      </c>
      <c r="P809" s="11" t="n">
        <f aca="false">2*J809/(2*J809+L809+K809)</f>
        <v>0</v>
      </c>
      <c r="Q809" s="11" t="n">
        <f aca="false">L809/(L809+M809)</f>
        <v>0</v>
      </c>
      <c r="R809" s="6" t="n">
        <v>3</v>
      </c>
      <c r="S809" s="11" t="n">
        <v>0</v>
      </c>
      <c r="T809" s="11" t="n">
        <v>0</v>
      </c>
      <c r="U809" s="11" t="n">
        <v>0.9</v>
      </c>
      <c r="V809" s="11" t="n">
        <v>0.75</v>
      </c>
    </row>
    <row r="810" customFormat="false" ht="15" hidden="false" customHeight="false" outlineLevel="0" collapsed="false">
      <c r="A810" s="6" t="s">
        <v>58</v>
      </c>
      <c r="B810" s="6" t="s">
        <v>59</v>
      </c>
      <c r="C810" s="6" t="s">
        <v>44</v>
      </c>
      <c r="D810" s="6" t="s">
        <v>114</v>
      </c>
      <c r="E810" s="6" t="n">
        <v>4</v>
      </c>
      <c r="F810" s="6" t="n">
        <v>4</v>
      </c>
      <c r="G810" s="6" t="s">
        <v>73</v>
      </c>
      <c r="H810" s="11" t="n">
        <v>0.05</v>
      </c>
      <c r="I810" s="6" t="n">
        <v>20</v>
      </c>
      <c r="J810" s="6" t="n">
        <v>0</v>
      </c>
      <c r="K810" s="6" t="n">
        <v>20</v>
      </c>
      <c r="L810" s="6" t="n">
        <v>0</v>
      </c>
      <c r="M810" s="6" t="n">
        <v>20</v>
      </c>
      <c r="N810" s="11" t="n">
        <f aca="false">J810/(J810+K810)</f>
        <v>0</v>
      </c>
      <c r="O810" s="11" t="str">
        <f aca="false">IF(J810+L810=0,"",J810/(J810+L810))</f>
        <v/>
      </c>
      <c r="P810" s="11" t="n">
        <f aca="false">2*J810/(2*J810+L810+K810)</f>
        <v>0</v>
      </c>
      <c r="Q810" s="11" t="n">
        <f aca="false">L810/(L810+M810)</f>
        <v>0</v>
      </c>
      <c r="R810" s="6" t="n">
        <v>6</v>
      </c>
      <c r="S810" s="11" t="n">
        <v>0</v>
      </c>
      <c r="T810" s="11" t="n">
        <v>0</v>
      </c>
      <c r="U810" s="11" t="n">
        <v>0.65</v>
      </c>
      <c r="V810" s="11" t="n">
        <v>0.6</v>
      </c>
    </row>
    <row r="811" customFormat="false" ht="15" hidden="false" customHeight="false" outlineLevel="0" collapsed="false">
      <c r="A811" s="6" t="s">
        <v>58</v>
      </c>
      <c r="B811" s="6" t="s">
        <v>59</v>
      </c>
      <c r="C811" s="6" t="s">
        <v>44</v>
      </c>
      <c r="D811" s="6" t="s">
        <v>114</v>
      </c>
      <c r="E811" s="6" t="n">
        <v>4</v>
      </c>
      <c r="F811" s="6" t="n">
        <v>4</v>
      </c>
      <c r="G811" s="6" t="s">
        <v>74</v>
      </c>
      <c r="H811" s="11" t="n">
        <v>0.05</v>
      </c>
      <c r="I811" s="6" t="n">
        <v>20</v>
      </c>
      <c r="J811" s="6" t="n">
        <v>1</v>
      </c>
      <c r="K811" s="6" t="n">
        <v>19</v>
      </c>
      <c r="L811" s="6" t="n">
        <v>1</v>
      </c>
      <c r="M811" s="6" t="n">
        <v>19</v>
      </c>
      <c r="N811" s="11" t="n">
        <f aca="false">J811/(J811+K811)</f>
        <v>0.05</v>
      </c>
      <c r="O811" s="11" t="n">
        <f aca="false">IF(J811+L811=0,"",J811/(J811+L811))</f>
        <v>0.5</v>
      </c>
      <c r="P811" s="11" t="n">
        <f aca="false">2*J811/(2*J811+L811+K811)</f>
        <v>0.0909090909090909</v>
      </c>
      <c r="Q811" s="11" t="n">
        <f aca="false">L811/(L811+M811)</f>
        <v>0.05</v>
      </c>
      <c r="R811" s="6" t="n">
        <v>3</v>
      </c>
      <c r="S811" s="11" t="n">
        <v>0</v>
      </c>
      <c r="T811" s="11" t="n">
        <v>0.0588235294117647</v>
      </c>
      <c r="U811" s="11" t="n">
        <v>0.85</v>
      </c>
      <c r="V811" s="11" t="n">
        <v>0.75</v>
      </c>
    </row>
    <row r="812" customFormat="false" ht="15" hidden="false" customHeight="false" outlineLevel="0" collapsed="false">
      <c r="A812" s="6" t="s">
        <v>58</v>
      </c>
      <c r="B812" s="6" t="s">
        <v>59</v>
      </c>
      <c r="C812" s="6" t="s">
        <v>44</v>
      </c>
      <c r="D812" s="6" t="s">
        <v>114</v>
      </c>
      <c r="E812" s="6" t="n">
        <v>4</v>
      </c>
      <c r="F812" s="6" t="n">
        <v>4</v>
      </c>
      <c r="G812" s="6" t="s">
        <v>75</v>
      </c>
      <c r="H812" s="11" t="n">
        <v>0.05</v>
      </c>
      <c r="I812" s="6" t="n">
        <v>20</v>
      </c>
      <c r="J812" s="6" t="n">
        <v>0</v>
      </c>
      <c r="K812" s="6" t="n">
        <v>20</v>
      </c>
      <c r="L812" s="6" t="n">
        <v>0</v>
      </c>
      <c r="M812" s="6" t="n">
        <v>20</v>
      </c>
      <c r="N812" s="11" t="n">
        <f aca="false">J812/(J812+K812)</f>
        <v>0</v>
      </c>
      <c r="O812" s="11" t="str">
        <f aca="false">IF(J812+L812=0,"",J812/(J812+L812))</f>
        <v/>
      </c>
      <c r="P812" s="11" t="n">
        <f aca="false">2*J812/(2*J812+L812+K812)</f>
        <v>0</v>
      </c>
      <c r="Q812" s="11" t="n">
        <f aca="false">L812/(L812+M812)</f>
        <v>0</v>
      </c>
      <c r="R812" s="6" t="n">
        <v>2</v>
      </c>
      <c r="S812" s="11" t="n">
        <v>0</v>
      </c>
      <c r="T812" s="11" t="n">
        <v>0</v>
      </c>
      <c r="U812" s="11" t="n">
        <v>0.9</v>
      </c>
      <c r="V812" s="11" t="n">
        <v>0.85</v>
      </c>
    </row>
    <row r="813" customFormat="false" ht="15" hidden="false" customHeight="false" outlineLevel="0" collapsed="false">
      <c r="A813" s="6" t="s">
        <v>58</v>
      </c>
      <c r="B813" s="6" t="s">
        <v>59</v>
      </c>
      <c r="C813" s="6" t="s">
        <v>44</v>
      </c>
      <c r="D813" s="6" t="s">
        <v>114</v>
      </c>
      <c r="E813" s="6" t="n">
        <v>4</v>
      </c>
      <c r="F813" s="6" t="n">
        <v>4</v>
      </c>
      <c r="G813" s="6" t="s">
        <v>76</v>
      </c>
      <c r="H813" s="11" t="n">
        <v>0.05</v>
      </c>
      <c r="I813" s="6" t="n">
        <v>20</v>
      </c>
      <c r="J813" s="6" t="n">
        <v>0</v>
      </c>
      <c r="K813" s="6" t="n">
        <v>20</v>
      </c>
      <c r="L813" s="6" t="n">
        <v>0</v>
      </c>
      <c r="M813" s="6" t="n">
        <v>20</v>
      </c>
      <c r="N813" s="11" t="n">
        <f aca="false">J813/(J813+K813)</f>
        <v>0</v>
      </c>
      <c r="O813" s="11" t="str">
        <f aca="false">IF(J813+L813=0,"",J813/(J813+L813))</f>
        <v/>
      </c>
      <c r="P813" s="11" t="n">
        <f aca="false">2*J813/(2*J813+L813+K813)</f>
        <v>0</v>
      </c>
      <c r="Q813" s="11" t="n">
        <f aca="false">L813/(L813+M813)</f>
        <v>0</v>
      </c>
      <c r="R813" s="6" t="n">
        <v>0</v>
      </c>
      <c r="S813" s="11"/>
      <c r="T813" s="11" t="n">
        <v>0</v>
      </c>
      <c r="U813" s="11" t="n">
        <v>0.95</v>
      </c>
      <c r="V813" s="11" t="n">
        <v>0.95</v>
      </c>
    </row>
    <row r="814" customFormat="false" ht="15" hidden="false" customHeight="false" outlineLevel="0" collapsed="false">
      <c r="A814" s="6" t="s">
        <v>58</v>
      </c>
      <c r="B814" s="6" t="s">
        <v>59</v>
      </c>
      <c r="C814" s="6" t="s">
        <v>44</v>
      </c>
      <c r="D814" s="6" t="s">
        <v>114</v>
      </c>
      <c r="E814" s="6" t="n">
        <v>4</v>
      </c>
      <c r="F814" s="6" t="n">
        <v>4</v>
      </c>
      <c r="G814" s="6" t="s">
        <v>77</v>
      </c>
      <c r="H814" s="11" t="n">
        <v>0.05</v>
      </c>
      <c r="I814" s="6" t="n">
        <v>20</v>
      </c>
      <c r="J814" s="6" t="n">
        <v>0</v>
      </c>
      <c r="K814" s="6" t="n">
        <v>20</v>
      </c>
      <c r="L814" s="6" t="n">
        <v>1</v>
      </c>
      <c r="M814" s="6" t="n">
        <v>19</v>
      </c>
      <c r="N814" s="11" t="n">
        <f aca="false">J814/(J814+K814)</f>
        <v>0</v>
      </c>
      <c r="O814" s="11" t="n">
        <f aca="false">IF(J814+L814=0,"",J814/(J814+L814))</f>
        <v>0</v>
      </c>
      <c r="P814" s="11" t="n">
        <f aca="false">2*J814/(2*J814+L814+K814)</f>
        <v>0</v>
      </c>
      <c r="Q814" s="11" t="n">
        <f aca="false">L814/(L814+M814)</f>
        <v>0.05</v>
      </c>
      <c r="R814" s="6" t="n">
        <v>1</v>
      </c>
      <c r="S814" s="11" t="n">
        <v>0</v>
      </c>
      <c r="T814" s="11" t="n">
        <v>0</v>
      </c>
      <c r="U814" s="11" t="n">
        <v>1</v>
      </c>
      <c r="V814" s="11" t="n">
        <v>0.95</v>
      </c>
    </row>
    <row r="815" customFormat="false" ht="15" hidden="false" customHeight="false" outlineLevel="0" collapsed="false">
      <c r="A815" s="6" t="s">
        <v>58</v>
      </c>
      <c r="B815" s="6" t="s">
        <v>59</v>
      </c>
      <c r="C815" s="6" t="s">
        <v>44</v>
      </c>
      <c r="D815" s="6" t="s">
        <v>114</v>
      </c>
      <c r="E815" s="6" t="n">
        <v>4</v>
      </c>
      <c r="F815" s="6" t="n">
        <v>4</v>
      </c>
      <c r="G815" s="6" t="s">
        <v>78</v>
      </c>
      <c r="H815" s="11" t="n">
        <v>0.05</v>
      </c>
      <c r="I815" s="6" t="n">
        <v>200</v>
      </c>
      <c r="J815" s="6" t="n">
        <v>7</v>
      </c>
      <c r="K815" s="6" t="n">
        <v>193</v>
      </c>
      <c r="L815" s="6" t="n">
        <v>4</v>
      </c>
      <c r="M815" s="6" t="n">
        <v>196</v>
      </c>
      <c r="N815" s="11" t="n">
        <f aca="false">J815/(J815+K815)</f>
        <v>0.035</v>
      </c>
      <c r="O815" s="11" t="n">
        <f aca="false">IF(J815+L815=0,"",J815/(J815+L815))</f>
        <v>0.636363636363636</v>
      </c>
      <c r="P815" s="11" t="n">
        <f aca="false">2*J815/(2*J815+L815+K815)</f>
        <v>0.0663507109004739</v>
      </c>
      <c r="Q815" s="11" t="n">
        <f aca="false">L815/(L815+M815)</f>
        <v>0.02</v>
      </c>
      <c r="R815" s="6" t="n">
        <v>20</v>
      </c>
      <c r="S815" s="11" t="n">
        <v>0</v>
      </c>
      <c r="T815" s="11" t="n">
        <v>0.0388888888888889</v>
      </c>
      <c r="U815" s="11" t="n">
        <v>0.88</v>
      </c>
      <c r="V815" s="11" t="n">
        <v>0.855</v>
      </c>
    </row>
    <row r="816" customFormat="false" ht="15" hidden="false" customHeight="false" outlineLevel="0" collapsed="false">
      <c r="A816" s="6" t="s">
        <v>58</v>
      </c>
      <c r="B816" s="6" t="s">
        <v>59</v>
      </c>
      <c r="C816" s="6" t="s">
        <v>44</v>
      </c>
      <c r="D816" s="6" t="s">
        <v>114</v>
      </c>
      <c r="E816" s="6" t="n">
        <v>4</v>
      </c>
      <c r="F816" s="6" t="n">
        <v>5</v>
      </c>
      <c r="G816" s="6" t="s">
        <v>68</v>
      </c>
      <c r="H816" s="11" t="n">
        <v>0.05</v>
      </c>
      <c r="I816" s="6" t="n">
        <v>20</v>
      </c>
      <c r="J816" s="6" t="n">
        <v>2</v>
      </c>
      <c r="K816" s="6" t="n">
        <v>18</v>
      </c>
      <c r="L816" s="6" t="n">
        <v>1</v>
      </c>
      <c r="M816" s="6" t="n">
        <v>19</v>
      </c>
      <c r="N816" s="11" t="n">
        <f aca="false">J816/(J816+K816)</f>
        <v>0.1</v>
      </c>
      <c r="O816" s="11" t="n">
        <f aca="false">IF(J816+L816=0,"",J816/(J816+L816))</f>
        <v>0.666666666666667</v>
      </c>
      <c r="P816" s="11" t="n">
        <f aca="false">2*J816/(2*J816+L816+K816)</f>
        <v>0.173913043478261</v>
      </c>
      <c r="Q816" s="11" t="n">
        <f aca="false">L816/(L816+M816)</f>
        <v>0.05</v>
      </c>
      <c r="R816" s="6" t="n">
        <v>1</v>
      </c>
      <c r="S816" s="11" t="n">
        <v>0</v>
      </c>
      <c r="T816" s="11" t="n">
        <v>0.105263157894737</v>
      </c>
      <c r="U816" s="11" t="n">
        <v>0.85</v>
      </c>
      <c r="V816" s="11" t="n">
        <v>0.9</v>
      </c>
    </row>
    <row r="817" customFormat="false" ht="15" hidden="false" customHeight="false" outlineLevel="0" collapsed="false">
      <c r="A817" s="6" t="s">
        <v>58</v>
      </c>
      <c r="B817" s="6" t="s">
        <v>59</v>
      </c>
      <c r="C817" s="6" t="s">
        <v>44</v>
      </c>
      <c r="D817" s="6" t="s">
        <v>114</v>
      </c>
      <c r="E817" s="6" t="n">
        <v>4</v>
      </c>
      <c r="F817" s="6" t="n">
        <v>5</v>
      </c>
      <c r="G817" s="6" t="s">
        <v>69</v>
      </c>
      <c r="H817" s="11" t="n">
        <v>0.05</v>
      </c>
      <c r="I817" s="6" t="n">
        <v>20</v>
      </c>
      <c r="J817" s="6" t="n">
        <v>1</v>
      </c>
      <c r="K817" s="6" t="n">
        <v>19</v>
      </c>
      <c r="L817" s="6" t="n">
        <v>1</v>
      </c>
      <c r="M817" s="6" t="n">
        <v>19</v>
      </c>
      <c r="N817" s="11" t="n">
        <f aca="false">J817/(J817+K817)</f>
        <v>0.05</v>
      </c>
      <c r="O817" s="11" t="n">
        <f aca="false">IF(J817+L817=0,"",J817/(J817+L817))</f>
        <v>0.5</v>
      </c>
      <c r="P817" s="11" t="n">
        <f aca="false">2*J817/(2*J817+L817+K817)</f>
        <v>0.0909090909090909</v>
      </c>
      <c r="Q817" s="11" t="n">
        <f aca="false">L817/(L817+M817)</f>
        <v>0.05</v>
      </c>
      <c r="R817" s="6" t="n">
        <v>0</v>
      </c>
      <c r="S817" s="11"/>
      <c r="T817" s="11" t="n">
        <v>0.05</v>
      </c>
      <c r="U817" s="11" t="n">
        <v>1</v>
      </c>
      <c r="V817" s="11" t="n">
        <v>1</v>
      </c>
    </row>
    <row r="818" customFormat="false" ht="15" hidden="false" customHeight="false" outlineLevel="0" collapsed="false">
      <c r="A818" s="6" t="s">
        <v>58</v>
      </c>
      <c r="B818" s="6" t="s">
        <v>59</v>
      </c>
      <c r="C818" s="6" t="s">
        <v>44</v>
      </c>
      <c r="D818" s="6" t="s">
        <v>114</v>
      </c>
      <c r="E818" s="6" t="n">
        <v>4</v>
      </c>
      <c r="F818" s="6" t="n">
        <v>5</v>
      </c>
      <c r="G818" s="6" t="s">
        <v>70</v>
      </c>
      <c r="H818" s="11" t="n">
        <v>0.05</v>
      </c>
      <c r="I818" s="6" t="n">
        <v>20</v>
      </c>
      <c r="J818" s="6" t="n">
        <v>0</v>
      </c>
      <c r="K818" s="6" t="n">
        <v>20</v>
      </c>
      <c r="L818" s="6" t="n">
        <v>0</v>
      </c>
      <c r="M818" s="6" t="n">
        <v>20</v>
      </c>
      <c r="N818" s="11" t="n">
        <f aca="false">J818/(J818+K818)</f>
        <v>0</v>
      </c>
      <c r="O818" s="11" t="str">
        <f aca="false">IF(J818+L818=0,"",J818/(J818+L818))</f>
        <v/>
      </c>
      <c r="P818" s="11" t="n">
        <f aca="false">2*J818/(2*J818+L818+K818)</f>
        <v>0</v>
      </c>
      <c r="Q818" s="11" t="n">
        <f aca="false">L818/(L818+M818)</f>
        <v>0</v>
      </c>
      <c r="R818" s="6" t="n">
        <v>0</v>
      </c>
      <c r="S818" s="11"/>
      <c r="T818" s="11" t="n">
        <v>0</v>
      </c>
      <c r="U818" s="11" t="n">
        <v>0.9</v>
      </c>
      <c r="V818" s="11" t="n">
        <v>0.9</v>
      </c>
    </row>
    <row r="819" customFormat="false" ht="15" hidden="false" customHeight="false" outlineLevel="0" collapsed="false">
      <c r="A819" s="6" t="s">
        <v>58</v>
      </c>
      <c r="B819" s="6" t="s">
        <v>59</v>
      </c>
      <c r="C819" s="6" t="s">
        <v>44</v>
      </c>
      <c r="D819" s="6" t="s">
        <v>114</v>
      </c>
      <c r="E819" s="6" t="n">
        <v>4</v>
      </c>
      <c r="F819" s="6" t="n">
        <v>5</v>
      </c>
      <c r="G819" s="6" t="s">
        <v>71</v>
      </c>
      <c r="H819" s="11" t="n">
        <v>0.05</v>
      </c>
      <c r="I819" s="6" t="n">
        <v>20</v>
      </c>
      <c r="J819" s="6" t="n">
        <v>0</v>
      </c>
      <c r="K819" s="6" t="n">
        <v>20</v>
      </c>
      <c r="L819" s="6" t="n">
        <v>0</v>
      </c>
      <c r="M819" s="6" t="n">
        <v>20</v>
      </c>
      <c r="N819" s="11" t="n">
        <f aca="false">J819/(J819+K819)</f>
        <v>0</v>
      </c>
      <c r="O819" s="11" t="str">
        <f aca="false">IF(J819+L819=0,"",J819/(J819+L819))</f>
        <v/>
      </c>
      <c r="P819" s="11" t="n">
        <f aca="false">2*J819/(2*J819+L819+K819)</f>
        <v>0</v>
      </c>
      <c r="Q819" s="11" t="n">
        <f aca="false">L819/(L819+M819)</f>
        <v>0</v>
      </c>
      <c r="R819" s="6" t="n">
        <v>0</v>
      </c>
      <c r="S819" s="11"/>
      <c r="T819" s="11" t="n">
        <v>0</v>
      </c>
      <c r="U819" s="11" t="n">
        <v>0.8</v>
      </c>
      <c r="V819" s="11" t="n">
        <v>0.8</v>
      </c>
    </row>
    <row r="820" customFormat="false" ht="15" hidden="false" customHeight="false" outlineLevel="0" collapsed="false">
      <c r="A820" s="6" t="s">
        <v>58</v>
      </c>
      <c r="B820" s="6" t="s">
        <v>59</v>
      </c>
      <c r="C820" s="6" t="s">
        <v>44</v>
      </c>
      <c r="D820" s="6" t="s">
        <v>114</v>
      </c>
      <c r="E820" s="6" t="n">
        <v>4</v>
      </c>
      <c r="F820" s="6" t="n">
        <v>5</v>
      </c>
      <c r="G820" s="6" t="s">
        <v>72</v>
      </c>
      <c r="H820" s="11" t="n">
        <v>0.05</v>
      </c>
      <c r="I820" s="6" t="n">
        <v>20</v>
      </c>
      <c r="J820" s="6" t="n">
        <v>0</v>
      </c>
      <c r="K820" s="6" t="n">
        <v>20</v>
      </c>
      <c r="L820" s="6" t="n">
        <v>0</v>
      </c>
      <c r="M820" s="6" t="n">
        <v>20</v>
      </c>
      <c r="N820" s="11" t="n">
        <f aca="false">J820/(J820+K820)</f>
        <v>0</v>
      </c>
      <c r="O820" s="11" t="str">
        <f aca="false">IF(J820+L820=0,"",J820/(J820+L820))</f>
        <v/>
      </c>
      <c r="P820" s="11" t="n">
        <f aca="false">2*J820/(2*J820+L820+K820)</f>
        <v>0</v>
      </c>
      <c r="Q820" s="11" t="n">
        <f aca="false">L820/(L820+M820)</f>
        <v>0</v>
      </c>
      <c r="R820" s="6" t="n">
        <v>0</v>
      </c>
      <c r="S820" s="11"/>
      <c r="T820" s="11" t="n">
        <v>0</v>
      </c>
      <c r="U820" s="11" t="n">
        <v>0.9</v>
      </c>
      <c r="V820" s="11" t="n">
        <v>0.9</v>
      </c>
    </row>
    <row r="821" customFormat="false" ht="15" hidden="false" customHeight="false" outlineLevel="0" collapsed="false">
      <c r="A821" s="6" t="s">
        <v>58</v>
      </c>
      <c r="B821" s="6" t="s">
        <v>59</v>
      </c>
      <c r="C821" s="6" t="s">
        <v>44</v>
      </c>
      <c r="D821" s="6" t="s">
        <v>114</v>
      </c>
      <c r="E821" s="6" t="n">
        <v>4</v>
      </c>
      <c r="F821" s="6" t="n">
        <v>5</v>
      </c>
      <c r="G821" s="6" t="s">
        <v>73</v>
      </c>
      <c r="H821" s="11" t="n">
        <v>0.05</v>
      </c>
      <c r="I821" s="6" t="n">
        <v>20</v>
      </c>
      <c r="J821" s="6" t="n">
        <v>0</v>
      </c>
      <c r="K821" s="6" t="n">
        <v>20</v>
      </c>
      <c r="L821" s="6" t="n">
        <v>0</v>
      </c>
      <c r="M821" s="6" t="n">
        <v>20</v>
      </c>
      <c r="N821" s="11" t="n">
        <f aca="false">J821/(J821+K821)</f>
        <v>0</v>
      </c>
      <c r="O821" s="11" t="str">
        <f aca="false">IF(J821+L821=0,"",J821/(J821+L821))</f>
        <v/>
      </c>
      <c r="P821" s="11" t="n">
        <f aca="false">2*J821/(2*J821+L821+K821)</f>
        <v>0</v>
      </c>
      <c r="Q821" s="11" t="n">
        <f aca="false">L821/(L821+M821)</f>
        <v>0</v>
      </c>
      <c r="R821" s="6" t="n">
        <v>1</v>
      </c>
      <c r="S821" s="11" t="n">
        <v>0</v>
      </c>
      <c r="T821" s="11" t="n">
        <v>0</v>
      </c>
      <c r="U821" s="11" t="n">
        <v>0.65</v>
      </c>
      <c r="V821" s="11" t="n">
        <v>0.65</v>
      </c>
    </row>
    <row r="822" customFormat="false" ht="15" hidden="false" customHeight="false" outlineLevel="0" collapsed="false">
      <c r="A822" s="6" t="s">
        <v>58</v>
      </c>
      <c r="B822" s="6" t="s">
        <v>59</v>
      </c>
      <c r="C822" s="6" t="s">
        <v>44</v>
      </c>
      <c r="D822" s="6" t="s">
        <v>114</v>
      </c>
      <c r="E822" s="6" t="n">
        <v>4</v>
      </c>
      <c r="F822" s="6" t="n">
        <v>5</v>
      </c>
      <c r="G822" s="6" t="s">
        <v>74</v>
      </c>
      <c r="H822" s="11" t="n">
        <v>0.05</v>
      </c>
      <c r="I822" s="6" t="n">
        <v>20</v>
      </c>
      <c r="J822" s="6" t="n">
        <v>1</v>
      </c>
      <c r="K822" s="6" t="n">
        <v>19</v>
      </c>
      <c r="L822" s="6" t="n">
        <v>1</v>
      </c>
      <c r="M822" s="6" t="n">
        <v>19</v>
      </c>
      <c r="N822" s="11" t="n">
        <f aca="false">J822/(J822+K822)</f>
        <v>0.05</v>
      </c>
      <c r="O822" s="11" t="n">
        <f aca="false">IF(J822+L822=0,"",J822/(J822+L822))</f>
        <v>0.5</v>
      </c>
      <c r="P822" s="11" t="n">
        <f aca="false">2*J822/(2*J822+L822+K822)</f>
        <v>0.0909090909090909</v>
      </c>
      <c r="Q822" s="11" t="n">
        <f aca="false">L822/(L822+M822)</f>
        <v>0.05</v>
      </c>
      <c r="R822" s="6" t="n">
        <v>2</v>
      </c>
      <c r="S822" s="11" t="n">
        <v>0</v>
      </c>
      <c r="T822" s="11" t="n">
        <v>0.0555555555555556</v>
      </c>
      <c r="U822" s="11" t="n">
        <v>0.85</v>
      </c>
      <c r="V822" s="11" t="n">
        <v>0.9</v>
      </c>
    </row>
    <row r="823" customFormat="false" ht="15" hidden="false" customHeight="false" outlineLevel="0" collapsed="false">
      <c r="A823" s="6" t="s">
        <v>58</v>
      </c>
      <c r="B823" s="6" t="s">
        <v>59</v>
      </c>
      <c r="C823" s="6" t="s">
        <v>44</v>
      </c>
      <c r="D823" s="6" t="s">
        <v>114</v>
      </c>
      <c r="E823" s="6" t="n">
        <v>4</v>
      </c>
      <c r="F823" s="6" t="n">
        <v>5</v>
      </c>
      <c r="G823" s="6" t="s">
        <v>75</v>
      </c>
      <c r="H823" s="11" t="n">
        <v>0.05</v>
      </c>
      <c r="I823" s="6" t="n">
        <v>20</v>
      </c>
      <c r="J823" s="6" t="n">
        <v>0</v>
      </c>
      <c r="K823" s="6" t="n">
        <v>20</v>
      </c>
      <c r="L823" s="6" t="n">
        <v>0</v>
      </c>
      <c r="M823" s="6" t="n">
        <v>20</v>
      </c>
      <c r="N823" s="11" t="n">
        <f aca="false">J823/(J823+K823)</f>
        <v>0</v>
      </c>
      <c r="O823" s="11" t="str">
        <f aca="false">IF(J823+L823=0,"",J823/(J823+L823))</f>
        <v/>
      </c>
      <c r="P823" s="11" t="n">
        <f aca="false">2*J823/(2*J823+L823+K823)</f>
        <v>0</v>
      </c>
      <c r="Q823" s="11" t="n">
        <f aca="false">L823/(L823+M823)</f>
        <v>0</v>
      </c>
      <c r="R823" s="6" t="n">
        <v>0</v>
      </c>
      <c r="S823" s="11"/>
      <c r="T823" s="11" t="n">
        <v>0</v>
      </c>
      <c r="U823" s="11" t="n">
        <v>0.9</v>
      </c>
      <c r="V823" s="11" t="n">
        <v>0.9</v>
      </c>
    </row>
    <row r="824" customFormat="false" ht="15" hidden="false" customHeight="false" outlineLevel="0" collapsed="false">
      <c r="A824" s="6" t="s">
        <v>58</v>
      </c>
      <c r="B824" s="6" t="s">
        <v>59</v>
      </c>
      <c r="C824" s="6" t="s">
        <v>44</v>
      </c>
      <c r="D824" s="6" t="s">
        <v>114</v>
      </c>
      <c r="E824" s="6" t="n">
        <v>4</v>
      </c>
      <c r="F824" s="6" t="n">
        <v>5</v>
      </c>
      <c r="G824" s="6" t="s">
        <v>76</v>
      </c>
      <c r="H824" s="11" t="n">
        <v>0.05</v>
      </c>
      <c r="I824" s="6" t="n">
        <v>20</v>
      </c>
      <c r="J824" s="6" t="n">
        <v>0</v>
      </c>
      <c r="K824" s="6" t="n">
        <v>20</v>
      </c>
      <c r="L824" s="6" t="n">
        <v>0</v>
      </c>
      <c r="M824" s="6" t="n">
        <v>20</v>
      </c>
      <c r="N824" s="11" t="n">
        <f aca="false">J824/(J824+K824)</f>
        <v>0</v>
      </c>
      <c r="O824" s="11" t="str">
        <f aca="false">IF(J824+L824=0,"",J824/(J824+L824))</f>
        <v/>
      </c>
      <c r="P824" s="11" t="n">
        <f aca="false">2*J824/(2*J824+L824+K824)</f>
        <v>0</v>
      </c>
      <c r="Q824" s="11" t="n">
        <f aca="false">L824/(L824+M824)</f>
        <v>0</v>
      </c>
      <c r="R824" s="6" t="n">
        <v>0</v>
      </c>
      <c r="S824" s="11"/>
      <c r="T824" s="11" t="n">
        <v>0</v>
      </c>
      <c r="U824" s="11" t="n">
        <v>0.95</v>
      </c>
      <c r="V824" s="11" t="n">
        <v>0.95</v>
      </c>
    </row>
    <row r="825" customFormat="false" ht="15" hidden="false" customHeight="false" outlineLevel="0" collapsed="false">
      <c r="A825" s="6" t="s">
        <v>58</v>
      </c>
      <c r="B825" s="6" t="s">
        <v>59</v>
      </c>
      <c r="C825" s="6" t="s">
        <v>44</v>
      </c>
      <c r="D825" s="6" t="s">
        <v>114</v>
      </c>
      <c r="E825" s="6" t="n">
        <v>4</v>
      </c>
      <c r="F825" s="6" t="n">
        <v>5</v>
      </c>
      <c r="G825" s="6" t="s">
        <v>77</v>
      </c>
      <c r="H825" s="11" t="n">
        <v>0.05</v>
      </c>
      <c r="I825" s="6" t="n">
        <v>20</v>
      </c>
      <c r="J825" s="6" t="n">
        <v>1</v>
      </c>
      <c r="K825" s="6" t="n">
        <v>19</v>
      </c>
      <c r="L825" s="6" t="n">
        <v>1</v>
      </c>
      <c r="M825" s="6" t="n">
        <v>19</v>
      </c>
      <c r="N825" s="11" t="n">
        <f aca="false">J825/(J825+K825)</f>
        <v>0.05</v>
      </c>
      <c r="O825" s="11" t="n">
        <f aca="false">IF(J825+L825=0,"",J825/(J825+L825))</f>
        <v>0.5</v>
      </c>
      <c r="P825" s="11" t="n">
        <f aca="false">2*J825/(2*J825+L825+K825)</f>
        <v>0.0909090909090909</v>
      </c>
      <c r="Q825" s="11" t="n">
        <f aca="false">L825/(L825+M825)</f>
        <v>0.05</v>
      </c>
      <c r="R825" s="6" t="n">
        <v>0</v>
      </c>
      <c r="S825" s="11"/>
      <c r="T825" s="11" t="n">
        <v>0.05</v>
      </c>
      <c r="U825" s="11" t="n">
        <v>1</v>
      </c>
      <c r="V825" s="11" t="n">
        <v>1</v>
      </c>
    </row>
    <row r="826" customFormat="false" ht="15" hidden="false" customHeight="false" outlineLevel="0" collapsed="false">
      <c r="A826" s="6" t="s">
        <v>58</v>
      </c>
      <c r="B826" s="6" t="s">
        <v>59</v>
      </c>
      <c r="C826" s="6" t="s">
        <v>44</v>
      </c>
      <c r="D826" s="6" t="s">
        <v>114</v>
      </c>
      <c r="E826" s="6" t="n">
        <v>4</v>
      </c>
      <c r="F826" s="6" t="n">
        <v>5</v>
      </c>
      <c r="G826" s="6" t="s">
        <v>78</v>
      </c>
      <c r="H826" s="11" t="n">
        <v>0.05</v>
      </c>
      <c r="I826" s="6" t="n">
        <v>200</v>
      </c>
      <c r="J826" s="6" t="n">
        <v>5</v>
      </c>
      <c r="K826" s="6" t="n">
        <v>195</v>
      </c>
      <c r="L826" s="6" t="n">
        <v>4</v>
      </c>
      <c r="M826" s="6" t="n">
        <v>196</v>
      </c>
      <c r="N826" s="11" t="n">
        <f aca="false">J826/(J826+K826)</f>
        <v>0.025</v>
      </c>
      <c r="O826" s="11" t="n">
        <f aca="false">IF(J826+L826=0,"",J826/(J826+L826))</f>
        <v>0.555555555555556</v>
      </c>
      <c r="P826" s="11" t="n">
        <f aca="false">2*J826/(2*J826+L826+K826)</f>
        <v>0.0478468899521531</v>
      </c>
      <c r="Q826" s="11" t="n">
        <f aca="false">L826/(L826+M826)</f>
        <v>0.02</v>
      </c>
      <c r="R826" s="6" t="n">
        <v>4</v>
      </c>
      <c r="S826" s="11" t="n">
        <v>0</v>
      </c>
      <c r="T826" s="11" t="n">
        <v>0.0255102040816327</v>
      </c>
      <c r="U826" s="11" t="n">
        <v>0.88</v>
      </c>
      <c r="V826" s="11" t="n">
        <v>0.89</v>
      </c>
    </row>
    <row r="827" customFormat="false" ht="15" hidden="false" customHeight="false" outlineLevel="0" collapsed="false">
      <c r="A827" s="6" t="s">
        <v>58</v>
      </c>
      <c r="B827" s="6" t="s">
        <v>59</v>
      </c>
      <c r="C827" s="6" t="s">
        <v>44</v>
      </c>
      <c r="D827" s="6" t="s">
        <v>114</v>
      </c>
      <c r="E827" s="6" t="n">
        <v>4</v>
      </c>
      <c r="F827" s="6" t="n">
        <v>6</v>
      </c>
      <c r="G827" s="6" t="s">
        <v>68</v>
      </c>
      <c r="H827" s="11" t="n">
        <v>0.05</v>
      </c>
      <c r="I827" s="6" t="n">
        <v>20</v>
      </c>
      <c r="J827" s="6" t="n">
        <v>2</v>
      </c>
      <c r="K827" s="6" t="n">
        <v>18</v>
      </c>
      <c r="L827" s="6" t="n">
        <v>1</v>
      </c>
      <c r="M827" s="6" t="n">
        <v>19</v>
      </c>
      <c r="N827" s="11" t="n">
        <f aca="false">J827/(J827+K827)</f>
        <v>0.1</v>
      </c>
      <c r="O827" s="11" t="n">
        <f aca="false">IF(J827+L827=0,"",J827/(J827+L827))</f>
        <v>0.666666666666667</v>
      </c>
      <c r="P827" s="11" t="n">
        <f aca="false">2*J827/(2*J827+L827+K827)</f>
        <v>0.173913043478261</v>
      </c>
      <c r="Q827" s="11" t="n">
        <f aca="false">L827/(L827+M827)</f>
        <v>0.05</v>
      </c>
      <c r="R827" s="6" t="n">
        <v>0</v>
      </c>
      <c r="S827" s="11"/>
      <c r="T827" s="11" t="n">
        <v>0.1</v>
      </c>
      <c r="U827" s="11" t="n">
        <v>0.85</v>
      </c>
      <c r="V827" s="11" t="n">
        <v>0.85</v>
      </c>
    </row>
    <row r="828" customFormat="false" ht="15" hidden="false" customHeight="false" outlineLevel="0" collapsed="false">
      <c r="A828" s="6" t="s">
        <v>58</v>
      </c>
      <c r="B828" s="6" t="s">
        <v>59</v>
      </c>
      <c r="C828" s="6" t="s">
        <v>44</v>
      </c>
      <c r="D828" s="6" t="s">
        <v>114</v>
      </c>
      <c r="E828" s="6" t="n">
        <v>4</v>
      </c>
      <c r="F828" s="6" t="n">
        <v>6</v>
      </c>
      <c r="G828" s="6" t="s">
        <v>69</v>
      </c>
      <c r="H828" s="11" t="n">
        <v>0.05</v>
      </c>
      <c r="I828" s="6" t="n">
        <v>20</v>
      </c>
      <c r="J828" s="6" t="n">
        <v>2</v>
      </c>
      <c r="K828" s="6" t="n">
        <v>18</v>
      </c>
      <c r="L828" s="6" t="n">
        <v>1</v>
      </c>
      <c r="M828" s="6" t="n">
        <v>19</v>
      </c>
      <c r="N828" s="11" t="n">
        <f aca="false">J828/(J828+K828)</f>
        <v>0.1</v>
      </c>
      <c r="O828" s="11" t="n">
        <f aca="false">IF(J828+L828=0,"",J828/(J828+L828))</f>
        <v>0.666666666666667</v>
      </c>
      <c r="P828" s="11" t="n">
        <f aca="false">2*J828/(2*J828+L828+K828)</f>
        <v>0.173913043478261</v>
      </c>
      <c r="Q828" s="11" t="n">
        <f aca="false">L828/(L828+M828)</f>
        <v>0.05</v>
      </c>
      <c r="R828" s="6" t="n">
        <v>0</v>
      </c>
      <c r="S828" s="11"/>
      <c r="T828" s="11" t="n">
        <v>0.1</v>
      </c>
      <c r="U828" s="11" t="n">
        <v>1</v>
      </c>
      <c r="V828" s="11" t="n">
        <v>1</v>
      </c>
    </row>
    <row r="829" customFormat="false" ht="15" hidden="false" customHeight="false" outlineLevel="0" collapsed="false">
      <c r="A829" s="6" t="s">
        <v>58</v>
      </c>
      <c r="B829" s="6" t="s">
        <v>59</v>
      </c>
      <c r="C829" s="6" t="s">
        <v>44</v>
      </c>
      <c r="D829" s="6" t="s">
        <v>114</v>
      </c>
      <c r="E829" s="6" t="n">
        <v>4</v>
      </c>
      <c r="F829" s="6" t="n">
        <v>6</v>
      </c>
      <c r="G829" s="6" t="s">
        <v>70</v>
      </c>
      <c r="H829" s="11" t="n">
        <v>0.05</v>
      </c>
      <c r="I829" s="6" t="n">
        <v>20</v>
      </c>
      <c r="J829" s="6" t="n">
        <v>0</v>
      </c>
      <c r="K829" s="6" t="n">
        <v>20</v>
      </c>
      <c r="L829" s="6" t="n">
        <v>0</v>
      </c>
      <c r="M829" s="6" t="n">
        <v>20</v>
      </c>
      <c r="N829" s="11" t="n">
        <f aca="false">J829/(J829+K829)</f>
        <v>0</v>
      </c>
      <c r="O829" s="11" t="str">
        <f aca="false">IF(J829+L829=0,"",J829/(J829+L829))</f>
        <v/>
      </c>
      <c r="P829" s="11" t="n">
        <f aca="false">2*J829/(2*J829+L829+K829)</f>
        <v>0</v>
      </c>
      <c r="Q829" s="11" t="n">
        <f aca="false">L829/(L829+M829)</f>
        <v>0</v>
      </c>
      <c r="R829" s="6" t="n">
        <v>0</v>
      </c>
      <c r="S829" s="11"/>
      <c r="T829" s="11" t="n">
        <v>0</v>
      </c>
      <c r="U829" s="11" t="n">
        <v>0.9</v>
      </c>
      <c r="V829" s="11" t="n">
        <v>0.9</v>
      </c>
    </row>
    <row r="830" customFormat="false" ht="15" hidden="false" customHeight="false" outlineLevel="0" collapsed="false">
      <c r="A830" s="6" t="s">
        <v>58</v>
      </c>
      <c r="B830" s="6" t="s">
        <v>59</v>
      </c>
      <c r="C830" s="6" t="s">
        <v>44</v>
      </c>
      <c r="D830" s="6" t="s">
        <v>114</v>
      </c>
      <c r="E830" s="6" t="n">
        <v>4</v>
      </c>
      <c r="F830" s="6" t="n">
        <v>6</v>
      </c>
      <c r="G830" s="6" t="s">
        <v>71</v>
      </c>
      <c r="H830" s="11" t="n">
        <v>0.05</v>
      </c>
      <c r="I830" s="6" t="n">
        <v>20</v>
      </c>
      <c r="J830" s="6" t="n">
        <v>0</v>
      </c>
      <c r="K830" s="6" t="n">
        <v>20</v>
      </c>
      <c r="L830" s="6" t="n">
        <v>0</v>
      </c>
      <c r="M830" s="6" t="n">
        <v>20</v>
      </c>
      <c r="N830" s="11" t="n">
        <f aca="false">J830/(J830+K830)</f>
        <v>0</v>
      </c>
      <c r="O830" s="11" t="str">
        <f aca="false">IF(J830+L830=0,"",J830/(J830+L830))</f>
        <v/>
      </c>
      <c r="P830" s="11" t="n">
        <f aca="false">2*J830/(2*J830+L830+K830)</f>
        <v>0</v>
      </c>
      <c r="Q830" s="11" t="n">
        <f aca="false">L830/(L830+M830)</f>
        <v>0</v>
      </c>
      <c r="R830" s="6" t="n">
        <v>0</v>
      </c>
      <c r="S830" s="11"/>
      <c r="T830" s="11" t="n">
        <v>0</v>
      </c>
      <c r="U830" s="11" t="n">
        <v>0.8</v>
      </c>
      <c r="V830" s="11" t="n">
        <v>0.8</v>
      </c>
    </row>
    <row r="831" customFormat="false" ht="15" hidden="false" customHeight="false" outlineLevel="0" collapsed="false">
      <c r="A831" s="6" t="s">
        <v>58</v>
      </c>
      <c r="B831" s="6" t="s">
        <v>59</v>
      </c>
      <c r="C831" s="6" t="s">
        <v>44</v>
      </c>
      <c r="D831" s="6" t="s">
        <v>114</v>
      </c>
      <c r="E831" s="6" t="n">
        <v>4</v>
      </c>
      <c r="F831" s="6" t="n">
        <v>6</v>
      </c>
      <c r="G831" s="6" t="s">
        <v>72</v>
      </c>
      <c r="H831" s="11" t="n">
        <v>0.05</v>
      </c>
      <c r="I831" s="6" t="n">
        <v>20</v>
      </c>
      <c r="J831" s="6" t="n">
        <v>0</v>
      </c>
      <c r="K831" s="6" t="n">
        <v>20</v>
      </c>
      <c r="L831" s="6" t="n">
        <v>0</v>
      </c>
      <c r="M831" s="6" t="n">
        <v>20</v>
      </c>
      <c r="N831" s="11" t="n">
        <f aca="false">J831/(J831+K831)</f>
        <v>0</v>
      </c>
      <c r="O831" s="11" t="str">
        <f aca="false">IF(J831+L831=0,"",J831/(J831+L831))</f>
        <v/>
      </c>
      <c r="P831" s="11" t="n">
        <f aca="false">2*J831/(2*J831+L831+K831)</f>
        <v>0</v>
      </c>
      <c r="Q831" s="11" t="n">
        <f aca="false">L831/(L831+M831)</f>
        <v>0</v>
      </c>
      <c r="R831" s="6" t="n">
        <v>1</v>
      </c>
      <c r="S831" s="11" t="n">
        <v>0</v>
      </c>
      <c r="T831" s="11" t="n">
        <v>0</v>
      </c>
      <c r="U831" s="11" t="n">
        <v>0.9</v>
      </c>
      <c r="V831" s="11" t="n">
        <v>0.9</v>
      </c>
    </row>
    <row r="832" customFormat="false" ht="15" hidden="false" customHeight="false" outlineLevel="0" collapsed="false">
      <c r="A832" s="6" t="s">
        <v>58</v>
      </c>
      <c r="B832" s="6" t="s">
        <v>59</v>
      </c>
      <c r="C832" s="6" t="s">
        <v>44</v>
      </c>
      <c r="D832" s="6" t="s">
        <v>114</v>
      </c>
      <c r="E832" s="6" t="n">
        <v>4</v>
      </c>
      <c r="F832" s="6" t="n">
        <v>6</v>
      </c>
      <c r="G832" s="6" t="s">
        <v>73</v>
      </c>
      <c r="H832" s="11" t="n">
        <v>0.05</v>
      </c>
      <c r="I832" s="6" t="n">
        <v>20</v>
      </c>
      <c r="J832" s="6" t="n">
        <v>0</v>
      </c>
      <c r="K832" s="6" t="n">
        <v>20</v>
      </c>
      <c r="L832" s="6" t="n">
        <v>0</v>
      </c>
      <c r="M832" s="6" t="n">
        <v>20</v>
      </c>
      <c r="N832" s="11" t="n">
        <f aca="false">J832/(J832+K832)</f>
        <v>0</v>
      </c>
      <c r="O832" s="11" t="str">
        <f aca="false">IF(J832+L832=0,"",J832/(J832+L832))</f>
        <v/>
      </c>
      <c r="P832" s="11" t="n">
        <f aca="false">2*J832/(2*J832+L832+K832)</f>
        <v>0</v>
      </c>
      <c r="Q832" s="11" t="n">
        <f aca="false">L832/(L832+M832)</f>
        <v>0</v>
      </c>
      <c r="R832" s="6" t="n">
        <v>0</v>
      </c>
      <c r="S832" s="11"/>
      <c r="T832" s="11" t="n">
        <v>0</v>
      </c>
      <c r="U832" s="11" t="n">
        <v>0.65</v>
      </c>
      <c r="V832" s="11" t="n">
        <v>0.65</v>
      </c>
    </row>
    <row r="833" customFormat="false" ht="15" hidden="false" customHeight="false" outlineLevel="0" collapsed="false">
      <c r="A833" s="6" t="s">
        <v>58</v>
      </c>
      <c r="B833" s="6" t="s">
        <v>59</v>
      </c>
      <c r="C833" s="6" t="s">
        <v>44</v>
      </c>
      <c r="D833" s="6" t="s">
        <v>114</v>
      </c>
      <c r="E833" s="6" t="n">
        <v>4</v>
      </c>
      <c r="F833" s="6" t="n">
        <v>6</v>
      </c>
      <c r="G833" s="6" t="s">
        <v>74</v>
      </c>
      <c r="H833" s="11" t="n">
        <v>0.05</v>
      </c>
      <c r="I833" s="6" t="n">
        <v>20</v>
      </c>
      <c r="J833" s="6" t="n">
        <v>1</v>
      </c>
      <c r="K833" s="6" t="n">
        <v>19</v>
      </c>
      <c r="L833" s="6" t="n">
        <v>1</v>
      </c>
      <c r="M833" s="6" t="n">
        <v>19</v>
      </c>
      <c r="N833" s="11" t="n">
        <f aca="false">J833/(J833+K833)</f>
        <v>0.05</v>
      </c>
      <c r="O833" s="11" t="n">
        <f aca="false">IF(J833+L833=0,"",J833/(J833+L833))</f>
        <v>0.5</v>
      </c>
      <c r="P833" s="11" t="n">
        <f aca="false">2*J833/(2*J833+L833+K833)</f>
        <v>0.0909090909090909</v>
      </c>
      <c r="Q833" s="11" t="n">
        <f aca="false">L833/(L833+M833)</f>
        <v>0.05</v>
      </c>
      <c r="R833" s="6" t="n">
        <v>2</v>
      </c>
      <c r="S833" s="11" t="n">
        <v>0</v>
      </c>
      <c r="T833" s="11" t="n">
        <v>0.0555555555555556</v>
      </c>
      <c r="U833" s="11" t="n">
        <v>0.85</v>
      </c>
      <c r="V833" s="11" t="n">
        <v>0.85</v>
      </c>
    </row>
    <row r="834" customFormat="false" ht="15" hidden="false" customHeight="false" outlineLevel="0" collapsed="false">
      <c r="A834" s="6" t="s">
        <v>58</v>
      </c>
      <c r="B834" s="6" t="s">
        <v>59</v>
      </c>
      <c r="C834" s="6" t="s">
        <v>44</v>
      </c>
      <c r="D834" s="6" t="s">
        <v>114</v>
      </c>
      <c r="E834" s="6" t="n">
        <v>4</v>
      </c>
      <c r="F834" s="6" t="n">
        <v>6</v>
      </c>
      <c r="G834" s="6" t="s">
        <v>75</v>
      </c>
      <c r="H834" s="11" t="n">
        <v>0.05</v>
      </c>
      <c r="I834" s="6" t="n">
        <v>20</v>
      </c>
      <c r="J834" s="6" t="n">
        <v>0</v>
      </c>
      <c r="K834" s="6" t="n">
        <v>20</v>
      </c>
      <c r="L834" s="6" t="n">
        <v>0</v>
      </c>
      <c r="M834" s="6" t="n">
        <v>20</v>
      </c>
      <c r="N834" s="11" t="n">
        <f aca="false">J834/(J834+K834)</f>
        <v>0</v>
      </c>
      <c r="O834" s="11" t="str">
        <f aca="false">IF(J834+L834=0,"",J834/(J834+L834))</f>
        <v/>
      </c>
      <c r="P834" s="11" t="n">
        <f aca="false">2*J834/(2*J834+L834+K834)</f>
        <v>0</v>
      </c>
      <c r="Q834" s="11" t="n">
        <f aca="false">L834/(L834+M834)</f>
        <v>0</v>
      </c>
      <c r="R834" s="6" t="n">
        <v>1</v>
      </c>
      <c r="S834" s="11" t="n">
        <v>0</v>
      </c>
      <c r="T834" s="11" t="n">
        <v>0</v>
      </c>
      <c r="U834" s="11" t="n">
        <v>0.9</v>
      </c>
      <c r="V834" s="11" t="n">
        <v>0.9</v>
      </c>
    </row>
    <row r="835" customFormat="false" ht="15" hidden="false" customHeight="false" outlineLevel="0" collapsed="false">
      <c r="A835" s="6" t="s">
        <v>58</v>
      </c>
      <c r="B835" s="6" t="s">
        <v>59</v>
      </c>
      <c r="C835" s="6" t="s">
        <v>44</v>
      </c>
      <c r="D835" s="6" t="s">
        <v>114</v>
      </c>
      <c r="E835" s="6" t="n">
        <v>4</v>
      </c>
      <c r="F835" s="6" t="n">
        <v>6</v>
      </c>
      <c r="G835" s="6" t="s">
        <v>76</v>
      </c>
      <c r="H835" s="11" t="n">
        <v>0.05</v>
      </c>
      <c r="I835" s="6" t="n">
        <v>20</v>
      </c>
      <c r="J835" s="6" t="n">
        <v>0</v>
      </c>
      <c r="K835" s="6" t="n">
        <v>20</v>
      </c>
      <c r="L835" s="6" t="n">
        <v>0</v>
      </c>
      <c r="M835" s="6" t="n">
        <v>20</v>
      </c>
      <c r="N835" s="11" t="n">
        <f aca="false">J835/(J835+K835)</f>
        <v>0</v>
      </c>
      <c r="O835" s="11" t="str">
        <f aca="false">IF(J835+L835=0,"",J835/(J835+L835))</f>
        <v/>
      </c>
      <c r="P835" s="11" t="n">
        <f aca="false">2*J835/(2*J835+L835+K835)</f>
        <v>0</v>
      </c>
      <c r="Q835" s="11" t="n">
        <f aca="false">L835/(L835+M835)</f>
        <v>0</v>
      </c>
      <c r="R835" s="6" t="n">
        <v>0</v>
      </c>
      <c r="S835" s="11"/>
      <c r="T835" s="11" t="n">
        <v>0</v>
      </c>
      <c r="U835" s="11" t="n">
        <v>0.95</v>
      </c>
      <c r="V835" s="11" t="n">
        <v>0.95</v>
      </c>
    </row>
    <row r="836" customFormat="false" ht="15" hidden="false" customHeight="false" outlineLevel="0" collapsed="false">
      <c r="A836" s="6" t="s">
        <v>58</v>
      </c>
      <c r="B836" s="6" t="s">
        <v>59</v>
      </c>
      <c r="C836" s="6" t="s">
        <v>44</v>
      </c>
      <c r="D836" s="6" t="s">
        <v>114</v>
      </c>
      <c r="E836" s="6" t="n">
        <v>4</v>
      </c>
      <c r="F836" s="6" t="n">
        <v>6</v>
      </c>
      <c r="G836" s="6" t="s">
        <v>77</v>
      </c>
      <c r="H836" s="11" t="n">
        <v>0.05</v>
      </c>
      <c r="I836" s="6" t="n">
        <v>20</v>
      </c>
      <c r="J836" s="6" t="n">
        <v>2</v>
      </c>
      <c r="K836" s="6" t="n">
        <v>18</v>
      </c>
      <c r="L836" s="6" t="n">
        <v>1</v>
      </c>
      <c r="M836" s="6" t="n">
        <v>19</v>
      </c>
      <c r="N836" s="11" t="n">
        <f aca="false">J836/(J836+K836)</f>
        <v>0.1</v>
      </c>
      <c r="O836" s="11" t="n">
        <f aca="false">IF(J836+L836=0,"",J836/(J836+L836))</f>
        <v>0.666666666666667</v>
      </c>
      <c r="P836" s="11" t="n">
        <f aca="false">2*J836/(2*J836+L836+K836)</f>
        <v>0.173913043478261</v>
      </c>
      <c r="Q836" s="11" t="n">
        <f aca="false">L836/(L836+M836)</f>
        <v>0.05</v>
      </c>
      <c r="R836" s="6" t="n">
        <v>0</v>
      </c>
      <c r="S836" s="11"/>
      <c r="T836" s="11" t="n">
        <v>0.1</v>
      </c>
      <c r="U836" s="11" t="n">
        <v>1</v>
      </c>
      <c r="V836" s="11" t="n">
        <v>1</v>
      </c>
    </row>
    <row r="837" customFormat="false" ht="15" hidden="false" customHeight="false" outlineLevel="0" collapsed="false">
      <c r="A837" s="6" t="s">
        <v>58</v>
      </c>
      <c r="B837" s="6" t="s">
        <v>59</v>
      </c>
      <c r="C837" s="6" t="s">
        <v>44</v>
      </c>
      <c r="D837" s="6" t="s">
        <v>114</v>
      </c>
      <c r="E837" s="6" t="n">
        <v>4</v>
      </c>
      <c r="F837" s="6" t="n">
        <v>6</v>
      </c>
      <c r="G837" s="6" t="s">
        <v>78</v>
      </c>
      <c r="H837" s="11" t="n">
        <v>0.05</v>
      </c>
      <c r="I837" s="6" t="n">
        <v>200</v>
      </c>
      <c r="J837" s="6" t="n">
        <v>7</v>
      </c>
      <c r="K837" s="6" t="n">
        <v>193</v>
      </c>
      <c r="L837" s="6" t="n">
        <v>4</v>
      </c>
      <c r="M837" s="6" t="n">
        <v>196</v>
      </c>
      <c r="N837" s="11" t="n">
        <f aca="false">J837/(J837+K837)</f>
        <v>0.035</v>
      </c>
      <c r="O837" s="11" t="n">
        <f aca="false">IF(J837+L837=0,"",J837/(J837+L837))</f>
        <v>0.636363636363636</v>
      </c>
      <c r="P837" s="11" t="n">
        <f aca="false">2*J837/(2*J837+L837+K837)</f>
        <v>0.0663507109004739</v>
      </c>
      <c r="Q837" s="11" t="n">
        <f aca="false">L837/(L837+M837)</f>
        <v>0.02</v>
      </c>
      <c r="R837" s="6" t="n">
        <v>4</v>
      </c>
      <c r="S837" s="11" t="n">
        <v>0</v>
      </c>
      <c r="T837" s="11" t="n">
        <v>0.0357142857142857</v>
      </c>
      <c r="U837" s="11" t="n">
        <v>0.88</v>
      </c>
      <c r="V837" s="11" t="n">
        <v>0.88</v>
      </c>
    </row>
    <row r="838" customFormat="false" ht="15" hidden="false" customHeight="false" outlineLevel="0" collapsed="false">
      <c r="A838" s="6" t="s">
        <v>58</v>
      </c>
      <c r="B838" s="6" t="s">
        <v>59</v>
      </c>
      <c r="C838" s="6" t="s">
        <v>44</v>
      </c>
      <c r="D838" s="6" t="s">
        <v>114</v>
      </c>
      <c r="E838" s="6" t="n">
        <v>4</v>
      </c>
      <c r="F838" s="6" t="n">
        <v>7</v>
      </c>
      <c r="G838" s="6" t="s">
        <v>68</v>
      </c>
      <c r="H838" s="11" t="n">
        <v>0.05</v>
      </c>
      <c r="I838" s="6" t="n">
        <v>20</v>
      </c>
      <c r="J838" s="6" t="n">
        <v>1</v>
      </c>
      <c r="K838" s="6" t="n">
        <v>19</v>
      </c>
      <c r="L838" s="6" t="n">
        <v>1</v>
      </c>
      <c r="M838" s="6" t="n">
        <v>19</v>
      </c>
      <c r="N838" s="11" t="n">
        <f aca="false">J838/(J838+K838)</f>
        <v>0.05</v>
      </c>
      <c r="O838" s="11" t="n">
        <f aca="false">IF(J838+L838=0,"",J838/(J838+L838))</f>
        <v>0.5</v>
      </c>
      <c r="P838" s="11" t="n">
        <f aca="false">2*J838/(2*J838+L838+K838)</f>
        <v>0.0909090909090909</v>
      </c>
      <c r="Q838" s="11" t="n">
        <f aca="false">L838/(L838+M838)</f>
        <v>0.05</v>
      </c>
      <c r="R838" s="6" t="n">
        <v>0</v>
      </c>
      <c r="S838" s="11"/>
      <c r="T838" s="11" t="n">
        <v>0.05</v>
      </c>
      <c r="U838" s="11" t="n">
        <v>0.85</v>
      </c>
      <c r="V838" s="11" t="n">
        <v>0.85</v>
      </c>
    </row>
    <row r="839" customFormat="false" ht="15" hidden="false" customHeight="false" outlineLevel="0" collapsed="false">
      <c r="A839" s="6" t="s">
        <v>58</v>
      </c>
      <c r="B839" s="6" t="s">
        <v>59</v>
      </c>
      <c r="C839" s="6" t="s">
        <v>44</v>
      </c>
      <c r="D839" s="6" t="s">
        <v>114</v>
      </c>
      <c r="E839" s="6" t="n">
        <v>4</v>
      </c>
      <c r="F839" s="6" t="n">
        <v>7</v>
      </c>
      <c r="G839" s="6" t="s">
        <v>69</v>
      </c>
      <c r="H839" s="11" t="n">
        <v>0.05</v>
      </c>
      <c r="I839" s="6" t="n">
        <v>20</v>
      </c>
      <c r="J839" s="6" t="n">
        <v>2</v>
      </c>
      <c r="K839" s="6" t="n">
        <v>18</v>
      </c>
      <c r="L839" s="6" t="n">
        <v>1</v>
      </c>
      <c r="M839" s="6" t="n">
        <v>19</v>
      </c>
      <c r="N839" s="11" t="n">
        <f aca="false">J839/(J839+K839)</f>
        <v>0.1</v>
      </c>
      <c r="O839" s="11" t="n">
        <f aca="false">IF(J839+L839=0,"",J839/(J839+L839))</f>
        <v>0.666666666666667</v>
      </c>
      <c r="P839" s="11" t="n">
        <f aca="false">2*J839/(2*J839+L839+K839)</f>
        <v>0.173913043478261</v>
      </c>
      <c r="Q839" s="11" t="n">
        <f aca="false">L839/(L839+M839)</f>
        <v>0.05</v>
      </c>
      <c r="R839" s="6" t="n">
        <v>0</v>
      </c>
      <c r="S839" s="11"/>
      <c r="T839" s="11" t="n">
        <v>0.1</v>
      </c>
      <c r="U839" s="11" t="n">
        <v>1</v>
      </c>
      <c r="V839" s="11" t="n">
        <v>1</v>
      </c>
    </row>
    <row r="840" customFormat="false" ht="15" hidden="false" customHeight="false" outlineLevel="0" collapsed="false">
      <c r="A840" s="6" t="s">
        <v>58</v>
      </c>
      <c r="B840" s="6" t="s">
        <v>59</v>
      </c>
      <c r="C840" s="6" t="s">
        <v>44</v>
      </c>
      <c r="D840" s="6" t="s">
        <v>114</v>
      </c>
      <c r="E840" s="6" t="n">
        <v>4</v>
      </c>
      <c r="F840" s="6" t="n">
        <v>7</v>
      </c>
      <c r="G840" s="6" t="s">
        <v>70</v>
      </c>
      <c r="H840" s="11" t="n">
        <v>0.05</v>
      </c>
      <c r="I840" s="6" t="n">
        <v>20</v>
      </c>
      <c r="J840" s="6" t="n">
        <v>0</v>
      </c>
      <c r="K840" s="6" t="n">
        <v>20</v>
      </c>
      <c r="L840" s="6" t="n">
        <v>0</v>
      </c>
      <c r="M840" s="6" t="n">
        <v>20</v>
      </c>
      <c r="N840" s="11" t="n">
        <f aca="false">J840/(J840+K840)</f>
        <v>0</v>
      </c>
      <c r="O840" s="11" t="str">
        <f aca="false">IF(J840+L840=0,"",J840/(J840+L840))</f>
        <v/>
      </c>
      <c r="P840" s="11" t="n">
        <f aca="false">2*J840/(2*J840+L840+K840)</f>
        <v>0</v>
      </c>
      <c r="Q840" s="11" t="n">
        <f aca="false">L840/(L840+M840)</f>
        <v>0</v>
      </c>
      <c r="R840" s="6" t="n">
        <v>0</v>
      </c>
      <c r="S840" s="11"/>
      <c r="T840" s="11" t="n">
        <v>0</v>
      </c>
      <c r="U840" s="11" t="n">
        <v>0.9</v>
      </c>
      <c r="V840" s="11" t="n">
        <v>0.9</v>
      </c>
    </row>
    <row r="841" customFormat="false" ht="15" hidden="false" customHeight="false" outlineLevel="0" collapsed="false">
      <c r="A841" s="6" t="s">
        <v>58</v>
      </c>
      <c r="B841" s="6" t="s">
        <v>59</v>
      </c>
      <c r="C841" s="6" t="s">
        <v>44</v>
      </c>
      <c r="D841" s="6" t="s">
        <v>114</v>
      </c>
      <c r="E841" s="6" t="n">
        <v>4</v>
      </c>
      <c r="F841" s="6" t="n">
        <v>7</v>
      </c>
      <c r="G841" s="6" t="s">
        <v>71</v>
      </c>
      <c r="H841" s="11" t="n">
        <v>0.05</v>
      </c>
      <c r="I841" s="6" t="n">
        <v>20</v>
      </c>
      <c r="J841" s="6" t="n">
        <v>1</v>
      </c>
      <c r="K841" s="6" t="n">
        <v>19</v>
      </c>
      <c r="L841" s="6" t="n">
        <v>0</v>
      </c>
      <c r="M841" s="6" t="n">
        <v>20</v>
      </c>
      <c r="N841" s="11" t="n">
        <f aca="false">J841/(J841+K841)</f>
        <v>0.05</v>
      </c>
      <c r="O841" s="11" t="n">
        <f aca="false">IF(J841+L841=0,"",J841/(J841+L841))</f>
        <v>1</v>
      </c>
      <c r="P841" s="11" t="n">
        <f aca="false">2*J841/(2*J841+L841+K841)</f>
        <v>0.0952380952380952</v>
      </c>
      <c r="Q841" s="11" t="n">
        <f aca="false">L841/(L841+M841)</f>
        <v>0</v>
      </c>
      <c r="R841" s="6" t="n">
        <v>0</v>
      </c>
      <c r="S841" s="11"/>
      <c r="T841" s="11" t="n">
        <v>0.05</v>
      </c>
      <c r="U841" s="11" t="n">
        <v>0.8</v>
      </c>
      <c r="V841" s="11" t="n">
        <v>0.8</v>
      </c>
    </row>
    <row r="842" customFormat="false" ht="15" hidden="false" customHeight="false" outlineLevel="0" collapsed="false">
      <c r="A842" s="6" t="s">
        <v>58</v>
      </c>
      <c r="B842" s="6" t="s">
        <v>59</v>
      </c>
      <c r="C842" s="6" t="s">
        <v>44</v>
      </c>
      <c r="D842" s="6" t="s">
        <v>114</v>
      </c>
      <c r="E842" s="6" t="n">
        <v>4</v>
      </c>
      <c r="F842" s="6" t="n">
        <v>7</v>
      </c>
      <c r="G842" s="6" t="s">
        <v>72</v>
      </c>
      <c r="H842" s="11" t="n">
        <v>0.05</v>
      </c>
      <c r="I842" s="6" t="n">
        <v>20</v>
      </c>
      <c r="J842" s="6" t="n">
        <v>1</v>
      </c>
      <c r="K842" s="6" t="n">
        <v>19</v>
      </c>
      <c r="L842" s="6" t="n">
        <v>0</v>
      </c>
      <c r="M842" s="6" t="n">
        <v>20</v>
      </c>
      <c r="N842" s="11" t="n">
        <f aca="false">J842/(J842+K842)</f>
        <v>0.05</v>
      </c>
      <c r="O842" s="11" t="n">
        <f aca="false">IF(J842+L842=0,"",J842/(J842+L842))</f>
        <v>1</v>
      </c>
      <c r="P842" s="11" t="n">
        <f aca="false">2*J842/(2*J842+L842+K842)</f>
        <v>0.0952380952380952</v>
      </c>
      <c r="Q842" s="11" t="n">
        <f aca="false">L842/(L842+M842)</f>
        <v>0</v>
      </c>
      <c r="R842" s="6" t="n">
        <v>0</v>
      </c>
      <c r="S842" s="11"/>
      <c r="T842" s="11" t="n">
        <v>0.05</v>
      </c>
      <c r="U842" s="11" t="n">
        <v>0.9</v>
      </c>
      <c r="V842" s="11" t="n">
        <v>0.9</v>
      </c>
    </row>
    <row r="843" customFormat="false" ht="15" hidden="false" customHeight="false" outlineLevel="0" collapsed="false">
      <c r="A843" s="6" t="s">
        <v>58</v>
      </c>
      <c r="B843" s="6" t="s">
        <v>59</v>
      </c>
      <c r="C843" s="6" t="s">
        <v>44</v>
      </c>
      <c r="D843" s="6" t="s">
        <v>114</v>
      </c>
      <c r="E843" s="6" t="n">
        <v>4</v>
      </c>
      <c r="F843" s="6" t="n">
        <v>7</v>
      </c>
      <c r="G843" s="6" t="s">
        <v>73</v>
      </c>
      <c r="H843" s="11" t="n">
        <v>0.05</v>
      </c>
      <c r="I843" s="6" t="n">
        <v>20</v>
      </c>
      <c r="J843" s="6" t="n">
        <v>0</v>
      </c>
      <c r="K843" s="6" t="n">
        <v>20</v>
      </c>
      <c r="L843" s="6" t="n">
        <v>0</v>
      </c>
      <c r="M843" s="6" t="n">
        <v>20</v>
      </c>
      <c r="N843" s="11" t="n">
        <f aca="false">J843/(J843+K843)</f>
        <v>0</v>
      </c>
      <c r="O843" s="11" t="str">
        <f aca="false">IF(J843+L843=0,"",J843/(J843+L843))</f>
        <v/>
      </c>
      <c r="P843" s="11" t="n">
        <f aca="false">2*J843/(2*J843+L843+K843)</f>
        <v>0</v>
      </c>
      <c r="Q843" s="11" t="n">
        <f aca="false">L843/(L843+M843)</f>
        <v>0</v>
      </c>
      <c r="R843" s="6" t="n">
        <v>2</v>
      </c>
      <c r="S843" s="11" t="n">
        <v>0</v>
      </c>
      <c r="T843" s="11" t="n">
        <v>0</v>
      </c>
      <c r="U843" s="11" t="n">
        <v>0.65</v>
      </c>
      <c r="V843" s="11" t="n">
        <v>0.65</v>
      </c>
    </row>
    <row r="844" customFormat="false" ht="15" hidden="false" customHeight="false" outlineLevel="0" collapsed="false">
      <c r="A844" s="6" t="s">
        <v>58</v>
      </c>
      <c r="B844" s="6" t="s">
        <v>59</v>
      </c>
      <c r="C844" s="6" t="s">
        <v>44</v>
      </c>
      <c r="D844" s="6" t="s">
        <v>114</v>
      </c>
      <c r="E844" s="6" t="n">
        <v>4</v>
      </c>
      <c r="F844" s="6" t="n">
        <v>7</v>
      </c>
      <c r="G844" s="6" t="s">
        <v>74</v>
      </c>
      <c r="H844" s="11" t="n">
        <v>0.05</v>
      </c>
      <c r="I844" s="6" t="n">
        <v>20</v>
      </c>
      <c r="J844" s="6" t="n">
        <v>1</v>
      </c>
      <c r="K844" s="6" t="n">
        <v>19</v>
      </c>
      <c r="L844" s="6" t="n">
        <v>1</v>
      </c>
      <c r="M844" s="6" t="n">
        <v>19</v>
      </c>
      <c r="N844" s="11" t="n">
        <f aca="false">J844/(J844+K844)</f>
        <v>0.05</v>
      </c>
      <c r="O844" s="11" t="n">
        <f aca="false">IF(J844+L844=0,"",J844/(J844+L844))</f>
        <v>0.5</v>
      </c>
      <c r="P844" s="11" t="n">
        <f aca="false">2*J844/(2*J844+L844+K844)</f>
        <v>0.0909090909090909</v>
      </c>
      <c r="Q844" s="11" t="n">
        <f aca="false">L844/(L844+M844)</f>
        <v>0.05</v>
      </c>
      <c r="R844" s="6" t="n">
        <v>1</v>
      </c>
      <c r="S844" s="11" t="n">
        <v>0</v>
      </c>
      <c r="T844" s="11" t="n">
        <v>0.0526315789473684</v>
      </c>
      <c r="U844" s="11" t="n">
        <v>0.85</v>
      </c>
      <c r="V844" s="11" t="n">
        <v>0.8</v>
      </c>
    </row>
    <row r="845" customFormat="false" ht="15" hidden="false" customHeight="false" outlineLevel="0" collapsed="false">
      <c r="A845" s="6" t="s">
        <v>58</v>
      </c>
      <c r="B845" s="6" t="s">
        <v>59</v>
      </c>
      <c r="C845" s="6" t="s">
        <v>44</v>
      </c>
      <c r="D845" s="6" t="s">
        <v>114</v>
      </c>
      <c r="E845" s="6" t="n">
        <v>4</v>
      </c>
      <c r="F845" s="6" t="n">
        <v>7</v>
      </c>
      <c r="G845" s="6" t="s">
        <v>75</v>
      </c>
      <c r="H845" s="11" t="n">
        <v>0.05</v>
      </c>
      <c r="I845" s="6" t="n">
        <v>20</v>
      </c>
      <c r="J845" s="6" t="n">
        <v>0</v>
      </c>
      <c r="K845" s="6" t="n">
        <v>20</v>
      </c>
      <c r="L845" s="6" t="n">
        <v>0</v>
      </c>
      <c r="M845" s="6" t="n">
        <v>20</v>
      </c>
      <c r="N845" s="11" t="n">
        <f aca="false">J845/(J845+K845)</f>
        <v>0</v>
      </c>
      <c r="O845" s="11" t="str">
        <f aca="false">IF(J845+L845=0,"",J845/(J845+L845))</f>
        <v/>
      </c>
      <c r="P845" s="11" t="n">
        <f aca="false">2*J845/(2*J845+L845+K845)</f>
        <v>0</v>
      </c>
      <c r="Q845" s="11" t="n">
        <f aca="false">L845/(L845+M845)</f>
        <v>0</v>
      </c>
      <c r="R845" s="6" t="n">
        <v>1</v>
      </c>
      <c r="S845" s="11" t="n">
        <v>0</v>
      </c>
      <c r="T845" s="11" t="n">
        <v>0</v>
      </c>
      <c r="U845" s="11" t="n">
        <v>0.9</v>
      </c>
      <c r="V845" s="11" t="n">
        <v>0.85</v>
      </c>
    </row>
    <row r="846" customFormat="false" ht="15" hidden="false" customHeight="false" outlineLevel="0" collapsed="false">
      <c r="A846" s="6" t="s">
        <v>58</v>
      </c>
      <c r="B846" s="6" t="s">
        <v>59</v>
      </c>
      <c r="C846" s="6" t="s">
        <v>44</v>
      </c>
      <c r="D846" s="6" t="s">
        <v>114</v>
      </c>
      <c r="E846" s="6" t="n">
        <v>4</v>
      </c>
      <c r="F846" s="6" t="n">
        <v>7</v>
      </c>
      <c r="G846" s="6" t="s">
        <v>76</v>
      </c>
      <c r="H846" s="11" t="n">
        <v>0.05</v>
      </c>
      <c r="I846" s="6" t="n">
        <v>20</v>
      </c>
      <c r="J846" s="6" t="n">
        <v>0</v>
      </c>
      <c r="K846" s="6" t="n">
        <v>20</v>
      </c>
      <c r="L846" s="6" t="n">
        <v>0</v>
      </c>
      <c r="M846" s="6" t="n">
        <v>20</v>
      </c>
      <c r="N846" s="11" t="n">
        <f aca="false">J846/(J846+K846)</f>
        <v>0</v>
      </c>
      <c r="O846" s="11" t="str">
        <f aca="false">IF(J846+L846=0,"",J846/(J846+L846))</f>
        <v/>
      </c>
      <c r="P846" s="11" t="n">
        <f aca="false">2*J846/(2*J846+L846+K846)</f>
        <v>0</v>
      </c>
      <c r="Q846" s="11" t="n">
        <f aca="false">L846/(L846+M846)</f>
        <v>0</v>
      </c>
      <c r="R846" s="6" t="n">
        <v>0</v>
      </c>
      <c r="S846" s="11"/>
      <c r="T846" s="11" t="n">
        <v>0</v>
      </c>
      <c r="U846" s="11" t="n">
        <v>0.95</v>
      </c>
      <c r="V846" s="11" t="n">
        <v>0.95</v>
      </c>
    </row>
    <row r="847" customFormat="false" ht="15" hidden="false" customHeight="false" outlineLevel="0" collapsed="false">
      <c r="A847" s="6" t="s">
        <v>58</v>
      </c>
      <c r="B847" s="6" t="s">
        <v>59</v>
      </c>
      <c r="C847" s="6" t="s">
        <v>44</v>
      </c>
      <c r="D847" s="6" t="s">
        <v>114</v>
      </c>
      <c r="E847" s="6" t="n">
        <v>4</v>
      </c>
      <c r="F847" s="6" t="n">
        <v>7</v>
      </c>
      <c r="G847" s="6" t="s">
        <v>77</v>
      </c>
      <c r="H847" s="11" t="n">
        <v>0.05</v>
      </c>
      <c r="I847" s="6" t="n">
        <v>20</v>
      </c>
      <c r="J847" s="6" t="n">
        <v>2</v>
      </c>
      <c r="K847" s="6" t="n">
        <v>18</v>
      </c>
      <c r="L847" s="6" t="n">
        <v>1</v>
      </c>
      <c r="M847" s="6" t="n">
        <v>19</v>
      </c>
      <c r="N847" s="11" t="n">
        <f aca="false">J847/(J847+K847)</f>
        <v>0.1</v>
      </c>
      <c r="O847" s="11" t="n">
        <f aca="false">IF(J847+L847=0,"",J847/(J847+L847))</f>
        <v>0.666666666666667</v>
      </c>
      <c r="P847" s="11" t="n">
        <f aca="false">2*J847/(2*J847+L847+K847)</f>
        <v>0.173913043478261</v>
      </c>
      <c r="Q847" s="11" t="n">
        <f aca="false">L847/(L847+M847)</f>
        <v>0.05</v>
      </c>
      <c r="R847" s="6" t="n">
        <v>0</v>
      </c>
      <c r="S847" s="11"/>
      <c r="T847" s="11" t="n">
        <v>0.1</v>
      </c>
      <c r="U847" s="11" t="n">
        <v>1</v>
      </c>
      <c r="V847" s="11" t="n">
        <v>1</v>
      </c>
    </row>
    <row r="848" customFormat="false" ht="15" hidden="false" customHeight="false" outlineLevel="0" collapsed="false">
      <c r="A848" s="6" t="s">
        <v>58</v>
      </c>
      <c r="B848" s="6" t="s">
        <v>59</v>
      </c>
      <c r="C848" s="6" t="s">
        <v>44</v>
      </c>
      <c r="D848" s="6" t="s">
        <v>114</v>
      </c>
      <c r="E848" s="6" t="n">
        <v>4</v>
      </c>
      <c r="F848" s="6" t="n">
        <v>7</v>
      </c>
      <c r="G848" s="6" t="s">
        <v>78</v>
      </c>
      <c r="H848" s="11" t="n">
        <v>0.05</v>
      </c>
      <c r="I848" s="6" t="n">
        <v>200</v>
      </c>
      <c r="J848" s="6" t="n">
        <v>8</v>
      </c>
      <c r="K848" s="6" t="n">
        <v>192</v>
      </c>
      <c r="L848" s="6" t="n">
        <v>4</v>
      </c>
      <c r="M848" s="6" t="n">
        <v>196</v>
      </c>
      <c r="N848" s="11" t="n">
        <f aca="false">J848/(J848+K848)</f>
        <v>0.04</v>
      </c>
      <c r="O848" s="11" t="n">
        <f aca="false">IF(J848+L848=0,"",J848/(J848+L848))</f>
        <v>0.666666666666667</v>
      </c>
      <c r="P848" s="11" t="n">
        <f aca="false">2*J848/(2*J848+L848+K848)</f>
        <v>0.0754716981132075</v>
      </c>
      <c r="Q848" s="11" t="n">
        <f aca="false">L848/(L848+M848)</f>
        <v>0.02</v>
      </c>
      <c r="R848" s="6" t="n">
        <v>4</v>
      </c>
      <c r="S848" s="11" t="n">
        <v>0</v>
      </c>
      <c r="T848" s="11" t="n">
        <v>0.0408163265306122</v>
      </c>
      <c r="U848" s="11" t="n">
        <v>0.88</v>
      </c>
      <c r="V848" s="11" t="n">
        <v>0.87</v>
      </c>
    </row>
    <row r="849" customFormat="false" ht="15" hidden="false" customHeight="false" outlineLevel="0" collapsed="false">
      <c r="A849" s="6" t="s">
        <v>58</v>
      </c>
      <c r="B849" s="6" t="s">
        <v>59</v>
      </c>
      <c r="C849" s="6" t="s">
        <v>44</v>
      </c>
      <c r="D849" s="6" t="s">
        <v>114</v>
      </c>
      <c r="E849" s="6" t="n">
        <v>4</v>
      </c>
      <c r="F849" s="6" t="n">
        <v>8</v>
      </c>
      <c r="G849" s="6" t="s">
        <v>68</v>
      </c>
      <c r="H849" s="11" t="n">
        <v>0.05</v>
      </c>
      <c r="I849" s="6" t="n">
        <v>20</v>
      </c>
      <c r="J849" s="6" t="n">
        <v>2</v>
      </c>
      <c r="K849" s="6" t="n">
        <v>18</v>
      </c>
      <c r="L849" s="6" t="n">
        <v>1</v>
      </c>
      <c r="M849" s="6" t="n">
        <v>19</v>
      </c>
      <c r="N849" s="11" t="n">
        <f aca="false">J849/(J849+K849)</f>
        <v>0.1</v>
      </c>
      <c r="O849" s="11" t="n">
        <f aca="false">IF(J849+L849=0,"",J849/(J849+L849))</f>
        <v>0.666666666666667</v>
      </c>
      <c r="P849" s="11" t="n">
        <f aca="false">2*J849/(2*J849+L849+K849)</f>
        <v>0.173913043478261</v>
      </c>
      <c r="Q849" s="11" t="n">
        <f aca="false">L849/(L849+M849)</f>
        <v>0.05</v>
      </c>
      <c r="R849" s="6" t="n">
        <v>0</v>
      </c>
      <c r="S849" s="11"/>
      <c r="T849" s="11" t="n">
        <v>0.1</v>
      </c>
      <c r="U849" s="11" t="n">
        <v>0.85</v>
      </c>
      <c r="V849" s="11" t="n">
        <v>0.85</v>
      </c>
    </row>
    <row r="850" customFormat="false" ht="15" hidden="false" customHeight="false" outlineLevel="0" collapsed="false">
      <c r="A850" s="6" t="s">
        <v>58</v>
      </c>
      <c r="B850" s="6" t="s">
        <v>59</v>
      </c>
      <c r="C850" s="6" t="s">
        <v>44</v>
      </c>
      <c r="D850" s="6" t="s">
        <v>114</v>
      </c>
      <c r="E850" s="6" t="n">
        <v>4</v>
      </c>
      <c r="F850" s="6" t="n">
        <v>8</v>
      </c>
      <c r="G850" s="6" t="s">
        <v>69</v>
      </c>
      <c r="H850" s="11" t="n">
        <v>0.05</v>
      </c>
      <c r="I850" s="6" t="n">
        <v>20</v>
      </c>
      <c r="J850" s="6" t="n">
        <v>2</v>
      </c>
      <c r="K850" s="6" t="n">
        <v>18</v>
      </c>
      <c r="L850" s="6" t="n">
        <v>1</v>
      </c>
      <c r="M850" s="6" t="n">
        <v>19</v>
      </c>
      <c r="N850" s="11" t="n">
        <f aca="false">J850/(J850+K850)</f>
        <v>0.1</v>
      </c>
      <c r="O850" s="11" t="n">
        <f aca="false">IF(J850+L850=0,"",J850/(J850+L850))</f>
        <v>0.666666666666667</v>
      </c>
      <c r="P850" s="11" t="n">
        <f aca="false">2*J850/(2*J850+L850+K850)</f>
        <v>0.173913043478261</v>
      </c>
      <c r="Q850" s="11" t="n">
        <f aca="false">L850/(L850+M850)</f>
        <v>0.05</v>
      </c>
      <c r="R850" s="6" t="n">
        <v>0</v>
      </c>
      <c r="S850" s="11"/>
      <c r="T850" s="11" t="n">
        <v>0.1</v>
      </c>
      <c r="U850" s="11" t="n">
        <v>1</v>
      </c>
      <c r="V850" s="11" t="n">
        <v>1</v>
      </c>
    </row>
    <row r="851" customFormat="false" ht="15" hidden="false" customHeight="false" outlineLevel="0" collapsed="false">
      <c r="A851" s="6" t="s">
        <v>58</v>
      </c>
      <c r="B851" s="6" t="s">
        <v>59</v>
      </c>
      <c r="C851" s="6" t="s">
        <v>44</v>
      </c>
      <c r="D851" s="6" t="s">
        <v>114</v>
      </c>
      <c r="E851" s="6" t="n">
        <v>4</v>
      </c>
      <c r="F851" s="6" t="n">
        <v>8</v>
      </c>
      <c r="G851" s="6" t="s">
        <v>70</v>
      </c>
      <c r="H851" s="11" t="n">
        <v>0.05</v>
      </c>
      <c r="I851" s="6" t="n">
        <v>20</v>
      </c>
      <c r="J851" s="6" t="n">
        <v>0</v>
      </c>
      <c r="K851" s="6" t="n">
        <v>20</v>
      </c>
      <c r="L851" s="6" t="n">
        <v>0</v>
      </c>
      <c r="M851" s="6" t="n">
        <v>20</v>
      </c>
      <c r="N851" s="11" t="n">
        <f aca="false">J851/(J851+K851)</f>
        <v>0</v>
      </c>
      <c r="O851" s="11" t="str">
        <f aca="false">IF(J851+L851=0,"",J851/(J851+L851))</f>
        <v/>
      </c>
      <c r="P851" s="11" t="n">
        <f aca="false">2*J851/(2*J851+L851+K851)</f>
        <v>0</v>
      </c>
      <c r="Q851" s="11" t="n">
        <f aca="false">L851/(L851+M851)</f>
        <v>0</v>
      </c>
      <c r="R851" s="6" t="n">
        <v>0</v>
      </c>
      <c r="S851" s="11"/>
      <c r="T851" s="11" t="n">
        <v>0</v>
      </c>
      <c r="U851" s="11" t="n">
        <v>0.9</v>
      </c>
      <c r="V851" s="11" t="n">
        <v>0.9</v>
      </c>
    </row>
    <row r="852" customFormat="false" ht="15" hidden="false" customHeight="false" outlineLevel="0" collapsed="false">
      <c r="A852" s="6" t="s">
        <v>58</v>
      </c>
      <c r="B852" s="6" t="s">
        <v>59</v>
      </c>
      <c r="C852" s="6" t="s">
        <v>44</v>
      </c>
      <c r="D852" s="6" t="s">
        <v>114</v>
      </c>
      <c r="E852" s="6" t="n">
        <v>4</v>
      </c>
      <c r="F852" s="6" t="n">
        <v>8</v>
      </c>
      <c r="G852" s="6" t="s">
        <v>71</v>
      </c>
      <c r="H852" s="11" t="n">
        <v>0.05</v>
      </c>
      <c r="I852" s="6" t="n">
        <v>20</v>
      </c>
      <c r="J852" s="6" t="n">
        <v>1</v>
      </c>
      <c r="K852" s="6" t="n">
        <v>19</v>
      </c>
      <c r="L852" s="6" t="n">
        <v>0</v>
      </c>
      <c r="M852" s="6" t="n">
        <v>20</v>
      </c>
      <c r="N852" s="11" t="n">
        <f aca="false">J852/(J852+K852)</f>
        <v>0.05</v>
      </c>
      <c r="O852" s="11" t="n">
        <f aca="false">IF(J852+L852=0,"",J852/(J852+L852))</f>
        <v>1</v>
      </c>
      <c r="P852" s="11" t="n">
        <f aca="false">2*J852/(2*J852+L852+K852)</f>
        <v>0.0952380952380952</v>
      </c>
      <c r="Q852" s="11" t="n">
        <f aca="false">L852/(L852+M852)</f>
        <v>0</v>
      </c>
      <c r="R852" s="6" t="n">
        <v>0</v>
      </c>
      <c r="S852" s="11"/>
      <c r="T852" s="11" t="n">
        <v>0.05</v>
      </c>
      <c r="U852" s="11" t="n">
        <v>0.8</v>
      </c>
      <c r="V852" s="11" t="n">
        <v>0.8</v>
      </c>
    </row>
    <row r="853" customFormat="false" ht="15" hidden="false" customHeight="false" outlineLevel="0" collapsed="false">
      <c r="A853" s="6" t="s">
        <v>58</v>
      </c>
      <c r="B853" s="6" t="s">
        <v>59</v>
      </c>
      <c r="C853" s="6" t="s">
        <v>44</v>
      </c>
      <c r="D853" s="6" t="s">
        <v>114</v>
      </c>
      <c r="E853" s="6" t="n">
        <v>4</v>
      </c>
      <c r="F853" s="6" t="n">
        <v>8</v>
      </c>
      <c r="G853" s="6" t="s">
        <v>72</v>
      </c>
      <c r="H853" s="11" t="n">
        <v>0.05</v>
      </c>
      <c r="I853" s="6" t="n">
        <v>20</v>
      </c>
      <c r="J853" s="6" t="n">
        <v>1</v>
      </c>
      <c r="K853" s="6" t="n">
        <v>19</v>
      </c>
      <c r="L853" s="6" t="n">
        <v>0</v>
      </c>
      <c r="M853" s="6" t="n">
        <v>20</v>
      </c>
      <c r="N853" s="11" t="n">
        <f aca="false">J853/(J853+K853)</f>
        <v>0.05</v>
      </c>
      <c r="O853" s="11" t="n">
        <f aca="false">IF(J853+L853=0,"",J853/(J853+L853))</f>
        <v>1</v>
      </c>
      <c r="P853" s="11" t="n">
        <f aca="false">2*J853/(2*J853+L853+K853)</f>
        <v>0.0952380952380952</v>
      </c>
      <c r="Q853" s="11" t="n">
        <f aca="false">L853/(L853+M853)</f>
        <v>0</v>
      </c>
      <c r="R853" s="6" t="n">
        <v>0</v>
      </c>
      <c r="S853" s="11"/>
      <c r="T853" s="11" t="n">
        <v>0.05</v>
      </c>
      <c r="U853" s="11" t="n">
        <v>0.9</v>
      </c>
      <c r="V853" s="11" t="n">
        <v>0.9</v>
      </c>
    </row>
    <row r="854" customFormat="false" ht="15" hidden="false" customHeight="false" outlineLevel="0" collapsed="false">
      <c r="A854" s="6" t="s">
        <v>58</v>
      </c>
      <c r="B854" s="6" t="s">
        <v>59</v>
      </c>
      <c r="C854" s="6" t="s">
        <v>44</v>
      </c>
      <c r="D854" s="6" t="s">
        <v>114</v>
      </c>
      <c r="E854" s="6" t="n">
        <v>4</v>
      </c>
      <c r="F854" s="6" t="n">
        <v>8</v>
      </c>
      <c r="G854" s="6" t="s">
        <v>73</v>
      </c>
      <c r="H854" s="11" t="n">
        <v>0.05</v>
      </c>
      <c r="I854" s="6" t="n">
        <v>20</v>
      </c>
      <c r="J854" s="6" t="n">
        <v>0</v>
      </c>
      <c r="K854" s="6" t="n">
        <v>20</v>
      </c>
      <c r="L854" s="6" t="n">
        <v>0</v>
      </c>
      <c r="M854" s="6" t="n">
        <v>20</v>
      </c>
      <c r="N854" s="11" t="n">
        <f aca="false">J854/(J854+K854)</f>
        <v>0</v>
      </c>
      <c r="O854" s="11" t="str">
        <f aca="false">IF(J854+L854=0,"",J854/(J854+L854))</f>
        <v/>
      </c>
      <c r="P854" s="11" t="n">
        <f aca="false">2*J854/(2*J854+L854+K854)</f>
        <v>0</v>
      </c>
      <c r="Q854" s="11" t="n">
        <f aca="false">L854/(L854+M854)</f>
        <v>0</v>
      </c>
      <c r="R854" s="6" t="n">
        <v>1</v>
      </c>
      <c r="S854" s="11" t="n">
        <v>0</v>
      </c>
      <c r="T854" s="11" t="n">
        <v>0</v>
      </c>
      <c r="U854" s="11" t="n">
        <v>0.65</v>
      </c>
      <c r="V854" s="11" t="n">
        <v>0.65</v>
      </c>
    </row>
    <row r="855" customFormat="false" ht="15" hidden="false" customHeight="false" outlineLevel="0" collapsed="false">
      <c r="A855" s="6" t="s">
        <v>58</v>
      </c>
      <c r="B855" s="6" t="s">
        <v>59</v>
      </c>
      <c r="C855" s="6" t="s">
        <v>44</v>
      </c>
      <c r="D855" s="6" t="s">
        <v>114</v>
      </c>
      <c r="E855" s="6" t="n">
        <v>4</v>
      </c>
      <c r="F855" s="6" t="n">
        <v>8</v>
      </c>
      <c r="G855" s="6" t="s">
        <v>74</v>
      </c>
      <c r="H855" s="11" t="n">
        <v>0.05</v>
      </c>
      <c r="I855" s="6" t="n">
        <v>20</v>
      </c>
      <c r="J855" s="6" t="n">
        <v>1</v>
      </c>
      <c r="K855" s="6" t="n">
        <v>19</v>
      </c>
      <c r="L855" s="6" t="n">
        <v>1</v>
      </c>
      <c r="M855" s="6" t="n">
        <v>19</v>
      </c>
      <c r="N855" s="11" t="n">
        <f aca="false">J855/(J855+K855)</f>
        <v>0.05</v>
      </c>
      <c r="O855" s="11" t="n">
        <f aca="false">IF(J855+L855=0,"",J855/(J855+L855))</f>
        <v>0.5</v>
      </c>
      <c r="P855" s="11" t="n">
        <f aca="false">2*J855/(2*J855+L855+K855)</f>
        <v>0.0909090909090909</v>
      </c>
      <c r="Q855" s="11" t="n">
        <f aca="false">L855/(L855+M855)</f>
        <v>0.05</v>
      </c>
      <c r="R855" s="6" t="n">
        <v>3</v>
      </c>
      <c r="S855" s="11" t="n">
        <v>0.333333333333333</v>
      </c>
      <c r="T855" s="11" t="n">
        <v>0</v>
      </c>
      <c r="U855" s="11" t="n">
        <v>0.85</v>
      </c>
      <c r="V855" s="11" t="n">
        <v>0.7</v>
      </c>
    </row>
    <row r="856" customFormat="false" ht="15" hidden="false" customHeight="false" outlineLevel="0" collapsed="false">
      <c r="A856" s="6" t="s">
        <v>58</v>
      </c>
      <c r="B856" s="6" t="s">
        <v>59</v>
      </c>
      <c r="C856" s="6" t="s">
        <v>44</v>
      </c>
      <c r="D856" s="6" t="s">
        <v>114</v>
      </c>
      <c r="E856" s="6" t="n">
        <v>4</v>
      </c>
      <c r="F856" s="6" t="n">
        <v>8</v>
      </c>
      <c r="G856" s="6" t="s">
        <v>75</v>
      </c>
      <c r="H856" s="11" t="n">
        <v>0.05</v>
      </c>
      <c r="I856" s="6" t="n">
        <v>20</v>
      </c>
      <c r="J856" s="6" t="n">
        <v>0</v>
      </c>
      <c r="K856" s="6" t="n">
        <v>20</v>
      </c>
      <c r="L856" s="6" t="n">
        <v>0</v>
      </c>
      <c r="M856" s="6" t="n">
        <v>20</v>
      </c>
      <c r="N856" s="11" t="n">
        <f aca="false">J856/(J856+K856)</f>
        <v>0</v>
      </c>
      <c r="O856" s="11" t="str">
        <f aca="false">IF(J856+L856=0,"",J856/(J856+L856))</f>
        <v/>
      </c>
      <c r="P856" s="11" t="n">
        <f aca="false">2*J856/(2*J856+L856+K856)</f>
        <v>0</v>
      </c>
      <c r="Q856" s="11" t="n">
        <f aca="false">L856/(L856+M856)</f>
        <v>0</v>
      </c>
      <c r="R856" s="6" t="n">
        <v>1</v>
      </c>
      <c r="S856" s="11" t="n">
        <v>0</v>
      </c>
      <c r="T856" s="11" t="n">
        <v>0</v>
      </c>
      <c r="U856" s="11" t="n">
        <v>0.9</v>
      </c>
      <c r="V856" s="11" t="n">
        <v>0.95</v>
      </c>
    </row>
    <row r="857" customFormat="false" ht="15" hidden="false" customHeight="false" outlineLevel="0" collapsed="false">
      <c r="A857" s="6" t="s">
        <v>58</v>
      </c>
      <c r="B857" s="6" t="s">
        <v>59</v>
      </c>
      <c r="C857" s="6" t="s">
        <v>44</v>
      </c>
      <c r="D857" s="6" t="s">
        <v>114</v>
      </c>
      <c r="E857" s="6" t="n">
        <v>4</v>
      </c>
      <c r="F857" s="6" t="n">
        <v>8</v>
      </c>
      <c r="G857" s="6" t="s">
        <v>76</v>
      </c>
      <c r="H857" s="11" t="n">
        <v>0.05</v>
      </c>
      <c r="I857" s="6" t="n">
        <v>20</v>
      </c>
      <c r="J857" s="6" t="n">
        <v>0</v>
      </c>
      <c r="K857" s="6" t="n">
        <v>20</v>
      </c>
      <c r="L857" s="6" t="n">
        <v>0</v>
      </c>
      <c r="M857" s="6" t="n">
        <v>20</v>
      </c>
      <c r="N857" s="11" t="n">
        <f aca="false">J857/(J857+K857)</f>
        <v>0</v>
      </c>
      <c r="O857" s="11" t="str">
        <f aca="false">IF(J857+L857=0,"",J857/(J857+L857))</f>
        <v/>
      </c>
      <c r="P857" s="11" t="n">
        <f aca="false">2*J857/(2*J857+L857+K857)</f>
        <v>0</v>
      </c>
      <c r="Q857" s="11" t="n">
        <f aca="false">L857/(L857+M857)</f>
        <v>0</v>
      </c>
      <c r="R857" s="6" t="n">
        <v>0</v>
      </c>
      <c r="S857" s="11"/>
      <c r="T857" s="11" t="n">
        <v>0</v>
      </c>
      <c r="U857" s="11" t="n">
        <v>0.95</v>
      </c>
      <c r="V857" s="11" t="n">
        <v>0.95</v>
      </c>
    </row>
    <row r="858" customFormat="false" ht="15" hidden="false" customHeight="false" outlineLevel="0" collapsed="false">
      <c r="A858" s="6" t="s">
        <v>58</v>
      </c>
      <c r="B858" s="6" t="s">
        <v>59</v>
      </c>
      <c r="C858" s="6" t="s">
        <v>44</v>
      </c>
      <c r="D858" s="6" t="s">
        <v>114</v>
      </c>
      <c r="E858" s="6" t="n">
        <v>4</v>
      </c>
      <c r="F858" s="6" t="n">
        <v>8</v>
      </c>
      <c r="G858" s="6" t="s">
        <v>77</v>
      </c>
      <c r="H858" s="11" t="n">
        <v>0.05</v>
      </c>
      <c r="I858" s="6" t="n">
        <v>20</v>
      </c>
      <c r="J858" s="6" t="n">
        <v>2</v>
      </c>
      <c r="K858" s="6" t="n">
        <v>18</v>
      </c>
      <c r="L858" s="6" t="n">
        <v>1</v>
      </c>
      <c r="M858" s="6" t="n">
        <v>19</v>
      </c>
      <c r="N858" s="11" t="n">
        <f aca="false">J858/(J858+K858)</f>
        <v>0.1</v>
      </c>
      <c r="O858" s="11" t="n">
        <f aca="false">IF(J858+L858=0,"",J858/(J858+L858))</f>
        <v>0.666666666666667</v>
      </c>
      <c r="P858" s="11" t="n">
        <f aca="false">2*J858/(2*J858+L858+K858)</f>
        <v>0.173913043478261</v>
      </c>
      <c r="Q858" s="11" t="n">
        <f aca="false">L858/(L858+M858)</f>
        <v>0.05</v>
      </c>
      <c r="R858" s="6" t="n">
        <v>0</v>
      </c>
      <c r="S858" s="11"/>
      <c r="T858" s="11" t="n">
        <v>0.1</v>
      </c>
      <c r="U858" s="11" t="n">
        <v>1</v>
      </c>
      <c r="V858" s="11" t="n">
        <v>1</v>
      </c>
    </row>
    <row r="859" customFormat="false" ht="15" hidden="false" customHeight="false" outlineLevel="0" collapsed="false">
      <c r="A859" s="6" t="s">
        <v>58</v>
      </c>
      <c r="B859" s="6" t="s">
        <v>59</v>
      </c>
      <c r="C859" s="6" t="s">
        <v>44</v>
      </c>
      <c r="D859" s="6" t="s">
        <v>114</v>
      </c>
      <c r="E859" s="6" t="n">
        <v>4</v>
      </c>
      <c r="F859" s="6" t="n">
        <v>8</v>
      </c>
      <c r="G859" s="6" t="s">
        <v>78</v>
      </c>
      <c r="H859" s="11" t="n">
        <v>0.05</v>
      </c>
      <c r="I859" s="6" t="n">
        <v>200</v>
      </c>
      <c r="J859" s="6" t="n">
        <v>9</v>
      </c>
      <c r="K859" s="6" t="n">
        <v>191</v>
      </c>
      <c r="L859" s="6" t="n">
        <v>4</v>
      </c>
      <c r="M859" s="6" t="n">
        <v>196</v>
      </c>
      <c r="N859" s="11" t="n">
        <f aca="false">J859/(J859+K859)</f>
        <v>0.045</v>
      </c>
      <c r="O859" s="11" t="n">
        <f aca="false">IF(J859+L859=0,"",J859/(J859+L859))</f>
        <v>0.692307692307692</v>
      </c>
      <c r="P859" s="11" t="n">
        <f aca="false">2*J859/(2*J859+L859+K859)</f>
        <v>0.0845070422535211</v>
      </c>
      <c r="Q859" s="11" t="n">
        <f aca="false">L859/(L859+M859)</f>
        <v>0.02</v>
      </c>
      <c r="R859" s="6" t="n">
        <v>5</v>
      </c>
      <c r="S859" s="11" t="n">
        <v>0.2</v>
      </c>
      <c r="T859" s="11" t="n">
        <v>0.041025641025641</v>
      </c>
      <c r="U859" s="11" t="n">
        <v>0.88</v>
      </c>
      <c r="V859" s="11" t="n">
        <v>0.87</v>
      </c>
    </row>
    <row r="860" customFormat="false" ht="15" hidden="false" customHeight="false" outlineLevel="0" collapsed="false">
      <c r="A860" s="6" t="s">
        <v>58</v>
      </c>
      <c r="B860" s="6" t="s">
        <v>59</v>
      </c>
      <c r="C860" s="6" t="s">
        <v>44</v>
      </c>
      <c r="D860" s="6" t="s">
        <v>114</v>
      </c>
      <c r="E860" s="6" t="n">
        <v>4</v>
      </c>
      <c r="F860" s="6" t="n">
        <v>9</v>
      </c>
      <c r="G860" s="6" t="s">
        <v>68</v>
      </c>
      <c r="H860" s="11" t="n">
        <v>0.05</v>
      </c>
      <c r="I860" s="6" t="n">
        <v>20</v>
      </c>
      <c r="J860" s="6" t="n">
        <v>1</v>
      </c>
      <c r="K860" s="6" t="n">
        <v>19</v>
      </c>
      <c r="L860" s="6" t="n">
        <v>1</v>
      </c>
      <c r="M860" s="6" t="n">
        <v>19</v>
      </c>
      <c r="N860" s="11" t="n">
        <f aca="false">J860/(J860+K860)</f>
        <v>0.05</v>
      </c>
      <c r="O860" s="11" t="n">
        <f aca="false">IF(J860+L860=0,"",J860/(J860+L860))</f>
        <v>0.5</v>
      </c>
      <c r="P860" s="11" t="n">
        <f aca="false">2*J860/(2*J860+L860+K860)</f>
        <v>0.0909090909090909</v>
      </c>
      <c r="Q860" s="11" t="n">
        <f aca="false">L860/(L860+M860)</f>
        <v>0.05</v>
      </c>
      <c r="R860" s="6" t="n">
        <v>0</v>
      </c>
      <c r="S860" s="11"/>
      <c r="T860" s="11" t="n">
        <v>0.05</v>
      </c>
      <c r="U860" s="11" t="n">
        <v>0.85</v>
      </c>
      <c r="V860" s="11" t="n">
        <v>0.85</v>
      </c>
    </row>
    <row r="861" customFormat="false" ht="15" hidden="false" customHeight="false" outlineLevel="0" collapsed="false">
      <c r="A861" s="6" t="s">
        <v>58</v>
      </c>
      <c r="B861" s="6" t="s">
        <v>59</v>
      </c>
      <c r="C861" s="6" t="s">
        <v>44</v>
      </c>
      <c r="D861" s="6" t="s">
        <v>114</v>
      </c>
      <c r="E861" s="6" t="n">
        <v>4</v>
      </c>
      <c r="F861" s="6" t="n">
        <v>9</v>
      </c>
      <c r="G861" s="6" t="s">
        <v>69</v>
      </c>
      <c r="H861" s="11" t="n">
        <v>0.05</v>
      </c>
      <c r="I861" s="6" t="n">
        <v>20</v>
      </c>
      <c r="J861" s="6" t="n">
        <v>1</v>
      </c>
      <c r="K861" s="6" t="n">
        <v>19</v>
      </c>
      <c r="L861" s="6" t="n">
        <v>1</v>
      </c>
      <c r="M861" s="6" t="n">
        <v>19</v>
      </c>
      <c r="N861" s="11" t="n">
        <f aca="false">J861/(J861+K861)</f>
        <v>0.05</v>
      </c>
      <c r="O861" s="11" t="n">
        <f aca="false">IF(J861+L861=0,"",J861/(J861+L861))</f>
        <v>0.5</v>
      </c>
      <c r="P861" s="11" t="n">
        <f aca="false">2*J861/(2*J861+L861+K861)</f>
        <v>0.0909090909090909</v>
      </c>
      <c r="Q861" s="11" t="n">
        <f aca="false">L861/(L861+M861)</f>
        <v>0.05</v>
      </c>
      <c r="R861" s="6" t="n">
        <v>1</v>
      </c>
      <c r="S861" s="11" t="n">
        <v>0</v>
      </c>
      <c r="T861" s="11" t="n">
        <v>0.0526315789473684</v>
      </c>
      <c r="U861" s="11" t="n">
        <v>1</v>
      </c>
      <c r="V861" s="11" t="n">
        <v>0.95</v>
      </c>
    </row>
    <row r="862" customFormat="false" ht="15" hidden="false" customHeight="false" outlineLevel="0" collapsed="false">
      <c r="A862" s="6" t="s">
        <v>58</v>
      </c>
      <c r="B862" s="6" t="s">
        <v>59</v>
      </c>
      <c r="C862" s="6" t="s">
        <v>44</v>
      </c>
      <c r="D862" s="6" t="s">
        <v>114</v>
      </c>
      <c r="E862" s="6" t="n">
        <v>4</v>
      </c>
      <c r="F862" s="6" t="n">
        <v>9</v>
      </c>
      <c r="G862" s="6" t="s">
        <v>70</v>
      </c>
      <c r="H862" s="11" t="n">
        <v>0.05</v>
      </c>
      <c r="I862" s="6" t="n">
        <v>20</v>
      </c>
      <c r="J862" s="6" t="n">
        <v>1</v>
      </c>
      <c r="K862" s="6" t="n">
        <v>19</v>
      </c>
      <c r="L862" s="6" t="n">
        <v>0</v>
      </c>
      <c r="M862" s="6" t="n">
        <v>20</v>
      </c>
      <c r="N862" s="11" t="n">
        <f aca="false">J862/(J862+K862)</f>
        <v>0.05</v>
      </c>
      <c r="O862" s="11" t="n">
        <f aca="false">IF(J862+L862=0,"",J862/(J862+L862))</f>
        <v>1</v>
      </c>
      <c r="P862" s="11" t="n">
        <f aca="false">2*J862/(2*J862+L862+K862)</f>
        <v>0.0952380952380952</v>
      </c>
      <c r="Q862" s="11" t="n">
        <f aca="false">L862/(L862+M862)</f>
        <v>0</v>
      </c>
      <c r="R862" s="6" t="n">
        <v>0</v>
      </c>
      <c r="S862" s="11"/>
      <c r="T862" s="11" t="n">
        <v>0.05</v>
      </c>
      <c r="U862" s="11" t="n">
        <v>0.9</v>
      </c>
      <c r="V862" s="11" t="n">
        <v>0.9</v>
      </c>
    </row>
    <row r="863" customFormat="false" ht="15" hidden="false" customHeight="false" outlineLevel="0" collapsed="false">
      <c r="A863" s="6" t="s">
        <v>58</v>
      </c>
      <c r="B863" s="6" t="s">
        <v>59</v>
      </c>
      <c r="C863" s="6" t="s">
        <v>44</v>
      </c>
      <c r="D863" s="6" t="s">
        <v>114</v>
      </c>
      <c r="E863" s="6" t="n">
        <v>4</v>
      </c>
      <c r="F863" s="6" t="n">
        <v>9</v>
      </c>
      <c r="G863" s="6" t="s">
        <v>71</v>
      </c>
      <c r="H863" s="11" t="n">
        <v>0.05</v>
      </c>
      <c r="I863" s="6" t="n">
        <v>20</v>
      </c>
      <c r="J863" s="6" t="n">
        <v>1</v>
      </c>
      <c r="K863" s="6" t="n">
        <v>19</v>
      </c>
      <c r="L863" s="6" t="n">
        <v>0</v>
      </c>
      <c r="M863" s="6" t="n">
        <v>20</v>
      </c>
      <c r="N863" s="11" t="n">
        <f aca="false">J863/(J863+K863)</f>
        <v>0.05</v>
      </c>
      <c r="O863" s="11" t="n">
        <f aca="false">IF(J863+L863=0,"",J863/(J863+L863))</f>
        <v>1</v>
      </c>
      <c r="P863" s="11" t="n">
        <f aca="false">2*J863/(2*J863+L863+K863)</f>
        <v>0.0952380952380952</v>
      </c>
      <c r="Q863" s="11" t="n">
        <f aca="false">L863/(L863+M863)</f>
        <v>0</v>
      </c>
      <c r="R863" s="6" t="n">
        <v>1</v>
      </c>
      <c r="S863" s="11" t="n">
        <v>0</v>
      </c>
      <c r="T863" s="11" t="n">
        <v>0.0526315789473684</v>
      </c>
      <c r="U863" s="11" t="n">
        <v>0.8</v>
      </c>
      <c r="V863" s="11" t="n">
        <v>0.8</v>
      </c>
    </row>
    <row r="864" customFormat="false" ht="15" hidden="false" customHeight="false" outlineLevel="0" collapsed="false">
      <c r="A864" s="6" t="s">
        <v>58</v>
      </c>
      <c r="B864" s="6" t="s">
        <v>59</v>
      </c>
      <c r="C864" s="6" t="s">
        <v>44</v>
      </c>
      <c r="D864" s="6" t="s">
        <v>114</v>
      </c>
      <c r="E864" s="6" t="n">
        <v>4</v>
      </c>
      <c r="F864" s="6" t="n">
        <v>9</v>
      </c>
      <c r="G864" s="6" t="s">
        <v>72</v>
      </c>
      <c r="H864" s="11" t="n">
        <v>0.05</v>
      </c>
      <c r="I864" s="6" t="n">
        <v>20</v>
      </c>
      <c r="J864" s="6" t="n">
        <v>0</v>
      </c>
      <c r="K864" s="6" t="n">
        <v>20</v>
      </c>
      <c r="L864" s="6" t="n">
        <v>0</v>
      </c>
      <c r="M864" s="6" t="n">
        <v>20</v>
      </c>
      <c r="N864" s="11" t="n">
        <f aca="false">J864/(J864+K864)</f>
        <v>0</v>
      </c>
      <c r="O864" s="11" t="str">
        <f aca="false">IF(J864+L864=0,"",J864/(J864+L864))</f>
        <v/>
      </c>
      <c r="P864" s="11" t="n">
        <f aca="false">2*J864/(2*J864+L864+K864)</f>
        <v>0</v>
      </c>
      <c r="Q864" s="11" t="n">
        <f aca="false">L864/(L864+M864)</f>
        <v>0</v>
      </c>
      <c r="R864" s="6" t="n">
        <v>1</v>
      </c>
      <c r="S864" s="11" t="n">
        <v>0</v>
      </c>
      <c r="T864" s="11" t="n">
        <v>0</v>
      </c>
      <c r="U864" s="11" t="n">
        <v>0.9</v>
      </c>
      <c r="V864" s="11" t="n">
        <v>0.9</v>
      </c>
    </row>
    <row r="865" customFormat="false" ht="15" hidden="false" customHeight="false" outlineLevel="0" collapsed="false">
      <c r="A865" s="6" t="s">
        <v>58</v>
      </c>
      <c r="B865" s="6" t="s">
        <v>59</v>
      </c>
      <c r="C865" s="6" t="s">
        <v>44</v>
      </c>
      <c r="D865" s="6" t="s">
        <v>114</v>
      </c>
      <c r="E865" s="6" t="n">
        <v>4</v>
      </c>
      <c r="F865" s="6" t="n">
        <v>9</v>
      </c>
      <c r="G865" s="6" t="s">
        <v>73</v>
      </c>
      <c r="H865" s="11" t="n">
        <v>0.05</v>
      </c>
      <c r="I865" s="6" t="n">
        <v>20</v>
      </c>
      <c r="J865" s="6" t="n">
        <v>1</v>
      </c>
      <c r="K865" s="6" t="n">
        <v>19</v>
      </c>
      <c r="L865" s="6" t="n">
        <v>0</v>
      </c>
      <c r="M865" s="6" t="n">
        <v>20</v>
      </c>
      <c r="N865" s="11" t="n">
        <f aca="false">J865/(J865+K865)</f>
        <v>0.05</v>
      </c>
      <c r="O865" s="11" t="n">
        <f aca="false">IF(J865+L865=0,"",J865/(J865+L865))</f>
        <v>1</v>
      </c>
      <c r="P865" s="11" t="n">
        <f aca="false">2*J865/(2*J865+L865+K865)</f>
        <v>0.0952380952380952</v>
      </c>
      <c r="Q865" s="11" t="n">
        <f aca="false">L865/(L865+M865)</f>
        <v>0</v>
      </c>
      <c r="R865" s="6" t="n">
        <v>1</v>
      </c>
      <c r="S865" s="11" t="n">
        <v>0</v>
      </c>
      <c r="T865" s="11" t="n">
        <v>0.0526315789473684</v>
      </c>
      <c r="U865" s="11" t="n">
        <v>0.65</v>
      </c>
      <c r="V865" s="11" t="n">
        <v>0.6</v>
      </c>
    </row>
    <row r="866" customFormat="false" ht="15" hidden="false" customHeight="false" outlineLevel="0" collapsed="false">
      <c r="A866" s="6" t="s">
        <v>58</v>
      </c>
      <c r="B866" s="6" t="s">
        <v>59</v>
      </c>
      <c r="C866" s="6" t="s">
        <v>44</v>
      </c>
      <c r="D866" s="6" t="s">
        <v>114</v>
      </c>
      <c r="E866" s="6" t="n">
        <v>4</v>
      </c>
      <c r="F866" s="6" t="n">
        <v>9</v>
      </c>
      <c r="G866" s="6" t="s">
        <v>74</v>
      </c>
      <c r="H866" s="11" t="n">
        <v>0.05</v>
      </c>
      <c r="I866" s="6" t="n">
        <v>20</v>
      </c>
      <c r="J866" s="6" t="n">
        <v>1</v>
      </c>
      <c r="K866" s="6" t="n">
        <v>19</v>
      </c>
      <c r="L866" s="6" t="n">
        <v>1</v>
      </c>
      <c r="M866" s="6" t="n">
        <v>19</v>
      </c>
      <c r="N866" s="11" t="n">
        <f aca="false">J866/(J866+K866)</f>
        <v>0.05</v>
      </c>
      <c r="O866" s="11" t="n">
        <f aca="false">IF(J866+L866=0,"",J866/(J866+L866))</f>
        <v>0.5</v>
      </c>
      <c r="P866" s="11" t="n">
        <f aca="false">2*J866/(2*J866+L866+K866)</f>
        <v>0.0909090909090909</v>
      </c>
      <c r="Q866" s="11" t="n">
        <f aca="false">L866/(L866+M866)</f>
        <v>0.05</v>
      </c>
      <c r="R866" s="6" t="n">
        <v>2</v>
      </c>
      <c r="S866" s="11" t="n">
        <v>0.5</v>
      </c>
      <c r="T866" s="11" t="n">
        <v>0</v>
      </c>
      <c r="U866" s="11" t="n">
        <v>0.85</v>
      </c>
      <c r="V866" s="11" t="n">
        <v>0.85</v>
      </c>
    </row>
    <row r="867" customFormat="false" ht="15" hidden="false" customHeight="false" outlineLevel="0" collapsed="false">
      <c r="A867" s="6" t="s">
        <v>58</v>
      </c>
      <c r="B867" s="6" t="s">
        <v>59</v>
      </c>
      <c r="C867" s="6" t="s">
        <v>44</v>
      </c>
      <c r="D867" s="6" t="s">
        <v>114</v>
      </c>
      <c r="E867" s="6" t="n">
        <v>4</v>
      </c>
      <c r="F867" s="6" t="n">
        <v>9</v>
      </c>
      <c r="G867" s="6" t="s">
        <v>75</v>
      </c>
      <c r="H867" s="11" t="n">
        <v>0.05</v>
      </c>
      <c r="I867" s="6" t="n">
        <v>20</v>
      </c>
      <c r="J867" s="6" t="n">
        <v>0</v>
      </c>
      <c r="K867" s="6" t="n">
        <v>20</v>
      </c>
      <c r="L867" s="6" t="n">
        <v>0</v>
      </c>
      <c r="M867" s="6" t="n">
        <v>20</v>
      </c>
      <c r="N867" s="11" t="n">
        <f aca="false">J867/(J867+K867)</f>
        <v>0</v>
      </c>
      <c r="O867" s="11" t="str">
        <f aca="false">IF(J867+L867=0,"",J867/(J867+L867))</f>
        <v/>
      </c>
      <c r="P867" s="11" t="n">
        <f aca="false">2*J867/(2*J867+L867+K867)</f>
        <v>0</v>
      </c>
      <c r="Q867" s="11" t="n">
        <f aca="false">L867/(L867+M867)</f>
        <v>0</v>
      </c>
      <c r="R867" s="6" t="n">
        <v>0</v>
      </c>
      <c r="S867" s="11"/>
      <c r="T867" s="11" t="n">
        <v>0</v>
      </c>
      <c r="U867" s="11" t="n">
        <v>0.9</v>
      </c>
      <c r="V867" s="11" t="n">
        <v>0.9</v>
      </c>
    </row>
    <row r="868" customFormat="false" ht="15" hidden="false" customHeight="false" outlineLevel="0" collapsed="false">
      <c r="A868" s="6" t="s">
        <v>58</v>
      </c>
      <c r="B868" s="6" t="s">
        <v>59</v>
      </c>
      <c r="C868" s="6" t="s">
        <v>44</v>
      </c>
      <c r="D868" s="6" t="s">
        <v>114</v>
      </c>
      <c r="E868" s="6" t="n">
        <v>4</v>
      </c>
      <c r="F868" s="6" t="n">
        <v>9</v>
      </c>
      <c r="G868" s="6" t="s">
        <v>76</v>
      </c>
      <c r="H868" s="11" t="n">
        <v>0.05</v>
      </c>
      <c r="I868" s="6" t="n">
        <v>20</v>
      </c>
      <c r="J868" s="6" t="n">
        <v>0</v>
      </c>
      <c r="K868" s="6" t="n">
        <v>20</v>
      </c>
      <c r="L868" s="6" t="n">
        <v>0</v>
      </c>
      <c r="M868" s="6" t="n">
        <v>20</v>
      </c>
      <c r="N868" s="11" t="n">
        <f aca="false">J868/(J868+K868)</f>
        <v>0</v>
      </c>
      <c r="O868" s="11" t="str">
        <f aca="false">IF(J868+L868=0,"",J868/(J868+L868))</f>
        <v/>
      </c>
      <c r="P868" s="11" t="n">
        <f aca="false">2*J868/(2*J868+L868+K868)</f>
        <v>0</v>
      </c>
      <c r="Q868" s="11" t="n">
        <f aca="false">L868/(L868+M868)</f>
        <v>0</v>
      </c>
      <c r="R868" s="6" t="n">
        <v>0</v>
      </c>
      <c r="S868" s="11"/>
      <c r="T868" s="11" t="n">
        <v>0</v>
      </c>
      <c r="U868" s="11" t="n">
        <v>0.95</v>
      </c>
      <c r="V868" s="11" t="n">
        <v>0.95</v>
      </c>
    </row>
    <row r="869" customFormat="false" ht="15" hidden="false" customHeight="false" outlineLevel="0" collapsed="false">
      <c r="A869" s="6" t="s">
        <v>58</v>
      </c>
      <c r="B869" s="6" t="s">
        <v>59</v>
      </c>
      <c r="C869" s="6" t="s">
        <v>44</v>
      </c>
      <c r="D869" s="6" t="s">
        <v>114</v>
      </c>
      <c r="E869" s="6" t="n">
        <v>4</v>
      </c>
      <c r="F869" s="6" t="n">
        <v>9</v>
      </c>
      <c r="G869" s="6" t="s">
        <v>77</v>
      </c>
      <c r="H869" s="11" t="n">
        <v>0.05</v>
      </c>
      <c r="I869" s="6" t="n">
        <v>20</v>
      </c>
      <c r="J869" s="6" t="n">
        <v>1</v>
      </c>
      <c r="K869" s="6" t="n">
        <v>19</v>
      </c>
      <c r="L869" s="6" t="n">
        <v>1</v>
      </c>
      <c r="M869" s="6" t="n">
        <v>19</v>
      </c>
      <c r="N869" s="11" t="n">
        <f aca="false">J869/(J869+K869)</f>
        <v>0.05</v>
      </c>
      <c r="O869" s="11" t="n">
        <f aca="false">IF(J869+L869=0,"",J869/(J869+L869))</f>
        <v>0.5</v>
      </c>
      <c r="P869" s="11" t="n">
        <f aca="false">2*J869/(2*J869+L869+K869)</f>
        <v>0.0909090909090909</v>
      </c>
      <c r="Q869" s="11" t="n">
        <f aca="false">L869/(L869+M869)</f>
        <v>0.05</v>
      </c>
      <c r="R869" s="6" t="n">
        <v>0</v>
      </c>
      <c r="S869" s="11"/>
      <c r="T869" s="11" t="n">
        <v>0.05</v>
      </c>
      <c r="U869" s="11" t="n">
        <v>1</v>
      </c>
      <c r="V869" s="11" t="n">
        <v>1</v>
      </c>
    </row>
    <row r="870" customFormat="false" ht="15" hidden="false" customHeight="false" outlineLevel="0" collapsed="false">
      <c r="A870" s="6" t="s">
        <v>58</v>
      </c>
      <c r="B870" s="6" t="s">
        <v>59</v>
      </c>
      <c r="C870" s="6" t="s">
        <v>44</v>
      </c>
      <c r="D870" s="6" t="s">
        <v>114</v>
      </c>
      <c r="E870" s="6" t="n">
        <v>4</v>
      </c>
      <c r="F870" s="6" t="n">
        <v>9</v>
      </c>
      <c r="G870" s="6" t="s">
        <v>78</v>
      </c>
      <c r="H870" s="11" t="n">
        <v>0.05</v>
      </c>
      <c r="I870" s="6" t="n">
        <v>200</v>
      </c>
      <c r="J870" s="6" t="n">
        <v>7</v>
      </c>
      <c r="K870" s="6" t="n">
        <v>193</v>
      </c>
      <c r="L870" s="6" t="n">
        <v>4</v>
      </c>
      <c r="M870" s="6" t="n">
        <v>196</v>
      </c>
      <c r="N870" s="11" t="n">
        <f aca="false">J870/(J870+K870)</f>
        <v>0.035</v>
      </c>
      <c r="O870" s="11" t="n">
        <f aca="false">IF(J870+L870=0,"",J870/(J870+L870))</f>
        <v>0.636363636363636</v>
      </c>
      <c r="P870" s="11" t="n">
        <f aca="false">2*J870/(2*J870+L870+K870)</f>
        <v>0.0663507109004739</v>
      </c>
      <c r="Q870" s="11" t="n">
        <f aca="false">L870/(L870+M870)</f>
        <v>0.02</v>
      </c>
      <c r="R870" s="6" t="n">
        <v>6</v>
      </c>
      <c r="S870" s="11" t="n">
        <v>0.166666666666667</v>
      </c>
      <c r="T870" s="11" t="n">
        <v>0.0309278350515464</v>
      </c>
      <c r="U870" s="11" t="n">
        <v>0.88</v>
      </c>
      <c r="V870" s="11" t="n">
        <v>0.87</v>
      </c>
    </row>
    <row r="871" customFormat="false" ht="15" hidden="false" customHeight="false" outlineLevel="0" collapsed="false">
      <c r="A871" s="6" t="s">
        <v>58</v>
      </c>
      <c r="B871" s="6" t="s">
        <v>59</v>
      </c>
      <c r="C871" s="6" t="s">
        <v>44</v>
      </c>
      <c r="D871" s="6" t="s">
        <v>114</v>
      </c>
      <c r="E871" s="6" t="n">
        <v>4</v>
      </c>
      <c r="F871" s="6" t="n">
        <v>10</v>
      </c>
      <c r="G871" s="6" t="s">
        <v>68</v>
      </c>
      <c r="H871" s="11" t="n">
        <v>0.05</v>
      </c>
      <c r="I871" s="6" t="n">
        <v>20</v>
      </c>
      <c r="J871" s="6" t="n">
        <v>1</v>
      </c>
      <c r="K871" s="6" t="n">
        <v>19</v>
      </c>
      <c r="L871" s="6" t="n">
        <v>1</v>
      </c>
      <c r="M871" s="6" t="n">
        <v>19</v>
      </c>
      <c r="N871" s="11" t="n">
        <f aca="false">J871/(J871+K871)</f>
        <v>0.05</v>
      </c>
      <c r="O871" s="11" t="n">
        <f aca="false">IF(J871+L871=0,"",J871/(J871+L871))</f>
        <v>0.5</v>
      </c>
      <c r="P871" s="11" t="n">
        <f aca="false">2*J871/(2*J871+L871+K871)</f>
        <v>0.0909090909090909</v>
      </c>
      <c r="Q871" s="11" t="n">
        <f aca="false">L871/(L871+M871)</f>
        <v>0.05</v>
      </c>
      <c r="R871" s="6" t="n">
        <v>1</v>
      </c>
      <c r="S871" s="11" t="n">
        <v>0</v>
      </c>
      <c r="T871" s="11" t="n">
        <v>0.0526315789473684</v>
      </c>
      <c r="U871" s="11" t="n">
        <v>0.85</v>
      </c>
      <c r="V871" s="11" t="n">
        <v>0.8</v>
      </c>
    </row>
    <row r="872" customFormat="false" ht="15" hidden="false" customHeight="false" outlineLevel="0" collapsed="false">
      <c r="A872" s="6" t="s">
        <v>58</v>
      </c>
      <c r="B872" s="6" t="s">
        <v>59</v>
      </c>
      <c r="C872" s="6" t="s">
        <v>44</v>
      </c>
      <c r="D872" s="6" t="s">
        <v>114</v>
      </c>
      <c r="E872" s="6" t="n">
        <v>4</v>
      </c>
      <c r="F872" s="6" t="n">
        <v>10</v>
      </c>
      <c r="G872" s="6" t="s">
        <v>69</v>
      </c>
      <c r="H872" s="11" t="n">
        <v>0.05</v>
      </c>
      <c r="I872" s="6" t="n">
        <v>20</v>
      </c>
      <c r="J872" s="6" t="n">
        <v>1</v>
      </c>
      <c r="K872" s="6" t="n">
        <v>19</v>
      </c>
      <c r="L872" s="6" t="n">
        <v>1</v>
      </c>
      <c r="M872" s="6" t="n">
        <v>19</v>
      </c>
      <c r="N872" s="11" t="n">
        <f aca="false">J872/(J872+K872)</f>
        <v>0.05</v>
      </c>
      <c r="O872" s="11" t="n">
        <f aca="false">IF(J872+L872=0,"",J872/(J872+L872))</f>
        <v>0.5</v>
      </c>
      <c r="P872" s="11" t="n">
        <f aca="false">2*J872/(2*J872+L872+K872)</f>
        <v>0.0909090909090909</v>
      </c>
      <c r="Q872" s="11" t="n">
        <f aca="false">L872/(L872+M872)</f>
        <v>0.05</v>
      </c>
      <c r="R872" s="6" t="n">
        <v>0</v>
      </c>
      <c r="S872" s="11"/>
      <c r="T872" s="11" t="n">
        <v>0.05</v>
      </c>
      <c r="U872" s="11" t="n">
        <v>1</v>
      </c>
      <c r="V872" s="11" t="n">
        <v>1</v>
      </c>
    </row>
    <row r="873" customFormat="false" ht="15" hidden="false" customHeight="false" outlineLevel="0" collapsed="false">
      <c r="A873" s="6" t="s">
        <v>58</v>
      </c>
      <c r="B873" s="6" t="s">
        <v>59</v>
      </c>
      <c r="C873" s="6" t="s">
        <v>44</v>
      </c>
      <c r="D873" s="6" t="s">
        <v>114</v>
      </c>
      <c r="E873" s="6" t="n">
        <v>4</v>
      </c>
      <c r="F873" s="6" t="n">
        <v>10</v>
      </c>
      <c r="G873" s="6" t="s">
        <v>70</v>
      </c>
      <c r="H873" s="11" t="n">
        <v>0.05</v>
      </c>
      <c r="I873" s="6" t="n">
        <v>20</v>
      </c>
      <c r="J873" s="6" t="n">
        <v>0</v>
      </c>
      <c r="K873" s="6" t="n">
        <v>20</v>
      </c>
      <c r="L873" s="6" t="n">
        <v>0</v>
      </c>
      <c r="M873" s="6" t="n">
        <v>20</v>
      </c>
      <c r="N873" s="11" t="n">
        <f aca="false">J873/(J873+K873)</f>
        <v>0</v>
      </c>
      <c r="O873" s="11" t="str">
        <f aca="false">IF(J873+L873=0,"",J873/(J873+L873))</f>
        <v/>
      </c>
      <c r="P873" s="11" t="n">
        <f aca="false">2*J873/(2*J873+L873+K873)</f>
        <v>0</v>
      </c>
      <c r="Q873" s="11" t="n">
        <f aca="false">L873/(L873+M873)</f>
        <v>0</v>
      </c>
      <c r="R873" s="6" t="n">
        <v>0</v>
      </c>
      <c r="S873" s="11"/>
      <c r="T873" s="11" t="n">
        <v>0</v>
      </c>
      <c r="U873" s="11" t="n">
        <v>0.9</v>
      </c>
      <c r="V873" s="11" t="n">
        <v>0.9</v>
      </c>
    </row>
    <row r="874" customFormat="false" ht="15" hidden="false" customHeight="false" outlineLevel="0" collapsed="false">
      <c r="A874" s="6" t="s">
        <v>58</v>
      </c>
      <c r="B874" s="6" t="s">
        <v>59</v>
      </c>
      <c r="C874" s="6" t="s">
        <v>44</v>
      </c>
      <c r="D874" s="6" t="s">
        <v>114</v>
      </c>
      <c r="E874" s="6" t="n">
        <v>4</v>
      </c>
      <c r="F874" s="6" t="n">
        <v>10</v>
      </c>
      <c r="G874" s="6" t="s">
        <v>71</v>
      </c>
      <c r="H874" s="11" t="n">
        <v>0.05</v>
      </c>
      <c r="I874" s="6" t="n">
        <v>20</v>
      </c>
      <c r="J874" s="6" t="n">
        <v>0</v>
      </c>
      <c r="K874" s="6" t="n">
        <v>20</v>
      </c>
      <c r="L874" s="6" t="n">
        <v>0</v>
      </c>
      <c r="M874" s="6" t="n">
        <v>20</v>
      </c>
      <c r="N874" s="11" t="n">
        <f aca="false">J874/(J874+K874)</f>
        <v>0</v>
      </c>
      <c r="O874" s="11" t="str">
        <f aca="false">IF(J874+L874=0,"",J874/(J874+L874))</f>
        <v/>
      </c>
      <c r="P874" s="11" t="n">
        <f aca="false">2*J874/(2*J874+L874+K874)</f>
        <v>0</v>
      </c>
      <c r="Q874" s="11" t="n">
        <f aca="false">L874/(L874+M874)</f>
        <v>0</v>
      </c>
      <c r="R874" s="6" t="n">
        <v>0</v>
      </c>
      <c r="S874" s="11"/>
      <c r="T874" s="11" t="n">
        <v>0</v>
      </c>
      <c r="U874" s="11" t="n">
        <v>0.8</v>
      </c>
      <c r="V874" s="11" t="n">
        <v>0.8</v>
      </c>
    </row>
    <row r="875" customFormat="false" ht="15" hidden="false" customHeight="false" outlineLevel="0" collapsed="false">
      <c r="A875" s="6" t="s">
        <v>58</v>
      </c>
      <c r="B875" s="6" t="s">
        <v>59</v>
      </c>
      <c r="C875" s="6" t="s">
        <v>44</v>
      </c>
      <c r="D875" s="6" t="s">
        <v>114</v>
      </c>
      <c r="E875" s="6" t="n">
        <v>4</v>
      </c>
      <c r="F875" s="6" t="n">
        <v>10</v>
      </c>
      <c r="G875" s="6" t="s">
        <v>72</v>
      </c>
      <c r="H875" s="11" t="n">
        <v>0.05</v>
      </c>
      <c r="I875" s="6" t="n">
        <v>20</v>
      </c>
      <c r="J875" s="6" t="n">
        <v>0</v>
      </c>
      <c r="K875" s="6" t="n">
        <v>20</v>
      </c>
      <c r="L875" s="6" t="n">
        <v>0</v>
      </c>
      <c r="M875" s="6" t="n">
        <v>20</v>
      </c>
      <c r="N875" s="11" t="n">
        <f aca="false">J875/(J875+K875)</f>
        <v>0</v>
      </c>
      <c r="O875" s="11" t="str">
        <f aca="false">IF(J875+L875=0,"",J875/(J875+L875))</f>
        <v/>
      </c>
      <c r="P875" s="11" t="n">
        <f aca="false">2*J875/(2*J875+L875+K875)</f>
        <v>0</v>
      </c>
      <c r="Q875" s="11" t="n">
        <f aca="false">L875/(L875+M875)</f>
        <v>0</v>
      </c>
      <c r="R875" s="6" t="n">
        <v>0</v>
      </c>
      <c r="S875" s="11"/>
      <c r="T875" s="11" t="n">
        <v>0</v>
      </c>
      <c r="U875" s="11" t="n">
        <v>0.9</v>
      </c>
      <c r="V875" s="11" t="n">
        <v>0.9</v>
      </c>
    </row>
    <row r="876" customFormat="false" ht="15" hidden="false" customHeight="false" outlineLevel="0" collapsed="false">
      <c r="A876" s="6" t="s">
        <v>58</v>
      </c>
      <c r="B876" s="6" t="s">
        <v>59</v>
      </c>
      <c r="C876" s="6" t="s">
        <v>44</v>
      </c>
      <c r="D876" s="6" t="s">
        <v>114</v>
      </c>
      <c r="E876" s="6" t="n">
        <v>4</v>
      </c>
      <c r="F876" s="6" t="n">
        <v>10</v>
      </c>
      <c r="G876" s="6" t="s">
        <v>73</v>
      </c>
      <c r="H876" s="11" t="n">
        <v>0.05</v>
      </c>
      <c r="I876" s="6" t="n">
        <v>20</v>
      </c>
      <c r="J876" s="6" t="n">
        <v>0</v>
      </c>
      <c r="K876" s="6" t="n">
        <v>20</v>
      </c>
      <c r="L876" s="6" t="n">
        <v>0</v>
      </c>
      <c r="M876" s="6" t="n">
        <v>20</v>
      </c>
      <c r="N876" s="11" t="n">
        <f aca="false">J876/(J876+K876)</f>
        <v>0</v>
      </c>
      <c r="O876" s="11" t="str">
        <f aca="false">IF(J876+L876=0,"",J876/(J876+L876))</f>
        <v/>
      </c>
      <c r="P876" s="11" t="n">
        <f aca="false">2*J876/(2*J876+L876+K876)</f>
        <v>0</v>
      </c>
      <c r="Q876" s="11" t="n">
        <f aca="false">L876/(L876+M876)</f>
        <v>0</v>
      </c>
      <c r="R876" s="6" t="n">
        <v>1</v>
      </c>
      <c r="S876" s="11" t="n">
        <v>0</v>
      </c>
      <c r="T876" s="11" t="n">
        <v>0</v>
      </c>
      <c r="U876" s="11" t="n">
        <v>0.65</v>
      </c>
      <c r="V876" s="11" t="n">
        <v>0.65</v>
      </c>
    </row>
    <row r="877" customFormat="false" ht="15" hidden="false" customHeight="false" outlineLevel="0" collapsed="false">
      <c r="A877" s="6" t="s">
        <v>58</v>
      </c>
      <c r="B877" s="6" t="s">
        <v>59</v>
      </c>
      <c r="C877" s="6" t="s">
        <v>44</v>
      </c>
      <c r="D877" s="6" t="s">
        <v>114</v>
      </c>
      <c r="E877" s="6" t="n">
        <v>4</v>
      </c>
      <c r="F877" s="6" t="n">
        <v>10</v>
      </c>
      <c r="G877" s="6" t="s">
        <v>74</v>
      </c>
      <c r="H877" s="11" t="n">
        <v>0.05</v>
      </c>
      <c r="I877" s="6" t="n">
        <v>20</v>
      </c>
      <c r="J877" s="6" t="n">
        <v>1</v>
      </c>
      <c r="K877" s="6" t="n">
        <v>19</v>
      </c>
      <c r="L877" s="6" t="n">
        <v>1</v>
      </c>
      <c r="M877" s="6" t="n">
        <v>19</v>
      </c>
      <c r="N877" s="11" t="n">
        <f aca="false">J877/(J877+K877)</f>
        <v>0.05</v>
      </c>
      <c r="O877" s="11" t="n">
        <f aca="false">IF(J877+L877=0,"",J877/(J877+L877))</f>
        <v>0.5</v>
      </c>
      <c r="P877" s="11" t="n">
        <f aca="false">2*J877/(2*J877+L877+K877)</f>
        <v>0.0909090909090909</v>
      </c>
      <c r="Q877" s="11" t="n">
        <f aca="false">L877/(L877+M877)</f>
        <v>0.05</v>
      </c>
      <c r="R877" s="6" t="n">
        <v>1</v>
      </c>
      <c r="S877" s="11" t="n">
        <v>0</v>
      </c>
      <c r="T877" s="11" t="n">
        <v>0.0526315789473684</v>
      </c>
      <c r="U877" s="11" t="n">
        <v>0.85</v>
      </c>
      <c r="V877" s="11" t="n">
        <v>0.85</v>
      </c>
    </row>
    <row r="878" customFormat="false" ht="15" hidden="false" customHeight="false" outlineLevel="0" collapsed="false">
      <c r="A878" s="6" t="s">
        <v>58</v>
      </c>
      <c r="B878" s="6" t="s">
        <v>59</v>
      </c>
      <c r="C878" s="6" t="s">
        <v>44</v>
      </c>
      <c r="D878" s="6" t="s">
        <v>114</v>
      </c>
      <c r="E878" s="6" t="n">
        <v>4</v>
      </c>
      <c r="F878" s="6" t="n">
        <v>10</v>
      </c>
      <c r="G878" s="6" t="s">
        <v>75</v>
      </c>
      <c r="H878" s="11" t="n">
        <v>0.05</v>
      </c>
      <c r="I878" s="6" t="n">
        <v>20</v>
      </c>
      <c r="J878" s="6" t="n">
        <v>0</v>
      </c>
      <c r="K878" s="6" t="n">
        <v>20</v>
      </c>
      <c r="L878" s="6" t="n">
        <v>0</v>
      </c>
      <c r="M878" s="6" t="n">
        <v>20</v>
      </c>
      <c r="N878" s="11" t="n">
        <f aca="false">J878/(J878+K878)</f>
        <v>0</v>
      </c>
      <c r="O878" s="11" t="str">
        <f aca="false">IF(J878+L878=0,"",J878/(J878+L878))</f>
        <v/>
      </c>
      <c r="P878" s="11" t="n">
        <f aca="false">2*J878/(2*J878+L878+K878)</f>
        <v>0</v>
      </c>
      <c r="Q878" s="11" t="n">
        <f aca="false">L878/(L878+M878)</f>
        <v>0</v>
      </c>
      <c r="R878" s="6" t="n">
        <v>0</v>
      </c>
      <c r="S878" s="11"/>
      <c r="T878" s="11" t="n">
        <v>0</v>
      </c>
      <c r="U878" s="11" t="n">
        <v>0.9</v>
      </c>
      <c r="V878" s="11" t="n">
        <v>0.9</v>
      </c>
    </row>
    <row r="879" customFormat="false" ht="15" hidden="false" customHeight="false" outlineLevel="0" collapsed="false">
      <c r="A879" s="6" t="s">
        <v>58</v>
      </c>
      <c r="B879" s="6" t="s">
        <v>59</v>
      </c>
      <c r="C879" s="6" t="s">
        <v>44</v>
      </c>
      <c r="D879" s="6" t="s">
        <v>114</v>
      </c>
      <c r="E879" s="6" t="n">
        <v>4</v>
      </c>
      <c r="F879" s="6" t="n">
        <v>10</v>
      </c>
      <c r="G879" s="6" t="s">
        <v>76</v>
      </c>
      <c r="H879" s="11" t="n">
        <v>0.05</v>
      </c>
      <c r="I879" s="6" t="n">
        <v>20</v>
      </c>
      <c r="J879" s="6" t="n">
        <v>0</v>
      </c>
      <c r="K879" s="6" t="n">
        <v>20</v>
      </c>
      <c r="L879" s="6" t="n">
        <v>0</v>
      </c>
      <c r="M879" s="6" t="n">
        <v>20</v>
      </c>
      <c r="N879" s="11" t="n">
        <f aca="false">J879/(J879+K879)</f>
        <v>0</v>
      </c>
      <c r="O879" s="11" t="str">
        <f aca="false">IF(J879+L879=0,"",J879/(J879+L879))</f>
        <v/>
      </c>
      <c r="P879" s="11" t="n">
        <f aca="false">2*J879/(2*J879+L879+K879)</f>
        <v>0</v>
      </c>
      <c r="Q879" s="11" t="n">
        <f aca="false">L879/(L879+M879)</f>
        <v>0</v>
      </c>
      <c r="R879" s="6" t="n">
        <v>0</v>
      </c>
      <c r="S879" s="11"/>
      <c r="T879" s="11" t="n">
        <v>0</v>
      </c>
      <c r="U879" s="11" t="n">
        <v>0.95</v>
      </c>
      <c r="V879" s="11" t="n">
        <v>0.95</v>
      </c>
    </row>
    <row r="880" customFormat="false" ht="15" hidden="false" customHeight="false" outlineLevel="0" collapsed="false">
      <c r="A880" s="6" t="s">
        <v>58</v>
      </c>
      <c r="B880" s="6" t="s">
        <v>59</v>
      </c>
      <c r="C880" s="6" t="s">
        <v>44</v>
      </c>
      <c r="D880" s="6" t="s">
        <v>114</v>
      </c>
      <c r="E880" s="6" t="n">
        <v>4</v>
      </c>
      <c r="F880" s="6" t="n">
        <v>10</v>
      </c>
      <c r="G880" s="6" t="s">
        <v>77</v>
      </c>
      <c r="H880" s="11" t="n">
        <v>0.05</v>
      </c>
      <c r="I880" s="6" t="n">
        <v>20</v>
      </c>
      <c r="J880" s="6" t="n">
        <v>1</v>
      </c>
      <c r="K880" s="6" t="n">
        <v>19</v>
      </c>
      <c r="L880" s="6" t="n">
        <v>1</v>
      </c>
      <c r="M880" s="6" t="n">
        <v>19</v>
      </c>
      <c r="N880" s="11" t="n">
        <f aca="false">J880/(J880+K880)</f>
        <v>0.05</v>
      </c>
      <c r="O880" s="11" t="n">
        <f aca="false">IF(J880+L880=0,"",J880/(J880+L880))</f>
        <v>0.5</v>
      </c>
      <c r="P880" s="11" t="n">
        <f aca="false">2*J880/(2*J880+L880+K880)</f>
        <v>0.0909090909090909</v>
      </c>
      <c r="Q880" s="11" t="n">
        <f aca="false">L880/(L880+M880)</f>
        <v>0.05</v>
      </c>
      <c r="R880" s="6" t="n">
        <v>0</v>
      </c>
      <c r="S880" s="11"/>
      <c r="T880" s="11" t="n">
        <v>0.05</v>
      </c>
      <c r="U880" s="11" t="n">
        <v>1</v>
      </c>
      <c r="V880" s="11" t="n">
        <v>1</v>
      </c>
    </row>
    <row r="881" customFormat="false" ht="15" hidden="false" customHeight="false" outlineLevel="0" collapsed="false">
      <c r="A881" s="6" t="s">
        <v>58</v>
      </c>
      <c r="B881" s="6" t="s">
        <v>59</v>
      </c>
      <c r="C881" s="6" t="s">
        <v>44</v>
      </c>
      <c r="D881" s="6" t="s">
        <v>114</v>
      </c>
      <c r="E881" s="6" t="n">
        <v>4</v>
      </c>
      <c r="F881" s="6" t="n">
        <v>10</v>
      </c>
      <c r="G881" s="6" t="s">
        <v>78</v>
      </c>
      <c r="H881" s="11" t="n">
        <v>0.05</v>
      </c>
      <c r="I881" s="6" t="n">
        <v>200</v>
      </c>
      <c r="J881" s="6" t="n">
        <v>4</v>
      </c>
      <c r="K881" s="6" t="n">
        <v>196</v>
      </c>
      <c r="L881" s="6" t="n">
        <v>4</v>
      </c>
      <c r="M881" s="6" t="n">
        <v>196</v>
      </c>
      <c r="N881" s="11" t="n">
        <f aca="false">J881/(J881+K881)</f>
        <v>0.02</v>
      </c>
      <c r="O881" s="11" t="n">
        <f aca="false">IF(J881+L881=0,"",J881/(J881+L881))</f>
        <v>0.5</v>
      </c>
      <c r="P881" s="11" t="n">
        <f aca="false">2*J881/(2*J881+L881+K881)</f>
        <v>0.0384615384615385</v>
      </c>
      <c r="Q881" s="11" t="n">
        <f aca="false">L881/(L881+M881)</f>
        <v>0.02</v>
      </c>
      <c r="R881" s="6" t="n">
        <v>3</v>
      </c>
      <c r="S881" s="11" t="n">
        <v>0</v>
      </c>
      <c r="T881" s="11" t="n">
        <v>0.0203045685279188</v>
      </c>
      <c r="U881" s="11" t="n">
        <v>0.88</v>
      </c>
      <c r="V881" s="11" t="n">
        <v>0.875</v>
      </c>
    </row>
    <row r="882" customFormat="false" ht="15" hidden="false" customHeight="false" outlineLevel="0" collapsed="false">
      <c r="A882" s="6" t="s">
        <v>60</v>
      </c>
      <c r="B882" s="6" t="s">
        <v>59</v>
      </c>
      <c r="C882" s="6" t="s">
        <v>51</v>
      </c>
      <c r="D882" s="6" t="s">
        <v>119</v>
      </c>
      <c r="E882" s="6" t="n">
        <v>16</v>
      </c>
      <c r="F882" s="6" t="n">
        <v>1</v>
      </c>
      <c r="G882" s="6" t="s">
        <v>68</v>
      </c>
      <c r="H882" s="11" t="n">
        <v>0.05</v>
      </c>
      <c r="I882" s="6" t="n">
        <v>20</v>
      </c>
      <c r="J882" s="6" t="n">
        <v>2</v>
      </c>
      <c r="K882" s="6" t="n">
        <v>18</v>
      </c>
      <c r="L882" s="6" t="n">
        <v>1</v>
      </c>
      <c r="M882" s="6" t="n">
        <v>19</v>
      </c>
      <c r="N882" s="11" t="n">
        <f aca="false">J882/(J882+K882)</f>
        <v>0.1</v>
      </c>
      <c r="O882" s="11" t="n">
        <f aca="false">IF(J882+L882=0,"",J882/(J882+L882))</f>
        <v>0.666666666666667</v>
      </c>
      <c r="P882" s="11" t="n">
        <f aca="false">2*J882/(2*J882+L882+K882)</f>
        <v>0.173913043478261</v>
      </c>
      <c r="Q882" s="11" t="n">
        <f aca="false">L882/(L882+M882)</f>
        <v>0.05</v>
      </c>
      <c r="R882" s="6" t="n">
        <v>0</v>
      </c>
      <c r="S882" s="11"/>
      <c r="T882" s="11" t="n">
        <v>0.1</v>
      </c>
      <c r="U882" s="11" t="n">
        <v>0.85</v>
      </c>
      <c r="V882" s="11" t="n">
        <v>0.85</v>
      </c>
    </row>
    <row r="883" customFormat="false" ht="15" hidden="false" customHeight="false" outlineLevel="0" collapsed="false">
      <c r="A883" s="6" t="s">
        <v>60</v>
      </c>
      <c r="B883" s="6" t="s">
        <v>59</v>
      </c>
      <c r="C883" s="6" t="s">
        <v>51</v>
      </c>
      <c r="D883" s="6" t="s">
        <v>119</v>
      </c>
      <c r="E883" s="6" t="n">
        <v>16</v>
      </c>
      <c r="F883" s="6" t="n">
        <v>1</v>
      </c>
      <c r="G883" s="6" t="s">
        <v>69</v>
      </c>
      <c r="H883" s="11" t="n">
        <v>0.05</v>
      </c>
      <c r="I883" s="6" t="n">
        <v>20</v>
      </c>
      <c r="J883" s="6" t="n">
        <v>2</v>
      </c>
      <c r="K883" s="6" t="n">
        <v>18</v>
      </c>
      <c r="L883" s="6" t="n">
        <v>1</v>
      </c>
      <c r="M883" s="6" t="n">
        <v>19</v>
      </c>
      <c r="N883" s="11" t="n">
        <f aca="false">J883/(J883+K883)</f>
        <v>0.1</v>
      </c>
      <c r="O883" s="11" t="n">
        <f aca="false">IF(J883+L883=0,"",J883/(J883+L883))</f>
        <v>0.666666666666667</v>
      </c>
      <c r="P883" s="11" t="n">
        <f aca="false">2*J883/(2*J883+L883+K883)</f>
        <v>0.173913043478261</v>
      </c>
      <c r="Q883" s="11" t="n">
        <f aca="false">L883/(L883+M883)</f>
        <v>0.05</v>
      </c>
      <c r="R883" s="6" t="n">
        <v>0</v>
      </c>
      <c r="S883" s="11"/>
      <c r="T883" s="11" t="n">
        <v>0.1</v>
      </c>
      <c r="U883" s="11" t="n">
        <v>1</v>
      </c>
      <c r="V883" s="11" t="n">
        <v>1</v>
      </c>
    </row>
    <row r="884" customFormat="false" ht="15" hidden="false" customHeight="false" outlineLevel="0" collapsed="false">
      <c r="A884" s="6" t="s">
        <v>60</v>
      </c>
      <c r="B884" s="6" t="s">
        <v>59</v>
      </c>
      <c r="C884" s="6" t="s">
        <v>51</v>
      </c>
      <c r="D884" s="6" t="s">
        <v>119</v>
      </c>
      <c r="E884" s="6" t="n">
        <v>16</v>
      </c>
      <c r="F884" s="6" t="n">
        <v>1</v>
      </c>
      <c r="G884" s="6" t="s">
        <v>70</v>
      </c>
      <c r="H884" s="11" t="n">
        <v>0.05</v>
      </c>
      <c r="I884" s="6" t="n">
        <v>20</v>
      </c>
      <c r="J884" s="6" t="n">
        <v>0</v>
      </c>
      <c r="K884" s="6" t="n">
        <v>20</v>
      </c>
      <c r="L884" s="6" t="n">
        <v>0</v>
      </c>
      <c r="M884" s="6" t="n">
        <v>20</v>
      </c>
      <c r="N884" s="11" t="n">
        <f aca="false">J884/(J884+K884)</f>
        <v>0</v>
      </c>
      <c r="O884" s="11" t="str">
        <f aca="false">IF(J884+L884=0,"",J884/(J884+L884))</f>
        <v/>
      </c>
      <c r="P884" s="11" t="n">
        <f aca="false">2*J884/(2*J884+L884+K884)</f>
        <v>0</v>
      </c>
      <c r="Q884" s="11" t="n">
        <f aca="false">L884/(L884+M884)</f>
        <v>0</v>
      </c>
      <c r="R884" s="6" t="n">
        <v>0</v>
      </c>
      <c r="S884" s="11"/>
      <c r="T884" s="11" t="n">
        <v>0</v>
      </c>
      <c r="U884" s="11" t="n">
        <v>0.9</v>
      </c>
      <c r="V884" s="11" t="n">
        <v>0.9</v>
      </c>
    </row>
    <row r="885" customFormat="false" ht="15" hidden="false" customHeight="false" outlineLevel="0" collapsed="false">
      <c r="A885" s="6" t="s">
        <v>60</v>
      </c>
      <c r="B885" s="6" t="s">
        <v>59</v>
      </c>
      <c r="C885" s="6" t="s">
        <v>51</v>
      </c>
      <c r="D885" s="6" t="s">
        <v>119</v>
      </c>
      <c r="E885" s="6" t="n">
        <v>16</v>
      </c>
      <c r="F885" s="6" t="n">
        <v>1</v>
      </c>
      <c r="G885" s="6" t="s">
        <v>71</v>
      </c>
      <c r="H885" s="11" t="n">
        <v>0.05</v>
      </c>
      <c r="I885" s="6" t="n">
        <v>20</v>
      </c>
      <c r="J885" s="6" t="n">
        <v>4</v>
      </c>
      <c r="K885" s="6" t="n">
        <v>16</v>
      </c>
      <c r="L885" s="6" t="n">
        <v>0</v>
      </c>
      <c r="M885" s="6" t="n">
        <v>20</v>
      </c>
      <c r="N885" s="11" t="n">
        <f aca="false">J885/(J885+K885)</f>
        <v>0.2</v>
      </c>
      <c r="O885" s="11" t="n">
        <f aca="false">IF(J885+L885=0,"",J885/(J885+L885))</f>
        <v>1</v>
      </c>
      <c r="P885" s="11" t="n">
        <f aca="false">2*J885/(2*J885+L885+K885)</f>
        <v>0.333333333333333</v>
      </c>
      <c r="Q885" s="11" t="n">
        <f aca="false">L885/(L885+M885)</f>
        <v>0</v>
      </c>
      <c r="R885" s="6" t="n">
        <v>0</v>
      </c>
      <c r="S885" s="11"/>
      <c r="T885" s="11" t="n">
        <v>0.2</v>
      </c>
      <c r="U885" s="11" t="n">
        <v>0.8</v>
      </c>
      <c r="V885" s="11" t="n">
        <v>0.8</v>
      </c>
    </row>
    <row r="886" customFormat="false" ht="15" hidden="false" customHeight="false" outlineLevel="0" collapsed="false">
      <c r="A886" s="6" t="s">
        <v>60</v>
      </c>
      <c r="B886" s="6" t="s">
        <v>59</v>
      </c>
      <c r="C886" s="6" t="s">
        <v>51</v>
      </c>
      <c r="D886" s="6" t="s">
        <v>119</v>
      </c>
      <c r="E886" s="6" t="n">
        <v>16</v>
      </c>
      <c r="F886" s="6" t="n">
        <v>1</v>
      </c>
      <c r="G886" s="6" t="s">
        <v>72</v>
      </c>
      <c r="H886" s="11" t="n">
        <v>0.05</v>
      </c>
      <c r="I886" s="6" t="n">
        <v>20</v>
      </c>
      <c r="J886" s="6" t="n">
        <v>3</v>
      </c>
      <c r="K886" s="6" t="n">
        <v>17</v>
      </c>
      <c r="L886" s="6" t="n">
        <v>0</v>
      </c>
      <c r="M886" s="6" t="n">
        <v>20</v>
      </c>
      <c r="N886" s="11" t="n">
        <f aca="false">J886/(J886+K886)</f>
        <v>0.15</v>
      </c>
      <c r="O886" s="11" t="n">
        <f aca="false">IF(J886+L886=0,"",J886/(J886+L886))</f>
        <v>1</v>
      </c>
      <c r="P886" s="11" t="n">
        <f aca="false">2*J886/(2*J886+L886+K886)</f>
        <v>0.260869565217391</v>
      </c>
      <c r="Q886" s="11" t="n">
        <f aca="false">L886/(L886+M886)</f>
        <v>0</v>
      </c>
      <c r="R886" s="6" t="n">
        <v>0</v>
      </c>
      <c r="S886" s="11"/>
      <c r="T886" s="11" t="n">
        <v>0.15</v>
      </c>
      <c r="U886" s="11" t="n">
        <v>0.9</v>
      </c>
      <c r="V886" s="11" t="n">
        <v>0.9</v>
      </c>
    </row>
    <row r="887" customFormat="false" ht="15" hidden="false" customHeight="false" outlineLevel="0" collapsed="false">
      <c r="A887" s="6" t="s">
        <v>60</v>
      </c>
      <c r="B887" s="6" t="s">
        <v>59</v>
      </c>
      <c r="C887" s="6" t="s">
        <v>51</v>
      </c>
      <c r="D887" s="6" t="s">
        <v>119</v>
      </c>
      <c r="E887" s="6" t="n">
        <v>16</v>
      </c>
      <c r="F887" s="6" t="n">
        <v>1</v>
      </c>
      <c r="G887" s="6" t="s">
        <v>73</v>
      </c>
      <c r="H887" s="11" t="n">
        <v>0.05</v>
      </c>
      <c r="I887" s="6" t="n">
        <v>20</v>
      </c>
      <c r="J887" s="6" t="n">
        <v>3</v>
      </c>
      <c r="K887" s="6" t="n">
        <v>17</v>
      </c>
      <c r="L887" s="6" t="n">
        <v>0</v>
      </c>
      <c r="M887" s="6" t="n">
        <v>20</v>
      </c>
      <c r="N887" s="11" t="n">
        <f aca="false">J887/(J887+K887)</f>
        <v>0.15</v>
      </c>
      <c r="O887" s="11" t="n">
        <f aca="false">IF(J887+L887=0,"",J887/(J887+L887))</f>
        <v>1</v>
      </c>
      <c r="P887" s="11" t="n">
        <f aca="false">2*J887/(2*J887+L887+K887)</f>
        <v>0.260869565217391</v>
      </c>
      <c r="Q887" s="11" t="n">
        <f aca="false">L887/(L887+M887)</f>
        <v>0</v>
      </c>
      <c r="R887" s="6" t="n">
        <v>2</v>
      </c>
      <c r="S887" s="11" t="n">
        <v>0.5</v>
      </c>
      <c r="T887" s="11" t="n">
        <v>0.111111111111111</v>
      </c>
      <c r="U887" s="11" t="n">
        <v>0.65</v>
      </c>
      <c r="V887" s="11" t="n">
        <v>0.65</v>
      </c>
    </row>
    <row r="888" customFormat="false" ht="15" hidden="false" customHeight="false" outlineLevel="0" collapsed="false">
      <c r="A888" s="6" t="s">
        <v>60</v>
      </c>
      <c r="B888" s="6" t="s">
        <v>59</v>
      </c>
      <c r="C888" s="6" t="s">
        <v>51</v>
      </c>
      <c r="D888" s="6" t="s">
        <v>119</v>
      </c>
      <c r="E888" s="6" t="n">
        <v>16</v>
      </c>
      <c r="F888" s="6" t="n">
        <v>1</v>
      </c>
      <c r="G888" s="6" t="s">
        <v>74</v>
      </c>
      <c r="H888" s="11" t="n">
        <v>0.05</v>
      </c>
      <c r="I888" s="6" t="n">
        <v>20</v>
      </c>
      <c r="J888" s="6" t="n">
        <v>1</v>
      </c>
      <c r="K888" s="6" t="n">
        <v>19</v>
      </c>
      <c r="L888" s="6" t="n">
        <v>1</v>
      </c>
      <c r="M888" s="6" t="n">
        <v>19</v>
      </c>
      <c r="N888" s="11" t="n">
        <f aca="false">J888/(J888+K888)</f>
        <v>0.05</v>
      </c>
      <c r="O888" s="11" t="n">
        <f aca="false">IF(J888+L888=0,"",J888/(J888+L888))</f>
        <v>0.5</v>
      </c>
      <c r="P888" s="11" t="n">
        <f aca="false">2*J888/(2*J888+L888+K888)</f>
        <v>0.0909090909090909</v>
      </c>
      <c r="Q888" s="11" t="n">
        <f aca="false">L888/(L888+M888)</f>
        <v>0.05</v>
      </c>
      <c r="R888" s="6" t="n">
        <v>1</v>
      </c>
      <c r="S888" s="11" t="n">
        <v>0</v>
      </c>
      <c r="T888" s="11" t="n">
        <v>0.0526315789473684</v>
      </c>
      <c r="U888" s="11" t="n">
        <v>0.85</v>
      </c>
      <c r="V888" s="11" t="n">
        <v>0.85</v>
      </c>
    </row>
    <row r="889" customFormat="false" ht="15" hidden="false" customHeight="false" outlineLevel="0" collapsed="false">
      <c r="A889" s="6" t="s">
        <v>60</v>
      </c>
      <c r="B889" s="6" t="s">
        <v>59</v>
      </c>
      <c r="C889" s="6" t="s">
        <v>51</v>
      </c>
      <c r="D889" s="6" t="s">
        <v>119</v>
      </c>
      <c r="E889" s="6" t="n">
        <v>16</v>
      </c>
      <c r="F889" s="6" t="n">
        <v>1</v>
      </c>
      <c r="G889" s="6" t="s">
        <v>75</v>
      </c>
      <c r="H889" s="11" t="n">
        <v>0.05</v>
      </c>
      <c r="I889" s="6" t="n">
        <v>20</v>
      </c>
      <c r="J889" s="6" t="n">
        <v>6</v>
      </c>
      <c r="K889" s="6" t="n">
        <v>14</v>
      </c>
      <c r="L889" s="6" t="n">
        <v>0</v>
      </c>
      <c r="M889" s="6" t="n">
        <v>20</v>
      </c>
      <c r="N889" s="11" t="n">
        <f aca="false">J889/(J889+K889)</f>
        <v>0.3</v>
      </c>
      <c r="O889" s="11" t="n">
        <f aca="false">IF(J889+L889=0,"",J889/(J889+L889))</f>
        <v>1</v>
      </c>
      <c r="P889" s="11" t="n">
        <f aca="false">2*J889/(2*J889+L889+K889)</f>
        <v>0.461538461538462</v>
      </c>
      <c r="Q889" s="11" t="n">
        <f aca="false">L889/(L889+M889)</f>
        <v>0</v>
      </c>
      <c r="R889" s="6" t="n">
        <v>1</v>
      </c>
      <c r="S889" s="11" t="n">
        <v>0</v>
      </c>
      <c r="T889" s="11" t="n">
        <v>0.315789473684211</v>
      </c>
      <c r="U889" s="11" t="n">
        <v>0.9</v>
      </c>
      <c r="V889" s="11" t="n">
        <v>0.95</v>
      </c>
    </row>
    <row r="890" customFormat="false" ht="15" hidden="false" customHeight="false" outlineLevel="0" collapsed="false">
      <c r="A890" s="6" t="s">
        <v>60</v>
      </c>
      <c r="B890" s="6" t="s">
        <v>59</v>
      </c>
      <c r="C890" s="6" t="s">
        <v>51</v>
      </c>
      <c r="D890" s="6" t="s">
        <v>119</v>
      </c>
      <c r="E890" s="6" t="n">
        <v>16</v>
      </c>
      <c r="F890" s="6" t="n">
        <v>1</v>
      </c>
      <c r="G890" s="6" t="s">
        <v>76</v>
      </c>
      <c r="H890" s="11" t="n">
        <v>0.05</v>
      </c>
      <c r="I890" s="6" t="n">
        <v>20</v>
      </c>
      <c r="J890" s="6" t="n">
        <v>1</v>
      </c>
      <c r="K890" s="6" t="n">
        <v>19</v>
      </c>
      <c r="L890" s="6" t="n">
        <v>0</v>
      </c>
      <c r="M890" s="6" t="n">
        <v>20</v>
      </c>
      <c r="N890" s="11" t="n">
        <f aca="false">J890/(J890+K890)</f>
        <v>0.05</v>
      </c>
      <c r="O890" s="11" t="n">
        <f aca="false">IF(J890+L890=0,"",J890/(J890+L890))</f>
        <v>1</v>
      </c>
      <c r="P890" s="11" t="n">
        <f aca="false">2*J890/(2*J890+L890+K890)</f>
        <v>0.0952380952380952</v>
      </c>
      <c r="Q890" s="11" t="n">
        <f aca="false">L890/(L890+M890)</f>
        <v>0</v>
      </c>
      <c r="R890" s="6" t="n">
        <v>0</v>
      </c>
      <c r="S890" s="11"/>
      <c r="T890" s="11" t="n">
        <v>0.05</v>
      </c>
      <c r="U890" s="11" t="n">
        <v>0.95</v>
      </c>
      <c r="V890" s="11" t="n">
        <v>0.95</v>
      </c>
    </row>
    <row r="891" customFormat="false" ht="15" hidden="false" customHeight="false" outlineLevel="0" collapsed="false">
      <c r="A891" s="6" t="s">
        <v>60</v>
      </c>
      <c r="B891" s="6" t="s">
        <v>59</v>
      </c>
      <c r="C891" s="6" t="s">
        <v>51</v>
      </c>
      <c r="D891" s="6" t="s">
        <v>119</v>
      </c>
      <c r="E891" s="6" t="n">
        <v>16</v>
      </c>
      <c r="F891" s="6" t="n">
        <v>1</v>
      </c>
      <c r="G891" s="6" t="s">
        <v>77</v>
      </c>
      <c r="H891" s="11" t="n">
        <v>0.05</v>
      </c>
      <c r="I891" s="6" t="n">
        <v>20</v>
      </c>
      <c r="J891" s="6" t="n">
        <v>2</v>
      </c>
      <c r="K891" s="6" t="n">
        <v>18</v>
      </c>
      <c r="L891" s="6" t="n">
        <v>1</v>
      </c>
      <c r="M891" s="6" t="n">
        <v>19</v>
      </c>
      <c r="N891" s="11" t="n">
        <f aca="false">J891/(J891+K891)</f>
        <v>0.1</v>
      </c>
      <c r="O891" s="11" t="n">
        <f aca="false">IF(J891+L891=0,"",J891/(J891+L891))</f>
        <v>0.666666666666667</v>
      </c>
      <c r="P891" s="11" t="n">
        <f aca="false">2*J891/(2*J891+L891+K891)</f>
        <v>0.173913043478261</v>
      </c>
      <c r="Q891" s="11" t="n">
        <f aca="false">L891/(L891+M891)</f>
        <v>0.05</v>
      </c>
      <c r="R891" s="6" t="n">
        <v>0</v>
      </c>
      <c r="S891" s="11"/>
      <c r="T891" s="11" t="n">
        <v>0.1</v>
      </c>
      <c r="U891" s="11" t="n">
        <v>1</v>
      </c>
      <c r="V891" s="11" t="n">
        <v>1</v>
      </c>
    </row>
    <row r="892" customFormat="false" ht="15" hidden="false" customHeight="false" outlineLevel="0" collapsed="false">
      <c r="A892" s="6" t="s">
        <v>60</v>
      </c>
      <c r="B892" s="6" t="s">
        <v>59</v>
      </c>
      <c r="C892" s="6" t="s">
        <v>51</v>
      </c>
      <c r="D892" s="6" t="s">
        <v>119</v>
      </c>
      <c r="E892" s="6" t="n">
        <v>16</v>
      </c>
      <c r="F892" s="6" t="n">
        <v>1</v>
      </c>
      <c r="G892" s="6" t="s">
        <v>78</v>
      </c>
      <c r="H892" s="11" t="n">
        <v>0.05</v>
      </c>
      <c r="I892" s="6" t="n">
        <v>200</v>
      </c>
      <c r="J892" s="6" t="n">
        <v>24</v>
      </c>
      <c r="K892" s="6" t="n">
        <v>176</v>
      </c>
      <c r="L892" s="6" t="n">
        <v>4</v>
      </c>
      <c r="M892" s="6" t="n">
        <v>196</v>
      </c>
      <c r="N892" s="11" t="n">
        <f aca="false">J892/(J892+K892)</f>
        <v>0.12</v>
      </c>
      <c r="O892" s="11" t="n">
        <f aca="false">IF(J892+L892=0,"",J892/(J892+L892))</f>
        <v>0.857142857142857</v>
      </c>
      <c r="P892" s="11" t="n">
        <f aca="false">2*J892/(2*J892+L892+K892)</f>
        <v>0.210526315789474</v>
      </c>
      <c r="Q892" s="11" t="n">
        <f aca="false">L892/(L892+M892)</f>
        <v>0.02</v>
      </c>
      <c r="R892" s="6" t="n">
        <v>4</v>
      </c>
      <c r="S892" s="11" t="n">
        <v>0.25</v>
      </c>
      <c r="T892" s="11" t="n">
        <v>0.11734693877551</v>
      </c>
      <c r="U892" s="11" t="n">
        <v>0.88</v>
      </c>
      <c r="V892" s="11" t="n">
        <v>0.885</v>
      </c>
    </row>
    <row r="893" customFormat="false" ht="15" hidden="false" customHeight="false" outlineLevel="0" collapsed="false">
      <c r="A893" s="6" t="s">
        <v>60</v>
      </c>
      <c r="B893" s="6" t="s">
        <v>59</v>
      </c>
      <c r="C893" s="6" t="s">
        <v>51</v>
      </c>
      <c r="D893" s="6" t="s">
        <v>119</v>
      </c>
      <c r="E893" s="6" t="n">
        <v>16</v>
      </c>
      <c r="F893" s="6" t="n">
        <v>2</v>
      </c>
      <c r="G893" s="6" t="s">
        <v>68</v>
      </c>
      <c r="H893" s="11" t="n">
        <v>0.05</v>
      </c>
      <c r="I893" s="6" t="n">
        <v>20</v>
      </c>
      <c r="J893" s="6" t="n">
        <v>1</v>
      </c>
      <c r="K893" s="6" t="n">
        <v>19</v>
      </c>
      <c r="L893" s="6" t="n">
        <v>1</v>
      </c>
      <c r="M893" s="6" t="n">
        <v>19</v>
      </c>
      <c r="N893" s="11" t="n">
        <f aca="false">J893/(J893+K893)</f>
        <v>0.05</v>
      </c>
      <c r="O893" s="11" t="n">
        <f aca="false">IF(J893+L893=0,"",J893/(J893+L893))</f>
        <v>0.5</v>
      </c>
      <c r="P893" s="11" t="n">
        <f aca="false">2*J893/(2*J893+L893+K893)</f>
        <v>0.0909090909090909</v>
      </c>
      <c r="Q893" s="11" t="n">
        <f aca="false">L893/(L893+M893)</f>
        <v>0.05</v>
      </c>
      <c r="R893" s="6" t="n">
        <v>0</v>
      </c>
      <c r="S893" s="11"/>
      <c r="T893" s="11" t="n">
        <v>0.05</v>
      </c>
      <c r="U893" s="11" t="n">
        <v>0.85</v>
      </c>
      <c r="V893" s="11" t="n">
        <v>0.85</v>
      </c>
    </row>
    <row r="894" customFormat="false" ht="15" hidden="false" customHeight="false" outlineLevel="0" collapsed="false">
      <c r="A894" s="6" t="s">
        <v>60</v>
      </c>
      <c r="B894" s="6" t="s">
        <v>59</v>
      </c>
      <c r="C894" s="6" t="s">
        <v>51</v>
      </c>
      <c r="D894" s="6" t="s">
        <v>119</v>
      </c>
      <c r="E894" s="6" t="n">
        <v>16</v>
      </c>
      <c r="F894" s="6" t="n">
        <v>2</v>
      </c>
      <c r="G894" s="6" t="s">
        <v>69</v>
      </c>
      <c r="H894" s="11" t="n">
        <v>0.05</v>
      </c>
      <c r="I894" s="6" t="n">
        <v>20</v>
      </c>
      <c r="J894" s="6" t="n">
        <v>1</v>
      </c>
      <c r="K894" s="6" t="n">
        <v>19</v>
      </c>
      <c r="L894" s="6" t="n">
        <v>1</v>
      </c>
      <c r="M894" s="6" t="n">
        <v>19</v>
      </c>
      <c r="N894" s="11" t="n">
        <f aca="false">J894/(J894+K894)</f>
        <v>0.05</v>
      </c>
      <c r="O894" s="11" t="n">
        <f aca="false">IF(J894+L894=0,"",J894/(J894+L894))</f>
        <v>0.5</v>
      </c>
      <c r="P894" s="11" t="n">
        <f aca="false">2*J894/(2*J894+L894+K894)</f>
        <v>0.0909090909090909</v>
      </c>
      <c r="Q894" s="11" t="n">
        <f aca="false">L894/(L894+M894)</f>
        <v>0.05</v>
      </c>
      <c r="R894" s="6" t="n">
        <v>0</v>
      </c>
      <c r="S894" s="11"/>
      <c r="T894" s="11" t="n">
        <v>0.05</v>
      </c>
      <c r="U894" s="11" t="n">
        <v>1</v>
      </c>
      <c r="V894" s="11" t="n">
        <v>1</v>
      </c>
    </row>
    <row r="895" customFormat="false" ht="15" hidden="false" customHeight="false" outlineLevel="0" collapsed="false">
      <c r="A895" s="6" t="s">
        <v>60</v>
      </c>
      <c r="B895" s="6" t="s">
        <v>59</v>
      </c>
      <c r="C895" s="6" t="s">
        <v>51</v>
      </c>
      <c r="D895" s="6" t="s">
        <v>119</v>
      </c>
      <c r="E895" s="6" t="n">
        <v>16</v>
      </c>
      <c r="F895" s="6" t="n">
        <v>2</v>
      </c>
      <c r="G895" s="6" t="s">
        <v>70</v>
      </c>
      <c r="H895" s="11" t="n">
        <v>0.05</v>
      </c>
      <c r="I895" s="6" t="n">
        <v>20</v>
      </c>
      <c r="J895" s="6" t="n">
        <v>0</v>
      </c>
      <c r="K895" s="6" t="n">
        <v>20</v>
      </c>
      <c r="L895" s="6" t="n">
        <v>0</v>
      </c>
      <c r="M895" s="6" t="n">
        <v>20</v>
      </c>
      <c r="N895" s="11" t="n">
        <f aca="false">J895/(J895+K895)</f>
        <v>0</v>
      </c>
      <c r="O895" s="11" t="str">
        <f aca="false">IF(J895+L895=0,"",J895/(J895+L895))</f>
        <v/>
      </c>
      <c r="P895" s="11" t="n">
        <f aca="false">2*J895/(2*J895+L895+K895)</f>
        <v>0</v>
      </c>
      <c r="Q895" s="11" t="n">
        <f aca="false">L895/(L895+M895)</f>
        <v>0</v>
      </c>
      <c r="R895" s="6" t="n">
        <v>0</v>
      </c>
      <c r="S895" s="11"/>
      <c r="T895" s="11" t="n">
        <v>0</v>
      </c>
      <c r="U895" s="11" t="n">
        <v>0.9</v>
      </c>
      <c r="V895" s="11" t="n">
        <v>0.9</v>
      </c>
    </row>
    <row r="896" customFormat="false" ht="15" hidden="false" customHeight="false" outlineLevel="0" collapsed="false">
      <c r="A896" s="6" t="s">
        <v>60</v>
      </c>
      <c r="B896" s="6" t="s">
        <v>59</v>
      </c>
      <c r="C896" s="6" t="s">
        <v>51</v>
      </c>
      <c r="D896" s="6" t="s">
        <v>119</v>
      </c>
      <c r="E896" s="6" t="n">
        <v>16</v>
      </c>
      <c r="F896" s="6" t="n">
        <v>2</v>
      </c>
      <c r="G896" s="6" t="s">
        <v>71</v>
      </c>
      <c r="H896" s="11" t="n">
        <v>0.05</v>
      </c>
      <c r="I896" s="6" t="n">
        <v>20</v>
      </c>
      <c r="J896" s="6" t="n">
        <v>0</v>
      </c>
      <c r="K896" s="6" t="n">
        <v>20</v>
      </c>
      <c r="L896" s="6" t="n">
        <v>0</v>
      </c>
      <c r="M896" s="6" t="n">
        <v>20</v>
      </c>
      <c r="N896" s="11" t="n">
        <f aca="false">J896/(J896+K896)</f>
        <v>0</v>
      </c>
      <c r="O896" s="11" t="str">
        <f aca="false">IF(J896+L896=0,"",J896/(J896+L896))</f>
        <v/>
      </c>
      <c r="P896" s="11" t="n">
        <f aca="false">2*J896/(2*J896+L896+K896)</f>
        <v>0</v>
      </c>
      <c r="Q896" s="11" t="n">
        <f aca="false">L896/(L896+M896)</f>
        <v>0</v>
      </c>
      <c r="R896" s="6" t="n">
        <v>0</v>
      </c>
      <c r="S896" s="11"/>
      <c r="T896" s="11" t="n">
        <v>0</v>
      </c>
      <c r="U896" s="11" t="n">
        <v>0.8</v>
      </c>
      <c r="V896" s="11" t="n">
        <v>0.8</v>
      </c>
    </row>
    <row r="897" customFormat="false" ht="15" hidden="false" customHeight="false" outlineLevel="0" collapsed="false">
      <c r="A897" s="6" t="s">
        <v>60</v>
      </c>
      <c r="B897" s="6" t="s">
        <v>59</v>
      </c>
      <c r="C897" s="6" t="s">
        <v>51</v>
      </c>
      <c r="D897" s="6" t="s">
        <v>119</v>
      </c>
      <c r="E897" s="6" t="n">
        <v>16</v>
      </c>
      <c r="F897" s="6" t="n">
        <v>2</v>
      </c>
      <c r="G897" s="6" t="s">
        <v>72</v>
      </c>
      <c r="H897" s="11" t="n">
        <v>0.05</v>
      </c>
      <c r="I897" s="6" t="n">
        <v>20</v>
      </c>
      <c r="J897" s="6" t="n">
        <v>1</v>
      </c>
      <c r="K897" s="6" t="n">
        <v>19</v>
      </c>
      <c r="L897" s="6" t="n">
        <v>0</v>
      </c>
      <c r="M897" s="6" t="n">
        <v>20</v>
      </c>
      <c r="N897" s="11" t="n">
        <f aca="false">J897/(J897+K897)</f>
        <v>0.05</v>
      </c>
      <c r="O897" s="11" t="n">
        <f aca="false">IF(J897+L897=0,"",J897/(J897+L897))</f>
        <v>1</v>
      </c>
      <c r="P897" s="11" t="n">
        <f aca="false">2*J897/(2*J897+L897+K897)</f>
        <v>0.0952380952380952</v>
      </c>
      <c r="Q897" s="11" t="n">
        <f aca="false">L897/(L897+M897)</f>
        <v>0</v>
      </c>
      <c r="R897" s="6" t="n">
        <v>0</v>
      </c>
      <c r="S897" s="11"/>
      <c r="T897" s="11" t="n">
        <v>0.05</v>
      </c>
      <c r="U897" s="11" t="n">
        <v>0.9</v>
      </c>
      <c r="V897" s="11" t="n">
        <v>0.9</v>
      </c>
    </row>
    <row r="898" customFormat="false" ht="15" hidden="false" customHeight="false" outlineLevel="0" collapsed="false">
      <c r="A898" s="6" t="s">
        <v>60</v>
      </c>
      <c r="B898" s="6" t="s">
        <v>59</v>
      </c>
      <c r="C898" s="6" t="s">
        <v>51</v>
      </c>
      <c r="D898" s="6" t="s">
        <v>119</v>
      </c>
      <c r="E898" s="6" t="n">
        <v>16</v>
      </c>
      <c r="F898" s="6" t="n">
        <v>2</v>
      </c>
      <c r="G898" s="6" t="s">
        <v>73</v>
      </c>
      <c r="H898" s="11" t="n">
        <v>0.05</v>
      </c>
      <c r="I898" s="6" t="n">
        <v>20</v>
      </c>
      <c r="J898" s="6" t="n">
        <v>0</v>
      </c>
      <c r="K898" s="6" t="n">
        <v>20</v>
      </c>
      <c r="L898" s="6" t="n">
        <v>0</v>
      </c>
      <c r="M898" s="6" t="n">
        <v>20</v>
      </c>
      <c r="N898" s="11" t="n">
        <f aca="false">J898/(J898+K898)</f>
        <v>0</v>
      </c>
      <c r="O898" s="11" t="str">
        <f aca="false">IF(J898+L898=0,"",J898/(J898+L898))</f>
        <v/>
      </c>
      <c r="P898" s="11" t="n">
        <f aca="false">2*J898/(2*J898+L898+K898)</f>
        <v>0</v>
      </c>
      <c r="Q898" s="11" t="n">
        <f aca="false">L898/(L898+M898)</f>
        <v>0</v>
      </c>
      <c r="R898" s="6" t="n">
        <v>0</v>
      </c>
      <c r="S898" s="11"/>
      <c r="T898" s="11" t="n">
        <v>0</v>
      </c>
      <c r="U898" s="11" t="n">
        <v>0.65</v>
      </c>
      <c r="V898" s="11" t="n">
        <v>0.65</v>
      </c>
    </row>
    <row r="899" customFormat="false" ht="15" hidden="false" customHeight="false" outlineLevel="0" collapsed="false">
      <c r="A899" s="6" t="s">
        <v>60</v>
      </c>
      <c r="B899" s="6" t="s">
        <v>59</v>
      </c>
      <c r="C899" s="6" t="s">
        <v>51</v>
      </c>
      <c r="D899" s="6" t="s">
        <v>119</v>
      </c>
      <c r="E899" s="6" t="n">
        <v>16</v>
      </c>
      <c r="F899" s="6" t="n">
        <v>2</v>
      </c>
      <c r="G899" s="6" t="s">
        <v>74</v>
      </c>
      <c r="H899" s="11" t="n">
        <v>0.05</v>
      </c>
      <c r="I899" s="6" t="n">
        <v>20</v>
      </c>
      <c r="J899" s="6" t="n">
        <v>1</v>
      </c>
      <c r="K899" s="6" t="n">
        <v>19</v>
      </c>
      <c r="L899" s="6" t="n">
        <v>1</v>
      </c>
      <c r="M899" s="6" t="n">
        <v>19</v>
      </c>
      <c r="N899" s="11" t="n">
        <f aca="false">J899/(J899+K899)</f>
        <v>0.05</v>
      </c>
      <c r="O899" s="11" t="n">
        <f aca="false">IF(J899+L899=0,"",J899/(J899+L899))</f>
        <v>0.5</v>
      </c>
      <c r="P899" s="11" t="n">
        <f aca="false">2*J899/(2*J899+L899+K899)</f>
        <v>0.0909090909090909</v>
      </c>
      <c r="Q899" s="11" t="n">
        <f aca="false">L899/(L899+M899)</f>
        <v>0.05</v>
      </c>
      <c r="R899" s="6" t="n">
        <v>0</v>
      </c>
      <c r="S899" s="11"/>
      <c r="T899" s="11" t="n">
        <v>0.05</v>
      </c>
      <c r="U899" s="11" t="n">
        <v>0.85</v>
      </c>
      <c r="V899" s="11" t="n">
        <v>0.85</v>
      </c>
    </row>
    <row r="900" customFormat="false" ht="15" hidden="false" customHeight="false" outlineLevel="0" collapsed="false">
      <c r="A900" s="6" t="s">
        <v>60</v>
      </c>
      <c r="B900" s="6" t="s">
        <v>59</v>
      </c>
      <c r="C900" s="6" t="s">
        <v>51</v>
      </c>
      <c r="D900" s="6" t="s">
        <v>119</v>
      </c>
      <c r="E900" s="6" t="n">
        <v>16</v>
      </c>
      <c r="F900" s="6" t="n">
        <v>2</v>
      </c>
      <c r="G900" s="6" t="s">
        <v>75</v>
      </c>
      <c r="H900" s="11" t="n">
        <v>0.05</v>
      </c>
      <c r="I900" s="6" t="n">
        <v>20</v>
      </c>
      <c r="J900" s="6" t="n">
        <v>0</v>
      </c>
      <c r="K900" s="6" t="n">
        <v>20</v>
      </c>
      <c r="L900" s="6" t="n">
        <v>0</v>
      </c>
      <c r="M900" s="6" t="n">
        <v>20</v>
      </c>
      <c r="N900" s="11" t="n">
        <f aca="false">J900/(J900+K900)</f>
        <v>0</v>
      </c>
      <c r="O900" s="11" t="str">
        <f aca="false">IF(J900+L900=0,"",J900/(J900+L900))</f>
        <v/>
      </c>
      <c r="P900" s="11" t="n">
        <f aca="false">2*J900/(2*J900+L900+K900)</f>
        <v>0</v>
      </c>
      <c r="Q900" s="11" t="n">
        <f aca="false">L900/(L900+M900)</f>
        <v>0</v>
      </c>
      <c r="R900" s="6" t="n">
        <v>0</v>
      </c>
      <c r="S900" s="11"/>
      <c r="T900" s="11" t="n">
        <v>0</v>
      </c>
      <c r="U900" s="11" t="n">
        <v>0.9</v>
      </c>
      <c r="V900" s="11" t="n">
        <v>0.9</v>
      </c>
    </row>
    <row r="901" customFormat="false" ht="15" hidden="false" customHeight="false" outlineLevel="0" collapsed="false">
      <c r="A901" s="6" t="s">
        <v>60</v>
      </c>
      <c r="B901" s="6" t="s">
        <v>59</v>
      </c>
      <c r="C901" s="6" t="s">
        <v>51</v>
      </c>
      <c r="D901" s="6" t="s">
        <v>119</v>
      </c>
      <c r="E901" s="6" t="n">
        <v>16</v>
      </c>
      <c r="F901" s="6" t="n">
        <v>2</v>
      </c>
      <c r="G901" s="6" t="s">
        <v>76</v>
      </c>
      <c r="H901" s="11" t="n">
        <v>0.05</v>
      </c>
      <c r="I901" s="6" t="n">
        <v>20</v>
      </c>
      <c r="J901" s="6" t="n">
        <v>0</v>
      </c>
      <c r="K901" s="6" t="n">
        <v>20</v>
      </c>
      <c r="L901" s="6" t="n">
        <v>0</v>
      </c>
      <c r="M901" s="6" t="n">
        <v>20</v>
      </c>
      <c r="N901" s="11" t="n">
        <f aca="false">J901/(J901+K901)</f>
        <v>0</v>
      </c>
      <c r="O901" s="11" t="str">
        <f aca="false">IF(J901+L901=0,"",J901/(J901+L901))</f>
        <v/>
      </c>
      <c r="P901" s="11" t="n">
        <f aca="false">2*J901/(2*J901+L901+K901)</f>
        <v>0</v>
      </c>
      <c r="Q901" s="11" t="n">
        <f aca="false">L901/(L901+M901)</f>
        <v>0</v>
      </c>
      <c r="R901" s="6" t="n">
        <v>0</v>
      </c>
      <c r="S901" s="11"/>
      <c r="T901" s="11" t="n">
        <v>0</v>
      </c>
      <c r="U901" s="11" t="n">
        <v>0.95</v>
      </c>
      <c r="V901" s="11" t="n">
        <v>0.95</v>
      </c>
    </row>
    <row r="902" customFormat="false" ht="15" hidden="false" customHeight="false" outlineLevel="0" collapsed="false">
      <c r="A902" s="6" t="s">
        <v>60</v>
      </c>
      <c r="B902" s="6" t="s">
        <v>59</v>
      </c>
      <c r="C902" s="6" t="s">
        <v>51</v>
      </c>
      <c r="D902" s="6" t="s">
        <v>119</v>
      </c>
      <c r="E902" s="6" t="n">
        <v>16</v>
      </c>
      <c r="F902" s="6" t="n">
        <v>2</v>
      </c>
      <c r="G902" s="6" t="s">
        <v>77</v>
      </c>
      <c r="H902" s="11" t="n">
        <v>0.05</v>
      </c>
      <c r="I902" s="6" t="n">
        <v>20</v>
      </c>
      <c r="J902" s="6" t="n">
        <v>1</v>
      </c>
      <c r="K902" s="6" t="n">
        <v>19</v>
      </c>
      <c r="L902" s="6" t="n">
        <v>1</v>
      </c>
      <c r="M902" s="6" t="n">
        <v>19</v>
      </c>
      <c r="N902" s="11" t="n">
        <f aca="false">J902/(J902+K902)</f>
        <v>0.05</v>
      </c>
      <c r="O902" s="11" t="n">
        <f aca="false">IF(J902+L902=0,"",J902/(J902+L902))</f>
        <v>0.5</v>
      </c>
      <c r="P902" s="11" t="n">
        <f aca="false">2*J902/(2*J902+L902+K902)</f>
        <v>0.0909090909090909</v>
      </c>
      <c r="Q902" s="11" t="n">
        <f aca="false">L902/(L902+M902)</f>
        <v>0.05</v>
      </c>
      <c r="R902" s="6" t="n">
        <v>0</v>
      </c>
      <c r="S902" s="11"/>
      <c r="T902" s="11" t="n">
        <v>0.05</v>
      </c>
      <c r="U902" s="11" t="n">
        <v>1</v>
      </c>
      <c r="V902" s="11" t="n">
        <v>1</v>
      </c>
    </row>
    <row r="903" customFormat="false" ht="15" hidden="false" customHeight="false" outlineLevel="0" collapsed="false">
      <c r="A903" s="6" t="s">
        <v>60</v>
      </c>
      <c r="B903" s="6" t="s">
        <v>59</v>
      </c>
      <c r="C903" s="6" t="s">
        <v>51</v>
      </c>
      <c r="D903" s="6" t="s">
        <v>119</v>
      </c>
      <c r="E903" s="6" t="n">
        <v>16</v>
      </c>
      <c r="F903" s="6" t="n">
        <v>2</v>
      </c>
      <c r="G903" s="6" t="s">
        <v>78</v>
      </c>
      <c r="H903" s="11" t="n">
        <v>0.05</v>
      </c>
      <c r="I903" s="6" t="n">
        <v>200</v>
      </c>
      <c r="J903" s="6" t="n">
        <v>5</v>
      </c>
      <c r="K903" s="6" t="n">
        <v>195</v>
      </c>
      <c r="L903" s="6" t="n">
        <v>4</v>
      </c>
      <c r="M903" s="6" t="n">
        <v>196</v>
      </c>
      <c r="N903" s="11" t="n">
        <f aca="false">J903/(J903+K903)</f>
        <v>0.025</v>
      </c>
      <c r="O903" s="11" t="n">
        <f aca="false">IF(J903+L903=0,"",J903/(J903+L903))</f>
        <v>0.555555555555556</v>
      </c>
      <c r="P903" s="11" t="n">
        <f aca="false">2*J903/(2*J903+L903+K903)</f>
        <v>0.0478468899521531</v>
      </c>
      <c r="Q903" s="11" t="n">
        <f aca="false">L903/(L903+M903)</f>
        <v>0.02</v>
      </c>
      <c r="R903" s="6" t="n">
        <v>0</v>
      </c>
      <c r="S903" s="11"/>
      <c r="T903" s="11" t="n">
        <v>0.025</v>
      </c>
      <c r="U903" s="11" t="n">
        <v>0.88</v>
      </c>
      <c r="V903" s="11" t="n">
        <v>0.88</v>
      </c>
    </row>
    <row r="904" customFormat="false" ht="15" hidden="false" customHeight="false" outlineLevel="0" collapsed="false">
      <c r="A904" s="6" t="s">
        <v>60</v>
      </c>
      <c r="B904" s="6" t="s">
        <v>59</v>
      </c>
      <c r="C904" s="6" t="s">
        <v>51</v>
      </c>
      <c r="D904" s="6" t="s">
        <v>119</v>
      </c>
      <c r="E904" s="6" t="n">
        <v>16</v>
      </c>
      <c r="F904" s="6" t="n">
        <v>3</v>
      </c>
      <c r="G904" s="6" t="s">
        <v>68</v>
      </c>
      <c r="H904" s="11" t="n">
        <v>0.05</v>
      </c>
      <c r="I904" s="6" t="n">
        <v>20</v>
      </c>
      <c r="J904" s="6" t="n">
        <v>1</v>
      </c>
      <c r="K904" s="6" t="n">
        <v>19</v>
      </c>
      <c r="L904" s="6" t="n">
        <v>1</v>
      </c>
      <c r="M904" s="6" t="n">
        <v>19</v>
      </c>
      <c r="N904" s="11" t="n">
        <f aca="false">J904/(J904+K904)</f>
        <v>0.05</v>
      </c>
      <c r="O904" s="11" t="n">
        <f aca="false">IF(J904+L904=0,"",J904/(J904+L904))</f>
        <v>0.5</v>
      </c>
      <c r="P904" s="11" t="n">
        <f aca="false">2*J904/(2*J904+L904+K904)</f>
        <v>0.0909090909090909</v>
      </c>
      <c r="Q904" s="11" t="n">
        <f aca="false">L904/(L904+M904)</f>
        <v>0.05</v>
      </c>
      <c r="R904" s="6" t="n">
        <v>0</v>
      </c>
      <c r="S904" s="11"/>
      <c r="T904" s="11" t="n">
        <v>0.05</v>
      </c>
      <c r="U904" s="11" t="n">
        <v>0.85</v>
      </c>
      <c r="V904" s="11" t="n">
        <v>0.85</v>
      </c>
    </row>
    <row r="905" customFormat="false" ht="15" hidden="false" customHeight="false" outlineLevel="0" collapsed="false">
      <c r="A905" s="6" t="s">
        <v>60</v>
      </c>
      <c r="B905" s="6" t="s">
        <v>59</v>
      </c>
      <c r="C905" s="6" t="s">
        <v>51</v>
      </c>
      <c r="D905" s="6" t="s">
        <v>119</v>
      </c>
      <c r="E905" s="6" t="n">
        <v>16</v>
      </c>
      <c r="F905" s="6" t="n">
        <v>3</v>
      </c>
      <c r="G905" s="6" t="s">
        <v>69</v>
      </c>
      <c r="H905" s="11" t="n">
        <v>0.05</v>
      </c>
      <c r="I905" s="6" t="n">
        <v>20</v>
      </c>
      <c r="J905" s="6" t="n">
        <v>1</v>
      </c>
      <c r="K905" s="6" t="n">
        <v>19</v>
      </c>
      <c r="L905" s="6" t="n">
        <v>1</v>
      </c>
      <c r="M905" s="6" t="n">
        <v>19</v>
      </c>
      <c r="N905" s="11" t="n">
        <f aca="false">J905/(J905+K905)</f>
        <v>0.05</v>
      </c>
      <c r="O905" s="11" t="n">
        <f aca="false">IF(J905+L905=0,"",J905/(J905+L905))</f>
        <v>0.5</v>
      </c>
      <c r="P905" s="11" t="n">
        <f aca="false">2*J905/(2*J905+L905+K905)</f>
        <v>0.0909090909090909</v>
      </c>
      <c r="Q905" s="11" t="n">
        <f aca="false">L905/(L905+M905)</f>
        <v>0.05</v>
      </c>
      <c r="R905" s="6" t="n">
        <v>0</v>
      </c>
      <c r="S905" s="11"/>
      <c r="T905" s="11" t="n">
        <v>0.05</v>
      </c>
      <c r="U905" s="11" t="n">
        <v>1</v>
      </c>
      <c r="V905" s="11" t="n">
        <v>1</v>
      </c>
    </row>
    <row r="906" customFormat="false" ht="15" hidden="false" customHeight="false" outlineLevel="0" collapsed="false">
      <c r="A906" s="6" t="s">
        <v>60</v>
      </c>
      <c r="B906" s="6" t="s">
        <v>59</v>
      </c>
      <c r="C906" s="6" t="s">
        <v>51</v>
      </c>
      <c r="D906" s="6" t="s">
        <v>119</v>
      </c>
      <c r="E906" s="6" t="n">
        <v>16</v>
      </c>
      <c r="F906" s="6" t="n">
        <v>3</v>
      </c>
      <c r="G906" s="6" t="s">
        <v>70</v>
      </c>
      <c r="H906" s="11" t="n">
        <v>0.05</v>
      </c>
      <c r="I906" s="6" t="n">
        <v>20</v>
      </c>
      <c r="J906" s="6" t="n">
        <v>0</v>
      </c>
      <c r="K906" s="6" t="n">
        <v>20</v>
      </c>
      <c r="L906" s="6" t="n">
        <v>0</v>
      </c>
      <c r="M906" s="6" t="n">
        <v>20</v>
      </c>
      <c r="N906" s="11" t="n">
        <f aca="false">J906/(J906+K906)</f>
        <v>0</v>
      </c>
      <c r="O906" s="11" t="str">
        <f aca="false">IF(J906+L906=0,"",J906/(J906+L906))</f>
        <v/>
      </c>
      <c r="P906" s="11" t="n">
        <f aca="false">2*J906/(2*J906+L906+K906)</f>
        <v>0</v>
      </c>
      <c r="Q906" s="11" t="n">
        <f aca="false">L906/(L906+M906)</f>
        <v>0</v>
      </c>
      <c r="R906" s="6" t="n">
        <v>0</v>
      </c>
      <c r="S906" s="11"/>
      <c r="T906" s="11" t="n">
        <v>0</v>
      </c>
      <c r="U906" s="11" t="n">
        <v>0.9</v>
      </c>
      <c r="V906" s="11" t="n">
        <v>0.9</v>
      </c>
    </row>
    <row r="907" customFormat="false" ht="15" hidden="false" customHeight="false" outlineLevel="0" collapsed="false">
      <c r="A907" s="6" t="s">
        <v>60</v>
      </c>
      <c r="B907" s="6" t="s">
        <v>59</v>
      </c>
      <c r="C907" s="6" t="s">
        <v>51</v>
      </c>
      <c r="D907" s="6" t="s">
        <v>119</v>
      </c>
      <c r="E907" s="6" t="n">
        <v>16</v>
      </c>
      <c r="F907" s="6" t="n">
        <v>3</v>
      </c>
      <c r="G907" s="6" t="s">
        <v>71</v>
      </c>
      <c r="H907" s="11" t="n">
        <v>0.05</v>
      </c>
      <c r="I907" s="6" t="n">
        <v>20</v>
      </c>
      <c r="J907" s="6" t="n">
        <v>0</v>
      </c>
      <c r="K907" s="6" t="n">
        <v>20</v>
      </c>
      <c r="L907" s="6" t="n">
        <v>0</v>
      </c>
      <c r="M907" s="6" t="n">
        <v>20</v>
      </c>
      <c r="N907" s="11" t="n">
        <f aca="false">J907/(J907+K907)</f>
        <v>0</v>
      </c>
      <c r="O907" s="11" t="str">
        <f aca="false">IF(J907+L907=0,"",J907/(J907+L907))</f>
        <v/>
      </c>
      <c r="P907" s="11" t="n">
        <f aca="false">2*J907/(2*J907+L907+K907)</f>
        <v>0</v>
      </c>
      <c r="Q907" s="11" t="n">
        <f aca="false">L907/(L907+M907)</f>
        <v>0</v>
      </c>
      <c r="R907" s="6" t="n">
        <v>0</v>
      </c>
      <c r="S907" s="11"/>
      <c r="T907" s="11" t="n">
        <v>0</v>
      </c>
      <c r="U907" s="11" t="n">
        <v>0.8</v>
      </c>
      <c r="V907" s="11" t="n">
        <v>0.8</v>
      </c>
    </row>
    <row r="908" customFormat="false" ht="15" hidden="false" customHeight="false" outlineLevel="0" collapsed="false">
      <c r="A908" s="6" t="s">
        <v>60</v>
      </c>
      <c r="B908" s="6" t="s">
        <v>59</v>
      </c>
      <c r="C908" s="6" t="s">
        <v>51</v>
      </c>
      <c r="D908" s="6" t="s">
        <v>119</v>
      </c>
      <c r="E908" s="6" t="n">
        <v>16</v>
      </c>
      <c r="F908" s="6" t="n">
        <v>3</v>
      </c>
      <c r="G908" s="6" t="s">
        <v>72</v>
      </c>
      <c r="H908" s="11" t="n">
        <v>0.05</v>
      </c>
      <c r="I908" s="6" t="n">
        <v>20</v>
      </c>
      <c r="J908" s="6" t="n">
        <v>0</v>
      </c>
      <c r="K908" s="6" t="n">
        <v>20</v>
      </c>
      <c r="L908" s="6" t="n">
        <v>0</v>
      </c>
      <c r="M908" s="6" t="n">
        <v>20</v>
      </c>
      <c r="N908" s="11" t="n">
        <f aca="false">J908/(J908+K908)</f>
        <v>0</v>
      </c>
      <c r="O908" s="11" t="str">
        <f aca="false">IF(J908+L908=0,"",J908/(J908+L908))</f>
        <v/>
      </c>
      <c r="P908" s="11" t="n">
        <f aca="false">2*J908/(2*J908+L908+K908)</f>
        <v>0</v>
      </c>
      <c r="Q908" s="11" t="n">
        <f aca="false">L908/(L908+M908)</f>
        <v>0</v>
      </c>
      <c r="R908" s="6" t="n">
        <v>0</v>
      </c>
      <c r="S908" s="11"/>
      <c r="T908" s="11" t="n">
        <v>0</v>
      </c>
      <c r="U908" s="11" t="n">
        <v>0.9</v>
      </c>
      <c r="V908" s="11" t="n">
        <v>0.9</v>
      </c>
    </row>
    <row r="909" customFormat="false" ht="15" hidden="false" customHeight="false" outlineLevel="0" collapsed="false">
      <c r="A909" s="6" t="s">
        <v>60</v>
      </c>
      <c r="B909" s="6" t="s">
        <v>59</v>
      </c>
      <c r="C909" s="6" t="s">
        <v>51</v>
      </c>
      <c r="D909" s="6" t="s">
        <v>119</v>
      </c>
      <c r="E909" s="6" t="n">
        <v>16</v>
      </c>
      <c r="F909" s="6" t="n">
        <v>3</v>
      </c>
      <c r="G909" s="6" t="s">
        <v>73</v>
      </c>
      <c r="H909" s="11" t="n">
        <v>0.05</v>
      </c>
      <c r="I909" s="6" t="n">
        <v>20</v>
      </c>
      <c r="J909" s="6" t="n">
        <v>0</v>
      </c>
      <c r="K909" s="6" t="n">
        <v>20</v>
      </c>
      <c r="L909" s="6" t="n">
        <v>0</v>
      </c>
      <c r="M909" s="6" t="n">
        <v>20</v>
      </c>
      <c r="N909" s="11" t="n">
        <f aca="false">J909/(J909+K909)</f>
        <v>0</v>
      </c>
      <c r="O909" s="11" t="str">
        <f aca="false">IF(J909+L909=0,"",J909/(J909+L909))</f>
        <v/>
      </c>
      <c r="P909" s="11" t="n">
        <f aca="false">2*J909/(2*J909+L909+K909)</f>
        <v>0</v>
      </c>
      <c r="Q909" s="11" t="n">
        <f aca="false">L909/(L909+M909)</f>
        <v>0</v>
      </c>
      <c r="R909" s="6" t="n">
        <v>0</v>
      </c>
      <c r="S909" s="11"/>
      <c r="T909" s="11" t="n">
        <v>0</v>
      </c>
      <c r="U909" s="11" t="n">
        <v>0.65</v>
      </c>
      <c r="V909" s="11" t="n">
        <v>0.65</v>
      </c>
    </row>
    <row r="910" customFormat="false" ht="15" hidden="false" customHeight="false" outlineLevel="0" collapsed="false">
      <c r="A910" s="6" t="s">
        <v>60</v>
      </c>
      <c r="B910" s="6" t="s">
        <v>59</v>
      </c>
      <c r="C910" s="6" t="s">
        <v>51</v>
      </c>
      <c r="D910" s="6" t="s">
        <v>119</v>
      </c>
      <c r="E910" s="6" t="n">
        <v>16</v>
      </c>
      <c r="F910" s="6" t="n">
        <v>3</v>
      </c>
      <c r="G910" s="6" t="s">
        <v>74</v>
      </c>
      <c r="H910" s="11" t="n">
        <v>0.05</v>
      </c>
      <c r="I910" s="6" t="n">
        <v>20</v>
      </c>
      <c r="J910" s="6" t="n">
        <v>1</v>
      </c>
      <c r="K910" s="6" t="n">
        <v>19</v>
      </c>
      <c r="L910" s="6" t="n">
        <v>1</v>
      </c>
      <c r="M910" s="6" t="n">
        <v>19</v>
      </c>
      <c r="N910" s="11" t="n">
        <f aca="false">J910/(J910+K910)</f>
        <v>0.05</v>
      </c>
      <c r="O910" s="11" t="n">
        <f aca="false">IF(J910+L910=0,"",J910/(J910+L910))</f>
        <v>0.5</v>
      </c>
      <c r="P910" s="11" t="n">
        <f aca="false">2*J910/(2*J910+L910+K910)</f>
        <v>0.0909090909090909</v>
      </c>
      <c r="Q910" s="11" t="n">
        <f aca="false">L910/(L910+M910)</f>
        <v>0.05</v>
      </c>
      <c r="R910" s="6" t="n">
        <v>0</v>
      </c>
      <c r="S910" s="11"/>
      <c r="T910" s="11" t="n">
        <v>0.05</v>
      </c>
      <c r="U910" s="11" t="n">
        <v>0.85</v>
      </c>
      <c r="V910" s="11" t="n">
        <v>0.85</v>
      </c>
    </row>
    <row r="911" customFormat="false" ht="15" hidden="false" customHeight="false" outlineLevel="0" collapsed="false">
      <c r="A911" s="6" t="s">
        <v>60</v>
      </c>
      <c r="B911" s="6" t="s">
        <v>59</v>
      </c>
      <c r="C911" s="6" t="s">
        <v>51</v>
      </c>
      <c r="D911" s="6" t="s">
        <v>119</v>
      </c>
      <c r="E911" s="6" t="n">
        <v>16</v>
      </c>
      <c r="F911" s="6" t="n">
        <v>3</v>
      </c>
      <c r="G911" s="6" t="s">
        <v>75</v>
      </c>
      <c r="H911" s="11" t="n">
        <v>0.05</v>
      </c>
      <c r="I911" s="6" t="n">
        <v>20</v>
      </c>
      <c r="J911" s="6" t="n">
        <v>0</v>
      </c>
      <c r="K911" s="6" t="n">
        <v>20</v>
      </c>
      <c r="L911" s="6" t="n">
        <v>0</v>
      </c>
      <c r="M911" s="6" t="n">
        <v>20</v>
      </c>
      <c r="N911" s="11" t="n">
        <f aca="false">J911/(J911+K911)</f>
        <v>0</v>
      </c>
      <c r="O911" s="11" t="str">
        <f aca="false">IF(J911+L911=0,"",J911/(J911+L911))</f>
        <v/>
      </c>
      <c r="P911" s="11" t="n">
        <f aca="false">2*J911/(2*J911+L911+K911)</f>
        <v>0</v>
      </c>
      <c r="Q911" s="11" t="n">
        <f aca="false">L911/(L911+M911)</f>
        <v>0</v>
      </c>
      <c r="R911" s="6" t="n">
        <v>0</v>
      </c>
      <c r="S911" s="11"/>
      <c r="T911" s="11" t="n">
        <v>0</v>
      </c>
      <c r="U911" s="11" t="n">
        <v>0.9</v>
      </c>
      <c r="V911" s="11" t="n">
        <v>0.9</v>
      </c>
    </row>
    <row r="912" customFormat="false" ht="15" hidden="false" customHeight="false" outlineLevel="0" collapsed="false">
      <c r="A912" s="6" t="s">
        <v>60</v>
      </c>
      <c r="B912" s="6" t="s">
        <v>59</v>
      </c>
      <c r="C912" s="6" t="s">
        <v>51</v>
      </c>
      <c r="D912" s="6" t="s">
        <v>119</v>
      </c>
      <c r="E912" s="6" t="n">
        <v>16</v>
      </c>
      <c r="F912" s="6" t="n">
        <v>3</v>
      </c>
      <c r="G912" s="6" t="s">
        <v>76</v>
      </c>
      <c r="H912" s="11" t="n">
        <v>0.05</v>
      </c>
      <c r="I912" s="6" t="n">
        <v>20</v>
      </c>
      <c r="J912" s="6" t="n">
        <v>0</v>
      </c>
      <c r="K912" s="6" t="n">
        <v>20</v>
      </c>
      <c r="L912" s="6" t="n">
        <v>0</v>
      </c>
      <c r="M912" s="6" t="n">
        <v>20</v>
      </c>
      <c r="N912" s="11" t="n">
        <f aca="false">J912/(J912+K912)</f>
        <v>0</v>
      </c>
      <c r="O912" s="11" t="str">
        <f aca="false">IF(J912+L912=0,"",J912/(J912+L912))</f>
        <v/>
      </c>
      <c r="P912" s="11" t="n">
        <f aca="false">2*J912/(2*J912+L912+K912)</f>
        <v>0</v>
      </c>
      <c r="Q912" s="11" t="n">
        <f aca="false">L912/(L912+M912)</f>
        <v>0</v>
      </c>
      <c r="R912" s="6" t="n">
        <v>0</v>
      </c>
      <c r="S912" s="11"/>
      <c r="T912" s="11" t="n">
        <v>0</v>
      </c>
      <c r="U912" s="11" t="n">
        <v>0.95</v>
      </c>
      <c r="V912" s="11" t="n">
        <v>0.95</v>
      </c>
    </row>
    <row r="913" customFormat="false" ht="15" hidden="false" customHeight="false" outlineLevel="0" collapsed="false">
      <c r="A913" s="6" t="s">
        <v>60</v>
      </c>
      <c r="B913" s="6" t="s">
        <v>59</v>
      </c>
      <c r="C913" s="6" t="s">
        <v>51</v>
      </c>
      <c r="D913" s="6" t="s">
        <v>119</v>
      </c>
      <c r="E913" s="6" t="n">
        <v>16</v>
      </c>
      <c r="F913" s="6" t="n">
        <v>3</v>
      </c>
      <c r="G913" s="6" t="s">
        <v>77</v>
      </c>
      <c r="H913" s="11" t="n">
        <v>0.05</v>
      </c>
      <c r="I913" s="6" t="n">
        <v>20</v>
      </c>
      <c r="J913" s="6" t="n">
        <v>2</v>
      </c>
      <c r="K913" s="6" t="n">
        <v>18</v>
      </c>
      <c r="L913" s="6" t="n">
        <v>1</v>
      </c>
      <c r="M913" s="6" t="n">
        <v>19</v>
      </c>
      <c r="N913" s="11" t="n">
        <f aca="false">J913/(J913+K913)</f>
        <v>0.1</v>
      </c>
      <c r="O913" s="11" t="n">
        <f aca="false">IF(J913+L913=0,"",J913/(J913+L913))</f>
        <v>0.666666666666667</v>
      </c>
      <c r="P913" s="11" t="n">
        <f aca="false">2*J913/(2*J913+L913+K913)</f>
        <v>0.173913043478261</v>
      </c>
      <c r="Q913" s="11" t="n">
        <f aca="false">L913/(L913+M913)</f>
        <v>0.05</v>
      </c>
      <c r="R913" s="6" t="n">
        <v>0</v>
      </c>
      <c r="S913" s="11"/>
      <c r="T913" s="11" t="n">
        <v>0.1</v>
      </c>
      <c r="U913" s="11" t="n">
        <v>1</v>
      </c>
      <c r="V913" s="11" t="n">
        <v>1</v>
      </c>
    </row>
    <row r="914" customFormat="false" ht="15" hidden="false" customHeight="false" outlineLevel="0" collapsed="false">
      <c r="A914" s="6" t="s">
        <v>60</v>
      </c>
      <c r="B914" s="6" t="s">
        <v>59</v>
      </c>
      <c r="C914" s="6" t="s">
        <v>51</v>
      </c>
      <c r="D914" s="6" t="s">
        <v>119</v>
      </c>
      <c r="E914" s="6" t="n">
        <v>16</v>
      </c>
      <c r="F914" s="6" t="n">
        <v>3</v>
      </c>
      <c r="G914" s="6" t="s">
        <v>78</v>
      </c>
      <c r="H914" s="11" t="n">
        <v>0.05</v>
      </c>
      <c r="I914" s="6" t="n">
        <v>200</v>
      </c>
      <c r="J914" s="6" t="n">
        <v>5</v>
      </c>
      <c r="K914" s="6" t="n">
        <v>195</v>
      </c>
      <c r="L914" s="6" t="n">
        <v>4</v>
      </c>
      <c r="M914" s="6" t="n">
        <v>196</v>
      </c>
      <c r="N914" s="11" t="n">
        <f aca="false">J914/(J914+K914)</f>
        <v>0.025</v>
      </c>
      <c r="O914" s="11" t="n">
        <f aca="false">IF(J914+L914=0,"",J914/(J914+L914))</f>
        <v>0.555555555555556</v>
      </c>
      <c r="P914" s="11" t="n">
        <f aca="false">2*J914/(2*J914+L914+K914)</f>
        <v>0.0478468899521531</v>
      </c>
      <c r="Q914" s="11" t="n">
        <f aca="false">L914/(L914+M914)</f>
        <v>0.02</v>
      </c>
      <c r="R914" s="6" t="n">
        <v>0</v>
      </c>
      <c r="S914" s="11"/>
      <c r="T914" s="11" t="n">
        <v>0.025</v>
      </c>
      <c r="U914" s="11" t="n">
        <v>0.88</v>
      </c>
      <c r="V914" s="11" t="n">
        <v>0.88</v>
      </c>
    </row>
    <row r="915" customFormat="false" ht="15" hidden="false" customHeight="false" outlineLevel="0" collapsed="false">
      <c r="A915" s="6" t="s">
        <v>60</v>
      </c>
      <c r="B915" s="6" t="s">
        <v>59</v>
      </c>
      <c r="C915" s="6" t="s">
        <v>51</v>
      </c>
      <c r="D915" s="6" t="s">
        <v>119</v>
      </c>
      <c r="E915" s="6" t="n">
        <v>16</v>
      </c>
      <c r="F915" s="6" t="n">
        <v>4</v>
      </c>
      <c r="G915" s="6" t="s">
        <v>68</v>
      </c>
      <c r="H915" s="11" t="n">
        <v>0.05</v>
      </c>
      <c r="I915" s="6" t="n">
        <v>20</v>
      </c>
      <c r="J915" s="6" t="n">
        <v>2</v>
      </c>
      <c r="K915" s="6" t="n">
        <v>18</v>
      </c>
      <c r="L915" s="6" t="n">
        <v>1</v>
      </c>
      <c r="M915" s="6" t="n">
        <v>19</v>
      </c>
      <c r="N915" s="11" t="n">
        <f aca="false">J915/(J915+K915)</f>
        <v>0.1</v>
      </c>
      <c r="O915" s="11" t="n">
        <f aca="false">IF(J915+L915=0,"",J915/(J915+L915))</f>
        <v>0.666666666666667</v>
      </c>
      <c r="P915" s="11" t="n">
        <f aca="false">2*J915/(2*J915+L915+K915)</f>
        <v>0.173913043478261</v>
      </c>
      <c r="Q915" s="11" t="n">
        <f aca="false">L915/(L915+M915)</f>
        <v>0.05</v>
      </c>
      <c r="R915" s="6" t="n">
        <v>0</v>
      </c>
      <c r="S915" s="11"/>
      <c r="T915" s="11" t="n">
        <v>0.1</v>
      </c>
      <c r="U915" s="11" t="n">
        <v>0.85</v>
      </c>
      <c r="V915" s="11" t="n">
        <v>0.85</v>
      </c>
    </row>
    <row r="916" customFormat="false" ht="15" hidden="false" customHeight="false" outlineLevel="0" collapsed="false">
      <c r="A916" s="6" t="s">
        <v>60</v>
      </c>
      <c r="B916" s="6" t="s">
        <v>59</v>
      </c>
      <c r="C916" s="6" t="s">
        <v>51</v>
      </c>
      <c r="D916" s="6" t="s">
        <v>119</v>
      </c>
      <c r="E916" s="6" t="n">
        <v>16</v>
      </c>
      <c r="F916" s="6" t="n">
        <v>4</v>
      </c>
      <c r="G916" s="6" t="s">
        <v>69</v>
      </c>
      <c r="H916" s="11" t="n">
        <v>0.05</v>
      </c>
      <c r="I916" s="6" t="n">
        <v>20</v>
      </c>
      <c r="J916" s="6" t="n">
        <v>1</v>
      </c>
      <c r="K916" s="6" t="n">
        <v>19</v>
      </c>
      <c r="L916" s="6" t="n">
        <v>1</v>
      </c>
      <c r="M916" s="6" t="n">
        <v>19</v>
      </c>
      <c r="N916" s="11" t="n">
        <f aca="false">J916/(J916+K916)</f>
        <v>0.05</v>
      </c>
      <c r="O916" s="11" t="n">
        <f aca="false">IF(J916+L916=0,"",J916/(J916+L916))</f>
        <v>0.5</v>
      </c>
      <c r="P916" s="11" t="n">
        <f aca="false">2*J916/(2*J916+L916+K916)</f>
        <v>0.0909090909090909</v>
      </c>
      <c r="Q916" s="11" t="n">
        <f aca="false">L916/(L916+M916)</f>
        <v>0.05</v>
      </c>
      <c r="R916" s="6" t="n">
        <v>0</v>
      </c>
      <c r="S916" s="11"/>
      <c r="T916" s="11" t="n">
        <v>0.05</v>
      </c>
      <c r="U916" s="11" t="n">
        <v>1</v>
      </c>
      <c r="V916" s="11" t="n">
        <v>1</v>
      </c>
    </row>
    <row r="917" customFormat="false" ht="15" hidden="false" customHeight="false" outlineLevel="0" collapsed="false">
      <c r="A917" s="6" t="s">
        <v>60</v>
      </c>
      <c r="B917" s="6" t="s">
        <v>59</v>
      </c>
      <c r="C917" s="6" t="s">
        <v>51</v>
      </c>
      <c r="D917" s="6" t="s">
        <v>119</v>
      </c>
      <c r="E917" s="6" t="n">
        <v>16</v>
      </c>
      <c r="F917" s="6" t="n">
        <v>4</v>
      </c>
      <c r="G917" s="6" t="s">
        <v>70</v>
      </c>
      <c r="H917" s="11" t="n">
        <v>0.05</v>
      </c>
      <c r="I917" s="6" t="n">
        <v>20</v>
      </c>
      <c r="J917" s="6" t="n">
        <v>0</v>
      </c>
      <c r="K917" s="6" t="n">
        <v>20</v>
      </c>
      <c r="L917" s="6" t="n">
        <v>0</v>
      </c>
      <c r="M917" s="6" t="n">
        <v>20</v>
      </c>
      <c r="N917" s="11" t="n">
        <f aca="false">J917/(J917+K917)</f>
        <v>0</v>
      </c>
      <c r="O917" s="11" t="str">
        <f aca="false">IF(J917+L917=0,"",J917/(J917+L917))</f>
        <v/>
      </c>
      <c r="P917" s="11" t="n">
        <f aca="false">2*J917/(2*J917+L917+K917)</f>
        <v>0</v>
      </c>
      <c r="Q917" s="11" t="n">
        <f aca="false">L917/(L917+M917)</f>
        <v>0</v>
      </c>
      <c r="R917" s="6" t="n">
        <v>0</v>
      </c>
      <c r="S917" s="11"/>
      <c r="T917" s="11" t="n">
        <v>0</v>
      </c>
      <c r="U917" s="11" t="n">
        <v>0.9</v>
      </c>
      <c r="V917" s="11" t="n">
        <v>0.9</v>
      </c>
    </row>
    <row r="918" customFormat="false" ht="15" hidden="false" customHeight="false" outlineLevel="0" collapsed="false">
      <c r="A918" s="6" t="s">
        <v>60</v>
      </c>
      <c r="B918" s="6" t="s">
        <v>59</v>
      </c>
      <c r="C918" s="6" t="s">
        <v>51</v>
      </c>
      <c r="D918" s="6" t="s">
        <v>119</v>
      </c>
      <c r="E918" s="6" t="n">
        <v>16</v>
      </c>
      <c r="F918" s="6" t="n">
        <v>4</v>
      </c>
      <c r="G918" s="6" t="s">
        <v>71</v>
      </c>
      <c r="H918" s="11" t="n">
        <v>0.05</v>
      </c>
      <c r="I918" s="6" t="n">
        <v>20</v>
      </c>
      <c r="J918" s="6" t="n">
        <v>0</v>
      </c>
      <c r="K918" s="6" t="n">
        <v>20</v>
      </c>
      <c r="L918" s="6" t="n">
        <v>0</v>
      </c>
      <c r="M918" s="6" t="n">
        <v>20</v>
      </c>
      <c r="N918" s="11" t="n">
        <f aca="false">J918/(J918+K918)</f>
        <v>0</v>
      </c>
      <c r="O918" s="11" t="str">
        <f aca="false">IF(J918+L918=0,"",J918/(J918+L918))</f>
        <v/>
      </c>
      <c r="P918" s="11" t="n">
        <f aca="false">2*J918/(2*J918+L918+K918)</f>
        <v>0</v>
      </c>
      <c r="Q918" s="11" t="n">
        <f aca="false">L918/(L918+M918)</f>
        <v>0</v>
      </c>
      <c r="R918" s="6" t="n">
        <v>0</v>
      </c>
      <c r="S918" s="11"/>
      <c r="T918" s="11" t="n">
        <v>0</v>
      </c>
      <c r="U918" s="11" t="n">
        <v>0.8</v>
      </c>
      <c r="V918" s="11" t="n">
        <v>0.8</v>
      </c>
    </row>
    <row r="919" customFormat="false" ht="15" hidden="false" customHeight="false" outlineLevel="0" collapsed="false">
      <c r="A919" s="6" t="s">
        <v>60</v>
      </c>
      <c r="B919" s="6" t="s">
        <v>59</v>
      </c>
      <c r="C919" s="6" t="s">
        <v>51</v>
      </c>
      <c r="D919" s="6" t="s">
        <v>119</v>
      </c>
      <c r="E919" s="6" t="n">
        <v>16</v>
      </c>
      <c r="F919" s="6" t="n">
        <v>4</v>
      </c>
      <c r="G919" s="6" t="s">
        <v>72</v>
      </c>
      <c r="H919" s="11" t="n">
        <v>0.05</v>
      </c>
      <c r="I919" s="6" t="n">
        <v>20</v>
      </c>
      <c r="J919" s="6" t="n">
        <v>1</v>
      </c>
      <c r="K919" s="6" t="n">
        <v>19</v>
      </c>
      <c r="L919" s="6" t="n">
        <v>0</v>
      </c>
      <c r="M919" s="6" t="n">
        <v>20</v>
      </c>
      <c r="N919" s="11" t="n">
        <f aca="false">J919/(J919+K919)</f>
        <v>0.05</v>
      </c>
      <c r="O919" s="11" t="n">
        <f aca="false">IF(J919+L919=0,"",J919/(J919+L919))</f>
        <v>1</v>
      </c>
      <c r="P919" s="11" t="n">
        <f aca="false">2*J919/(2*J919+L919+K919)</f>
        <v>0.0952380952380952</v>
      </c>
      <c r="Q919" s="11" t="n">
        <f aca="false">L919/(L919+M919)</f>
        <v>0</v>
      </c>
      <c r="R919" s="6" t="n">
        <v>0</v>
      </c>
      <c r="S919" s="11"/>
      <c r="T919" s="11" t="n">
        <v>0.05</v>
      </c>
      <c r="U919" s="11" t="n">
        <v>0.9</v>
      </c>
      <c r="V919" s="11" t="n">
        <v>0.9</v>
      </c>
    </row>
    <row r="920" customFormat="false" ht="15" hidden="false" customHeight="false" outlineLevel="0" collapsed="false">
      <c r="A920" s="6" t="s">
        <v>60</v>
      </c>
      <c r="B920" s="6" t="s">
        <v>59</v>
      </c>
      <c r="C920" s="6" t="s">
        <v>51</v>
      </c>
      <c r="D920" s="6" t="s">
        <v>119</v>
      </c>
      <c r="E920" s="6" t="n">
        <v>16</v>
      </c>
      <c r="F920" s="6" t="n">
        <v>4</v>
      </c>
      <c r="G920" s="6" t="s">
        <v>73</v>
      </c>
      <c r="H920" s="11" t="n">
        <v>0.05</v>
      </c>
      <c r="I920" s="6" t="n">
        <v>20</v>
      </c>
      <c r="J920" s="6" t="n">
        <v>0</v>
      </c>
      <c r="K920" s="6" t="n">
        <v>20</v>
      </c>
      <c r="L920" s="6" t="n">
        <v>0</v>
      </c>
      <c r="M920" s="6" t="n">
        <v>20</v>
      </c>
      <c r="N920" s="11" t="n">
        <f aca="false">J920/(J920+K920)</f>
        <v>0</v>
      </c>
      <c r="O920" s="11" t="str">
        <f aca="false">IF(J920+L920=0,"",J920/(J920+L920))</f>
        <v/>
      </c>
      <c r="P920" s="11" t="n">
        <f aca="false">2*J920/(2*J920+L920+K920)</f>
        <v>0</v>
      </c>
      <c r="Q920" s="11" t="n">
        <f aca="false">L920/(L920+M920)</f>
        <v>0</v>
      </c>
      <c r="R920" s="6" t="n">
        <v>0</v>
      </c>
      <c r="S920" s="11"/>
      <c r="T920" s="11" t="n">
        <v>0</v>
      </c>
      <c r="U920" s="11" t="n">
        <v>0.65</v>
      </c>
      <c r="V920" s="11" t="n">
        <v>0.65</v>
      </c>
    </row>
    <row r="921" customFormat="false" ht="15" hidden="false" customHeight="false" outlineLevel="0" collapsed="false">
      <c r="A921" s="6" t="s">
        <v>60</v>
      </c>
      <c r="B921" s="6" t="s">
        <v>59</v>
      </c>
      <c r="C921" s="6" t="s">
        <v>51</v>
      </c>
      <c r="D921" s="6" t="s">
        <v>119</v>
      </c>
      <c r="E921" s="6" t="n">
        <v>16</v>
      </c>
      <c r="F921" s="6" t="n">
        <v>4</v>
      </c>
      <c r="G921" s="6" t="s">
        <v>74</v>
      </c>
      <c r="H921" s="11" t="n">
        <v>0.05</v>
      </c>
      <c r="I921" s="6" t="n">
        <v>20</v>
      </c>
      <c r="J921" s="6" t="n">
        <v>1</v>
      </c>
      <c r="K921" s="6" t="n">
        <v>19</v>
      </c>
      <c r="L921" s="6" t="n">
        <v>1</v>
      </c>
      <c r="M921" s="6" t="n">
        <v>19</v>
      </c>
      <c r="N921" s="11" t="n">
        <f aca="false">J921/(J921+K921)</f>
        <v>0.05</v>
      </c>
      <c r="O921" s="11" t="n">
        <f aca="false">IF(J921+L921=0,"",J921/(J921+L921))</f>
        <v>0.5</v>
      </c>
      <c r="P921" s="11" t="n">
        <f aca="false">2*J921/(2*J921+L921+K921)</f>
        <v>0.0909090909090909</v>
      </c>
      <c r="Q921" s="11" t="n">
        <f aca="false">L921/(L921+M921)</f>
        <v>0.05</v>
      </c>
      <c r="R921" s="6" t="n">
        <v>1</v>
      </c>
      <c r="S921" s="11" t="n">
        <v>0</v>
      </c>
      <c r="T921" s="11" t="n">
        <v>0.0526315789473684</v>
      </c>
      <c r="U921" s="11" t="n">
        <v>0.85</v>
      </c>
      <c r="V921" s="11" t="n">
        <v>0.9</v>
      </c>
    </row>
    <row r="922" customFormat="false" ht="15" hidden="false" customHeight="false" outlineLevel="0" collapsed="false">
      <c r="A922" s="6" t="s">
        <v>60</v>
      </c>
      <c r="B922" s="6" t="s">
        <v>59</v>
      </c>
      <c r="C922" s="6" t="s">
        <v>51</v>
      </c>
      <c r="D922" s="6" t="s">
        <v>119</v>
      </c>
      <c r="E922" s="6" t="n">
        <v>16</v>
      </c>
      <c r="F922" s="6" t="n">
        <v>4</v>
      </c>
      <c r="G922" s="6" t="s">
        <v>75</v>
      </c>
      <c r="H922" s="11" t="n">
        <v>0.05</v>
      </c>
      <c r="I922" s="6" t="n">
        <v>20</v>
      </c>
      <c r="J922" s="6" t="n">
        <v>0</v>
      </c>
      <c r="K922" s="6" t="n">
        <v>20</v>
      </c>
      <c r="L922" s="6" t="n">
        <v>0</v>
      </c>
      <c r="M922" s="6" t="n">
        <v>20</v>
      </c>
      <c r="N922" s="11" t="n">
        <f aca="false">J922/(J922+K922)</f>
        <v>0</v>
      </c>
      <c r="O922" s="11" t="str">
        <f aca="false">IF(J922+L922=0,"",J922/(J922+L922))</f>
        <v/>
      </c>
      <c r="P922" s="11" t="n">
        <f aca="false">2*J922/(2*J922+L922+K922)</f>
        <v>0</v>
      </c>
      <c r="Q922" s="11" t="n">
        <f aca="false">L922/(L922+M922)</f>
        <v>0</v>
      </c>
      <c r="R922" s="6" t="n">
        <v>1</v>
      </c>
      <c r="S922" s="11" t="n">
        <v>0</v>
      </c>
      <c r="T922" s="11" t="n">
        <v>0</v>
      </c>
      <c r="U922" s="11" t="n">
        <v>0.9</v>
      </c>
      <c r="V922" s="11" t="n">
        <v>0.95</v>
      </c>
    </row>
    <row r="923" customFormat="false" ht="15" hidden="false" customHeight="false" outlineLevel="0" collapsed="false">
      <c r="A923" s="6" t="s">
        <v>60</v>
      </c>
      <c r="B923" s="6" t="s">
        <v>59</v>
      </c>
      <c r="C923" s="6" t="s">
        <v>51</v>
      </c>
      <c r="D923" s="6" t="s">
        <v>119</v>
      </c>
      <c r="E923" s="6" t="n">
        <v>16</v>
      </c>
      <c r="F923" s="6" t="n">
        <v>4</v>
      </c>
      <c r="G923" s="6" t="s">
        <v>76</v>
      </c>
      <c r="H923" s="11" t="n">
        <v>0.05</v>
      </c>
      <c r="I923" s="6" t="n">
        <v>20</v>
      </c>
      <c r="J923" s="6" t="n">
        <v>0</v>
      </c>
      <c r="K923" s="6" t="n">
        <v>20</v>
      </c>
      <c r="L923" s="6" t="n">
        <v>0</v>
      </c>
      <c r="M923" s="6" t="n">
        <v>20</v>
      </c>
      <c r="N923" s="11" t="n">
        <f aca="false">J923/(J923+K923)</f>
        <v>0</v>
      </c>
      <c r="O923" s="11" t="str">
        <f aca="false">IF(J923+L923=0,"",J923/(J923+L923))</f>
        <v/>
      </c>
      <c r="P923" s="11" t="n">
        <f aca="false">2*J923/(2*J923+L923+K923)</f>
        <v>0</v>
      </c>
      <c r="Q923" s="11" t="n">
        <f aca="false">L923/(L923+M923)</f>
        <v>0</v>
      </c>
      <c r="R923" s="6" t="n">
        <v>0</v>
      </c>
      <c r="S923" s="11"/>
      <c r="T923" s="11" t="n">
        <v>0</v>
      </c>
      <c r="U923" s="11" t="n">
        <v>0.95</v>
      </c>
      <c r="V923" s="11" t="n">
        <v>0.95</v>
      </c>
    </row>
    <row r="924" customFormat="false" ht="15" hidden="false" customHeight="false" outlineLevel="0" collapsed="false">
      <c r="A924" s="6" t="s">
        <v>60</v>
      </c>
      <c r="B924" s="6" t="s">
        <v>59</v>
      </c>
      <c r="C924" s="6" t="s">
        <v>51</v>
      </c>
      <c r="D924" s="6" t="s">
        <v>119</v>
      </c>
      <c r="E924" s="6" t="n">
        <v>16</v>
      </c>
      <c r="F924" s="6" t="n">
        <v>4</v>
      </c>
      <c r="G924" s="6" t="s">
        <v>77</v>
      </c>
      <c r="H924" s="11" t="n">
        <v>0.05</v>
      </c>
      <c r="I924" s="6" t="n">
        <v>20</v>
      </c>
      <c r="J924" s="6" t="n">
        <v>1</v>
      </c>
      <c r="K924" s="6" t="n">
        <v>19</v>
      </c>
      <c r="L924" s="6" t="n">
        <v>1</v>
      </c>
      <c r="M924" s="6" t="n">
        <v>19</v>
      </c>
      <c r="N924" s="11" t="n">
        <f aca="false">J924/(J924+K924)</f>
        <v>0.05</v>
      </c>
      <c r="O924" s="11" t="n">
        <f aca="false">IF(J924+L924=0,"",J924/(J924+L924))</f>
        <v>0.5</v>
      </c>
      <c r="P924" s="11" t="n">
        <f aca="false">2*J924/(2*J924+L924+K924)</f>
        <v>0.0909090909090909</v>
      </c>
      <c r="Q924" s="11" t="n">
        <f aca="false">L924/(L924+M924)</f>
        <v>0.05</v>
      </c>
      <c r="R924" s="6" t="n">
        <v>0</v>
      </c>
      <c r="S924" s="11"/>
      <c r="T924" s="11" t="n">
        <v>0.05</v>
      </c>
      <c r="U924" s="11" t="n">
        <v>1</v>
      </c>
      <c r="V924" s="11" t="n">
        <v>1</v>
      </c>
    </row>
    <row r="925" customFormat="false" ht="15" hidden="false" customHeight="false" outlineLevel="0" collapsed="false">
      <c r="A925" s="6" t="s">
        <v>60</v>
      </c>
      <c r="B925" s="6" t="s">
        <v>59</v>
      </c>
      <c r="C925" s="6" t="s">
        <v>51</v>
      </c>
      <c r="D925" s="6" t="s">
        <v>119</v>
      </c>
      <c r="E925" s="6" t="n">
        <v>16</v>
      </c>
      <c r="F925" s="6" t="n">
        <v>4</v>
      </c>
      <c r="G925" s="6" t="s">
        <v>78</v>
      </c>
      <c r="H925" s="11" t="n">
        <v>0.05</v>
      </c>
      <c r="I925" s="6" t="n">
        <v>200</v>
      </c>
      <c r="J925" s="6" t="n">
        <v>6</v>
      </c>
      <c r="K925" s="6" t="n">
        <v>194</v>
      </c>
      <c r="L925" s="6" t="n">
        <v>4</v>
      </c>
      <c r="M925" s="6" t="n">
        <v>196</v>
      </c>
      <c r="N925" s="11" t="n">
        <f aca="false">J925/(J925+K925)</f>
        <v>0.03</v>
      </c>
      <c r="O925" s="11" t="n">
        <f aca="false">IF(J925+L925=0,"",J925/(J925+L925))</f>
        <v>0.6</v>
      </c>
      <c r="P925" s="11" t="n">
        <f aca="false">2*J925/(2*J925+L925+K925)</f>
        <v>0.0571428571428571</v>
      </c>
      <c r="Q925" s="11" t="n">
        <f aca="false">L925/(L925+M925)</f>
        <v>0.02</v>
      </c>
      <c r="R925" s="6" t="n">
        <v>2</v>
      </c>
      <c r="S925" s="11" t="n">
        <v>0</v>
      </c>
      <c r="T925" s="11" t="n">
        <v>0.0303030303030303</v>
      </c>
      <c r="U925" s="11" t="n">
        <v>0.88</v>
      </c>
      <c r="V925" s="11" t="n">
        <v>0.89</v>
      </c>
    </row>
    <row r="926" customFormat="false" ht="15" hidden="false" customHeight="false" outlineLevel="0" collapsed="false">
      <c r="A926" s="6" t="s">
        <v>60</v>
      </c>
      <c r="B926" s="6" t="s">
        <v>59</v>
      </c>
      <c r="C926" s="6" t="s">
        <v>51</v>
      </c>
      <c r="D926" s="6" t="s">
        <v>119</v>
      </c>
      <c r="E926" s="6" t="n">
        <v>16</v>
      </c>
      <c r="F926" s="6" t="n">
        <v>5</v>
      </c>
      <c r="G926" s="6" t="s">
        <v>68</v>
      </c>
      <c r="H926" s="11" t="n">
        <v>0.05</v>
      </c>
      <c r="I926" s="6" t="n">
        <v>20</v>
      </c>
      <c r="J926" s="6" t="n">
        <v>1</v>
      </c>
      <c r="K926" s="6" t="n">
        <v>19</v>
      </c>
      <c r="L926" s="6" t="n">
        <v>1</v>
      </c>
      <c r="M926" s="6" t="n">
        <v>19</v>
      </c>
      <c r="N926" s="11" t="n">
        <f aca="false">J926/(J926+K926)</f>
        <v>0.05</v>
      </c>
      <c r="O926" s="11" t="n">
        <f aca="false">IF(J926+L926=0,"",J926/(J926+L926))</f>
        <v>0.5</v>
      </c>
      <c r="P926" s="11" t="n">
        <f aca="false">2*J926/(2*J926+L926+K926)</f>
        <v>0.0909090909090909</v>
      </c>
      <c r="Q926" s="11" t="n">
        <f aca="false">L926/(L926+M926)</f>
        <v>0.05</v>
      </c>
      <c r="R926" s="6" t="n">
        <v>0</v>
      </c>
      <c r="S926" s="11"/>
      <c r="T926" s="11" t="n">
        <v>0.05</v>
      </c>
      <c r="U926" s="11" t="n">
        <v>0.85</v>
      </c>
      <c r="V926" s="11" t="n">
        <v>0.85</v>
      </c>
    </row>
    <row r="927" customFormat="false" ht="15" hidden="false" customHeight="false" outlineLevel="0" collapsed="false">
      <c r="A927" s="6" t="s">
        <v>60</v>
      </c>
      <c r="B927" s="6" t="s">
        <v>59</v>
      </c>
      <c r="C927" s="6" t="s">
        <v>51</v>
      </c>
      <c r="D927" s="6" t="s">
        <v>119</v>
      </c>
      <c r="E927" s="6" t="n">
        <v>16</v>
      </c>
      <c r="F927" s="6" t="n">
        <v>5</v>
      </c>
      <c r="G927" s="6" t="s">
        <v>69</v>
      </c>
      <c r="H927" s="11" t="n">
        <v>0.05</v>
      </c>
      <c r="I927" s="6" t="n">
        <v>20</v>
      </c>
      <c r="J927" s="6" t="n">
        <v>1</v>
      </c>
      <c r="K927" s="6" t="n">
        <v>19</v>
      </c>
      <c r="L927" s="6" t="n">
        <v>1</v>
      </c>
      <c r="M927" s="6" t="n">
        <v>19</v>
      </c>
      <c r="N927" s="11" t="n">
        <f aca="false">J927/(J927+K927)</f>
        <v>0.05</v>
      </c>
      <c r="O927" s="11" t="n">
        <f aca="false">IF(J927+L927=0,"",J927/(J927+L927))</f>
        <v>0.5</v>
      </c>
      <c r="P927" s="11" t="n">
        <f aca="false">2*J927/(2*J927+L927+K927)</f>
        <v>0.0909090909090909</v>
      </c>
      <c r="Q927" s="11" t="n">
        <f aca="false">L927/(L927+M927)</f>
        <v>0.05</v>
      </c>
      <c r="R927" s="6" t="n">
        <v>0</v>
      </c>
      <c r="S927" s="11"/>
      <c r="T927" s="11" t="n">
        <v>0.05</v>
      </c>
      <c r="U927" s="11" t="n">
        <v>1</v>
      </c>
      <c r="V927" s="11" t="n">
        <v>1</v>
      </c>
    </row>
    <row r="928" customFormat="false" ht="15" hidden="false" customHeight="false" outlineLevel="0" collapsed="false">
      <c r="A928" s="6" t="s">
        <v>60</v>
      </c>
      <c r="B928" s="6" t="s">
        <v>59</v>
      </c>
      <c r="C928" s="6" t="s">
        <v>51</v>
      </c>
      <c r="D928" s="6" t="s">
        <v>119</v>
      </c>
      <c r="E928" s="6" t="n">
        <v>16</v>
      </c>
      <c r="F928" s="6" t="n">
        <v>5</v>
      </c>
      <c r="G928" s="6" t="s">
        <v>70</v>
      </c>
      <c r="H928" s="11" t="n">
        <v>0.05</v>
      </c>
      <c r="I928" s="6" t="n">
        <v>20</v>
      </c>
      <c r="J928" s="6" t="n">
        <v>0</v>
      </c>
      <c r="K928" s="6" t="n">
        <v>20</v>
      </c>
      <c r="L928" s="6" t="n">
        <v>0</v>
      </c>
      <c r="M928" s="6" t="n">
        <v>20</v>
      </c>
      <c r="N928" s="11" t="n">
        <f aca="false">J928/(J928+K928)</f>
        <v>0</v>
      </c>
      <c r="O928" s="11" t="str">
        <f aca="false">IF(J928+L928=0,"",J928/(J928+L928))</f>
        <v/>
      </c>
      <c r="P928" s="11" t="n">
        <f aca="false">2*J928/(2*J928+L928+K928)</f>
        <v>0</v>
      </c>
      <c r="Q928" s="11" t="n">
        <f aca="false">L928/(L928+M928)</f>
        <v>0</v>
      </c>
      <c r="R928" s="6" t="n">
        <v>0</v>
      </c>
      <c r="S928" s="11"/>
      <c r="T928" s="11" t="n">
        <v>0</v>
      </c>
      <c r="U928" s="11" t="n">
        <v>0.9</v>
      </c>
      <c r="V928" s="11" t="n">
        <v>0.9</v>
      </c>
    </row>
    <row r="929" customFormat="false" ht="15" hidden="false" customHeight="false" outlineLevel="0" collapsed="false">
      <c r="A929" s="6" t="s">
        <v>60</v>
      </c>
      <c r="B929" s="6" t="s">
        <v>59</v>
      </c>
      <c r="C929" s="6" t="s">
        <v>51</v>
      </c>
      <c r="D929" s="6" t="s">
        <v>119</v>
      </c>
      <c r="E929" s="6" t="n">
        <v>16</v>
      </c>
      <c r="F929" s="6" t="n">
        <v>5</v>
      </c>
      <c r="G929" s="6" t="s">
        <v>71</v>
      </c>
      <c r="H929" s="11" t="n">
        <v>0.05</v>
      </c>
      <c r="I929" s="6" t="n">
        <v>20</v>
      </c>
      <c r="J929" s="6" t="n">
        <v>0</v>
      </c>
      <c r="K929" s="6" t="n">
        <v>20</v>
      </c>
      <c r="L929" s="6" t="n">
        <v>0</v>
      </c>
      <c r="M929" s="6" t="n">
        <v>20</v>
      </c>
      <c r="N929" s="11" t="n">
        <f aca="false">J929/(J929+K929)</f>
        <v>0</v>
      </c>
      <c r="O929" s="11" t="str">
        <f aca="false">IF(J929+L929=0,"",J929/(J929+L929))</f>
        <v/>
      </c>
      <c r="P929" s="11" t="n">
        <f aca="false">2*J929/(2*J929+L929+K929)</f>
        <v>0</v>
      </c>
      <c r="Q929" s="11" t="n">
        <f aca="false">L929/(L929+M929)</f>
        <v>0</v>
      </c>
      <c r="R929" s="6" t="n">
        <v>0</v>
      </c>
      <c r="S929" s="11"/>
      <c r="T929" s="11" t="n">
        <v>0</v>
      </c>
      <c r="U929" s="11" t="n">
        <v>0.8</v>
      </c>
      <c r="V929" s="11" t="n">
        <v>0.8</v>
      </c>
    </row>
    <row r="930" customFormat="false" ht="15" hidden="false" customHeight="false" outlineLevel="0" collapsed="false">
      <c r="A930" s="6" t="s">
        <v>60</v>
      </c>
      <c r="B930" s="6" t="s">
        <v>59</v>
      </c>
      <c r="C930" s="6" t="s">
        <v>51</v>
      </c>
      <c r="D930" s="6" t="s">
        <v>119</v>
      </c>
      <c r="E930" s="6" t="n">
        <v>16</v>
      </c>
      <c r="F930" s="6" t="n">
        <v>5</v>
      </c>
      <c r="G930" s="6" t="s">
        <v>72</v>
      </c>
      <c r="H930" s="11" t="n">
        <v>0.05</v>
      </c>
      <c r="I930" s="6" t="n">
        <v>20</v>
      </c>
      <c r="J930" s="6" t="n">
        <v>0</v>
      </c>
      <c r="K930" s="6" t="n">
        <v>20</v>
      </c>
      <c r="L930" s="6" t="n">
        <v>0</v>
      </c>
      <c r="M930" s="6" t="n">
        <v>20</v>
      </c>
      <c r="N930" s="11" t="n">
        <f aca="false">J930/(J930+K930)</f>
        <v>0</v>
      </c>
      <c r="O930" s="11" t="str">
        <f aca="false">IF(J930+L930=0,"",J930/(J930+L930))</f>
        <v/>
      </c>
      <c r="P930" s="11" t="n">
        <f aca="false">2*J930/(2*J930+L930+K930)</f>
        <v>0</v>
      </c>
      <c r="Q930" s="11" t="n">
        <f aca="false">L930/(L930+M930)</f>
        <v>0</v>
      </c>
      <c r="R930" s="6" t="n">
        <v>0</v>
      </c>
      <c r="S930" s="11"/>
      <c r="T930" s="11" t="n">
        <v>0</v>
      </c>
      <c r="U930" s="11" t="n">
        <v>0.9</v>
      </c>
      <c r="V930" s="11" t="n">
        <v>0.9</v>
      </c>
    </row>
    <row r="931" customFormat="false" ht="15" hidden="false" customHeight="false" outlineLevel="0" collapsed="false">
      <c r="A931" s="6" t="s">
        <v>60</v>
      </c>
      <c r="B931" s="6" t="s">
        <v>59</v>
      </c>
      <c r="C931" s="6" t="s">
        <v>51</v>
      </c>
      <c r="D931" s="6" t="s">
        <v>119</v>
      </c>
      <c r="E931" s="6" t="n">
        <v>16</v>
      </c>
      <c r="F931" s="6" t="n">
        <v>5</v>
      </c>
      <c r="G931" s="6" t="s">
        <v>73</v>
      </c>
      <c r="H931" s="11" t="n">
        <v>0.05</v>
      </c>
      <c r="I931" s="6" t="n">
        <v>20</v>
      </c>
      <c r="J931" s="6" t="n">
        <v>0</v>
      </c>
      <c r="K931" s="6" t="n">
        <v>20</v>
      </c>
      <c r="L931" s="6" t="n">
        <v>0</v>
      </c>
      <c r="M931" s="6" t="n">
        <v>20</v>
      </c>
      <c r="N931" s="11" t="n">
        <f aca="false">J931/(J931+K931)</f>
        <v>0</v>
      </c>
      <c r="O931" s="11" t="str">
        <f aca="false">IF(J931+L931=0,"",J931/(J931+L931))</f>
        <v/>
      </c>
      <c r="P931" s="11" t="n">
        <f aca="false">2*J931/(2*J931+L931+K931)</f>
        <v>0</v>
      </c>
      <c r="Q931" s="11" t="n">
        <f aca="false">L931/(L931+M931)</f>
        <v>0</v>
      </c>
      <c r="R931" s="6" t="n">
        <v>2</v>
      </c>
      <c r="S931" s="11" t="n">
        <v>0</v>
      </c>
      <c r="T931" s="11" t="n">
        <v>0</v>
      </c>
      <c r="U931" s="11" t="n">
        <v>0.65</v>
      </c>
      <c r="V931" s="11" t="n">
        <v>0.65</v>
      </c>
    </row>
    <row r="932" customFormat="false" ht="15" hidden="false" customHeight="false" outlineLevel="0" collapsed="false">
      <c r="A932" s="6" t="s">
        <v>60</v>
      </c>
      <c r="B932" s="6" t="s">
        <v>59</v>
      </c>
      <c r="C932" s="6" t="s">
        <v>51</v>
      </c>
      <c r="D932" s="6" t="s">
        <v>119</v>
      </c>
      <c r="E932" s="6" t="n">
        <v>16</v>
      </c>
      <c r="F932" s="6" t="n">
        <v>5</v>
      </c>
      <c r="G932" s="6" t="s">
        <v>74</v>
      </c>
      <c r="H932" s="11" t="n">
        <v>0.05</v>
      </c>
      <c r="I932" s="6" t="n">
        <v>20</v>
      </c>
      <c r="J932" s="6" t="n">
        <v>1</v>
      </c>
      <c r="K932" s="6" t="n">
        <v>19</v>
      </c>
      <c r="L932" s="6" t="n">
        <v>1</v>
      </c>
      <c r="M932" s="6" t="n">
        <v>19</v>
      </c>
      <c r="N932" s="11" t="n">
        <f aca="false">J932/(J932+K932)</f>
        <v>0.05</v>
      </c>
      <c r="O932" s="11" t="n">
        <f aca="false">IF(J932+L932=0,"",J932/(J932+L932))</f>
        <v>0.5</v>
      </c>
      <c r="P932" s="11" t="n">
        <f aca="false">2*J932/(2*J932+L932+K932)</f>
        <v>0.0909090909090909</v>
      </c>
      <c r="Q932" s="11" t="n">
        <f aca="false">L932/(L932+M932)</f>
        <v>0.05</v>
      </c>
      <c r="R932" s="6" t="n">
        <v>2</v>
      </c>
      <c r="S932" s="11" t="n">
        <v>0</v>
      </c>
      <c r="T932" s="11" t="n">
        <v>0.0555555555555556</v>
      </c>
      <c r="U932" s="11" t="n">
        <v>0.85</v>
      </c>
      <c r="V932" s="11" t="n">
        <v>0.9</v>
      </c>
    </row>
    <row r="933" customFormat="false" ht="15" hidden="false" customHeight="false" outlineLevel="0" collapsed="false">
      <c r="A933" s="6" t="s">
        <v>60</v>
      </c>
      <c r="B933" s="6" t="s">
        <v>59</v>
      </c>
      <c r="C933" s="6" t="s">
        <v>51</v>
      </c>
      <c r="D933" s="6" t="s">
        <v>119</v>
      </c>
      <c r="E933" s="6" t="n">
        <v>16</v>
      </c>
      <c r="F933" s="6" t="n">
        <v>5</v>
      </c>
      <c r="G933" s="6" t="s">
        <v>75</v>
      </c>
      <c r="H933" s="11" t="n">
        <v>0.05</v>
      </c>
      <c r="I933" s="6" t="n">
        <v>20</v>
      </c>
      <c r="J933" s="6" t="n">
        <v>0</v>
      </c>
      <c r="K933" s="6" t="n">
        <v>20</v>
      </c>
      <c r="L933" s="6" t="n">
        <v>0</v>
      </c>
      <c r="M933" s="6" t="n">
        <v>20</v>
      </c>
      <c r="N933" s="11" t="n">
        <f aca="false">J933/(J933+K933)</f>
        <v>0</v>
      </c>
      <c r="O933" s="11" t="str">
        <f aca="false">IF(J933+L933=0,"",J933/(J933+L933))</f>
        <v/>
      </c>
      <c r="P933" s="11" t="n">
        <f aca="false">2*J933/(2*J933+L933+K933)</f>
        <v>0</v>
      </c>
      <c r="Q933" s="11" t="n">
        <f aca="false">L933/(L933+M933)</f>
        <v>0</v>
      </c>
      <c r="R933" s="6" t="n">
        <v>0</v>
      </c>
      <c r="S933" s="11"/>
      <c r="T933" s="11" t="n">
        <v>0</v>
      </c>
      <c r="U933" s="11" t="n">
        <v>0.9</v>
      </c>
      <c r="V933" s="11" t="n">
        <v>0.9</v>
      </c>
    </row>
    <row r="934" customFormat="false" ht="15" hidden="false" customHeight="false" outlineLevel="0" collapsed="false">
      <c r="A934" s="6" t="s">
        <v>60</v>
      </c>
      <c r="B934" s="6" t="s">
        <v>59</v>
      </c>
      <c r="C934" s="6" t="s">
        <v>51</v>
      </c>
      <c r="D934" s="6" t="s">
        <v>119</v>
      </c>
      <c r="E934" s="6" t="n">
        <v>16</v>
      </c>
      <c r="F934" s="6" t="n">
        <v>5</v>
      </c>
      <c r="G934" s="6" t="s">
        <v>76</v>
      </c>
      <c r="H934" s="11" t="n">
        <v>0.05</v>
      </c>
      <c r="I934" s="6" t="n">
        <v>20</v>
      </c>
      <c r="J934" s="6" t="n">
        <v>0</v>
      </c>
      <c r="K934" s="6" t="n">
        <v>20</v>
      </c>
      <c r="L934" s="6" t="n">
        <v>0</v>
      </c>
      <c r="M934" s="6" t="n">
        <v>20</v>
      </c>
      <c r="N934" s="11" t="n">
        <f aca="false">J934/(J934+K934)</f>
        <v>0</v>
      </c>
      <c r="O934" s="11" t="str">
        <f aca="false">IF(J934+L934=0,"",J934/(J934+L934))</f>
        <v/>
      </c>
      <c r="P934" s="11" t="n">
        <f aca="false">2*J934/(2*J934+L934+K934)</f>
        <v>0</v>
      </c>
      <c r="Q934" s="11" t="n">
        <f aca="false">L934/(L934+M934)</f>
        <v>0</v>
      </c>
      <c r="R934" s="6" t="n">
        <v>0</v>
      </c>
      <c r="S934" s="11"/>
      <c r="T934" s="11" t="n">
        <v>0</v>
      </c>
      <c r="U934" s="11" t="n">
        <v>0.95</v>
      </c>
      <c r="V934" s="11" t="n">
        <v>0.95</v>
      </c>
    </row>
    <row r="935" customFormat="false" ht="15" hidden="false" customHeight="false" outlineLevel="0" collapsed="false">
      <c r="A935" s="6" t="s">
        <v>60</v>
      </c>
      <c r="B935" s="6" t="s">
        <v>59</v>
      </c>
      <c r="C935" s="6" t="s">
        <v>51</v>
      </c>
      <c r="D935" s="6" t="s">
        <v>119</v>
      </c>
      <c r="E935" s="6" t="n">
        <v>16</v>
      </c>
      <c r="F935" s="6" t="n">
        <v>5</v>
      </c>
      <c r="G935" s="6" t="s">
        <v>77</v>
      </c>
      <c r="H935" s="11" t="n">
        <v>0.05</v>
      </c>
      <c r="I935" s="6" t="n">
        <v>20</v>
      </c>
      <c r="J935" s="6" t="n">
        <v>1</v>
      </c>
      <c r="K935" s="6" t="n">
        <v>19</v>
      </c>
      <c r="L935" s="6" t="n">
        <v>1</v>
      </c>
      <c r="M935" s="6" t="n">
        <v>19</v>
      </c>
      <c r="N935" s="11" t="n">
        <f aca="false">J935/(J935+K935)</f>
        <v>0.05</v>
      </c>
      <c r="O935" s="11" t="n">
        <f aca="false">IF(J935+L935=0,"",J935/(J935+L935))</f>
        <v>0.5</v>
      </c>
      <c r="P935" s="11" t="n">
        <f aca="false">2*J935/(2*J935+L935+K935)</f>
        <v>0.0909090909090909</v>
      </c>
      <c r="Q935" s="11" t="n">
        <f aca="false">L935/(L935+M935)</f>
        <v>0.05</v>
      </c>
      <c r="R935" s="6" t="n">
        <v>0</v>
      </c>
      <c r="S935" s="11"/>
      <c r="T935" s="11" t="n">
        <v>0.05</v>
      </c>
      <c r="U935" s="11" t="n">
        <v>1</v>
      </c>
      <c r="V935" s="11" t="n">
        <v>1</v>
      </c>
    </row>
    <row r="936" customFormat="false" ht="15" hidden="false" customHeight="false" outlineLevel="0" collapsed="false">
      <c r="A936" s="6" t="s">
        <v>60</v>
      </c>
      <c r="B936" s="6" t="s">
        <v>59</v>
      </c>
      <c r="C936" s="6" t="s">
        <v>51</v>
      </c>
      <c r="D936" s="6" t="s">
        <v>119</v>
      </c>
      <c r="E936" s="6" t="n">
        <v>16</v>
      </c>
      <c r="F936" s="6" t="n">
        <v>5</v>
      </c>
      <c r="G936" s="6" t="s">
        <v>78</v>
      </c>
      <c r="H936" s="11" t="n">
        <v>0.05</v>
      </c>
      <c r="I936" s="6" t="n">
        <v>200</v>
      </c>
      <c r="J936" s="6" t="n">
        <v>4</v>
      </c>
      <c r="K936" s="6" t="n">
        <v>196</v>
      </c>
      <c r="L936" s="6" t="n">
        <v>4</v>
      </c>
      <c r="M936" s="6" t="n">
        <v>196</v>
      </c>
      <c r="N936" s="11" t="n">
        <f aca="false">J936/(J936+K936)</f>
        <v>0.02</v>
      </c>
      <c r="O936" s="11" t="n">
        <f aca="false">IF(J936+L936=0,"",J936/(J936+L936))</f>
        <v>0.5</v>
      </c>
      <c r="P936" s="11" t="n">
        <f aca="false">2*J936/(2*J936+L936+K936)</f>
        <v>0.0384615384615385</v>
      </c>
      <c r="Q936" s="11" t="n">
        <f aca="false">L936/(L936+M936)</f>
        <v>0.02</v>
      </c>
      <c r="R936" s="6" t="n">
        <v>4</v>
      </c>
      <c r="S936" s="11" t="n">
        <v>0</v>
      </c>
      <c r="T936" s="11" t="n">
        <v>0.0204081632653061</v>
      </c>
      <c r="U936" s="11" t="n">
        <v>0.88</v>
      </c>
      <c r="V936" s="11" t="n">
        <v>0.885</v>
      </c>
    </row>
    <row r="937" customFormat="false" ht="15" hidden="false" customHeight="false" outlineLevel="0" collapsed="false">
      <c r="A937" s="6" t="s">
        <v>60</v>
      </c>
      <c r="B937" s="6" t="s">
        <v>59</v>
      </c>
      <c r="C937" s="6" t="s">
        <v>51</v>
      </c>
      <c r="D937" s="6" t="s">
        <v>119</v>
      </c>
      <c r="E937" s="6" t="n">
        <v>16</v>
      </c>
      <c r="F937" s="6" t="n">
        <v>6</v>
      </c>
      <c r="G937" s="6" t="s">
        <v>68</v>
      </c>
      <c r="H937" s="11" t="n">
        <v>0.05</v>
      </c>
      <c r="I937" s="6" t="n">
        <v>20</v>
      </c>
      <c r="J937" s="6" t="n">
        <v>1</v>
      </c>
      <c r="K937" s="6" t="n">
        <v>19</v>
      </c>
      <c r="L937" s="6" t="n">
        <v>1</v>
      </c>
      <c r="M937" s="6" t="n">
        <v>19</v>
      </c>
      <c r="N937" s="11" t="n">
        <f aca="false">J937/(J937+K937)</f>
        <v>0.05</v>
      </c>
      <c r="O937" s="11" t="n">
        <f aca="false">IF(J937+L937=0,"",J937/(J937+L937))</f>
        <v>0.5</v>
      </c>
      <c r="P937" s="11" t="n">
        <f aca="false">2*J937/(2*J937+L937+K937)</f>
        <v>0.0909090909090909</v>
      </c>
      <c r="Q937" s="11" t="n">
        <f aca="false">L937/(L937+M937)</f>
        <v>0.05</v>
      </c>
      <c r="R937" s="6" t="n">
        <v>0</v>
      </c>
      <c r="S937" s="11"/>
      <c r="T937" s="11" t="n">
        <v>0.05</v>
      </c>
      <c r="U937" s="11" t="n">
        <v>0.85</v>
      </c>
      <c r="V937" s="11" t="n">
        <v>0.85</v>
      </c>
    </row>
    <row r="938" customFormat="false" ht="15" hidden="false" customHeight="false" outlineLevel="0" collapsed="false">
      <c r="A938" s="6" t="s">
        <v>60</v>
      </c>
      <c r="B938" s="6" t="s">
        <v>59</v>
      </c>
      <c r="C938" s="6" t="s">
        <v>51</v>
      </c>
      <c r="D938" s="6" t="s">
        <v>119</v>
      </c>
      <c r="E938" s="6" t="n">
        <v>16</v>
      </c>
      <c r="F938" s="6" t="n">
        <v>6</v>
      </c>
      <c r="G938" s="6" t="s">
        <v>69</v>
      </c>
      <c r="H938" s="11" t="n">
        <v>0.05</v>
      </c>
      <c r="I938" s="6" t="n">
        <v>20</v>
      </c>
      <c r="J938" s="6" t="n">
        <v>1</v>
      </c>
      <c r="K938" s="6" t="n">
        <v>19</v>
      </c>
      <c r="L938" s="6" t="n">
        <v>1</v>
      </c>
      <c r="M938" s="6" t="n">
        <v>19</v>
      </c>
      <c r="N938" s="11" t="n">
        <f aca="false">J938/(J938+K938)</f>
        <v>0.05</v>
      </c>
      <c r="O938" s="11" t="n">
        <f aca="false">IF(J938+L938=0,"",J938/(J938+L938))</f>
        <v>0.5</v>
      </c>
      <c r="P938" s="11" t="n">
        <f aca="false">2*J938/(2*J938+L938+K938)</f>
        <v>0.0909090909090909</v>
      </c>
      <c r="Q938" s="11" t="n">
        <f aca="false">L938/(L938+M938)</f>
        <v>0.05</v>
      </c>
      <c r="R938" s="6" t="n">
        <v>0</v>
      </c>
      <c r="S938" s="11"/>
      <c r="T938" s="11" t="n">
        <v>0.05</v>
      </c>
      <c r="U938" s="11" t="n">
        <v>1</v>
      </c>
      <c r="V938" s="11" t="n">
        <v>1</v>
      </c>
    </row>
    <row r="939" customFormat="false" ht="15" hidden="false" customHeight="false" outlineLevel="0" collapsed="false">
      <c r="A939" s="6" t="s">
        <v>60</v>
      </c>
      <c r="B939" s="6" t="s">
        <v>59</v>
      </c>
      <c r="C939" s="6" t="s">
        <v>51</v>
      </c>
      <c r="D939" s="6" t="s">
        <v>119</v>
      </c>
      <c r="E939" s="6" t="n">
        <v>16</v>
      </c>
      <c r="F939" s="6" t="n">
        <v>6</v>
      </c>
      <c r="G939" s="6" t="s">
        <v>70</v>
      </c>
      <c r="H939" s="11" t="n">
        <v>0.05</v>
      </c>
      <c r="I939" s="6" t="n">
        <v>20</v>
      </c>
      <c r="J939" s="6" t="n">
        <v>0</v>
      </c>
      <c r="K939" s="6" t="n">
        <v>20</v>
      </c>
      <c r="L939" s="6" t="n">
        <v>0</v>
      </c>
      <c r="M939" s="6" t="n">
        <v>20</v>
      </c>
      <c r="N939" s="11" t="n">
        <f aca="false">J939/(J939+K939)</f>
        <v>0</v>
      </c>
      <c r="O939" s="11" t="str">
        <f aca="false">IF(J939+L939=0,"",J939/(J939+L939))</f>
        <v/>
      </c>
      <c r="P939" s="11" t="n">
        <f aca="false">2*J939/(2*J939+L939+K939)</f>
        <v>0</v>
      </c>
      <c r="Q939" s="11" t="n">
        <f aca="false">L939/(L939+M939)</f>
        <v>0</v>
      </c>
      <c r="R939" s="6" t="n">
        <v>0</v>
      </c>
      <c r="S939" s="11"/>
      <c r="T939" s="11" t="n">
        <v>0</v>
      </c>
      <c r="U939" s="11" t="n">
        <v>0.9</v>
      </c>
      <c r="V939" s="11" t="n">
        <v>0.9</v>
      </c>
    </row>
    <row r="940" customFormat="false" ht="15" hidden="false" customHeight="false" outlineLevel="0" collapsed="false">
      <c r="A940" s="6" t="s">
        <v>60</v>
      </c>
      <c r="B940" s="6" t="s">
        <v>59</v>
      </c>
      <c r="C940" s="6" t="s">
        <v>51</v>
      </c>
      <c r="D940" s="6" t="s">
        <v>119</v>
      </c>
      <c r="E940" s="6" t="n">
        <v>16</v>
      </c>
      <c r="F940" s="6" t="n">
        <v>6</v>
      </c>
      <c r="G940" s="6" t="s">
        <v>71</v>
      </c>
      <c r="H940" s="11" t="n">
        <v>0.05</v>
      </c>
      <c r="I940" s="6" t="n">
        <v>20</v>
      </c>
      <c r="J940" s="6" t="n">
        <v>0</v>
      </c>
      <c r="K940" s="6" t="n">
        <v>20</v>
      </c>
      <c r="L940" s="6" t="n">
        <v>0</v>
      </c>
      <c r="M940" s="6" t="n">
        <v>20</v>
      </c>
      <c r="N940" s="11" t="n">
        <f aca="false">J940/(J940+K940)</f>
        <v>0</v>
      </c>
      <c r="O940" s="11" t="str">
        <f aca="false">IF(J940+L940=0,"",J940/(J940+L940))</f>
        <v/>
      </c>
      <c r="P940" s="11" t="n">
        <f aca="false">2*J940/(2*J940+L940+K940)</f>
        <v>0</v>
      </c>
      <c r="Q940" s="11" t="n">
        <f aca="false">L940/(L940+M940)</f>
        <v>0</v>
      </c>
      <c r="R940" s="6" t="n">
        <v>0</v>
      </c>
      <c r="S940" s="11"/>
      <c r="T940" s="11" t="n">
        <v>0</v>
      </c>
      <c r="U940" s="11" t="n">
        <v>0.8</v>
      </c>
      <c r="V940" s="11" t="n">
        <v>0.8</v>
      </c>
    </row>
    <row r="941" customFormat="false" ht="15" hidden="false" customHeight="false" outlineLevel="0" collapsed="false">
      <c r="A941" s="6" t="s">
        <v>60</v>
      </c>
      <c r="B941" s="6" t="s">
        <v>59</v>
      </c>
      <c r="C941" s="6" t="s">
        <v>51</v>
      </c>
      <c r="D941" s="6" t="s">
        <v>119</v>
      </c>
      <c r="E941" s="6" t="n">
        <v>16</v>
      </c>
      <c r="F941" s="6" t="n">
        <v>6</v>
      </c>
      <c r="G941" s="6" t="s">
        <v>72</v>
      </c>
      <c r="H941" s="11" t="n">
        <v>0.05</v>
      </c>
      <c r="I941" s="6" t="n">
        <v>20</v>
      </c>
      <c r="J941" s="6" t="n">
        <v>0</v>
      </c>
      <c r="K941" s="6" t="n">
        <v>20</v>
      </c>
      <c r="L941" s="6" t="n">
        <v>0</v>
      </c>
      <c r="M941" s="6" t="n">
        <v>20</v>
      </c>
      <c r="N941" s="11" t="n">
        <f aca="false">J941/(J941+K941)</f>
        <v>0</v>
      </c>
      <c r="O941" s="11" t="str">
        <f aca="false">IF(J941+L941=0,"",J941/(J941+L941))</f>
        <v/>
      </c>
      <c r="P941" s="11" t="n">
        <f aca="false">2*J941/(2*J941+L941+K941)</f>
        <v>0</v>
      </c>
      <c r="Q941" s="11" t="n">
        <f aca="false">L941/(L941+M941)</f>
        <v>0</v>
      </c>
      <c r="R941" s="6" t="n">
        <v>0</v>
      </c>
      <c r="S941" s="11"/>
      <c r="T941" s="11" t="n">
        <v>0</v>
      </c>
      <c r="U941" s="11" t="n">
        <v>0.9</v>
      </c>
      <c r="V941" s="11" t="n">
        <v>0.9</v>
      </c>
    </row>
    <row r="942" customFormat="false" ht="15" hidden="false" customHeight="false" outlineLevel="0" collapsed="false">
      <c r="A942" s="6" t="s">
        <v>60</v>
      </c>
      <c r="B942" s="6" t="s">
        <v>59</v>
      </c>
      <c r="C942" s="6" t="s">
        <v>51</v>
      </c>
      <c r="D942" s="6" t="s">
        <v>119</v>
      </c>
      <c r="E942" s="6" t="n">
        <v>16</v>
      </c>
      <c r="F942" s="6" t="n">
        <v>6</v>
      </c>
      <c r="G942" s="6" t="s">
        <v>73</v>
      </c>
      <c r="H942" s="11" t="n">
        <v>0.05</v>
      </c>
      <c r="I942" s="6" t="n">
        <v>20</v>
      </c>
      <c r="J942" s="6" t="n">
        <v>0</v>
      </c>
      <c r="K942" s="6" t="n">
        <v>20</v>
      </c>
      <c r="L942" s="6" t="n">
        <v>0</v>
      </c>
      <c r="M942" s="6" t="n">
        <v>20</v>
      </c>
      <c r="N942" s="11" t="n">
        <f aca="false">J942/(J942+K942)</f>
        <v>0</v>
      </c>
      <c r="O942" s="11" t="str">
        <f aca="false">IF(J942+L942=0,"",J942/(J942+L942))</f>
        <v/>
      </c>
      <c r="P942" s="11" t="n">
        <f aca="false">2*J942/(2*J942+L942+K942)</f>
        <v>0</v>
      </c>
      <c r="Q942" s="11" t="n">
        <f aca="false">L942/(L942+M942)</f>
        <v>0</v>
      </c>
      <c r="R942" s="6" t="n">
        <v>1</v>
      </c>
      <c r="S942" s="11" t="n">
        <v>0</v>
      </c>
      <c r="T942" s="11" t="n">
        <v>0</v>
      </c>
      <c r="U942" s="11" t="n">
        <v>0.65</v>
      </c>
      <c r="V942" s="11" t="n">
        <v>0.65</v>
      </c>
    </row>
    <row r="943" customFormat="false" ht="15" hidden="false" customHeight="false" outlineLevel="0" collapsed="false">
      <c r="A943" s="6" t="s">
        <v>60</v>
      </c>
      <c r="B943" s="6" t="s">
        <v>59</v>
      </c>
      <c r="C943" s="6" t="s">
        <v>51</v>
      </c>
      <c r="D943" s="6" t="s">
        <v>119</v>
      </c>
      <c r="E943" s="6" t="n">
        <v>16</v>
      </c>
      <c r="F943" s="6" t="n">
        <v>6</v>
      </c>
      <c r="G943" s="6" t="s">
        <v>74</v>
      </c>
      <c r="H943" s="11" t="n">
        <v>0.05</v>
      </c>
      <c r="I943" s="6" t="n">
        <v>20</v>
      </c>
      <c r="J943" s="6" t="n">
        <v>1</v>
      </c>
      <c r="K943" s="6" t="n">
        <v>19</v>
      </c>
      <c r="L943" s="6" t="n">
        <v>1</v>
      </c>
      <c r="M943" s="6" t="n">
        <v>19</v>
      </c>
      <c r="N943" s="11" t="n">
        <f aca="false">J943/(J943+K943)</f>
        <v>0.05</v>
      </c>
      <c r="O943" s="11" t="n">
        <f aca="false">IF(J943+L943=0,"",J943/(J943+L943))</f>
        <v>0.5</v>
      </c>
      <c r="P943" s="11" t="n">
        <f aca="false">2*J943/(2*J943+L943+K943)</f>
        <v>0.0909090909090909</v>
      </c>
      <c r="Q943" s="11" t="n">
        <f aca="false">L943/(L943+M943)</f>
        <v>0.05</v>
      </c>
      <c r="R943" s="6" t="n">
        <v>0</v>
      </c>
      <c r="S943" s="11"/>
      <c r="T943" s="11" t="n">
        <v>0.05</v>
      </c>
      <c r="U943" s="11" t="n">
        <v>0.85</v>
      </c>
      <c r="V943" s="11" t="n">
        <v>0.85</v>
      </c>
    </row>
    <row r="944" customFormat="false" ht="15" hidden="false" customHeight="false" outlineLevel="0" collapsed="false">
      <c r="A944" s="6" t="s">
        <v>60</v>
      </c>
      <c r="B944" s="6" t="s">
        <v>59</v>
      </c>
      <c r="C944" s="6" t="s">
        <v>51</v>
      </c>
      <c r="D944" s="6" t="s">
        <v>119</v>
      </c>
      <c r="E944" s="6" t="n">
        <v>16</v>
      </c>
      <c r="F944" s="6" t="n">
        <v>6</v>
      </c>
      <c r="G944" s="6" t="s">
        <v>75</v>
      </c>
      <c r="H944" s="11" t="n">
        <v>0.05</v>
      </c>
      <c r="I944" s="6" t="n">
        <v>20</v>
      </c>
      <c r="J944" s="6" t="n">
        <v>0</v>
      </c>
      <c r="K944" s="6" t="n">
        <v>20</v>
      </c>
      <c r="L944" s="6" t="n">
        <v>0</v>
      </c>
      <c r="M944" s="6" t="n">
        <v>20</v>
      </c>
      <c r="N944" s="11" t="n">
        <f aca="false">J944/(J944+K944)</f>
        <v>0</v>
      </c>
      <c r="O944" s="11" t="str">
        <f aca="false">IF(J944+L944=0,"",J944/(J944+L944))</f>
        <v/>
      </c>
      <c r="P944" s="11" t="n">
        <f aca="false">2*J944/(2*J944+L944+K944)</f>
        <v>0</v>
      </c>
      <c r="Q944" s="11" t="n">
        <f aca="false">L944/(L944+M944)</f>
        <v>0</v>
      </c>
      <c r="R944" s="6" t="n">
        <v>0</v>
      </c>
      <c r="S944" s="11"/>
      <c r="T944" s="11" t="n">
        <v>0</v>
      </c>
      <c r="U944" s="11" t="n">
        <v>0.9</v>
      </c>
      <c r="V944" s="11" t="n">
        <v>0.9</v>
      </c>
    </row>
    <row r="945" customFormat="false" ht="15" hidden="false" customHeight="false" outlineLevel="0" collapsed="false">
      <c r="A945" s="6" t="s">
        <v>60</v>
      </c>
      <c r="B945" s="6" t="s">
        <v>59</v>
      </c>
      <c r="C945" s="6" t="s">
        <v>51</v>
      </c>
      <c r="D945" s="6" t="s">
        <v>119</v>
      </c>
      <c r="E945" s="6" t="n">
        <v>16</v>
      </c>
      <c r="F945" s="6" t="n">
        <v>6</v>
      </c>
      <c r="G945" s="6" t="s">
        <v>76</v>
      </c>
      <c r="H945" s="11" t="n">
        <v>0.05</v>
      </c>
      <c r="I945" s="6" t="n">
        <v>20</v>
      </c>
      <c r="J945" s="6" t="n">
        <v>0</v>
      </c>
      <c r="K945" s="6" t="n">
        <v>20</v>
      </c>
      <c r="L945" s="6" t="n">
        <v>0</v>
      </c>
      <c r="M945" s="6" t="n">
        <v>20</v>
      </c>
      <c r="N945" s="11" t="n">
        <f aca="false">J945/(J945+K945)</f>
        <v>0</v>
      </c>
      <c r="O945" s="11" t="str">
        <f aca="false">IF(J945+L945=0,"",J945/(J945+L945))</f>
        <v/>
      </c>
      <c r="P945" s="11" t="n">
        <f aca="false">2*J945/(2*J945+L945+K945)</f>
        <v>0</v>
      </c>
      <c r="Q945" s="11" t="n">
        <f aca="false">L945/(L945+M945)</f>
        <v>0</v>
      </c>
      <c r="R945" s="6" t="n">
        <v>0</v>
      </c>
      <c r="S945" s="11"/>
      <c r="T945" s="11" t="n">
        <v>0</v>
      </c>
      <c r="U945" s="11" t="n">
        <v>0.95</v>
      </c>
      <c r="V945" s="11" t="n">
        <v>0.95</v>
      </c>
    </row>
    <row r="946" customFormat="false" ht="15" hidden="false" customHeight="false" outlineLevel="0" collapsed="false">
      <c r="A946" s="6" t="s">
        <v>60</v>
      </c>
      <c r="B946" s="6" t="s">
        <v>59</v>
      </c>
      <c r="C946" s="6" t="s">
        <v>51</v>
      </c>
      <c r="D946" s="6" t="s">
        <v>119</v>
      </c>
      <c r="E946" s="6" t="n">
        <v>16</v>
      </c>
      <c r="F946" s="6" t="n">
        <v>6</v>
      </c>
      <c r="G946" s="6" t="s">
        <v>77</v>
      </c>
      <c r="H946" s="11" t="n">
        <v>0.05</v>
      </c>
      <c r="I946" s="6" t="n">
        <v>20</v>
      </c>
      <c r="J946" s="6" t="n">
        <v>1</v>
      </c>
      <c r="K946" s="6" t="n">
        <v>19</v>
      </c>
      <c r="L946" s="6" t="n">
        <v>1</v>
      </c>
      <c r="M946" s="6" t="n">
        <v>19</v>
      </c>
      <c r="N946" s="11" t="n">
        <f aca="false">J946/(J946+K946)</f>
        <v>0.05</v>
      </c>
      <c r="O946" s="11" t="n">
        <f aca="false">IF(J946+L946=0,"",J946/(J946+L946))</f>
        <v>0.5</v>
      </c>
      <c r="P946" s="11" t="n">
        <f aca="false">2*J946/(2*J946+L946+K946)</f>
        <v>0.0909090909090909</v>
      </c>
      <c r="Q946" s="11" t="n">
        <f aca="false">L946/(L946+M946)</f>
        <v>0.05</v>
      </c>
      <c r="R946" s="6" t="n">
        <v>0</v>
      </c>
      <c r="S946" s="11"/>
      <c r="T946" s="11" t="n">
        <v>0.05</v>
      </c>
      <c r="U946" s="11" t="n">
        <v>1</v>
      </c>
      <c r="V946" s="11" t="n">
        <v>1</v>
      </c>
    </row>
    <row r="947" customFormat="false" ht="15" hidden="false" customHeight="false" outlineLevel="0" collapsed="false">
      <c r="A947" s="6" t="s">
        <v>60</v>
      </c>
      <c r="B947" s="6" t="s">
        <v>59</v>
      </c>
      <c r="C947" s="6" t="s">
        <v>51</v>
      </c>
      <c r="D947" s="6" t="s">
        <v>119</v>
      </c>
      <c r="E947" s="6" t="n">
        <v>16</v>
      </c>
      <c r="F947" s="6" t="n">
        <v>6</v>
      </c>
      <c r="G947" s="6" t="s">
        <v>78</v>
      </c>
      <c r="H947" s="11" t="n">
        <v>0.05</v>
      </c>
      <c r="I947" s="6" t="n">
        <v>200</v>
      </c>
      <c r="J947" s="6" t="n">
        <v>4</v>
      </c>
      <c r="K947" s="6" t="n">
        <v>196</v>
      </c>
      <c r="L947" s="6" t="n">
        <v>4</v>
      </c>
      <c r="M947" s="6" t="n">
        <v>196</v>
      </c>
      <c r="N947" s="11" t="n">
        <f aca="false">J947/(J947+K947)</f>
        <v>0.02</v>
      </c>
      <c r="O947" s="11" t="n">
        <f aca="false">IF(J947+L947=0,"",J947/(J947+L947))</f>
        <v>0.5</v>
      </c>
      <c r="P947" s="11" t="n">
        <f aca="false">2*J947/(2*J947+L947+K947)</f>
        <v>0.0384615384615385</v>
      </c>
      <c r="Q947" s="11" t="n">
        <f aca="false">L947/(L947+M947)</f>
        <v>0.02</v>
      </c>
      <c r="R947" s="6" t="n">
        <v>1</v>
      </c>
      <c r="S947" s="11" t="n">
        <v>0</v>
      </c>
      <c r="T947" s="11" t="n">
        <v>0.0201005025125628</v>
      </c>
      <c r="U947" s="11" t="n">
        <v>0.88</v>
      </c>
      <c r="V947" s="11" t="n">
        <v>0.88</v>
      </c>
    </row>
    <row r="948" customFormat="false" ht="15" hidden="false" customHeight="false" outlineLevel="0" collapsed="false">
      <c r="A948" s="6" t="s">
        <v>60</v>
      </c>
      <c r="B948" s="6" t="s">
        <v>59</v>
      </c>
      <c r="C948" s="6" t="s">
        <v>51</v>
      </c>
      <c r="D948" s="6" t="s">
        <v>119</v>
      </c>
      <c r="E948" s="6" t="n">
        <v>16</v>
      </c>
      <c r="F948" s="6" t="n">
        <v>7</v>
      </c>
      <c r="G948" s="6" t="s">
        <v>68</v>
      </c>
      <c r="H948" s="11" t="n">
        <v>0.05</v>
      </c>
      <c r="I948" s="6" t="n">
        <v>20</v>
      </c>
      <c r="J948" s="6" t="n">
        <v>1</v>
      </c>
      <c r="K948" s="6" t="n">
        <v>19</v>
      </c>
      <c r="L948" s="6" t="n">
        <v>1</v>
      </c>
      <c r="M948" s="6" t="n">
        <v>19</v>
      </c>
      <c r="N948" s="11" t="n">
        <f aca="false">J948/(J948+K948)</f>
        <v>0.05</v>
      </c>
      <c r="O948" s="11" t="n">
        <f aca="false">IF(J948+L948=0,"",J948/(J948+L948))</f>
        <v>0.5</v>
      </c>
      <c r="P948" s="11" t="n">
        <f aca="false">2*J948/(2*J948+L948+K948)</f>
        <v>0.0909090909090909</v>
      </c>
      <c r="Q948" s="11" t="n">
        <f aca="false">L948/(L948+M948)</f>
        <v>0.05</v>
      </c>
      <c r="R948" s="6" t="n">
        <v>0</v>
      </c>
      <c r="S948" s="11"/>
      <c r="T948" s="11" t="n">
        <v>0.05</v>
      </c>
      <c r="U948" s="11" t="n">
        <v>0.85</v>
      </c>
      <c r="V948" s="11" t="n">
        <v>0.85</v>
      </c>
    </row>
    <row r="949" customFormat="false" ht="15" hidden="false" customHeight="false" outlineLevel="0" collapsed="false">
      <c r="A949" s="6" t="s">
        <v>60</v>
      </c>
      <c r="B949" s="6" t="s">
        <v>59</v>
      </c>
      <c r="C949" s="6" t="s">
        <v>51</v>
      </c>
      <c r="D949" s="6" t="s">
        <v>119</v>
      </c>
      <c r="E949" s="6" t="n">
        <v>16</v>
      </c>
      <c r="F949" s="6" t="n">
        <v>7</v>
      </c>
      <c r="G949" s="6" t="s">
        <v>69</v>
      </c>
      <c r="H949" s="11" t="n">
        <v>0.05</v>
      </c>
      <c r="I949" s="6" t="n">
        <v>20</v>
      </c>
      <c r="J949" s="6" t="n">
        <v>1</v>
      </c>
      <c r="K949" s="6" t="n">
        <v>19</v>
      </c>
      <c r="L949" s="6" t="n">
        <v>1</v>
      </c>
      <c r="M949" s="6" t="n">
        <v>19</v>
      </c>
      <c r="N949" s="11" t="n">
        <f aca="false">J949/(J949+K949)</f>
        <v>0.05</v>
      </c>
      <c r="O949" s="11" t="n">
        <f aca="false">IF(J949+L949=0,"",J949/(J949+L949))</f>
        <v>0.5</v>
      </c>
      <c r="P949" s="11" t="n">
        <f aca="false">2*J949/(2*J949+L949+K949)</f>
        <v>0.0909090909090909</v>
      </c>
      <c r="Q949" s="11" t="n">
        <f aca="false">L949/(L949+M949)</f>
        <v>0.05</v>
      </c>
      <c r="R949" s="6" t="n">
        <v>0</v>
      </c>
      <c r="S949" s="11"/>
      <c r="T949" s="11" t="n">
        <v>0.05</v>
      </c>
      <c r="U949" s="11" t="n">
        <v>1</v>
      </c>
      <c r="V949" s="11" t="n">
        <v>1</v>
      </c>
    </row>
    <row r="950" customFormat="false" ht="15" hidden="false" customHeight="false" outlineLevel="0" collapsed="false">
      <c r="A950" s="6" t="s">
        <v>60</v>
      </c>
      <c r="B950" s="6" t="s">
        <v>59</v>
      </c>
      <c r="C950" s="6" t="s">
        <v>51</v>
      </c>
      <c r="D950" s="6" t="s">
        <v>119</v>
      </c>
      <c r="E950" s="6" t="n">
        <v>16</v>
      </c>
      <c r="F950" s="6" t="n">
        <v>7</v>
      </c>
      <c r="G950" s="6" t="s">
        <v>70</v>
      </c>
      <c r="H950" s="11" t="n">
        <v>0.05</v>
      </c>
      <c r="I950" s="6" t="n">
        <v>20</v>
      </c>
      <c r="J950" s="6" t="n">
        <v>0</v>
      </c>
      <c r="K950" s="6" t="n">
        <v>20</v>
      </c>
      <c r="L950" s="6" t="n">
        <v>0</v>
      </c>
      <c r="M950" s="6" t="n">
        <v>20</v>
      </c>
      <c r="N950" s="11" t="n">
        <f aca="false">J950/(J950+K950)</f>
        <v>0</v>
      </c>
      <c r="O950" s="11" t="str">
        <f aca="false">IF(J950+L950=0,"",J950/(J950+L950))</f>
        <v/>
      </c>
      <c r="P950" s="11" t="n">
        <f aca="false">2*J950/(2*J950+L950+K950)</f>
        <v>0</v>
      </c>
      <c r="Q950" s="11" t="n">
        <f aca="false">L950/(L950+M950)</f>
        <v>0</v>
      </c>
      <c r="R950" s="6" t="n">
        <v>0</v>
      </c>
      <c r="S950" s="11"/>
      <c r="T950" s="11" t="n">
        <v>0</v>
      </c>
      <c r="U950" s="11" t="n">
        <v>0.9</v>
      </c>
      <c r="V950" s="11" t="n">
        <v>0.9</v>
      </c>
    </row>
    <row r="951" customFormat="false" ht="15" hidden="false" customHeight="false" outlineLevel="0" collapsed="false">
      <c r="A951" s="6" t="s">
        <v>60</v>
      </c>
      <c r="B951" s="6" t="s">
        <v>59</v>
      </c>
      <c r="C951" s="6" t="s">
        <v>51</v>
      </c>
      <c r="D951" s="6" t="s">
        <v>119</v>
      </c>
      <c r="E951" s="6" t="n">
        <v>16</v>
      </c>
      <c r="F951" s="6" t="n">
        <v>7</v>
      </c>
      <c r="G951" s="6" t="s">
        <v>71</v>
      </c>
      <c r="H951" s="11" t="n">
        <v>0.05</v>
      </c>
      <c r="I951" s="6" t="n">
        <v>20</v>
      </c>
      <c r="J951" s="6" t="n">
        <v>0</v>
      </c>
      <c r="K951" s="6" t="n">
        <v>20</v>
      </c>
      <c r="L951" s="6" t="n">
        <v>0</v>
      </c>
      <c r="M951" s="6" t="n">
        <v>20</v>
      </c>
      <c r="N951" s="11" t="n">
        <f aca="false">J951/(J951+K951)</f>
        <v>0</v>
      </c>
      <c r="O951" s="11" t="str">
        <f aca="false">IF(J951+L951=0,"",J951/(J951+L951))</f>
        <v/>
      </c>
      <c r="P951" s="11" t="n">
        <f aca="false">2*J951/(2*J951+L951+K951)</f>
        <v>0</v>
      </c>
      <c r="Q951" s="11" t="n">
        <f aca="false">L951/(L951+M951)</f>
        <v>0</v>
      </c>
      <c r="R951" s="6" t="n">
        <v>0</v>
      </c>
      <c r="S951" s="11"/>
      <c r="T951" s="11" t="n">
        <v>0</v>
      </c>
      <c r="U951" s="11" t="n">
        <v>0.8</v>
      </c>
      <c r="V951" s="11" t="n">
        <v>0.8</v>
      </c>
    </row>
    <row r="952" customFormat="false" ht="15" hidden="false" customHeight="false" outlineLevel="0" collapsed="false">
      <c r="A952" s="6" t="s">
        <v>60</v>
      </c>
      <c r="B952" s="6" t="s">
        <v>59</v>
      </c>
      <c r="C952" s="6" t="s">
        <v>51</v>
      </c>
      <c r="D952" s="6" t="s">
        <v>119</v>
      </c>
      <c r="E952" s="6" t="n">
        <v>16</v>
      </c>
      <c r="F952" s="6" t="n">
        <v>7</v>
      </c>
      <c r="G952" s="6" t="s">
        <v>72</v>
      </c>
      <c r="H952" s="11" t="n">
        <v>0.05</v>
      </c>
      <c r="I952" s="6" t="n">
        <v>20</v>
      </c>
      <c r="J952" s="6" t="n">
        <v>0</v>
      </c>
      <c r="K952" s="6" t="n">
        <v>20</v>
      </c>
      <c r="L952" s="6" t="n">
        <v>0</v>
      </c>
      <c r="M952" s="6" t="n">
        <v>20</v>
      </c>
      <c r="N952" s="11" t="n">
        <f aca="false">J952/(J952+K952)</f>
        <v>0</v>
      </c>
      <c r="O952" s="11" t="str">
        <f aca="false">IF(J952+L952=0,"",J952/(J952+L952))</f>
        <v/>
      </c>
      <c r="P952" s="11" t="n">
        <f aca="false">2*J952/(2*J952+L952+K952)</f>
        <v>0</v>
      </c>
      <c r="Q952" s="11" t="n">
        <f aca="false">L952/(L952+M952)</f>
        <v>0</v>
      </c>
      <c r="R952" s="6" t="n">
        <v>0</v>
      </c>
      <c r="S952" s="11"/>
      <c r="T952" s="11" t="n">
        <v>0</v>
      </c>
      <c r="U952" s="11" t="n">
        <v>0.9</v>
      </c>
      <c r="V952" s="11" t="n">
        <v>0.9</v>
      </c>
    </row>
    <row r="953" customFormat="false" ht="15" hidden="false" customHeight="false" outlineLevel="0" collapsed="false">
      <c r="A953" s="6" t="s">
        <v>60</v>
      </c>
      <c r="B953" s="6" t="s">
        <v>59</v>
      </c>
      <c r="C953" s="6" t="s">
        <v>51</v>
      </c>
      <c r="D953" s="6" t="s">
        <v>119</v>
      </c>
      <c r="E953" s="6" t="n">
        <v>16</v>
      </c>
      <c r="F953" s="6" t="n">
        <v>7</v>
      </c>
      <c r="G953" s="6" t="s">
        <v>73</v>
      </c>
      <c r="H953" s="11" t="n">
        <v>0.05</v>
      </c>
      <c r="I953" s="6" t="n">
        <v>20</v>
      </c>
      <c r="J953" s="6" t="n">
        <v>0</v>
      </c>
      <c r="K953" s="6" t="n">
        <v>20</v>
      </c>
      <c r="L953" s="6" t="n">
        <v>0</v>
      </c>
      <c r="M953" s="6" t="n">
        <v>20</v>
      </c>
      <c r="N953" s="11" t="n">
        <f aca="false">J953/(J953+K953)</f>
        <v>0</v>
      </c>
      <c r="O953" s="11" t="str">
        <f aca="false">IF(J953+L953=0,"",J953/(J953+L953))</f>
        <v/>
      </c>
      <c r="P953" s="11" t="n">
        <f aca="false">2*J953/(2*J953+L953+K953)</f>
        <v>0</v>
      </c>
      <c r="Q953" s="11" t="n">
        <f aca="false">L953/(L953+M953)</f>
        <v>0</v>
      </c>
      <c r="R953" s="6" t="n">
        <v>1</v>
      </c>
      <c r="S953" s="11" t="n">
        <v>0</v>
      </c>
      <c r="T953" s="11" t="n">
        <v>0</v>
      </c>
      <c r="U953" s="11" t="n">
        <v>0.65</v>
      </c>
      <c r="V953" s="11" t="n">
        <v>0.65</v>
      </c>
    </row>
    <row r="954" customFormat="false" ht="15" hidden="false" customHeight="false" outlineLevel="0" collapsed="false">
      <c r="A954" s="6" t="s">
        <v>60</v>
      </c>
      <c r="B954" s="6" t="s">
        <v>59</v>
      </c>
      <c r="C954" s="6" t="s">
        <v>51</v>
      </c>
      <c r="D954" s="6" t="s">
        <v>119</v>
      </c>
      <c r="E954" s="6" t="n">
        <v>16</v>
      </c>
      <c r="F954" s="6" t="n">
        <v>7</v>
      </c>
      <c r="G954" s="6" t="s">
        <v>74</v>
      </c>
      <c r="H954" s="11" t="n">
        <v>0.05</v>
      </c>
      <c r="I954" s="6" t="n">
        <v>20</v>
      </c>
      <c r="J954" s="6" t="n">
        <v>1</v>
      </c>
      <c r="K954" s="6" t="n">
        <v>19</v>
      </c>
      <c r="L954" s="6" t="n">
        <v>1</v>
      </c>
      <c r="M954" s="6" t="n">
        <v>19</v>
      </c>
      <c r="N954" s="11" t="n">
        <f aca="false">J954/(J954+K954)</f>
        <v>0.05</v>
      </c>
      <c r="O954" s="11" t="n">
        <f aca="false">IF(J954+L954=0,"",J954/(J954+L954))</f>
        <v>0.5</v>
      </c>
      <c r="P954" s="11" t="n">
        <f aca="false">2*J954/(2*J954+L954+K954)</f>
        <v>0.0909090909090909</v>
      </c>
      <c r="Q954" s="11" t="n">
        <f aca="false">L954/(L954+M954)</f>
        <v>0.05</v>
      </c>
      <c r="R954" s="6" t="n">
        <v>1</v>
      </c>
      <c r="S954" s="11" t="n">
        <v>0</v>
      </c>
      <c r="T954" s="11" t="n">
        <v>0.0526315789473684</v>
      </c>
      <c r="U954" s="11" t="n">
        <v>0.85</v>
      </c>
      <c r="V954" s="11" t="n">
        <v>0.9</v>
      </c>
    </row>
    <row r="955" customFormat="false" ht="15" hidden="false" customHeight="false" outlineLevel="0" collapsed="false">
      <c r="A955" s="6" t="s">
        <v>60</v>
      </c>
      <c r="B955" s="6" t="s">
        <v>59</v>
      </c>
      <c r="C955" s="6" t="s">
        <v>51</v>
      </c>
      <c r="D955" s="6" t="s">
        <v>119</v>
      </c>
      <c r="E955" s="6" t="n">
        <v>16</v>
      </c>
      <c r="F955" s="6" t="n">
        <v>7</v>
      </c>
      <c r="G955" s="6" t="s">
        <v>75</v>
      </c>
      <c r="H955" s="11" t="n">
        <v>0.05</v>
      </c>
      <c r="I955" s="6" t="n">
        <v>20</v>
      </c>
      <c r="J955" s="6" t="n">
        <v>0</v>
      </c>
      <c r="K955" s="6" t="n">
        <v>20</v>
      </c>
      <c r="L955" s="6" t="n">
        <v>0</v>
      </c>
      <c r="M955" s="6" t="n">
        <v>20</v>
      </c>
      <c r="N955" s="11" t="n">
        <f aca="false">J955/(J955+K955)</f>
        <v>0</v>
      </c>
      <c r="O955" s="11" t="str">
        <f aca="false">IF(J955+L955=0,"",J955/(J955+L955))</f>
        <v/>
      </c>
      <c r="P955" s="11" t="n">
        <f aca="false">2*J955/(2*J955+L955+K955)</f>
        <v>0</v>
      </c>
      <c r="Q955" s="11" t="n">
        <f aca="false">L955/(L955+M955)</f>
        <v>0</v>
      </c>
      <c r="R955" s="6" t="n">
        <v>0</v>
      </c>
      <c r="S955" s="11"/>
      <c r="T955" s="11" t="n">
        <v>0</v>
      </c>
      <c r="U955" s="11" t="n">
        <v>0.9</v>
      </c>
      <c r="V955" s="11" t="n">
        <v>0.9</v>
      </c>
    </row>
    <row r="956" customFormat="false" ht="15" hidden="false" customHeight="false" outlineLevel="0" collapsed="false">
      <c r="A956" s="6" t="s">
        <v>60</v>
      </c>
      <c r="B956" s="6" t="s">
        <v>59</v>
      </c>
      <c r="C956" s="6" t="s">
        <v>51</v>
      </c>
      <c r="D956" s="6" t="s">
        <v>119</v>
      </c>
      <c r="E956" s="6" t="n">
        <v>16</v>
      </c>
      <c r="F956" s="6" t="n">
        <v>7</v>
      </c>
      <c r="G956" s="6" t="s">
        <v>76</v>
      </c>
      <c r="H956" s="11" t="n">
        <v>0.05</v>
      </c>
      <c r="I956" s="6" t="n">
        <v>20</v>
      </c>
      <c r="J956" s="6" t="n">
        <v>0</v>
      </c>
      <c r="K956" s="6" t="n">
        <v>20</v>
      </c>
      <c r="L956" s="6" t="n">
        <v>0</v>
      </c>
      <c r="M956" s="6" t="n">
        <v>20</v>
      </c>
      <c r="N956" s="11" t="n">
        <f aca="false">J956/(J956+K956)</f>
        <v>0</v>
      </c>
      <c r="O956" s="11" t="str">
        <f aca="false">IF(J956+L956=0,"",J956/(J956+L956))</f>
        <v/>
      </c>
      <c r="P956" s="11" t="n">
        <f aca="false">2*J956/(2*J956+L956+K956)</f>
        <v>0</v>
      </c>
      <c r="Q956" s="11" t="n">
        <f aca="false">L956/(L956+M956)</f>
        <v>0</v>
      </c>
      <c r="R956" s="6" t="n">
        <v>0</v>
      </c>
      <c r="S956" s="11"/>
      <c r="T956" s="11" t="n">
        <v>0</v>
      </c>
      <c r="U956" s="11" t="n">
        <v>0.95</v>
      </c>
      <c r="V956" s="11" t="n">
        <v>0.95</v>
      </c>
    </row>
    <row r="957" customFormat="false" ht="15" hidden="false" customHeight="false" outlineLevel="0" collapsed="false">
      <c r="A957" s="6" t="s">
        <v>60</v>
      </c>
      <c r="B957" s="6" t="s">
        <v>59</v>
      </c>
      <c r="C957" s="6" t="s">
        <v>51</v>
      </c>
      <c r="D957" s="6" t="s">
        <v>119</v>
      </c>
      <c r="E957" s="6" t="n">
        <v>16</v>
      </c>
      <c r="F957" s="6" t="n">
        <v>7</v>
      </c>
      <c r="G957" s="6" t="s">
        <v>77</v>
      </c>
      <c r="H957" s="11" t="n">
        <v>0.05</v>
      </c>
      <c r="I957" s="6" t="n">
        <v>20</v>
      </c>
      <c r="J957" s="6" t="n">
        <v>1</v>
      </c>
      <c r="K957" s="6" t="n">
        <v>19</v>
      </c>
      <c r="L957" s="6" t="n">
        <v>1</v>
      </c>
      <c r="M957" s="6" t="n">
        <v>19</v>
      </c>
      <c r="N957" s="11" t="n">
        <f aca="false">J957/(J957+K957)</f>
        <v>0.05</v>
      </c>
      <c r="O957" s="11" t="n">
        <f aca="false">IF(J957+L957=0,"",J957/(J957+L957))</f>
        <v>0.5</v>
      </c>
      <c r="P957" s="11" t="n">
        <f aca="false">2*J957/(2*J957+L957+K957)</f>
        <v>0.0909090909090909</v>
      </c>
      <c r="Q957" s="11" t="n">
        <f aca="false">L957/(L957+M957)</f>
        <v>0.05</v>
      </c>
      <c r="R957" s="6" t="n">
        <v>0</v>
      </c>
      <c r="S957" s="11"/>
      <c r="T957" s="11" t="n">
        <v>0.05</v>
      </c>
      <c r="U957" s="11" t="n">
        <v>1</v>
      </c>
      <c r="V957" s="11" t="n">
        <v>1</v>
      </c>
    </row>
    <row r="958" customFormat="false" ht="15" hidden="false" customHeight="false" outlineLevel="0" collapsed="false">
      <c r="A958" s="6" t="s">
        <v>60</v>
      </c>
      <c r="B958" s="6" t="s">
        <v>59</v>
      </c>
      <c r="C958" s="6" t="s">
        <v>51</v>
      </c>
      <c r="D958" s="6" t="s">
        <v>119</v>
      </c>
      <c r="E958" s="6" t="n">
        <v>16</v>
      </c>
      <c r="F958" s="6" t="n">
        <v>7</v>
      </c>
      <c r="G958" s="6" t="s">
        <v>78</v>
      </c>
      <c r="H958" s="11" t="n">
        <v>0.05</v>
      </c>
      <c r="I958" s="6" t="n">
        <v>200</v>
      </c>
      <c r="J958" s="6" t="n">
        <v>4</v>
      </c>
      <c r="K958" s="6" t="n">
        <v>196</v>
      </c>
      <c r="L958" s="6" t="n">
        <v>4</v>
      </c>
      <c r="M958" s="6" t="n">
        <v>196</v>
      </c>
      <c r="N958" s="11" t="n">
        <f aca="false">J958/(J958+K958)</f>
        <v>0.02</v>
      </c>
      <c r="O958" s="11" t="n">
        <f aca="false">IF(J958+L958=0,"",J958/(J958+L958))</f>
        <v>0.5</v>
      </c>
      <c r="P958" s="11" t="n">
        <f aca="false">2*J958/(2*J958+L958+K958)</f>
        <v>0.0384615384615385</v>
      </c>
      <c r="Q958" s="11" t="n">
        <f aca="false">L958/(L958+M958)</f>
        <v>0.02</v>
      </c>
      <c r="R958" s="6" t="n">
        <v>2</v>
      </c>
      <c r="S958" s="11" t="n">
        <v>0</v>
      </c>
      <c r="T958" s="11" t="n">
        <v>0.0202020202020202</v>
      </c>
      <c r="U958" s="11" t="n">
        <v>0.88</v>
      </c>
      <c r="V958" s="11" t="n">
        <v>0.885</v>
      </c>
    </row>
    <row r="959" customFormat="false" ht="15" hidden="false" customHeight="false" outlineLevel="0" collapsed="false">
      <c r="A959" s="6" t="s">
        <v>60</v>
      </c>
      <c r="B959" s="6" t="s">
        <v>59</v>
      </c>
      <c r="C959" s="6" t="s">
        <v>51</v>
      </c>
      <c r="D959" s="6" t="s">
        <v>119</v>
      </c>
      <c r="E959" s="6" t="n">
        <v>16</v>
      </c>
      <c r="F959" s="6" t="n">
        <v>8</v>
      </c>
      <c r="G959" s="6" t="s">
        <v>68</v>
      </c>
      <c r="H959" s="11" t="n">
        <v>0.05</v>
      </c>
      <c r="I959" s="6" t="n">
        <v>20</v>
      </c>
      <c r="J959" s="6" t="n">
        <v>1</v>
      </c>
      <c r="K959" s="6" t="n">
        <v>19</v>
      </c>
      <c r="L959" s="6" t="n">
        <v>1</v>
      </c>
      <c r="M959" s="6" t="n">
        <v>19</v>
      </c>
      <c r="N959" s="11" t="n">
        <f aca="false">J959/(J959+K959)</f>
        <v>0.05</v>
      </c>
      <c r="O959" s="11" t="n">
        <f aca="false">IF(J959+L959=0,"",J959/(J959+L959))</f>
        <v>0.5</v>
      </c>
      <c r="P959" s="11" t="n">
        <f aca="false">2*J959/(2*J959+L959+K959)</f>
        <v>0.0909090909090909</v>
      </c>
      <c r="Q959" s="11" t="n">
        <f aca="false">L959/(L959+M959)</f>
        <v>0.05</v>
      </c>
      <c r="R959" s="6" t="n">
        <v>0</v>
      </c>
      <c r="S959" s="11"/>
      <c r="T959" s="11" t="n">
        <v>0.05</v>
      </c>
      <c r="U959" s="11" t="n">
        <v>0.85</v>
      </c>
      <c r="V959" s="11" t="n">
        <v>0.85</v>
      </c>
    </row>
    <row r="960" customFormat="false" ht="15" hidden="false" customHeight="false" outlineLevel="0" collapsed="false">
      <c r="A960" s="6" t="s">
        <v>60</v>
      </c>
      <c r="B960" s="6" t="s">
        <v>59</v>
      </c>
      <c r="C960" s="6" t="s">
        <v>51</v>
      </c>
      <c r="D960" s="6" t="s">
        <v>119</v>
      </c>
      <c r="E960" s="6" t="n">
        <v>16</v>
      </c>
      <c r="F960" s="6" t="n">
        <v>8</v>
      </c>
      <c r="G960" s="6" t="s">
        <v>69</v>
      </c>
      <c r="H960" s="11" t="n">
        <v>0.05</v>
      </c>
      <c r="I960" s="6" t="n">
        <v>20</v>
      </c>
      <c r="J960" s="6" t="n">
        <v>1</v>
      </c>
      <c r="K960" s="6" t="n">
        <v>19</v>
      </c>
      <c r="L960" s="6" t="n">
        <v>1</v>
      </c>
      <c r="M960" s="6" t="n">
        <v>19</v>
      </c>
      <c r="N960" s="11" t="n">
        <f aca="false">J960/(J960+K960)</f>
        <v>0.05</v>
      </c>
      <c r="O960" s="11" t="n">
        <f aca="false">IF(J960+L960=0,"",J960/(J960+L960))</f>
        <v>0.5</v>
      </c>
      <c r="P960" s="11" t="n">
        <f aca="false">2*J960/(2*J960+L960+K960)</f>
        <v>0.0909090909090909</v>
      </c>
      <c r="Q960" s="11" t="n">
        <f aca="false">L960/(L960+M960)</f>
        <v>0.05</v>
      </c>
      <c r="R960" s="6" t="n">
        <v>0</v>
      </c>
      <c r="S960" s="11"/>
      <c r="T960" s="11" t="n">
        <v>0.05</v>
      </c>
      <c r="U960" s="11" t="n">
        <v>1</v>
      </c>
      <c r="V960" s="11" t="n">
        <v>1</v>
      </c>
    </row>
    <row r="961" customFormat="false" ht="15" hidden="false" customHeight="false" outlineLevel="0" collapsed="false">
      <c r="A961" s="6" t="s">
        <v>60</v>
      </c>
      <c r="B961" s="6" t="s">
        <v>59</v>
      </c>
      <c r="C961" s="6" t="s">
        <v>51</v>
      </c>
      <c r="D961" s="6" t="s">
        <v>119</v>
      </c>
      <c r="E961" s="6" t="n">
        <v>16</v>
      </c>
      <c r="F961" s="6" t="n">
        <v>8</v>
      </c>
      <c r="G961" s="6" t="s">
        <v>70</v>
      </c>
      <c r="H961" s="11" t="n">
        <v>0.05</v>
      </c>
      <c r="I961" s="6" t="n">
        <v>20</v>
      </c>
      <c r="J961" s="6" t="n">
        <v>0</v>
      </c>
      <c r="K961" s="6" t="n">
        <v>20</v>
      </c>
      <c r="L961" s="6" t="n">
        <v>0</v>
      </c>
      <c r="M961" s="6" t="n">
        <v>20</v>
      </c>
      <c r="N961" s="11" t="n">
        <f aca="false">J961/(J961+K961)</f>
        <v>0</v>
      </c>
      <c r="O961" s="11" t="str">
        <f aca="false">IF(J961+L961=0,"",J961/(J961+L961))</f>
        <v/>
      </c>
      <c r="P961" s="11" t="n">
        <f aca="false">2*J961/(2*J961+L961+K961)</f>
        <v>0</v>
      </c>
      <c r="Q961" s="11" t="n">
        <f aca="false">L961/(L961+M961)</f>
        <v>0</v>
      </c>
      <c r="R961" s="6" t="n">
        <v>0</v>
      </c>
      <c r="S961" s="11"/>
      <c r="T961" s="11" t="n">
        <v>0</v>
      </c>
      <c r="U961" s="11" t="n">
        <v>0.9</v>
      </c>
      <c r="V961" s="11" t="n">
        <v>0.9</v>
      </c>
    </row>
    <row r="962" customFormat="false" ht="15" hidden="false" customHeight="false" outlineLevel="0" collapsed="false">
      <c r="A962" s="6" t="s">
        <v>60</v>
      </c>
      <c r="B962" s="6" t="s">
        <v>59</v>
      </c>
      <c r="C962" s="6" t="s">
        <v>51</v>
      </c>
      <c r="D962" s="6" t="s">
        <v>119</v>
      </c>
      <c r="E962" s="6" t="n">
        <v>16</v>
      </c>
      <c r="F962" s="6" t="n">
        <v>8</v>
      </c>
      <c r="G962" s="6" t="s">
        <v>71</v>
      </c>
      <c r="H962" s="11" t="n">
        <v>0.05</v>
      </c>
      <c r="I962" s="6" t="n">
        <v>20</v>
      </c>
      <c r="J962" s="6" t="n">
        <v>0</v>
      </c>
      <c r="K962" s="6" t="n">
        <v>20</v>
      </c>
      <c r="L962" s="6" t="n">
        <v>0</v>
      </c>
      <c r="M962" s="6" t="n">
        <v>20</v>
      </c>
      <c r="N962" s="11" t="n">
        <f aca="false">J962/(J962+K962)</f>
        <v>0</v>
      </c>
      <c r="O962" s="11" t="str">
        <f aca="false">IF(J962+L962=0,"",J962/(J962+L962))</f>
        <v/>
      </c>
      <c r="P962" s="11" t="n">
        <f aca="false">2*J962/(2*J962+L962+K962)</f>
        <v>0</v>
      </c>
      <c r="Q962" s="11" t="n">
        <f aca="false">L962/(L962+M962)</f>
        <v>0</v>
      </c>
      <c r="R962" s="6" t="n">
        <v>0</v>
      </c>
      <c r="S962" s="11"/>
      <c r="T962" s="11" t="n">
        <v>0</v>
      </c>
      <c r="U962" s="11" t="n">
        <v>0.8</v>
      </c>
      <c r="V962" s="11" t="n">
        <v>0.8</v>
      </c>
    </row>
    <row r="963" customFormat="false" ht="15" hidden="false" customHeight="false" outlineLevel="0" collapsed="false">
      <c r="A963" s="6" t="s">
        <v>60</v>
      </c>
      <c r="B963" s="6" t="s">
        <v>59</v>
      </c>
      <c r="C963" s="6" t="s">
        <v>51</v>
      </c>
      <c r="D963" s="6" t="s">
        <v>119</v>
      </c>
      <c r="E963" s="6" t="n">
        <v>16</v>
      </c>
      <c r="F963" s="6" t="n">
        <v>8</v>
      </c>
      <c r="G963" s="6" t="s">
        <v>72</v>
      </c>
      <c r="H963" s="11" t="n">
        <v>0.05</v>
      </c>
      <c r="I963" s="6" t="n">
        <v>20</v>
      </c>
      <c r="J963" s="6" t="n">
        <v>0</v>
      </c>
      <c r="K963" s="6" t="n">
        <v>20</v>
      </c>
      <c r="L963" s="6" t="n">
        <v>0</v>
      </c>
      <c r="M963" s="6" t="n">
        <v>20</v>
      </c>
      <c r="N963" s="11" t="n">
        <f aca="false">J963/(J963+K963)</f>
        <v>0</v>
      </c>
      <c r="O963" s="11" t="str">
        <f aca="false">IF(J963+L963=0,"",J963/(J963+L963))</f>
        <v/>
      </c>
      <c r="P963" s="11" t="n">
        <f aca="false">2*J963/(2*J963+L963+K963)</f>
        <v>0</v>
      </c>
      <c r="Q963" s="11" t="n">
        <f aca="false">L963/(L963+M963)</f>
        <v>0</v>
      </c>
      <c r="R963" s="6" t="n">
        <v>0</v>
      </c>
      <c r="S963" s="11"/>
      <c r="T963" s="11" t="n">
        <v>0</v>
      </c>
      <c r="U963" s="11" t="n">
        <v>0.9</v>
      </c>
      <c r="V963" s="11" t="n">
        <v>0.9</v>
      </c>
    </row>
    <row r="964" customFormat="false" ht="15" hidden="false" customHeight="false" outlineLevel="0" collapsed="false">
      <c r="A964" s="6" t="s">
        <v>60</v>
      </c>
      <c r="B964" s="6" t="s">
        <v>59</v>
      </c>
      <c r="C964" s="6" t="s">
        <v>51</v>
      </c>
      <c r="D964" s="6" t="s">
        <v>119</v>
      </c>
      <c r="E964" s="6" t="n">
        <v>16</v>
      </c>
      <c r="F964" s="6" t="n">
        <v>8</v>
      </c>
      <c r="G964" s="6" t="s">
        <v>73</v>
      </c>
      <c r="H964" s="11" t="n">
        <v>0.05</v>
      </c>
      <c r="I964" s="6" t="n">
        <v>20</v>
      </c>
      <c r="J964" s="6" t="n">
        <v>0</v>
      </c>
      <c r="K964" s="6" t="n">
        <v>20</v>
      </c>
      <c r="L964" s="6" t="n">
        <v>0</v>
      </c>
      <c r="M964" s="6" t="n">
        <v>20</v>
      </c>
      <c r="N964" s="11" t="n">
        <f aca="false">J964/(J964+K964)</f>
        <v>0</v>
      </c>
      <c r="O964" s="11" t="str">
        <f aca="false">IF(J964+L964=0,"",J964/(J964+L964))</f>
        <v/>
      </c>
      <c r="P964" s="11" t="n">
        <f aca="false">2*J964/(2*J964+L964+K964)</f>
        <v>0</v>
      </c>
      <c r="Q964" s="11" t="n">
        <f aca="false">L964/(L964+M964)</f>
        <v>0</v>
      </c>
      <c r="R964" s="6" t="n">
        <v>1</v>
      </c>
      <c r="S964" s="11" t="n">
        <v>0</v>
      </c>
      <c r="T964" s="11" t="n">
        <v>0</v>
      </c>
      <c r="U964" s="11" t="n">
        <v>0.65</v>
      </c>
      <c r="V964" s="11" t="n">
        <v>0.65</v>
      </c>
    </row>
    <row r="965" customFormat="false" ht="15" hidden="false" customHeight="false" outlineLevel="0" collapsed="false">
      <c r="A965" s="6" t="s">
        <v>60</v>
      </c>
      <c r="B965" s="6" t="s">
        <v>59</v>
      </c>
      <c r="C965" s="6" t="s">
        <v>51</v>
      </c>
      <c r="D965" s="6" t="s">
        <v>119</v>
      </c>
      <c r="E965" s="6" t="n">
        <v>16</v>
      </c>
      <c r="F965" s="6" t="n">
        <v>8</v>
      </c>
      <c r="G965" s="6" t="s">
        <v>74</v>
      </c>
      <c r="H965" s="11" t="n">
        <v>0.05</v>
      </c>
      <c r="I965" s="6" t="n">
        <v>20</v>
      </c>
      <c r="J965" s="6" t="n">
        <v>1</v>
      </c>
      <c r="K965" s="6" t="n">
        <v>19</v>
      </c>
      <c r="L965" s="6" t="n">
        <v>1</v>
      </c>
      <c r="M965" s="6" t="n">
        <v>19</v>
      </c>
      <c r="N965" s="11" t="n">
        <f aca="false">J965/(J965+K965)</f>
        <v>0.05</v>
      </c>
      <c r="O965" s="11" t="n">
        <f aca="false">IF(J965+L965=0,"",J965/(J965+L965))</f>
        <v>0.5</v>
      </c>
      <c r="P965" s="11" t="n">
        <f aca="false">2*J965/(2*J965+L965+K965)</f>
        <v>0.0909090909090909</v>
      </c>
      <c r="Q965" s="11" t="n">
        <f aca="false">L965/(L965+M965)</f>
        <v>0.05</v>
      </c>
      <c r="R965" s="6" t="n">
        <v>0</v>
      </c>
      <c r="S965" s="11"/>
      <c r="T965" s="11" t="n">
        <v>0.05</v>
      </c>
      <c r="U965" s="11" t="n">
        <v>0.85</v>
      </c>
      <c r="V965" s="11" t="n">
        <v>0.85</v>
      </c>
    </row>
    <row r="966" customFormat="false" ht="15" hidden="false" customHeight="false" outlineLevel="0" collapsed="false">
      <c r="A966" s="6" t="s">
        <v>60</v>
      </c>
      <c r="B966" s="6" t="s">
        <v>59</v>
      </c>
      <c r="C966" s="6" t="s">
        <v>51</v>
      </c>
      <c r="D966" s="6" t="s">
        <v>119</v>
      </c>
      <c r="E966" s="6" t="n">
        <v>16</v>
      </c>
      <c r="F966" s="6" t="n">
        <v>8</v>
      </c>
      <c r="G966" s="6" t="s">
        <v>75</v>
      </c>
      <c r="H966" s="11" t="n">
        <v>0.05</v>
      </c>
      <c r="I966" s="6" t="n">
        <v>20</v>
      </c>
      <c r="J966" s="6" t="n">
        <v>0</v>
      </c>
      <c r="K966" s="6" t="n">
        <v>20</v>
      </c>
      <c r="L966" s="6" t="n">
        <v>0</v>
      </c>
      <c r="M966" s="6" t="n">
        <v>20</v>
      </c>
      <c r="N966" s="11" t="n">
        <f aca="false">J966/(J966+K966)</f>
        <v>0</v>
      </c>
      <c r="O966" s="11" t="str">
        <f aca="false">IF(J966+L966=0,"",J966/(J966+L966))</f>
        <v/>
      </c>
      <c r="P966" s="11" t="n">
        <f aca="false">2*J966/(2*J966+L966+K966)</f>
        <v>0</v>
      </c>
      <c r="Q966" s="11" t="n">
        <f aca="false">L966/(L966+M966)</f>
        <v>0</v>
      </c>
      <c r="R966" s="6" t="n">
        <v>1</v>
      </c>
      <c r="S966" s="11" t="n">
        <v>0</v>
      </c>
      <c r="T966" s="11" t="n">
        <v>0</v>
      </c>
      <c r="U966" s="11" t="n">
        <v>0.9</v>
      </c>
      <c r="V966" s="11" t="n">
        <v>0.95</v>
      </c>
    </row>
    <row r="967" customFormat="false" ht="15" hidden="false" customHeight="false" outlineLevel="0" collapsed="false">
      <c r="A967" s="6" t="s">
        <v>60</v>
      </c>
      <c r="B967" s="6" t="s">
        <v>59</v>
      </c>
      <c r="C967" s="6" t="s">
        <v>51</v>
      </c>
      <c r="D967" s="6" t="s">
        <v>119</v>
      </c>
      <c r="E967" s="6" t="n">
        <v>16</v>
      </c>
      <c r="F967" s="6" t="n">
        <v>8</v>
      </c>
      <c r="G967" s="6" t="s">
        <v>76</v>
      </c>
      <c r="H967" s="11" t="n">
        <v>0.05</v>
      </c>
      <c r="I967" s="6" t="n">
        <v>20</v>
      </c>
      <c r="J967" s="6" t="n">
        <v>0</v>
      </c>
      <c r="K967" s="6" t="n">
        <v>20</v>
      </c>
      <c r="L967" s="6" t="n">
        <v>0</v>
      </c>
      <c r="M967" s="6" t="n">
        <v>20</v>
      </c>
      <c r="N967" s="11" t="n">
        <f aca="false">J967/(J967+K967)</f>
        <v>0</v>
      </c>
      <c r="O967" s="11" t="str">
        <f aca="false">IF(J967+L967=0,"",J967/(J967+L967))</f>
        <v/>
      </c>
      <c r="P967" s="11" t="n">
        <f aca="false">2*J967/(2*J967+L967+K967)</f>
        <v>0</v>
      </c>
      <c r="Q967" s="11" t="n">
        <f aca="false">L967/(L967+M967)</f>
        <v>0</v>
      </c>
      <c r="R967" s="6" t="n">
        <v>0</v>
      </c>
      <c r="S967" s="11"/>
      <c r="T967" s="11" t="n">
        <v>0</v>
      </c>
      <c r="U967" s="11" t="n">
        <v>0.95</v>
      </c>
      <c r="V967" s="11" t="n">
        <v>0.95</v>
      </c>
    </row>
    <row r="968" customFormat="false" ht="15" hidden="false" customHeight="false" outlineLevel="0" collapsed="false">
      <c r="A968" s="6" t="s">
        <v>60</v>
      </c>
      <c r="B968" s="6" t="s">
        <v>59</v>
      </c>
      <c r="C968" s="6" t="s">
        <v>51</v>
      </c>
      <c r="D968" s="6" t="s">
        <v>119</v>
      </c>
      <c r="E968" s="6" t="n">
        <v>16</v>
      </c>
      <c r="F968" s="6" t="n">
        <v>8</v>
      </c>
      <c r="G968" s="6" t="s">
        <v>77</v>
      </c>
      <c r="H968" s="11" t="n">
        <v>0.05</v>
      </c>
      <c r="I968" s="6" t="n">
        <v>20</v>
      </c>
      <c r="J968" s="6" t="n">
        <v>1</v>
      </c>
      <c r="K968" s="6" t="n">
        <v>19</v>
      </c>
      <c r="L968" s="6" t="n">
        <v>1</v>
      </c>
      <c r="M968" s="6" t="n">
        <v>19</v>
      </c>
      <c r="N968" s="11" t="n">
        <f aca="false">J968/(J968+K968)</f>
        <v>0.05</v>
      </c>
      <c r="O968" s="11" t="n">
        <f aca="false">IF(J968+L968=0,"",J968/(J968+L968))</f>
        <v>0.5</v>
      </c>
      <c r="P968" s="11" t="n">
        <f aca="false">2*J968/(2*J968+L968+K968)</f>
        <v>0.0909090909090909</v>
      </c>
      <c r="Q968" s="11" t="n">
        <f aca="false">L968/(L968+M968)</f>
        <v>0.05</v>
      </c>
      <c r="R968" s="6" t="n">
        <v>0</v>
      </c>
      <c r="S968" s="11"/>
      <c r="T968" s="11" t="n">
        <v>0.05</v>
      </c>
      <c r="U968" s="11" t="n">
        <v>1</v>
      </c>
      <c r="V968" s="11" t="n">
        <v>1</v>
      </c>
    </row>
    <row r="969" customFormat="false" ht="15" hidden="false" customHeight="false" outlineLevel="0" collapsed="false">
      <c r="A969" s="6" t="s">
        <v>60</v>
      </c>
      <c r="B969" s="6" t="s">
        <v>59</v>
      </c>
      <c r="C969" s="6" t="s">
        <v>51</v>
      </c>
      <c r="D969" s="6" t="s">
        <v>119</v>
      </c>
      <c r="E969" s="6" t="n">
        <v>16</v>
      </c>
      <c r="F969" s="6" t="n">
        <v>8</v>
      </c>
      <c r="G969" s="6" t="s">
        <v>78</v>
      </c>
      <c r="H969" s="11" t="n">
        <v>0.05</v>
      </c>
      <c r="I969" s="6" t="n">
        <v>200</v>
      </c>
      <c r="J969" s="6" t="n">
        <v>4</v>
      </c>
      <c r="K969" s="6" t="n">
        <v>196</v>
      </c>
      <c r="L969" s="6" t="n">
        <v>4</v>
      </c>
      <c r="M969" s="6" t="n">
        <v>196</v>
      </c>
      <c r="N969" s="11" t="n">
        <f aca="false">J969/(J969+K969)</f>
        <v>0.02</v>
      </c>
      <c r="O969" s="11" t="n">
        <f aca="false">IF(J969+L969=0,"",J969/(J969+L969))</f>
        <v>0.5</v>
      </c>
      <c r="P969" s="11" t="n">
        <f aca="false">2*J969/(2*J969+L969+K969)</f>
        <v>0.0384615384615385</v>
      </c>
      <c r="Q969" s="11" t="n">
        <f aca="false">L969/(L969+M969)</f>
        <v>0.02</v>
      </c>
      <c r="R969" s="6" t="n">
        <v>2</v>
      </c>
      <c r="S969" s="11" t="n">
        <v>0</v>
      </c>
      <c r="T969" s="11" t="n">
        <v>0.0202020202020202</v>
      </c>
      <c r="U969" s="11" t="n">
        <v>0.88</v>
      </c>
      <c r="V969" s="11" t="n">
        <v>0.885</v>
      </c>
    </row>
    <row r="970" customFormat="false" ht="15" hidden="false" customHeight="false" outlineLevel="0" collapsed="false">
      <c r="A970" s="6" t="s">
        <v>60</v>
      </c>
      <c r="B970" s="6" t="s">
        <v>59</v>
      </c>
      <c r="C970" s="6" t="s">
        <v>51</v>
      </c>
      <c r="D970" s="6" t="s">
        <v>119</v>
      </c>
      <c r="E970" s="6" t="n">
        <v>16</v>
      </c>
      <c r="F970" s="6" t="n">
        <v>9</v>
      </c>
      <c r="G970" s="6" t="s">
        <v>68</v>
      </c>
      <c r="H970" s="11" t="n">
        <v>0.05</v>
      </c>
      <c r="I970" s="6" t="n">
        <v>20</v>
      </c>
      <c r="J970" s="6" t="n">
        <v>1</v>
      </c>
      <c r="K970" s="6" t="n">
        <v>19</v>
      </c>
      <c r="L970" s="6" t="n">
        <v>1</v>
      </c>
      <c r="M970" s="6" t="n">
        <v>19</v>
      </c>
      <c r="N970" s="11" t="n">
        <f aca="false">J970/(J970+K970)</f>
        <v>0.05</v>
      </c>
      <c r="O970" s="11" t="n">
        <f aca="false">IF(J970+L970=0,"",J970/(J970+L970))</f>
        <v>0.5</v>
      </c>
      <c r="P970" s="11" t="n">
        <f aca="false">2*J970/(2*J970+L970+K970)</f>
        <v>0.0909090909090909</v>
      </c>
      <c r="Q970" s="11" t="n">
        <f aca="false">L970/(L970+M970)</f>
        <v>0.05</v>
      </c>
      <c r="R970" s="6" t="n">
        <v>0</v>
      </c>
      <c r="S970" s="11"/>
      <c r="T970" s="11" t="n">
        <v>0.05</v>
      </c>
      <c r="U970" s="11" t="n">
        <v>0.85</v>
      </c>
      <c r="V970" s="11" t="n">
        <v>0.85</v>
      </c>
    </row>
    <row r="971" customFormat="false" ht="15" hidden="false" customHeight="false" outlineLevel="0" collapsed="false">
      <c r="A971" s="6" t="s">
        <v>60</v>
      </c>
      <c r="B971" s="6" t="s">
        <v>59</v>
      </c>
      <c r="C971" s="6" t="s">
        <v>51</v>
      </c>
      <c r="D971" s="6" t="s">
        <v>119</v>
      </c>
      <c r="E971" s="6" t="n">
        <v>16</v>
      </c>
      <c r="F971" s="6" t="n">
        <v>9</v>
      </c>
      <c r="G971" s="6" t="s">
        <v>69</v>
      </c>
      <c r="H971" s="11" t="n">
        <v>0.05</v>
      </c>
      <c r="I971" s="6" t="n">
        <v>20</v>
      </c>
      <c r="J971" s="6" t="n">
        <v>1</v>
      </c>
      <c r="K971" s="6" t="n">
        <v>19</v>
      </c>
      <c r="L971" s="6" t="n">
        <v>1</v>
      </c>
      <c r="M971" s="6" t="n">
        <v>19</v>
      </c>
      <c r="N971" s="11" t="n">
        <f aca="false">J971/(J971+K971)</f>
        <v>0.05</v>
      </c>
      <c r="O971" s="11" t="n">
        <f aca="false">IF(J971+L971=0,"",J971/(J971+L971))</f>
        <v>0.5</v>
      </c>
      <c r="P971" s="11" t="n">
        <f aca="false">2*J971/(2*J971+L971+K971)</f>
        <v>0.0909090909090909</v>
      </c>
      <c r="Q971" s="11" t="n">
        <f aca="false">L971/(L971+M971)</f>
        <v>0.05</v>
      </c>
      <c r="R971" s="6" t="n">
        <v>0</v>
      </c>
      <c r="S971" s="11"/>
      <c r="T971" s="11" t="n">
        <v>0.05</v>
      </c>
      <c r="U971" s="11" t="n">
        <v>1</v>
      </c>
      <c r="V971" s="11" t="n">
        <v>1</v>
      </c>
    </row>
    <row r="972" customFormat="false" ht="15" hidden="false" customHeight="false" outlineLevel="0" collapsed="false">
      <c r="A972" s="6" t="s">
        <v>60</v>
      </c>
      <c r="B972" s="6" t="s">
        <v>59</v>
      </c>
      <c r="C972" s="6" t="s">
        <v>51</v>
      </c>
      <c r="D972" s="6" t="s">
        <v>119</v>
      </c>
      <c r="E972" s="6" t="n">
        <v>16</v>
      </c>
      <c r="F972" s="6" t="n">
        <v>9</v>
      </c>
      <c r="G972" s="6" t="s">
        <v>70</v>
      </c>
      <c r="H972" s="11" t="n">
        <v>0.05</v>
      </c>
      <c r="I972" s="6" t="n">
        <v>20</v>
      </c>
      <c r="J972" s="6" t="n">
        <v>0</v>
      </c>
      <c r="K972" s="6" t="n">
        <v>20</v>
      </c>
      <c r="L972" s="6" t="n">
        <v>0</v>
      </c>
      <c r="M972" s="6" t="n">
        <v>20</v>
      </c>
      <c r="N972" s="11" t="n">
        <f aca="false">J972/(J972+K972)</f>
        <v>0</v>
      </c>
      <c r="O972" s="11" t="str">
        <f aca="false">IF(J972+L972=0,"",J972/(J972+L972))</f>
        <v/>
      </c>
      <c r="P972" s="11" t="n">
        <f aca="false">2*J972/(2*J972+L972+K972)</f>
        <v>0</v>
      </c>
      <c r="Q972" s="11" t="n">
        <f aca="false">L972/(L972+M972)</f>
        <v>0</v>
      </c>
      <c r="R972" s="6" t="n">
        <v>0</v>
      </c>
      <c r="S972" s="11"/>
      <c r="T972" s="11" t="n">
        <v>0</v>
      </c>
      <c r="U972" s="11" t="n">
        <v>0.9</v>
      </c>
      <c r="V972" s="11" t="n">
        <v>0.9</v>
      </c>
    </row>
    <row r="973" customFormat="false" ht="15" hidden="false" customHeight="false" outlineLevel="0" collapsed="false">
      <c r="A973" s="6" t="s">
        <v>60</v>
      </c>
      <c r="B973" s="6" t="s">
        <v>59</v>
      </c>
      <c r="C973" s="6" t="s">
        <v>51</v>
      </c>
      <c r="D973" s="6" t="s">
        <v>119</v>
      </c>
      <c r="E973" s="6" t="n">
        <v>16</v>
      </c>
      <c r="F973" s="6" t="n">
        <v>9</v>
      </c>
      <c r="G973" s="6" t="s">
        <v>71</v>
      </c>
      <c r="H973" s="11" t="n">
        <v>0.05</v>
      </c>
      <c r="I973" s="6" t="n">
        <v>20</v>
      </c>
      <c r="J973" s="6" t="n">
        <v>0</v>
      </c>
      <c r="K973" s="6" t="n">
        <v>20</v>
      </c>
      <c r="L973" s="6" t="n">
        <v>0</v>
      </c>
      <c r="M973" s="6" t="n">
        <v>20</v>
      </c>
      <c r="N973" s="11" t="n">
        <f aca="false">J973/(J973+K973)</f>
        <v>0</v>
      </c>
      <c r="O973" s="11" t="str">
        <f aca="false">IF(J973+L973=0,"",J973/(J973+L973))</f>
        <v/>
      </c>
      <c r="P973" s="11" t="n">
        <f aca="false">2*J973/(2*J973+L973+K973)</f>
        <v>0</v>
      </c>
      <c r="Q973" s="11" t="n">
        <f aca="false">L973/(L973+M973)</f>
        <v>0</v>
      </c>
      <c r="R973" s="6" t="n">
        <v>0</v>
      </c>
      <c r="S973" s="11"/>
      <c r="T973" s="11" t="n">
        <v>0</v>
      </c>
      <c r="U973" s="11" t="n">
        <v>0.8</v>
      </c>
      <c r="V973" s="11" t="n">
        <v>0.8</v>
      </c>
    </row>
    <row r="974" customFormat="false" ht="15" hidden="false" customHeight="false" outlineLevel="0" collapsed="false">
      <c r="A974" s="6" t="s">
        <v>60</v>
      </c>
      <c r="B974" s="6" t="s">
        <v>59</v>
      </c>
      <c r="C974" s="6" t="s">
        <v>51</v>
      </c>
      <c r="D974" s="6" t="s">
        <v>119</v>
      </c>
      <c r="E974" s="6" t="n">
        <v>16</v>
      </c>
      <c r="F974" s="6" t="n">
        <v>9</v>
      </c>
      <c r="G974" s="6" t="s">
        <v>72</v>
      </c>
      <c r="H974" s="11" t="n">
        <v>0.05</v>
      </c>
      <c r="I974" s="6" t="n">
        <v>20</v>
      </c>
      <c r="J974" s="6" t="n">
        <v>1</v>
      </c>
      <c r="K974" s="6" t="n">
        <v>19</v>
      </c>
      <c r="L974" s="6" t="n">
        <v>0</v>
      </c>
      <c r="M974" s="6" t="n">
        <v>20</v>
      </c>
      <c r="N974" s="11" t="n">
        <f aca="false">J974/(J974+K974)</f>
        <v>0.05</v>
      </c>
      <c r="O974" s="11" t="n">
        <f aca="false">IF(J974+L974=0,"",J974/(J974+L974))</f>
        <v>1</v>
      </c>
      <c r="P974" s="11" t="n">
        <f aca="false">2*J974/(2*J974+L974+K974)</f>
        <v>0.0952380952380952</v>
      </c>
      <c r="Q974" s="11" t="n">
        <f aca="false">L974/(L974+M974)</f>
        <v>0</v>
      </c>
      <c r="R974" s="6" t="n">
        <v>0</v>
      </c>
      <c r="S974" s="11"/>
      <c r="T974" s="11" t="n">
        <v>0.05</v>
      </c>
      <c r="U974" s="11" t="n">
        <v>0.9</v>
      </c>
      <c r="V974" s="11" t="n">
        <v>0.9</v>
      </c>
    </row>
    <row r="975" customFormat="false" ht="15" hidden="false" customHeight="false" outlineLevel="0" collapsed="false">
      <c r="A975" s="6" t="s">
        <v>60</v>
      </c>
      <c r="B975" s="6" t="s">
        <v>59</v>
      </c>
      <c r="C975" s="6" t="s">
        <v>51</v>
      </c>
      <c r="D975" s="6" t="s">
        <v>119</v>
      </c>
      <c r="E975" s="6" t="n">
        <v>16</v>
      </c>
      <c r="F975" s="6" t="n">
        <v>9</v>
      </c>
      <c r="G975" s="6" t="s">
        <v>73</v>
      </c>
      <c r="H975" s="11" t="n">
        <v>0.05</v>
      </c>
      <c r="I975" s="6" t="n">
        <v>20</v>
      </c>
      <c r="J975" s="6" t="n">
        <v>0</v>
      </c>
      <c r="K975" s="6" t="n">
        <v>20</v>
      </c>
      <c r="L975" s="6" t="n">
        <v>0</v>
      </c>
      <c r="M975" s="6" t="n">
        <v>20</v>
      </c>
      <c r="N975" s="11" t="n">
        <f aca="false">J975/(J975+K975)</f>
        <v>0</v>
      </c>
      <c r="O975" s="11" t="str">
        <f aca="false">IF(J975+L975=0,"",J975/(J975+L975))</f>
        <v/>
      </c>
      <c r="P975" s="11" t="n">
        <f aca="false">2*J975/(2*J975+L975+K975)</f>
        <v>0</v>
      </c>
      <c r="Q975" s="11" t="n">
        <f aca="false">L975/(L975+M975)</f>
        <v>0</v>
      </c>
      <c r="R975" s="6" t="n">
        <v>1</v>
      </c>
      <c r="S975" s="11" t="n">
        <v>0</v>
      </c>
      <c r="T975" s="11" t="n">
        <v>0</v>
      </c>
      <c r="U975" s="11" t="n">
        <v>0.65</v>
      </c>
      <c r="V975" s="11" t="n">
        <v>0.65</v>
      </c>
    </row>
    <row r="976" customFormat="false" ht="15" hidden="false" customHeight="false" outlineLevel="0" collapsed="false">
      <c r="A976" s="6" t="s">
        <v>60</v>
      </c>
      <c r="B976" s="6" t="s">
        <v>59</v>
      </c>
      <c r="C976" s="6" t="s">
        <v>51</v>
      </c>
      <c r="D976" s="6" t="s">
        <v>119</v>
      </c>
      <c r="E976" s="6" t="n">
        <v>16</v>
      </c>
      <c r="F976" s="6" t="n">
        <v>9</v>
      </c>
      <c r="G976" s="6" t="s">
        <v>74</v>
      </c>
      <c r="H976" s="11" t="n">
        <v>0.05</v>
      </c>
      <c r="I976" s="6" t="n">
        <v>20</v>
      </c>
      <c r="J976" s="6" t="n">
        <v>1</v>
      </c>
      <c r="K976" s="6" t="n">
        <v>19</v>
      </c>
      <c r="L976" s="6" t="n">
        <v>1</v>
      </c>
      <c r="M976" s="6" t="n">
        <v>19</v>
      </c>
      <c r="N976" s="11" t="n">
        <f aca="false">J976/(J976+K976)</f>
        <v>0.05</v>
      </c>
      <c r="O976" s="11" t="n">
        <f aca="false">IF(J976+L976=0,"",J976/(J976+L976))</f>
        <v>0.5</v>
      </c>
      <c r="P976" s="11" t="n">
        <f aca="false">2*J976/(2*J976+L976+K976)</f>
        <v>0.0909090909090909</v>
      </c>
      <c r="Q976" s="11" t="n">
        <f aca="false">L976/(L976+M976)</f>
        <v>0.05</v>
      </c>
      <c r="R976" s="6" t="n">
        <v>1</v>
      </c>
      <c r="S976" s="11" t="n">
        <v>0</v>
      </c>
      <c r="T976" s="11" t="n">
        <v>0.0526315789473684</v>
      </c>
      <c r="U976" s="11" t="n">
        <v>0.85</v>
      </c>
      <c r="V976" s="11" t="n">
        <v>0.9</v>
      </c>
    </row>
    <row r="977" customFormat="false" ht="15" hidden="false" customHeight="false" outlineLevel="0" collapsed="false">
      <c r="A977" s="6" t="s">
        <v>60</v>
      </c>
      <c r="B977" s="6" t="s">
        <v>59</v>
      </c>
      <c r="C977" s="6" t="s">
        <v>51</v>
      </c>
      <c r="D977" s="6" t="s">
        <v>119</v>
      </c>
      <c r="E977" s="6" t="n">
        <v>16</v>
      </c>
      <c r="F977" s="6" t="n">
        <v>9</v>
      </c>
      <c r="G977" s="6" t="s">
        <v>75</v>
      </c>
      <c r="H977" s="11" t="n">
        <v>0.05</v>
      </c>
      <c r="I977" s="6" t="n">
        <v>20</v>
      </c>
      <c r="J977" s="6" t="n">
        <v>0</v>
      </c>
      <c r="K977" s="6" t="n">
        <v>20</v>
      </c>
      <c r="L977" s="6" t="n">
        <v>0</v>
      </c>
      <c r="M977" s="6" t="n">
        <v>20</v>
      </c>
      <c r="N977" s="11" t="n">
        <f aca="false">J977/(J977+K977)</f>
        <v>0</v>
      </c>
      <c r="O977" s="11" t="str">
        <f aca="false">IF(J977+L977=0,"",J977/(J977+L977))</f>
        <v/>
      </c>
      <c r="P977" s="11" t="n">
        <f aca="false">2*J977/(2*J977+L977+K977)</f>
        <v>0</v>
      </c>
      <c r="Q977" s="11" t="n">
        <f aca="false">L977/(L977+M977)</f>
        <v>0</v>
      </c>
      <c r="R977" s="6" t="n">
        <v>0</v>
      </c>
      <c r="S977" s="11"/>
      <c r="T977" s="11" t="n">
        <v>0</v>
      </c>
      <c r="U977" s="11" t="n">
        <v>0.9</v>
      </c>
      <c r="V977" s="11" t="n">
        <v>0.9</v>
      </c>
    </row>
    <row r="978" customFormat="false" ht="15" hidden="false" customHeight="false" outlineLevel="0" collapsed="false">
      <c r="A978" s="6" t="s">
        <v>60</v>
      </c>
      <c r="B978" s="6" t="s">
        <v>59</v>
      </c>
      <c r="C978" s="6" t="s">
        <v>51</v>
      </c>
      <c r="D978" s="6" t="s">
        <v>119</v>
      </c>
      <c r="E978" s="6" t="n">
        <v>16</v>
      </c>
      <c r="F978" s="6" t="n">
        <v>9</v>
      </c>
      <c r="G978" s="6" t="s">
        <v>76</v>
      </c>
      <c r="H978" s="11" t="n">
        <v>0.05</v>
      </c>
      <c r="I978" s="6" t="n">
        <v>20</v>
      </c>
      <c r="J978" s="6" t="n">
        <v>0</v>
      </c>
      <c r="K978" s="6" t="n">
        <v>20</v>
      </c>
      <c r="L978" s="6" t="n">
        <v>0</v>
      </c>
      <c r="M978" s="6" t="n">
        <v>20</v>
      </c>
      <c r="N978" s="11" t="n">
        <f aca="false">J978/(J978+K978)</f>
        <v>0</v>
      </c>
      <c r="O978" s="11" t="str">
        <f aca="false">IF(J978+L978=0,"",J978/(J978+L978))</f>
        <v/>
      </c>
      <c r="P978" s="11" t="n">
        <f aca="false">2*J978/(2*J978+L978+K978)</f>
        <v>0</v>
      </c>
      <c r="Q978" s="11" t="n">
        <f aca="false">L978/(L978+M978)</f>
        <v>0</v>
      </c>
      <c r="R978" s="6" t="n">
        <v>0</v>
      </c>
      <c r="S978" s="11"/>
      <c r="T978" s="11" t="n">
        <v>0</v>
      </c>
      <c r="U978" s="11" t="n">
        <v>0.95</v>
      </c>
      <c r="V978" s="11" t="n">
        <v>0.95</v>
      </c>
    </row>
    <row r="979" customFormat="false" ht="15" hidden="false" customHeight="false" outlineLevel="0" collapsed="false">
      <c r="A979" s="6" t="s">
        <v>60</v>
      </c>
      <c r="B979" s="6" t="s">
        <v>59</v>
      </c>
      <c r="C979" s="6" t="s">
        <v>51</v>
      </c>
      <c r="D979" s="6" t="s">
        <v>119</v>
      </c>
      <c r="E979" s="6" t="n">
        <v>16</v>
      </c>
      <c r="F979" s="6" t="n">
        <v>9</v>
      </c>
      <c r="G979" s="6" t="s">
        <v>77</v>
      </c>
      <c r="H979" s="11" t="n">
        <v>0.05</v>
      </c>
      <c r="I979" s="6" t="n">
        <v>20</v>
      </c>
      <c r="J979" s="6" t="n">
        <v>1</v>
      </c>
      <c r="K979" s="6" t="n">
        <v>19</v>
      </c>
      <c r="L979" s="6" t="n">
        <v>1</v>
      </c>
      <c r="M979" s="6" t="n">
        <v>19</v>
      </c>
      <c r="N979" s="11" t="n">
        <f aca="false">J979/(J979+K979)</f>
        <v>0.05</v>
      </c>
      <c r="O979" s="11" t="n">
        <f aca="false">IF(J979+L979=0,"",J979/(J979+L979))</f>
        <v>0.5</v>
      </c>
      <c r="P979" s="11" t="n">
        <f aca="false">2*J979/(2*J979+L979+K979)</f>
        <v>0.0909090909090909</v>
      </c>
      <c r="Q979" s="11" t="n">
        <f aca="false">L979/(L979+M979)</f>
        <v>0.05</v>
      </c>
      <c r="R979" s="6" t="n">
        <v>0</v>
      </c>
      <c r="S979" s="11"/>
      <c r="T979" s="11" t="n">
        <v>0.05</v>
      </c>
      <c r="U979" s="11" t="n">
        <v>1</v>
      </c>
      <c r="V979" s="11" t="n">
        <v>1</v>
      </c>
    </row>
    <row r="980" customFormat="false" ht="15" hidden="false" customHeight="false" outlineLevel="0" collapsed="false">
      <c r="A980" s="6" t="s">
        <v>60</v>
      </c>
      <c r="B980" s="6" t="s">
        <v>59</v>
      </c>
      <c r="C980" s="6" t="s">
        <v>51</v>
      </c>
      <c r="D980" s="6" t="s">
        <v>119</v>
      </c>
      <c r="E980" s="6" t="n">
        <v>16</v>
      </c>
      <c r="F980" s="6" t="n">
        <v>9</v>
      </c>
      <c r="G980" s="6" t="s">
        <v>78</v>
      </c>
      <c r="H980" s="11" t="n">
        <v>0.05</v>
      </c>
      <c r="I980" s="6" t="n">
        <v>200</v>
      </c>
      <c r="J980" s="6" t="n">
        <v>5</v>
      </c>
      <c r="K980" s="6" t="n">
        <v>195</v>
      </c>
      <c r="L980" s="6" t="n">
        <v>4</v>
      </c>
      <c r="M980" s="6" t="n">
        <v>196</v>
      </c>
      <c r="N980" s="11" t="n">
        <f aca="false">J980/(J980+K980)</f>
        <v>0.025</v>
      </c>
      <c r="O980" s="11" t="n">
        <f aca="false">IF(J980+L980=0,"",J980/(J980+L980))</f>
        <v>0.555555555555556</v>
      </c>
      <c r="P980" s="11" t="n">
        <f aca="false">2*J980/(2*J980+L980+K980)</f>
        <v>0.0478468899521531</v>
      </c>
      <c r="Q980" s="11" t="n">
        <f aca="false">L980/(L980+M980)</f>
        <v>0.02</v>
      </c>
      <c r="R980" s="6" t="n">
        <v>2</v>
      </c>
      <c r="S980" s="11" t="n">
        <v>0</v>
      </c>
      <c r="T980" s="11" t="n">
        <v>0.0252525252525253</v>
      </c>
      <c r="U980" s="11" t="n">
        <v>0.88</v>
      </c>
      <c r="V980" s="11" t="n">
        <v>0.885</v>
      </c>
    </row>
    <row r="981" customFormat="false" ht="15" hidden="false" customHeight="false" outlineLevel="0" collapsed="false">
      <c r="A981" s="6" t="s">
        <v>60</v>
      </c>
      <c r="B981" s="6" t="s">
        <v>59</v>
      </c>
      <c r="C981" s="6" t="s">
        <v>51</v>
      </c>
      <c r="D981" s="6" t="s">
        <v>119</v>
      </c>
      <c r="E981" s="6" t="n">
        <v>16</v>
      </c>
      <c r="F981" s="6" t="n">
        <v>10</v>
      </c>
      <c r="G981" s="6" t="s">
        <v>68</v>
      </c>
      <c r="H981" s="11" t="n">
        <v>0.05</v>
      </c>
      <c r="I981" s="6" t="n">
        <v>20</v>
      </c>
      <c r="J981" s="6" t="n">
        <v>1</v>
      </c>
      <c r="K981" s="6" t="n">
        <v>19</v>
      </c>
      <c r="L981" s="6" t="n">
        <v>1</v>
      </c>
      <c r="M981" s="6" t="n">
        <v>19</v>
      </c>
      <c r="N981" s="11" t="n">
        <f aca="false">J981/(J981+K981)</f>
        <v>0.05</v>
      </c>
      <c r="O981" s="11" t="n">
        <f aca="false">IF(J981+L981=0,"",J981/(J981+L981))</f>
        <v>0.5</v>
      </c>
      <c r="P981" s="11" t="n">
        <f aca="false">2*J981/(2*J981+L981+K981)</f>
        <v>0.0909090909090909</v>
      </c>
      <c r="Q981" s="11" t="n">
        <f aca="false">L981/(L981+M981)</f>
        <v>0.05</v>
      </c>
      <c r="R981" s="6" t="n">
        <v>0</v>
      </c>
      <c r="S981" s="11"/>
      <c r="T981" s="11" t="n">
        <v>0.05</v>
      </c>
      <c r="U981" s="11" t="n">
        <v>0.85</v>
      </c>
      <c r="V981" s="11" t="n">
        <v>0.85</v>
      </c>
    </row>
    <row r="982" customFormat="false" ht="15" hidden="false" customHeight="false" outlineLevel="0" collapsed="false">
      <c r="A982" s="6" t="s">
        <v>60</v>
      </c>
      <c r="B982" s="6" t="s">
        <v>59</v>
      </c>
      <c r="C982" s="6" t="s">
        <v>51</v>
      </c>
      <c r="D982" s="6" t="s">
        <v>119</v>
      </c>
      <c r="E982" s="6" t="n">
        <v>16</v>
      </c>
      <c r="F982" s="6" t="n">
        <v>10</v>
      </c>
      <c r="G982" s="6" t="s">
        <v>69</v>
      </c>
      <c r="H982" s="11" t="n">
        <v>0.05</v>
      </c>
      <c r="I982" s="6" t="n">
        <v>20</v>
      </c>
      <c r="J982" s="6" t="n">
        <v>1</v>
      </c>
      <c r="K982" s="6" t="n">
        <v>19</v>
      </c>
      <c r="L982" s="6" t="n">
        <v>1</v>
      </c>
      <c r="M982" s="6" t="n">
        <v>19</v>
      </c>
      <c r="N982" s="11" t="n">
        <f aca="false">J982/(J982+K982)</f>
        <v>0.05</v>
      </c>
      <c r="O982" s="11" t="n">
        <f aca="false">IF(J982+L982=0,"",J982/(J982+L982))</f>
        <v>0.5</v>
      </c>
      <c r="P982" s="11" t="n">
        <f aca="false">2*J982/(2*J982+L982+K982)</f>
        <v>0.0909090909090909</v>
      </c>
      <c r="Q982" s="11" t="n">
        <f aca="false">L982/(L982+M982)</f>
        <v>0.05</v>
      </c>
      <c r="R982" s="6" t="n">
        <v>0</v>
      </c>
      <c r="S982" s="11"/>
      <c r="T982" s="11" t="n">
        <v>0.05</v>
      </c>
      <c r="U982" s="11" t="n">
        <v>1</v>
      </c>
      <c r="V982" s="11" t="n">
        <v>1</v>
      </c>
    </row>
    <row r="983" customFormat="false" ht="15" hidden="false" customHeight="false" outlineLevel="0" collapsed="false">
      <c r="A983" s="6" t="s">
        <v>60</v>
      </c>
      <c r="B983" s="6" t="s">
        <v>59</v>
      </c>
      <c r="C983" s="6" t="s">
        <v>51</v>
      </c>
      <c r="D983" s="6" t="s">
        <v>119</v>
      </c>
      <c r="E983" s="6" t="n">
        <v>16</v>
      </c>
      <c r="F983" s="6" t="n">
        <v>10</v>
      </c>
      <c r="G983" s="6" t="s">
        <v>70</v>
      </c>
      <c r="H983" s="11" t="n">
        <v>0.05</v>
      </c>
      <c r="I983" s="6" t="n">
        <v>20</v>
      </c>
      <c r="J983" s="6" t="n">
        <v>0</v>
      </c>
      <c r="K983" s="6" t="n">
        <v>20</v>
      </c>
      <c r="L983" s="6" t="n">
        <v>0</v>
      </c>
      <c r="M983" s="6" t="n">
        <v>20</v>
      </c>
      <c r="N983" s="11" t="n">
        <f aca="false">J983/(J983+K983)</f>
        <v>0</v>
      </c>
      <c r="O983" s="11" t="str">
        <f aca="false">IF(J983+L983=0,"",J983/(J983+L983))</f>
        <v/>
      </c>
      <c r="P983" s="11" t="n">
        <f aca="false">2*J983/(2*J983+L983+K983)</f>
        <v>0</v>
      </c>
      <c r="Q983" s="11" t="n">
        <f aca="false">L983/(L983+M983)</f>
        <v>0</v>
      </c>
      <c r="R983" s="6" t="n">
        <v>0</v>
      </c>
      <c r="S983" s="11"/>
      <c r="T983" s="11" t="n">
        <v>0</v>
      </c>
      <c r="U983" s="11" t="n">
        <v>0.9</v>
      </c>
      <c r="V983" s="11" t="n">
        <v>0.9</v>
      </c>
    </row>
    <row r="984" customFormat="false" ht="15" hidden="false" customHeight="false" outlineLevel="0" collapsed="false">
      <c r="A984" s="6" t="s">
        <v>60</v>
      </c>
      <c r="B984" s="6" t="s">
        <v>59</v>
      </c>
      <c r="C984" s="6" t="s">
        <v>51</v>
      </c>
      <c r="D984" s="6" t="s">
        <v>119</v>
      </c>
      <c r="E984" s="6" t="n">
        <v>16</v>
      </c>
      <c r="F984" s="6" t="n">
        <v>10</v>
      </c>
      <c r="G984" s="6" t="s">
        <v>71</v>
      </c>
      <c r="H984" s="11" t="n">
        <v>0.05</v>
      </c>
      <c r="I984" s="6" t="n">
        <v>20</v>
      </c>
      <c r="J984" s="6" t="n">
        <v>0</v>
      </c>
      <c r="K984" s="6" t="n">
        <v>20</v>
      </c>
      <c r="L984" s="6" t="n">
        <v>0</v>
      </c>
      <c r="M984" s="6" t="n">
        <v>20</v>
      </c>
      <c r="N984" s="11" t="n">
        <f aca="false">J984/(J984+K984)</f>
        <v>0</v>
      </c>
      <c r="O984" s="11" t="str">
        <f aca="false">IF(J984+L984=0,"",J984/(J984+L984))</f>
        <v/>
      </c>
      <c r="P984" s="11" t="n">
        <f aca="false">2*J984/(2*J984+L984+K984)</f>
        <v>0</v>
      </c>
      <c r="Q984" s="11" t="n">
        <f aca="false">L984/(L984+M984)</f>
        <v>0</v>
      </c>
      <c r="R984" s="6" t="n">
        <v>0</v>
      </c>
      <c r="S984" s="11"/>
      <c r="T984" s="11" t="n">
        <v>0</v>
      </c>
      <c r="U984" s="11" t="n">
        <v>0.8</v>
      </c>
      <c r="V984" s="11" t="n">
        <v>0.8</v>
      </c>
    </row>
    <row r="985" customFormat="false" ht="15" hidden="false" customHeight="false" outlineLevel="0" collapsed="false">
      <c r="A985" s="6" t="s">
        <v>60</v>
      </c>
      <c r="B985" s="6" t="s">
        <v>59</v>
      </c>
      <c r="C985" s="6" t="s">
        <v>51</v>
      </c>
      <c r="D985" s="6" t="s">
        <v>119</v>
      </c>
      <c r="E985" s="6" t="n">
        <v>16</v>
      </c>
      <c r="F985" s="6" t="n">
        <v>10</v>
      </c>
      <c r="G985" s="6" t="s">
        <v>72</v>
      </c>
      <c r="H985" s="11" t="n">
        <v>0.05</v>
      </c>
      <c r="I985" s="6" t="n">
        <v>20</v>
      </c>
      <c r="J985" s="6" t="n">
        <v>0</v>
      </c>
      <c r="K985" s="6" t="n">
        <v>20</v>
      </c>
      <c r="L985" s="6" t="n">
        <v>0</v>
      </c>
      <c r="M985" s="6" t="n">
        <v>20</v>
      </c>
      <c r="N985" s="11" t="n">
        <f aca="false">J985/(J985+K985)</f>
        <v>0</v>
      </c>
      <c r="O985" s="11" t="str">
        <f aca="false">IF(J985+L985=0,"",J985/(J985+L985))</f>
        <v/>
      </c>
      <c r="P985" s="11" t="n">
        <f aca="false">2*J985/(2*J985+L985+K985)</f>
        <v>0</v>
      </c>
      <c r="Q985" s="11" t="n">
        <f aca="false">L985/(L985+M985)</f>
        <v>0</v>
      </c>
      <c r="R985" s="6" t="n">
        <v>0</v>
      </c>
      <c r="S985" s="11"/>
      <c r="T985" s="11" t="n">
        <v>0</v>
      </c>
      <c r="U985" s="11" t="n">
        <v>0.9</v>
      </c>
      <c r="V985" s="11" t="n">
        <v>0.9</v>
      </c>
    </row>
    <row r="986" customFormat="false" ht="15" hidden="false" customHeight="false" outlineLevel="0" collapsed="false">
      <c r="A986" s="6" t="s">
        <v>60</v>
      </c>
      <c r="B986" s="6" t="s">
        <v>59</v>
      </c>
      <c r="C986" s="6" t="s">
        <v>51</v>
      </c>
      <c r="D986" s="6" t="s">
        <v>119</v>
      </c>
      <c r="E986" s="6" t="n">
        <v>16</v>
      </c>
      <c r="F986" s="6" t="n">
        <v>10</v>
      </c>
      <c r="G986" s="6" t="s">
        <v>73</v>
      </c>
      <c r="H986" s="11" t="n">
        <v>0.05</v>
      </c>
      <c r="I986" s="6" t="n">
        <v>20</v>
      </c>
      <c r="J986" s="6" t="n">
        <v>0</v>
      </c>
      <c r="K986" s="6" t="n">
        <v>20</v>
      </c>
      <c r="L986" s="6" t="n">
        <v>0</v>
      </c>
      <c r="M986" s="6" t="n">
        <v>20</v>
      </c>
      <c r="N986" s="11" t="n">
        <f aca="false">J986/(J986+K986)</f>
        <v>0</v>
      </c>
      <c r="O986" s="11" t="str">
        <f aca="false">IF(J986+L986=0,"",J986/(J986+L986))</f>
        <v/>
      </c>
      <c r="P986" s="11" t="n">
        <f aca="false">2*J986/(2*J986+L986+K986)</f>
        <v>0</v>
      </c>
      <c r="Q986" s="11" t="n">
        <f aca="false">L986/(L986+M986)</f>
        <v>0</v>
      </c>
      <c r="R986" s="6" t="n">
        <v>1</v>
      </c>
      <c r="S986" s="11" t="n">
        <v>0</v>
      </c>
      <c r="T986" s="11" t="n">
        <v>0</v>
      </c>
      <c r="U986" s="11" t="n">
        <v>0.65</v>
      </c>
      <c r="V986" s="11" t="n">
        <v>0.65</v>
      </c>
    </row>
    <row r="987" customFormat="false" ht="15" hidden="false" customHeight="false" outlineLevel="0" collapsed="false">
      <c r="A987" s="6" t="s">
        <v>60</v>
      </c>
      <c r="B987" s="6" t="s">
        <v>59</v>
      </c>
      <c r="C987" s="6" t="s">
        <v>51</v>
      </c>
      <c r="D987" s="6" t="s">
        <v>119</v>
      </c>
      <c r="E987" s="6" t="n">
        <v>16</v>
      </c>
      <c r="F987" s="6" t="n">
        <v>10</v>
      </c>
      <c r="G987" s="6" t="s">
        <v>74</v>
      </c>
      <c r="H987" s="11" t="n">
        <v>0.05</v>
      </c>
      <c r="I987" s="6" t="n">
        <v>20</v>
      </c>
      <c r="J987" s="6" t="n">
        <v>1</v>
      </c>
      <c r="K987" s="6" t="n">
        <v>19</v>
      </c>
      <c r="L987" s="6" t="n">
        <v>1</v>
      </c>
      <c r="M987" s="6" t="n">
        <v>19</v>
      </c>
      <c r="N987" s="11" t="n">
        <f aca="false">J987/(J987+K987)</f>
        <v>0.05</v>
      </c>
      <c r="O987" s="11" t="n">
        <f aca="false">IF(J987+L987=0,"",J987/(J987+L987))</f>
        <v>0.5</v>
      </c>
      <c r="P987" s="11" t="n">
        <f aca="false">2*J987/(2*J987+L987+K987)</f>
        <v>0.0909090909090909</v>
      </c>
      <c r="Q987" s="11" t="n">
        <f aca="false">L987/(L987+M987)</f>
        <v>0.05</v>
      </c>
      <c r="R987" s="6" t="n">
        <v>2</v>
      </c>
      <c r="S987" s="11" t="n">
        <v>0</v>
      </c>
      <c r="T987" s="11" t="n">
        <v>0.0555555555555556</v>
      </c>
      <c r="U987" s="11" t="n">
        <v>0.85</v>
      </c>
      <c r="V987" s="11" t="n">
        <v>0.9</v>
      </c>
    </row>
    <row r="988" customFormat="false" ht="15" hidden="false" customHeight="false" outlineLevel="0" collapsed="false">
      <c r="A988" s="6" t="s">
        <v>60</v>
      </c>
      <c r="B988" s="6" t="s">
        <v>59</v>
      </c>
      <c r="C988" s="6" t="s">
        <v>51</v>
      </c>
      <c r="D988" s="6" t="s">
        <v>119</v>
      </c>
      <c r="E988" s="6" t="n">
        <v>16</v>
      </c>
      <c r="F988" s="6" t="n">
        <v>10</v>
      </c>
      <c r="G988" s="6" t="s">
        <v>75</v>
      </c>
      <c r="H988" s="11" t="n">
        <v>0.05</v>
      </c>
      <c r="I988" s="6" t="n">
        <v>20</v>
      </c>
      <c r="J988" s="6" t="n">
        <v>0</v>
      </c>
      <c r="K988" s="6" t="n">
        <v>20</v>
      </c>
      <c r="L988" s="6" t="n">
        <v>0</v>
      </c>
      <c r="M988" s="6" t="n">
        <v>20</v>
      </c>
      <c r="N988" s="11" t="n">
        <f aca="false">J988/(J988+K988)</f>
        <v>0</v>
      </c>
      <c r="O988" s="11" t="str">
        <f aca="false">IF(J988+L988=0,"",J988/(J988+L988))</f>
        <v/>
      </c>
      <c r="P988" s="11" t="n">
        <f aca="false">2*J988/(2*J988+L988+K988)</f>
        <v>0</v>
      </c>
      <c r="Q988" s="11" t="n">
        <f aca="false">L988/(L988+M988)</f>
        <v>0</v>
      </c>
      <c r="R988" s="6" t="n">
        <v>0</v>
      </c>
      <c r="S988" s="11"/>
      <c r="T988" s="11" t="n">
        <v>0</v>
      </c>
      <c r="U988" s="11" t="n">
        <v>0.9</v>
      </c>
      <c r="V988" s="11" t="n">
        <v>0.9</v>
      </c>
    </row>
    <row r="989" customFormat="false" ht="15" hidden="false" customHeight="false" outlineLevel="0" collapsed="false">
      <c r="A989" s="6" t="s">
        <v>60</v>
      </c>
      <c r="B989" s="6" t="s">
        <v>59</v>
      </c>
      <c r="C989" s="6" t="s">
        <v>51</v>
      </c>
      <c r="D989" s="6" t="s">
        <v>119</v>
      </c>
      <c r="E989" s="6" t="n">
        <v>16</v>
      </c>
      <c r="F989" s="6" t="n">
        <v>10</v>
      </c>
      <c r="G989" s="6" t="s">
        <v>76</v>
      </c>
      <c r="H989" s="11" t="n">
        <v>0.05</v>
      </c>
      <c r="I989" s="6" t="n">
        <v>20</v>
      </c>
      <c r="J989" s="6" t="n">
        <v>0</v>
      </c>
      <c r="K989" s="6" t="n">
        <v>20</v>
      </c>
      <c r="L989" s="6" t="n">
        <v>0</v>
      </c>
      <c r="M989" s="6" t="n">
        <v>20</v>
      </c>
      <c r="N989" s="11" t="n">
        <f aca="false">J989/(J989+K989)</f>
        <v>0</v>
      </c>
      <c r="O989" s="11" t="str">
        <f aca="false">IF(J989+L989=0,"",J989/(J989+L989))</f>
        <v/>
      </c>
      <c r="P989" s="11" t="n">
        <f aca="false">2*J989/(2*J989+L989+K989)</f>
        <v>0</v>
      </c>
      <c r="Q989" s="11" t="n">
        <f aca="false">L989/(L989+M989)</f>
        <v>0</v>
      </c>
      <c r="R989" s="6" t="n">
        <v>0</v>
      </c>
      <c r="S989" s="11"/>
      <c r="T989" s="11" t="n">
        <v>0</v>
      </c>
      <c r="U989" s="11" t="n">
        <v>0.95</v>
      </c>
      <c r="V989" s="11" t="n">
        <v>0.95</v>
      </c>
    </row>
    <row r="990" customFormat="false" ht="15" hidden="false" customHeight="false" outlineLevel="0" collapsed="false">
      <c r="A990" s="6" t="s">
        <v>60</v>
      </c>
      <c r="B990" s="6" t="s">
        <v>59</v>
      </c>
      <c r="C990" s="6" t="s">
        <v>51</v>
      </c>
      <c r="D990" s="6" t="s">
        <v>119</v>
      </c>
      <c r="E990" s="6" t="n">
        <v>16</v>
      </c>
      <c r="F990" s="6" t="n">
        <v>10</v>
      </c>
      <c r="G990" s="6" t="s">
        <v>77</v>
      </c>
      <c r="H990" s="11" t="n">
        <v>0.05</v>
      </c>
      <c r="I990" s="6" t="n">
        <v>20</v>
      </c>
      <c r="J990" s="6" t="n">
        <v>2</v>
      </c>
      <c r="K990" s="6" t="n">
        <v>18</v>
      </c>
      <c r="L990" s="6" t="n">
        <v>1</v>
      </c>
      <c r="M990" s="6" t="n">
        <v>19</v>
      </c>
      <c r="N990" s="11" t="n">
        <f aca="false">J990/(J990+K990)</f>
        <v>0.1</v>
      </c>
      <c r="O990" s="11" t="n">
        <f aca="false">IF(J990+L990=0,"",J990/(J990+L990))</f>
        <v>0.666666666666667</v>
      </c>
      <c r="P990" s="11" t="n">
        <f aca="false">2*J990/(2*J990+L990+K990)</f>
        <v>0.173913043478261</v>
      </c>
      <c r="Q990" s="11" t="n">
        <f aca="false">L990/(L990+M990)</f>
        <v>0.05</v>
      </c>
      <c r="R990" s="6" t="n">
        <v>0</v>
      </c>
      <c r="S990" s="11"/>
      <c r="T990" s="11" t="n">
        <v>0.1</v>
      </c>
      <c r="U990" s="11" t="n">
        <v>1</v>
      </c>
      <c r="V990" s="11" t="n">
        <v>1</v>
      </c>
    </row>
    <row r="991" customFormat="false" ht="15" hidden="false" customHeight="false" outlineLevel="0" collapsed="false">
      <c r="A991" s="6" t="s">
        <v>60</v>
      </c>
      <c r="B991" s="6" t="s">
        <v>59</v>
      </c>
      <c r="C991" s="6" t="s">
        <v>51</v>
      </c>
      <c r="D991" s="6" t="s">
        <v>119</v>
      </c>
      <c r="E991" s="6" t="n">
        <v>16</v>
      </c>
      <c r="F991" s="6" t="n">
        <v>10</v>
      </c>
      <c r="G991" s="6" t="s">
        <v>78</v>
      </c>
      <c r="H991" s="11" t="n">
        <v>0.05</v>
      </c>
      <c r="I991" s="6" t="n">
        <v>200</v>
      </c>
      <c r="J991" s="6" t="n">
        <v>5</v>
      </c>
      <c r="K991" s="6" t="n">
        <v>195</v>
      </c>
      <c r="L991" s="6" t="n">
        <v>4</v>
      </c>
      <c r="M991" s="6" t="n">
        <v>196</v>
      </c>
      <c r="N991" s="11" t="n">
        <f aca="false">J991/(J991+K991)</f>
        <v>0.025</v>
      </c>
      <c r="O991" s="11" t="n">
        <f aca="false">IF(J991+L991=0,"",J991/(J991+L991))</f>
        <v>0.555555555555556</v>
      </c>
      <c r="P991" s="11" t="n">
        <f aca="false">2*J991/(2*J991+L991+K991)</f>
        <v>0.0478468899521531</v>
      </c>
      <c r="Q991" s="11" t="n">
        <f aca="false">L991/(L991+M991)</f>
        <v>0.02</v>
      </c>
      <c r="R991" s="6" t="n">
        <v>3</v>
      </c>
      <c r="S991" s="11" t="n">
        <v>0</v>
      </c>
      <c r="T991" s="11" t="n">
        <v>0.0253807106598985</v>
      </c>
      <c r="U991" s="11" t="n">
        <v>0.88</v>
      </c>
      <c r="V991" s="11" t="n">
        <v>0.885</v>
      </c>
    </row>
    <row r="992" customFormat="false" ht="15" hidden="false" customHeight="false" outlineLevel="0" collapsed="false">
      <c r="A992" s="6" t="s">
        <v>62</v>
      </c>
      <c r="B992" s="6" t="s">
        <v>63</v>
      </c>
      <c r="C992" s="6" t="s">
        <v>44</v>
      </c>
      <c r="D992" s="6" t="s">
        <v>114</v>
      </c>
      <c r="E992" s="6" t="n">
        <v>16</v>
      </c>
      <c r="F992" s="6" t="n">
        <v>1</v>
      </c>
      <c r="G992" s="6" t="s">
        <v>68</v>
      </c>
      <c r="H992" s="11" t="n">
        <v>0.05</v>
      </c>
      <c r="I992" s="6" t="n">
        <v>20</v>
      </c>
      <c r="J992" s="6" t="n">
        <v>1</v>
      </c>
      <c r="K992" s="6" t="n">
        <v>19</v>
      </c>
      <c r="L992" s="6" t="n">
        <v>2</v>
      </c>
      <c r="M992" s="6" t="n">
        <v>18</v>
      </c>
      <c r="N992" s="11" t="n">
        <f aca="false">J992/(J992+K992)</f>
        <v>0.05</v>
      </c>
      <c r="O992" s="11" t="n">
        <f aca="false">IF(J992+L992=0,"",J992/(J992+L992))</f>
        <v>0.333333333333333</v>
      </c>
      <c r="P992" s="11" t="n">
        <f aca="false">2*J992/(2*J992+L992+K992)</f>
        <v>0.0869565217391304</v>
      </c>
      <c r="Q992" s="11" t="n">
        <f aca="false">L992/(L992+M992)</f>
        <v>0.1</v>
      </c>
      <c r="R992" s="6" t="n">
        <v>1</v>
      </c>
      <c r="S992" s="11" t="n">
        <v>0</v>
      </c>
      <c r="T992" s="11" t="n">
        <v>0.0526315789473684</v>
      </c>
      <c r="U992" s="11" t="n">
        <v>0.85</v>
      </c>
      <c r="V992" s="11" t="n">
        <v>0.9</v>
      </c>
    </row>
    <row r="993" customFormat="false" ht="15" hidden="false" customHeight="false" outlineLevel="0" collapsed="false">
      <c r="A993" s="6" t="s">
        <v>62</v>
      </c>
      <c r="B993" s="6" t="s">
        <v>63</v>
      </c>
      <c r="C993" s="6" t="s">
        <v>44</v>
      </c>
      <c r="D993" s="6" t="s">
        <v>114</v>
      </c>
      <c r="E993" s="6" t="n">
        <v>16</v>
      </c>
      <c r="F993" s="6" t="n">
        <v>1</v>
      </c>
      <c r="G993" s="6" t="s">
        <v>69</v>
      </c>
      <c r="H993" s="11" t="n">
        <v>0.05</v>
      </c>
      <c r="I993" s="6" t="n">
        <v>20</v>
      </c>
      <c r="J993" s="6" t="n">
        <v>1</v>
      </c>
      <c r="K993" s="6" t="n">
        <v>19</v>
      </c>
      <c r="L993" s="6" t="n">
        <v>1</v>
      </c>
      <c r="M993" s="6" t="n">
        <v>19</v>
      </c>
      <c r="N993" s="11" t="n">
        <f aca="false">J993/(J993+K993)</f>
        <v>0.05</v>
      </c>
      <c r="O993" s="11" t="n">
        <f aca="false">IF(J993+L993=0,"",J993/(J993+L993))</f>
        <v>0.5</v>
      </c>
      <c r="P993" s="11" t="n">
        <f aca="false">2*J993/(2*J993+L993+K993)</f>
        <v>0.0909090909090909</v>
      </c>
      <c r="Q993" s="11" t="n">
        <f aca="false">L993/(L993+M993)</f>
        <v>0.05</v>
      </c>
      <c r="R993" s="6" t="n">
        <v>0</v>
      </c>
      <c r="S993" s="11"/>
      <c r="T993" s="11" t="n">
        <v>0.05</v>
      </c>
      <c r="U993" s="11" t="n">
        <v>1</v>
      </c>
      <c r="V993" s="11" t="n">
        <v>1</v>
      </c>
    </row>
    <row r="994" customFormat="false" ht="15" hidden="false" customHeight="false" outlineLevel="0" collapsed="false">
      <c r="A994" s="6" t="s">
        <v>62</v>
      </c>
      <c r="B994" s="6" t="s">
        <v>63</v>
      </c>
      <c r="C994" s="6" t="s">
        <v>44</v>
      </c>
      <c r="D994" s="6" t="s">
        <v>114</v>
      </c>
      <c r="E994" s="6" t="n">
        <v>16</v>
      </c>
      <c r="F994" s="6" t="n">
        <v>1</v>
      </c>
      <c r="G994" s="6" t="s">
        <v>70</v>
      </c>
      <c r="H994" s="11" t="n">
        <v>0.05</v>
      </c>
      <c r="I994" s="6" t="n">
        <v>20</v>
      </c>
      <c r="J994" s="6" t="n">
        <v>0</v>
      </c>
      <c r="K994" s="6" t="n">
        <v>20</v>
      </c>
      <c r="L994" s="6" t="n">
        <v>0</v>
      </c>
      <c r="M994" s="6" t="n">
        <v>20</v>
      </c>
      <c r="N994" s="11" t="n">
        <f aca="false">J994/(J994+K994)</f>
        <v>0</v>
      </c>
      <c r="O994" s="11" t="str">
        <f aca="false">IF(J994+L994=0,"",J994/(J994+L994))</f>
        <v/>
      </c>
      <c r="P994" s="11" t="n">
        <f aca="false">2*J994/(2*J994+L994+K994)</f>
        <v>0</v>
      </c>
      <c r="Q994" s="11" t="n">
        <f aca="false">L994/(L994+M994)</f>
        <v>0</v>
      </c>
      <c r="R994" s="6" t="n">
        <v>1</v>
      </c>
      <c r="S994" s="11" t="n">
        <v>0</v>
      </c>
      <c r="T994" s="11" t="n">
        <v>0</v>
      </c>
      <c r="U994" s="11" t="n">
        <v>0.9</v>
      </c>
      <c r="V994" s="11" t="n">
        <v>0.95</v>
      </c>
    </row>
    <row r="995" customFormat="false" ht="15" hidden="false" customHeight="false" outlineLevel="0" collapsed="false">
      <c r="A995" s="6" t="s">
        <v>62</v>
      </c>
      <c r="B995" s="6" t="s">
        <v>63</v>
      </c>
      <c r="C995" s="6" t="s">
        <v>44</v>
      </c>
      <c r="D995" s="6" t="s">
        <v>114</v>
      </c>
      <c r="E995" s="6" t="n">
        <v>16</v>
      </c>
      <c r="F995" s="6" t="n">
        <v>1</v>
      </c>
      <c r="G995" s="6" t="s">
        <v>71</v>
      </c>
      <c r="H995" s="11" t="n">
        <v>0.05</v>
      </c>
      <c r="I995" s="6" t="n">
        <v>20</v>
      </c>
      <c r="J995" s="6" t="n">
        <v>0</v>
      </c>
      <c r="K995" s="6" t="n">
        <v>20</v>
      </c>
      <c r="L995" s="6" t="n">
        <v>0</v>
      </c>
      <c r="M995" s="6" t="n">
        <v>20</v>
      </c>
      <c r="N995" s="11" t="n">
        <f aca="false">J995/(J995+K995)</f>
        <v>0</v>
      </c>
      <c r="O995" s="11" t="str">
        <f aca="false">IF(J995+L995=0,"",J995/(J995+L995))</f>
        <v/>
      </c>
      <c r="P995" s="11" t="n">
        <f aca="false">2*J995/(2*J995+L995+K995)</f>
        <v>0</v>
      </c>
      <c r="Q995" s="11" t="n">
        <f aca="false">L995/(L995+M995)</f>
        <v>0</v>
      </c>
      <c r="R995" s="6" t="n">
        <v>1</v>
      </c>
      <c r="S995" s="11" t="n">
        <v>0</v>
      </c>
      <c r="T995" s="11" t="n">
        <v>0</v>
      </c>
      <c r="U995" s="11" t="n">
        <v>0.8</v>
      </c>
      <c r="V995" s="11" t="n">
        <v>0.85</v>
      </c>
    </row>
    <row r="996" customFormat="false" ht="15" hidden="false" customHeight="false" outlineLevel="0" collapsed="false">
      <c r="A996" s="6" t="s">
        <v>62</v>
      </c>
      <c r="B996" s="6" t="s">
        <v>63</v>
      </c>
      <c r="C996" s="6" t="s">
        <v>44</v>
      </c>
      <c r="D996" s="6" t="s">
        <v>114</v>
      </c>
      <c r="E996" s="6" t="n">
        <v>16</v>
      </c>
      <c r="F996" s="6" t="n">
        <v>1</v>
      </c>
      <c r="G996" s="6" t="s">
        <v>72</v>
      </c>
      <c r="H996" s="11" t="n">
        <v>0.05</v>
      </c>
      <c r="I996" s="6" t="n">
        <v>20</v>
      </c>
      <c r="J996" s="6" t="n">
        <v>0</v>
      </c>
      <c r="K996" s="6" t="n">
        <v>20</v>
      </c>
      <c r="L996" s="6" t="n">
        <v>1</v>
      </c>
      <c r="M996" s="6" t="n">
        <v>19</v>
      </c>
      <c r="N996" s="11" t="n">
        <f aca="false">J996/(J996+K996)</f>
        <v>0</v>
      </c>
      <c r="O996" s="11" t="n">
        <f aca="false">IF(J996+L996=0,"",J996/(J996+L996))</f>
        <v>0</v>
      </c>
      <c r="P996" s="11" t="n">
        <f aca="false">2*J996/(2*J996+L996+K996)</f>
        <v>0</v>
      </c>
      <c r="Q996" s="11" t="n">
        <f aca="false">L996/(L996+M996)</f>
        <v>0.05</v>
      </c>
      <c r="R996" s="6" t="n">
        <v>1</v>
      </c>
      <c r="S996" s="11" t="n">
        <v>0</v>
      </c>
      <c r="T996" s="11" t="n">
        <v>0</v>
      </c>
      <c r="U996" s="11" t="n">
        <v>0.9</v>
      </c>
      <c r="V996" s="11" t="n">
        <v>0.85</v>
      </c>
    </row>
    <row r="997" customFormat="false" ht="15" hidden="false" customHeight="false" outlineLevel="0" collapsed="false">
      <c r="A997" s="6" t="s">
        <v>62</v>
      </c>
      <c r="B997" s="6" t="s">
        <v>63</v>
      </c>
      <c r="C997" s="6" t="s">
        <v>44</v>
      </c>
      <c r="D997" s="6" t="s">
        <v>114</v>
      </c>
      <c r="E997" s="6" t="n">
        <v>16</v>
      </c>
      <c r="F997" s="6" t="n">
        <v>1</v>
      </c>
      <c r="G997" s="6" t="s">
        <v>73</v>
      </c>
      <c r="H997" s="11" t="n">
        <v>0.05</v>
      </c>
      <c r="I997" s="6" t="n">
        <v>20</v>
      </c>
      <c r="J997" s="6" t="n">
        <v>1</v>
      </c>
      <c r="K997" s="6" t="n">
        <v>19</v>
      </c>
      <c r="L997" s="6" t="n">
        <v>0</v>
      </c>
      <c r="M997" s="6" t="n">
        <v>20</v>
      </c>
      <c r="N997" s="11" t="n">
        <f aca="false">J997/(J997+K997)</f>
        <v>0.05</v>
      </c>
      <c r="O997" s="11" t="n">
        <f aca="false">IF(J997+L997=0,"",J997/(J997+L997))</f>
        <v>1</v>
      </c>
      <c r="P997" s="11" t="n">
        <f aca="false">2*J997/(2*J997+L997+K997)</f>
        <v>0.0952380952380952</v>
      </c>
      <c r="Q997" s="11" t="n">
        <f aca="false">L997/(L997+M997)</f>
        <v>0</v>
      </c>
      <c r="R997" s="6" t="n">
        <v>1</v>
      </c>
      <c r="S997" s="11" t="n">
        <v>0</v>
      </c>
      <c r="T997" s="11" t="n">
        <v>0.0526315789473684</v>
      </c>
      <c r="U997" s="11" t="n">
        <v>0.65</v>
      </c>
      <c r="V997" s="11" t="n">
        <v>0.6</v>
      </c>
    </row>
    <row r="998" customFormat="false" ht="15" hidden="false" customHeight="false" outlineLevel="0" collapsed="false">
      <c r="A998" s="6" t="s">
        <v>62</v>
      </c>
      <c r="B998" s="6" t="s">
        <v>63</v>
      </c>
      <c r="C998" s="6" t="s">
        <v>44</v>
      </c>
      <c r="D998" s="6" t="s">
        <v>114</v>
      </c>
      <c r="E998" s="6" t="n">
        <v>16</v>
      </c>
      <c r="F998" s="6" t="n">
        <v>1</v>
      </c>
      <c r="G998" s="6" t="s">
        <v>74</v>
      </c>
      <c r="H998" s="11" t="n">
        <v>0.05</v>
      </c>
      <c r="I998" s="6" t="n">
        <v>20</v>
      </c>
      <c r="J998" s="6" t="n">
        <v>1</v>
      </c>
      <c r="K998" s="6" t="n">
        <v>19</v>
      </c>
      <c r="L998" s="6" t="n">
        <v>1</v>
      </c>
      <c r="M998" s="6" t="n">
        <v>19</v>
      </c>
      <c r="N998" s="11" t="n">
        <f aca="false">J998/(J998+K998)</f>
        <v>0.05</v>
      </c>
      <c r="O998" s="11" t="n">
        <f aca="false">IF(J998+L998=0,"",J998/(J998+L998))</f>
        <v>0.5</v>
      </c>
      <c r="P998" s="11" t="n">
        <f aca="false">2*J998/(2*J998+L998+K998)</f>
        <v>0.0909090909090909</v>
      </c>
      <c r="Q998" s="11" t="n">
        <f aca="false">L998/(L998+M998)</f>
        <v>0.05</v>
      </c>
      <c r="R998" s="6" t="n">
        <v>2</v>
      </c>
      <c r="S998" s="11" t="n">
        <v>0</v>
      </c>
      <c r="T998" s="11" t="n">
        <v>0.0555555555555556</v>
      </c>
      <c r="U998" s="11" t="n">
        <v>0.85</v>
      </c>
      <c r="V998" s="11" t="n">
        <v>0.8</v>
      </c>
    </row>
    <row r="999" customFormat="false" ht="15" hidden="false" customHeight="false" outlineLevel="0" collapsed="false">
      <c r="A999" s="6" t="s">
        <v>62</v>
      </c>
      <c r="B999" s="6" t="s">
        <v>63</v>
      </c>
      <c r="C999" s="6" t="s">
        <v>44</v>
      </c>
      <c r="D999" s="6" t="s">
        <v>114</v>
      </c>
      <c r="E999" s="6" t="n">
        <v>16</v>
      </c>
      <c r="F999" s="6" t="n">
        <v>1</v>
      </c>
      <c r="G999" s="6" t="s">
        <v>75</v>
      </c>
      <c r="H999" s="11" t="n">
        <v>0.05</v>
      </c>
      <c r="I999" s="6" t="n">
        <v>20</v>
      </c>
      <c r="J999" s="6" t="n">
        <v>0</v>
      </c>
      <c r="K999" s="6" t="n">
        <v>20</v>
      </c>
      <c r="L999" s="6" t="n">
        <v>0</v>
      </c>
      <c r="M999" s="6" t="n">
        <v>20</v>
      </c>
      <c r="N999" s="11" t="n">
        <f aca="false">J999/(J999+K999)</f>
        <v>0</v>
      </c>
      <c r="O999" s="11" t="str">
        <f aca="false">IF(J999+L999=0,"",J999/(J999+L999))</f>
        <v/>
      </c>
      <c r="P999" s="11" t="n">
        <f aca="false">2*J999/(2*J999+L999+K999)</f>
        <v>0</v>
      </c>
      <c r="Q999" s="11" t="n">
        <f aca="false">L999/(L999+M999)</f>
        <v>0</v>
      </c>
      <c r="R999" s="6" t="n">
        <v>1</v>
      </c>
      <c r="S999" s="11" t="n">
        <v>0</v>
      </c>
      <c r="T999" s="11" t="n">
        <v>0</v>
      </c>
      <c r="U999" s="11" t="n">
        <v>0.9</v>
      </c>
      <c r="V999" s="11" t="n">
        <v>0.85</v>
      </c>
    </row>
    <row r="1000" customFormat="false" ht="15" hidden="false" customHeight="false" outlineLevel="0" collapsed="false">
      <c r="A1000" s="6" t="s">
        <v>62</v>
      </c>
      <c r="B1000" s="6" t="s">
        <v>63</v>
      </c>
      <c r="C1000" s="6" t="s">
        <v>44</v>
      </c>
      <c r="D1000" s="6" t="s">
        <v>114</v>
      </c>
      <c r="E1000" s="6" t="n">
        <v>16</v>
      </c>
      <c r="F1000" s="6" t="n">
        <v>1</v>
      </c>
      <c r="G1000" s="6" t="s">
        <v>76</v>
      </c>
      <c r="H1000" s="11" t="n">
        <v>0.05</v>
      </c>
      <c r="I1000" s="6" t="n">
        <v>20</v>
      </c>
      <c r="J1000" s="6" t="n">
        <v>0</v>
      </c>
      <c r="K1000" s="6" t="n">
        <v>20</v>
      </c>
      <c r="L1000" s="6" t="n">
        <v>0</v>
      </c>
      <c r="M1000" s="6" t="n">
        <v>20</v>
      </c>
      <c r="N1000" s="11" t="n">
        <f aca="false">J1000/(J1000+K1000)</f>
        <v>0</v>
      </c>
      <c r="O1000" s="11" t="str">
        <f aca="false">IF(J1000+L1000=0,"",J1000/(J1000+L1000))</f>
        <v/>
      </c>
      <c r="P1000" s="11" t="n">
        <f aca="false">2*J1000/(2*J1000+L1000+K1000)</f>
        <v>0</v>
      </c>
      <c r="Q1000" s="11" t="n">
        <f aca="false">L1000/(L1000+M1000)</f>
        <v>0</v>
      </c>
      <c r="R1000" s="6" t="n">
        <v>0</v>
      </c>
      <c r="S1000" s="11"/>
      <c r="T1000" s="11" t="n">
        <v>0</v>
      </c>
      <c r="U1000" s="11" t="n">
        <v>0.95</v>
      </c>
      <c r="V1000" s="11" t="n">
        <v>0.95</v>
      </c>
    </row>
    <row r="1001" customFormat="false" ht="15" hidden="false" customHeight="false" outlineLevel="0" collapsed="false">
      <c r="A1001" s="6" t="s">
        <v>62</v>
      </c>
      <c r="B1001" s="6" t="s">
        <v>63</v>
      </c>
      <c r="C1001" s="6" t="s">
        <v>44</v>
      </c>
      <c r="D1001" s="6" t="s">
        <v>114</v>
      </c>
      <c r="E1001" s="6" t="n">
        <v>16</v>
      </c>
      <c r="F1001" s="6" t="n">
        <v>1</v>
      </c>
      <c r="G1001" s="6" t="s">
        <v>77</v>
      </c>
      <c r="H1001" s="11" t="n">
        <v>0.05</v>
      </c>
      <c r="I1001" s="6" t="n">
        <v>20</v>
      </c>
      <c r="J1001" s="6" t="n">
        <v>1</v>
      </c>
      <c r="K1001" s="6" t="n">
        <v>19</v>
      </c>
      <c r="L1001" s="6" t="n">
        <v>1</v>
      </c>
      <c r="M1001" s="6" t="n">
        <v>19</v>
      </c>
      <c r="N1001" s="11" t="n">
        <f aca="false">J1001/(J1001+K1001)</f>
        <v>0.05</v>
      </c>
      <c r="O1001" s="11" t="n">
        <f aca="false">IF(J1001+L1001=0,"",J1001/(J1001+L1001))</f>
        <v>0.5</v>
      </c>
      <c r="P1001" s="11" t="n">
        <f aca="false">2*J1001/(2*J1001+L1001+K1001)</f>
        <v>0.0909090909090909</v>
      </c>
      <c r="Q1001" s="11" t="n">
        <f aca="false">L1001/(L1001+M1001)</f>
        <v>0.05</v>
      </c>
      <c r="R1001" s="6" t="n">
        <v>0</v>
      </c>
      <c r="S1001" s="11"/>
      <c r="T1001" s="11" t="n">
        <v>0.05</v>
      </c>
      <c r="U1001" s="11" t="n">
        <v>1</v>
      </c>
      <c r="V1001" s="11" t="n">
        <v>1</v>
      </c>
    </row>
    <row r="1002" customFormat="false" ht="15" hidden="false" customHeight="false" outlineLevel="0" collapsed="false">
      <c r="A1002" s="6" t="s">
        <v>62</v>
      </c>
      <c r="B1002" s="6" t="s">
        <v>63</v>
      </c>
      <c r="C1002" s="6" t="s">
        <v>44</v>
      </c>
      <c r="D1002" s="6" t="s">
        <v>114</v>
      </c>
      <c r="E1002" s="6" t="n">
        <v>16</v>
      </c>
      <c r="F1002" s="6" t="n">
        <v>1</v>
      </c>
      <c r="G1002" s="6" t="s">
        <v>78</v>
      </c>
      <c r="H1002" s="11" t="n">
        <v>0.05</v>
      </c>
      <c r="I1002" s="6" t="n">
        <v>200</v>
      </c>
      <c r="J1002" s="6" t="n">
        <v>5</v>
      </c>
      <c r="K1002" s="6" t="n">
        <v>195</v>
      </c>
      <c r="L1002" s="6" t="n">
        <v>6</v>
      </c>
      <c r="M1002" s="6" t="n">
        <v>194</v>
      </c>
      <c r="N1002" s="11" t="n">
        <f aca="false">J1002/(J1002+K1002)</f>
        <v>0.025</v>
      </c>
      <c r="O1002" s="11" t="n">
        <f aca="false">IF(J1002+L1002=0,"",J1002/(J1002+L1002))</f>
        <v>0.454545454545455</v>
      </c>
      <c r="P1002" s="11" t="n">
        <f aca="false">2*J1002/(2*J1002+L1002+K1002)</f>
        <v>0.04739336492891</v>
      </c>
      <c r="Q1002" s="11" t="n">
        <f aca="false">L1002/(L1002+M1002)</f>
        <v>0.03</v>
      </c>
      <c r="R1002" s="6" t="n">
        <v>8</v>
      </c>
      <c r="S1002" s="11" t="n">
        <v>0</v>
      </c>
      <c r="T1002" s="11" t="n">
        <v>0.0260416666666667</v>
      </c>
      <c r="U1002" s="11" t="n">
        <v>0.88</v>
      </c>
      <c r="V1002" s="11" t="n">
        <v>0.875</v>
      </c>
    </row>
    <row r="1003" customFormat="false" ht="15" hidden="false" customHeight="false" outlineLevel="0" collapsed="false">
      <c r="A1003" s="6" t="s">
        <v>62</v>
      </c>
      <c r="B1003" s="6" t="s">
        <v>63</v>
      </c>
      <c r="C1003" s="6" t="s">
        <v>44</v>
      </c>
      <c r="D1003" s="6" t="s">
        <v>114</v>
      </c>
      <c r="E1003" s="6" t="n">
        <v>16</v>
      </c>
      <c r="F1003" s="6" t="n">
        <v>2</v>
      </c>
      <c r="G1003" s="6" t="s">
        <v>68</v>
      </c>
      <c r="H1003" s="11" t="n">
        <v>0.05</v>
      </c>
      <c r="I1003" s="6" t="n">
        <v>20</v>
      </c>
      <c r="J1003" s="6" t="n">
        <v>3</v>
      </c>
      <c r="K1003" s="6" t="n">
        <v>17</v>
      </c>
      <c r="L1003" s="6" t="n">
        <v>2</v>
      </c>
      <c r="M1003" s="6" t="n">
        <v>18</v>
      </c>
      <c r="N1003" s="11" t="n">
        <f aca="false">J1003/(J1003+K1003)</f>
        <v>0.15</v>
      </c>
      <c r="O1003" s="11" t="n">
        <f aca="false">IF(J1003+L1003=0,"",J1003/(J1003+L1003))</f>
        <v>0.6</v>
      </c>
      <c r="P1003" s="11" t="n">
        <f aca="false">2*J1003/(2*J1003+L1003+K1003)</f>
        <v>0.24</v>
      </c>
      <c r="Q1003" s="11" t="n">
        <f aca="false">L1003/(L1003+M1003)</f>
        <v>0.1</v>
      </c>
      <c r="R1003" s="6" t="n">
        <v>0</v>
      </c>
      <c r="S1003" s="11"/>
      <c r="T1003" s="11" t="n">
        <v>0.15</v>
      </c>
      <c r="U1003" s="11" t="n">
        <v>0.85</v>
      </c>
      <c r="V1003" s="11" t="n">
        <v>0.85</v>
      </c>
    </row>
    <row r="1004" customFormat="false" ht="15" hidden="false" customHeight="false" outlineLevel="0" collapsed="false">
      <c r="A1004" s="6" t="s">
        <v>62</v>
      </c>
      <c r="B1004" s="6" t="s">
        <v>63</v>
      </c>
      <c r="C1004" s="6" t="s">
        <v>44</v>
      </c>
      <c r="D1004" s="6" t="s">
        <v>114</v>
      </c>
      <c r="E1004" s="6" t="n">
        <v>16</v>
      </c>
      <c r="F1004" s="6" t="n">
        <v>2</v>
      </c>
      <c r="G1004" s="6" t="s">
        <v>69</v>
      </c>
      <c r="H1004" s="11" t="n">
        <v>0.05</v>
      </c>
      <c r="I1004" s="6" t="n">
        <v>20</v>
      </c>
      <c r="J1004" s="6" t="n">
        <v>1</v>
      </c>
      <c r="K1004" s="6" t="n">
        <v>19</v>
      </c>
      <c r="L1004" s="6" t="n">
        <v>1</v>
      </c>
      <c r="M1004" s="6" t="n">
        <v>19</v>
      </c>
      <c r="N1004" s="11" t="n">
        <f aca="false">J1004/(J1004+K1004)</f>
        <v>0.05</v>
      </c>
      <c r="O1004" s="11" t="n">
        <f aca="false">IF(J1004+L1004=0,"",J1004/(J1004+L1004))</f>
        <v>0.5</v>
      </c>
      <c r="P1004" s="11" t="n">
        <f aca="false">2*J1004/(2*J1004+L1004+K1004)</f>
        <v>0.0909090909090909</v>
      </c>
      <c r="Q1004" s="11" t="n">
        <f aca="false">L1004/(L1004+M1004)</f>
        <v>0.05</v>
      </c>
      <c r="R1004" s="6" t="n">
        <v>0</v>
      </c>
      <c r="S1004" s="11"/>
      <c r="T1004" s="11" t="n">
        <v>0.05</v>
      </c>
      <c r="U1004" s="11" t="n">
        <v>1</v>
      </c>
      <c r="V1004" s="11" t="n">
        <v>1</v>
      </c>
    </row>
    <row r="1005" customFormat="false" ht="15" hidden="false" customHeight="false" outlineLevel="0" collapsed="false">
      <c r="A1005" s="6" t="s">
        <v>62</v>
      </c>
      <c r="B1005" s="6" t="s">
        <v>63</v>
      </c>
      <c r="C1005" s="6" t="s">
        <v>44</v>
      </c>
      <c r="D1005" s="6" t="s">
        <v>114</v>
      </c>
      <c r="E1005" s="6" t="n">
        <v>16</v>
      </c>
      <c r="F1005" s="6" t="n">
        <v>2</v>
      </c>
      <c r="G1005" s="6" t="s">
        <v>70</v>
      </c>
      <c r="H1005" s="11" t="n">
        <v>0.05</v>
      </c>
      <c r="I1005" s="6" t="n">
        <v>20</v>
      </c>
      <c r="J1005" s="6" t="n">
        <v>0</v>
      </c>
      <c r="K1005" s="6" t="n">
        <v>20</v>
      </c>
      <c r="L1005" s="6" t="n">
        <v>0</v>
      </c>
      <c r="M1005" s="6" t="n">
        <v>20</v>
      </c>
      <c r="N1005" s="11" t="n">
        <f aca="false">J1005/(J1005+K1005)</f>
        <v>0</v>
      </c>
      <c r="O1005" s="11" t="str">
        <f aca="false">IF(J1005+L1005=0,"",J1005/(J1005+L1005))</f>
        <v/>
      </c>
      <c r="P1005" s="11" t="n">
        <f aca="false">2*J1005/(2*J1005+L1005+K1005)</f>
        <v>0</v>
      </c>
      <c r="Q1005" s="11" t="n">
        <f aca="false">L1005/(L1005+M1005)</f>
        <v>0</v>
      </c>
      <c r="R1005" s="6" t="n">
        <v>0</v>
      </c>
      <c r="S1005" s="11"/>
      <c r="T1005" s="11" t="n">
        <v>0</v>
      </c>
      <c r="U1005" s="11" t="n">
        <v>0.9</v>
      </c>
      <c r="V1005" s="11" t="n">
        <v>0.9</v>
      </c>
    </row>
    <row r="1006" customFormat="false" ht="15" hidden="false" customHeight="false" outlineLevel="0" collapsed="false">
      <c r="A1006" s="6" t="s">
        <v>62</v>
      </c>
      <c r="B1006" s="6" t="s">
        <v>63</v>
      </c>
      <c r="C1006" s="6" t="s">
        <v>44</v>
      </c>
      <c r="D1006" s="6" t="s">
        <v>114</v>
      </c>
      <c r="E1006" s="6" t="n">
        <v>16</v>
      </c>
      <c r="F1006" s="6" t="n">
        <v>2</v>
      </c>
      <c r="G1006" s="6" t="s">
        <v>71</v>
      </c>
      <c r="H1006" s="11" t="n">
        <v>0.05</v>
      </c>
      <c r="I1006" s="6" t="n">
        <v>20</v>
      </c>
      <c r="J1006" s="6" t="n">
        <v>0</v>
      </c>
      <c r="K1006" s="6" t="n">
        <v>20</v>
      </c>
      <c r="L1006" s="6" t="n">
        <v>0</v>
      </c>
      <c r="M1006" s="6" t="n">
        <v>20</v>
      </c>
      <c r="N1006" s="11" t="n">
        <f aca="false">J1006/(J1006+K1006)</f>
        <v>0</v>
      </c>
      <c r="O1006" s="11" t="str">
        <f aca="false">IF(J1006+L1006=0,"",J1006/(J1006+L1006))</f>
        <v/>
      </c>
      <c r="P1006" s="11" t="n">
        <f aca="false">2*J1006/(2*J1006+L1006+K1006)</f>
        <v>0</v>
      </c>
      <c r="Q1006" s="11" t="n">
        <f aca="false">L1006/(L1006+M1006)</f>
        <v>0</v>
      </c>
      <c r="R1006" s="6" t="n">
        <v>0</v>
      </c>
      <c r="S1006" s="11"/>
      <c r="T1006" s="11" t="n">
        <v>0</v>
      </c>
      <c r="U1006" s="11" t="n">
        <v>0.8</v>
      </c>
      <c r="V1006" s="11" t="n">
        <v>0.8</v>
      </c>
    </row>
    <row r="1007" customFormat="false" ht="15" hidden="false" customHeight="false" outlineLevel="0" collapsed="false">
      <c r="A1007" s="6" t="s">
        <v>62</v>
      </c>
      <c r="B1007" s="6" t="s">
        <v>63</v>
      </c>
      <c r="C1007" s="6" t="s">
        <v>44</v>
      </c>
      <c r="D1007" s="6" t="s">
        <v>114</v>
      </c>
      <c r="E1007" s="6" t="n">
        <v>16</v>
      </c>
      <c r="F1007" s="6" t="n">
        <v>2</v>
      </c>
      <c r="G1007" s="6" t="s">
        <v>72</v>
      </c>
      <c r="H1007" s="11" t="n">
        <v>0.05</v>
      </c>
      <c r="I1007" s="6" t="n">
        <v>20</v>
      </c>
      <c r="J1007" s="6" t="n">
        <v>0</v>
      </c>
      <c r="K1007" s="6" t="n">
        <v>20</v>
      </c>
      <c r="L1007" s="6" t="n">
        <v>1</v>
      </c>
      <c r="M1007" s="6" t="n">
        <v>19</v>
      </c>
      <c r="N1007" s="11" t="n">
        <f aca="false">J1007/(J1007+K1007)</f>
        <v>0</v>
      </c>
      <c r="O1007" s="11" t="n">
        <f aca="false">IF(J1007+L1007=0,"",J1007/(J1007+L1007))</f>
        <v>0</v>
      </c>
      <c r="P1007" s="11" t="n">
        <f aca="false">2*J1007/(2*J1007+L1007+K1007)</f>
        <v>0</v>
      </c>
      <c r="Q1007" s="11" t="n">
        <f aca="false">L1007/(L1007+M1007)</f>
        <v>0.05</v>
      </c>
      <c r="R1007" s="6" t="n">
        <v>0</v>
      </c>
      <c r="S1007" s="11"/>
      <c r="T1007" s="11" t="n">
        <v>0</v>
      </c>
      <c r="U1007" s="11" t="n">
        <v>0.9</v>
      </c>
      <c r="V1007" s="11" t="n">
        <v>0.9</v>
      </c>
    </row>
    <row r="1008" customFormat="false" ht="15" hidden="false" customHeight="false" outlineLevel="0" collapsed="false">
      <c r="A1008" s="6" t="s">
        <v>62</v>
      </c>
      <c r="B1008" s="6" t="s">
        <v>63</v>
      </c>
      <c r="C1008" s="6" t="s">
        <v>44</v>
      </c>
      <c r="D1008" s="6" t="s">
        <v>114</v>
      </c>
      <c r="E1008" s="6" t="n">
        <v>16</v>
      </c>
      <c r="F1008" s="6" t="n">
        <v>2</v>
      </c>
      <c r="G1008" s="6" t="s">
        <v>73</v>
      </c>
      <c r="H1008" s="11" t="n">
        <v>0.05</v>
      </c>
      <c r="I1008" s="6" t="n">
        <v>20</v>
      </c>
      <c r="J1008" s="6" t="n">
        <v>0</v>
      </c>
      <c r="K1008" s="6" t="n">
        <v>20</v>
      </c>
      <c r="L1008" s="6" t="n">
        <v>0</v>
      </c>
      <c r="M1008" s="6" t="n">
        <v>20</v>
      </c>
      <c r="N1008" s="11" t="n">
        <f aca="false">J1008/(J1008+K1008)</f>
        <v>0</v>
      </c>
      <c r="O1008" s="11" t="str">
        <f aca="false">IF(J1008+L1008=0,"",J1008/(J1008+L1008))</f>
        <v/>
      </c>
      <c r="P1008" s="11" t="n">
        <f aca="false">2*J1008/(2*J1008+L1008+K1008)</f>
        <v>0</v>
      </c>
      <c r="Q1008" s="11" t="n">
        <f aca="false">L1008/(L1008+M1008)</f>
        <v>0</v>
      </c>
      <c r="R1008" s="6" t="n">
        <v>1</v>
      </c>
      <c r="S1008" s="11" t="n">
        <v>0</v>
      </c>
      <c r="T1008" s="11" t="n">
        <v>0</v>
      </c>
      <c r="U1008" s="11" t="n">
        <v>0.65</v>
      </c>
      <c r="V1008" s="11" t="n">
        <v>0.65</v>
      </c>
    </row>
    <row r="1009" customFormat="false" ht="15" hidden="false" customHeight="false" outlineLevel="0" collapsed="false">
      <c r="A1009" s="6" t="s">
        <v>62</v>
      </c>
      <c r="B1009" s="6" t="s">
        <v>63</v>
      </c>
      <c r="C1009" s="6" t="s">
        <v>44</v>
      </c>
      <c r="D1009" s="6" t="s">
        <v>114</v>
      </c>
      <c r="E1009" s="6" t="n">
        <v>16</v>
      </c>
      <c r="F1009" s="6" t="n">
        <v>2</v>
      </c>
      <c r="G1009" s="6" t="s">
        <v>74</v>
      </c>
      <c r="H1009" s="11" t="n">
        <v>0.05</v>
      </c>
      <c r="I1009" s="6" t="n">
        <v>20</v>
      </c>
      <c r="J1009" s="6" t="n">
        <v>1</v>
      </c>
      <c r="K1009" s="6" t="n">
        <v>19</v>
      </c>
      <c r="L1009" s="6" t="n">
        <v>1</v>
      </c>
      <c r="M1009" s="6" t="n">
        <v>19</v>
      </c>
      <c r="N1009" s="11" t="n">
        <f aca="false">J1009/(J1009+K1009)</f>
        <v>0.05</v>
      </c>
      <c r="O1009" s="11" t="n">
        <f aca="false">IF(J1009+L1009=0,"",J1009/(J1009+L1009))</f>
        <v>0.5</v>
      </c>
      <c r="P1009" s="11" t="n">
        <f aca="false">2*J1009/(2*J1009+L1009+K1009)</f>
        <v>0.0909090909090909</v>
      </c>
      <c r="Q1009" s="11" t="n">
        <f aca="false">L1009/(L1009+M1009)</f>
        <v>0.05</v>
      </c>
      <c r="R1009" s="6" t="n">
        <v>3</v>
      </c>
      <c r="S1009" s="11" t="n">
        <v>0</v>
      </c>
      <c r="T1009" s="11" t="n">
        <v>0.0588235294117647</v>
      </c>
      <c r="U1009" s="11" t="n">
        <v>0.85</v>
      </c>
      <c r="V1009" s="11" t="n">
        <v>0.95</v>
      </c>
    </row>
    <row r="1010" customFormat="false" ht="15" hidden="false" customHeight="false" outlineLevel="0" collapsed="false">
      <c r="A1010" s="6" t="s">
        <v>62</v>
      </c>
      <c r="B1010" s="6" t="s">
        <v>63</v>
      </c>
      <c r="C1010" s="6" t="s">
        <v>44</v>
      </c>
      <c r="D1010" s="6" t="s">
        <v>114</v>
      </c>
      <c r="E1010" s="6" t="n">
        <v>16</v>
      </c>
      <c r="F1010" s="6" t="n">
        <v>2</v>
      </c>
      <c r="G1010" s="6" t="s">
        <v>75</v>
      </c>
      <c r="H1010" s="11" t="n">
        <v>0.05</v>
      </c>
      <c r="I1010" s="6" t="n">
        <v>20</v>
      </c>
      <c r="J1010" s="6" t="n">
        <v>0</v>
      </c>
      <c r="K1010" s="6" t="n">
        <v>20</v>
      </c>
      <c r="L1010" s="6" t="n">
        <v>0</v>
      </c>
      <c r="M1010" s="6" t="n">
        <v>20</v>
      </c>
      <c r="N1010" s="11" t="n">
        <f aca="false">J1010/(J1010+K1010)</f>
        <v>0</v>
      </c>
      <c r="O1010" s="11" t="str">
        <f aca="false">IF(J1010+L1010=0,"",J1010/(J1010+L1010))</f>
        <v/>
      </c>
      <c r="P1010" s="11" t="n">
        <f aca="false">2*J1010/(2*J1010+L1010+K1010)</f>
        <v>0</v>
      </c>
      <c r="Q1010" s="11" t="n">
        <f aca="false">L1010/(L1010+M1010)</f>
        <v>0</v>
      </c>
      <c r="R1010" s="6" t="n">
        <v>1</v>
      </c>
      <c r="S1010" s="11" t="n">
        <v>0</v>
      </c>
      <c r="T1010" s="11" t="n">
        <v>0</v>
      </c>
      <c r="U1010" s="11" t="n">
        <v>0.9</v>
      </c>
      <c r="V1010" s="11" t="n">
        <v>0.9</v>
      </c>
    </row>
    <row r="1011" customFormat="false" ht="15" hidden="false" customHeight="false" outlineLevel="0" collapsed="false">
      <c r="A1011" s="6" t="s">
        <v>62</v>
      </c>
      <c r="B1011" s="6" t="s">
        <v>63</v>
      </c>
      <c r="C1011" s="6" t="s">
        <v>44</v>
      </c>
      <c r="D1011" s="6" t="s">
        <v>114</v>
      </c>
      <c r="E1011" s="6" t="n">
        <v>16</v>
      </c>
      <c r="F1011" s="6" t="n">
        <v>2</v>
      </c>
      <c r="G1011" s="6" t="s">
        <v>76</v>
      </c>
      <c r="H1011" s="11" t="n">
        <v>0.05</v>
      </c>
      <c r="I1011" s="6" t="n">
        <v>20</v>
      </c>
      <c r="J1011" s="6" t="n">
        <v>0</v>
      </c>
      <c r="K1011" s="6" t="n">
        <v>20</v>
      </c>
      <c r="L1011" s="6" t="n">
        <v>0</v>
      </c>
      <c r="M1011" s="6" t="n">
        <v>20</v>
      </c>
      <c r="N1011" s="11" t="n">
        <f aca="false">J1011/(J1011+K1011)</f>
        <v>0</v>
      </c>
      <c r="O1011" s="11" t="str">
        <f aca="false">IF(J1011+L1011=0,"",J1011/(J1011+L1011))</f>
        <v/>
      </c>
      <c r="P1011" s="11" t="n">
        <f aca="false">2*J1011/(2*J1011+L1011+K1011)</f>
        <v>0</v>
      </c>
      <c r="Q1011" s="11" t="n">
        <f aca="false">L1011/(L1011+M1011)</f>
        <v>0</v>
      </c>
      <c r="R1011" s="6" t="n">
        <v>0</v>
      </c>
      <c r="S1011" s="11"/>
      <c r="T1011" s="11" t="n">
        <v>0</v>
      </c>
      <c r="U1011" s="11" t="n">
        <v>0.95</v>
      </c>
      <c r="V1011" s="11" t="n">
        <v>0.95</v>
      </c>
    </row>
    <row r="1012" customFormat="false" ht="15" hidden="false" customHeight="false" outlineLevel="0" collapsed="false">
      <c r="A1012" s="6" t="s">
        <v>62</v>
      </c>
      <c r="B1012" s="6" t="s">
        <v>63</v>
      </c>
      <c r="C1012" s="6" t="s">
        <v>44</v>
      </c>
      <c r="D1012" s="6" t="s">
        <v>114</v>
      </c>
      <c r="E1012" s="6" t="n">
        <v>16</v>
      </c>
      <c r="F1012" s="6" t="n">
        <v>2</v>
      </c>
      <c r="G1012" s="6" t="s">
        <v>77</v>
      </c>
      <c r="H1012" s="11" t="n">
        <v>0.05</v>
      </c>
      <c r="I1012" s="6" t="n">
        <v>20</v>
      </c>
      <c r="J1012" s="6" t="n">
        <v>1</v>
      </c>
      <c r="K1012" s="6" t="n">
        <v>19</v>
      </c>
      <c r="L1012" s="6" t="n">
        <v>1</v>
      </c>
      <c r="M1012" s="6" t="n">
        <v>19</v>
      </c>
      <c r="N1012" s="11" t="n">
        <f aca="false">J1012/(J1012+K1012)</f>
        <v>0.05</v>
      </c>
      <c r="O1012" s="11" t="n">
        <f aca="false">IF(J1012+L1012=0,"",J1012/(J1012+L1012))</f>
        <v>0.5</v>
      </c>
      <c r="P1012" s="11" t="n">
        <f aca="false">2*J1012/(2*J1012+L1012+K1012)</f>
        <v>0.0909090909090909</v>
      </c>
      <c r="Q1012" s="11" t="n">
        <f aca="false">L1012/(L1012+M1012)</f>
        <v>0.05</v>
      </c>
      <c r="R1012" s="6" t="n">
        <v>0</v>
      </c>
      <c r="S1012" s="11"/>
      <c r="T1012" s="11" t="n">
        <v>0.05</v>
      </c>
      <c r="U1012" s="11" t="n">
        <v>1</v>
      </c>
      <c r="V1012" s="11" t="n">
        <v>1</v>
      </c>
    </row>
    <row r="1013" customFormat="false" ht="15" hidden="false" customHeight="false" outlineLevel="0" collapsed="false">
      <c r="A1013" s="6" t="s">
        <v>62</v>
      </c>
      <c r="B1013" s="6" t="s">
        <v>63</v>
      </c>
      <c r="C1013" s="6" t="s">
        <v>44</v>
      </c>
      <c r="D1013" s="6" t="s">
        <v>114</v>
      </c>
      <c r="E1013" s="6" t="n">
        <v>16</v>
      </c>
      <c r="F1013" s="6" t="n">
        <v>2</v>
      </c>
      <c r="G1013" s="6" t="s">
        <v>78</v>
      </c>
      <c r="H1013" s="11" t="n">
        <v>0.05</v>
      </c>
      <c r="I1013" s="6" t="n">
        <v>200</v>
      </c>
      <c r="J1013" s="6" t="n">
        <v>6</v>
      </c>
      <c r="K1013" s="6" t="n">
        <v>194</v>
      </c>
      <c r="L1013" s="6" t="n">
        <v>6</v>
      </c>
      <c r="M1013" s="6" t="n">
        <v>194</v>
      </c>
      <c r="N1013" s="11" t="n">
        <f aca="false">J1013/(J1013+K1013)</f>
        <v>0.03</v>
      </c>
      <c r="O1013" s="11" t="n">
        <f aca="false">IF(J1013+L1013=0,"",J1013/(J1013+L1013))</f>
        <v>0.5</v>
      </c>
      <c r="P1013" s="11" t="n">
        <f aca="false">2*J1013/(2*J1013+L1013+K1013)</f>
        <v>0.0566037735849057</v>
      </c>
      <c r="Q1013" s="11" t="n">
        <f aca="false">L1013/(L1013+M1013)</f>
        <v>0.03</v>
      </c>
      <c r="R1013" s="6" t="n">
        <v>5</v>
      </c>
      <c r="S1013" s="11" t="n">
        <v>0</v>
      </c>
      <c r="T1013" s="11" t="n">
        <v>0.0307692307692308</v>
      </c>
      <c r="U1013" s="11" t="n">
        <v>0.88</v>
      </c>
      <c r="V1013" s="11" t="n">
        <v>0.89</v>
      </c>
    </row>
    <row r="1014" customFormat="false" ht="15" hidden="false" customHeight="false" outlineLevel="0" collapsed="false">
      <c r="A1014" s="6" t="s">
        <v>62</v>
      </c>
      <c r="B1014" s="6" t="s">
        <v>63</v>
      </c>
      <c r="C1014" s="6" t="s">
        <v>44</v>
      </c>
      <c r="D1014" s="6" t="s">
        <v>114</v>
      </c>
      <c r="E1014" s="6" t="n">
        <v>16</v>
      </c>
      <c r="F1014" s="6" t="n">
        <v>3</v>
      </c>
      <c r="G1014" s="6" t="s">
        <v>68</v>
      </c>
      <c r="H1014" s="11" t="n">
        <v>0.05</v>
      </c>
      <c r="I1014" s="6" t="n">
        <v>20</v>
      </c>
      <c r="J1014" s="6" t="n">
        <v>2</v>
      </c>
      <c r="K1014" s="6" t="n">
        <v>18</v>
      </c>
      <c r="L1014" s="6" t="n">
        <v>2</v>
      </c>
      <c r="M1014" s="6" t="n">
        <v>18</v>
      </c>
      <c r="N1014" s="11" t="n">
        <f aca="false">J1014/(J1014+K1014)</f>
        <v>0.1</v>
      </c>
      <c r="O1014" s="11" t="n">
        <f aca="false">IF(J1014+L1014=0,"",J1014/(J1014+L1014))</f>
        <v>0.5</v>
      </c>
      <c r="P1014" s="11" t="n">
        <f aca="false">2*J1014/(2*J1014+L1014+K1014)</f>
        <v>0.166666666666667</v>
      </c>
      <c r="Q1014" s="11" t="n">
        <f aca="false">L1014/(L1014+M1014)</f>
        <v>0.1</v>
      </c>
      <c r="R1014" s="6" t="n">
        <v>0</v>
      </c>
      <c r="S1014" s="11"/>
      <c r="T1014" s="11" t="n">
        <v>0.1</v>
      </c>
      <c r="U1014" s="11" t="n">
        <v>0.85</v>
      </c>
      <c r="V1014" s="11" t="n">
        <v>0.85</v>
      </c>
    </row>
    <row r="1015" customFormat="false" ht="15" hidden="false" customHeight="false" outlineLevel="0" collapsed="false">
      <c r="A1015" s="6" t="s">
        <v>62</v>
      </c>
      <c r="B1015" s="6" t="s">
        <v>63</v>
      </c>
      <c r="C1015" s="6" t="s">
        <v>44</v>
      </c>
      <c r="D1015" s="6" t="s">
        <v>114</v>
      </c>
      <c r="E1015" s="6" t="n">
        <v>16</v>
      </c>
      <c r="F1015" s="6" t="n">
        <v>3</v>
      </c>
      <c r="G1015" s="6" t="s">
        <v>69</v>
      </c>
      <c r="H1015" s="11" t="n">
        <v>0.05</v>
      </c>
      <c r="I1015" s="6" t="n">
        <v>20</v>
      </c>
      <c r="J1015" s="6" t="n">
        <v>1</v>
      </c>
      <c r="K1015" s="6" t="n">
        <v>19</v>
      </c>
      <c r="L1015" s="6" t="n">
        <v>1</v>
      </c>
      <c r="M1015" s="6" t="n">
        <v>19</v>
      </c>
      <c r="N1015" s="11" t="n">
        <f aca="false">J1015/(J1015+K1015)</f>
        <v>0.05</v>
      </c>
      <c r="O1015" s="11" t="n">
        <f aca="false">IF(J1015+L1015=0,"",J1015/(J1015+L1015))</f>
        <v>0.5</v>
      </c>
      <c r="P1015" s="11" t="n">
        <f aca="false">2*J1015/(2*J1015+L1015+K1015)</f>
        <v>0.0909090909090909</v>
      </c>
      <c r="Q1015" s="11" t="n">
        <f aca="false">L1015/(L1015+M1015)</f>
        <v>0.05</v>
      </c>
      <c r="R1015" s="6" t="n">
        <v>0</v>
      </c>
      <c r="S1015" s="11"/>
      <c r="T1015" s="11" t="n">
        <v>0.05</v>
      </c>
      <c r="U1015" s="11" t="n">
        <v>1</v>
      </c>
      <c r="V1015" s="11" t="n">
        <v>1</v>
      </c>
    </row>
    <row r="1016" customFormat="false" ht="15" hidden="false" customHeight="false" outlineLevel="0" collapsed="false">
      <c r="A1016" s="6" t="s">
        <v>62</v>
      </c>
      <c r="B1016" s="6" t="s">
        <v>63</v>
      </c>
      <c r="C1016" s="6" t="s">
        <v>44</v>
      </c>
      <c r="D1016" s="6" t="s">
        <v>114</v>
      </c>
      <c r="E1016" s="6" t="n">
        <v>16</v>
      </c>
      <c r="F1016" s="6" t="n">
        <v>3</v>
      </c>
      <c r="G1016" s="6" t="s">
        <v>70</v>
      </c>
      <c r="H1016" s="11" t="n">
        <v>0.05</v>
      </c>
      <c r="I1016" s="6" t="n">
        <v>20</v>
      </c>
      <c r="J1016" s="6" t="n">
        <v>0</v>
      </c>
      <c r="K1016" s="6" t="n">
        <v>20</v>
      </c>
      <c r="L1016" s="6" t="n">
        <v>0</v>
      </c>
      <c r="M1016" s="6" t="n">
        <v>20</v>
      </c>
      <c r="N1016" s="11" t="n">
        <f aca="false">J1016/(J1016+K1016)</f>
        <v>0</v>
      </c>
      <c r="O1016" s="11" t="str">
        <f aca="false">IF(J1016+L1016=0,"",J1016/(J1016+L1016))</f>
        <v/>
      </c>
      <c r="P1016" s="11" t="n">
        <f aca="false">2*J1016/(2*J1016+L1016+K1016)</f>
        <v>0</v>
      </c>
      <c r="Q1016" s="11" t="n">
        <f aca="false">L1016/(L1016+M1016)</f>
        <v>0</v>
      </c>
      <c r="R1016" s="6" t="n">
        <v>0</v>
      </c>
      <c r="S1016" s="11"/>
      <c r="T1016" s="11" t="n">
        <v>0</v>
      </c>
      <c r="U1016" s="11" t="n">
        <v>0.9</v>
      </c>
      <c r="V1016" s="11" t="n">
        <v>0.9</v>
      </c>
    </row>
    <row r="1017" customFormat="false" ht="15" hidden="false" customHeight="false" outlineLevel="0" collapsed="false">
      <c r="A1017" s="6" t="s">
        <v>62</v>
      </c>
      <c r="B1017" s="6" t="s">
        <v>63</v>
      </c>
      <c r="C1017" s="6" t="s">
        <v>44</v>
      </c>
      <c r="D1017" s="6" t="s">
        <v>114</v>
      </c>
      <c r="E1017" s="6" t="n">
        <v>16</v>
      </c>
      <c r="F1017" s="6" t="n">
        <v>3</v>
      </c>
      <c r="G1017" s="6" t="s">
        <v>71</v>
      </c>
      <c r="H1017" s="11" t="n">
        <v>0.05</v>
      </c>
      <c r="I1017" s="6" t="n">
        <v>20</v>
      </c>
      <c r="J1017" s="6" t="n">
        <v>0</v>
      </c>
      <c r="K1017" s="6" t="n">
        <v>20</v>
      </c>
      <c r="L1017" s="6" t="n">
        <v>0</v>
      </c>
      <c r="M1017" s="6" t="n">
        <v>20</v>
      </c>
      <c r="N1017" s="11" t="n">
        <f aca="false">J1017/(J1017+K1017)</f>
        <v>0</v>
      </c>
      <c r="O1017" s="11" t="str">
        <f aca="false">IF(J1017+L1017=0,"",J1017/(J1017+L1017))</f>
        <v/>
      </c>
      <c r="P1017" s="11" t="n">
        <f aca="false">2*J1017/(2*J1017+L1017+K1017)</f>
        <v>0</v>
      </c>
      <c r="Q1017" s="11" t="n">
        <f aca="false">L1017/(L1017+M1017)</f>
        <v>0</v>
      </c>
      <c r="R1017" s="6" t="n">
        <v>1</v>
      </c>
      <c r="S1017" s="11" t="n">
        <v>0</v>
      </c>
      <c r="T1017" s="11" t="n">
        <v>0</v>
      </c>
      <c r="U1017" s="11" t="n">
        <v>0.8</v>
      </c>
      <c r="V1017" s="11" t="n">
        <v>0.75</v>
      </c>
    </row>
    <row r="1018" customFormat="false" ht="15" hidden="false" customHeight="false" outlineLevel="0" collapsed="false">
      <c r="A1018" s="6" t="s">
        <v>62</v>
      </c>
      <c r="B1018" s="6" t="s">
        <v>63</v>
      </c>
      <c r="C1018" s="6" t="s">
        <v>44</v>
      </c>
      <c r="D1018" s="6" t="s">
        <v>114</v>
      </c>
      <c r="E1018" s="6" t="n">
        <v>16</v>
      </c>
      <c r="F1018" s="6" t="n">
        <v>3</v>
      </c>
      <c r="G1018" s="6" t="s">
        <v>72</v>
      </c>
      <c r="H1018" s="11" t="n">
        <v>0.05</v>
      </c>
      <c r="I1018" s="6" t="n">
        <v>20</v>
      </c>
      <c r="J1018" s="6" t="n">
        <v>1</v>
      </c>
      <c r="K1018" s="6" t="n">
        <v>19</v>
      </c>
      <c r="L1018" s="6" t="n">
        <v>1</v>
      </c>
      <c r="M1018" s="6" t="n">
        <v>19</v>
      </c>
      <c r="N1018" s="11" t="n">
        <f aca="false">J1018/(J1018+K1018)</f>
        <v>0.05</v>
      </c>
      <c r="O1018" s="11" t="n">
        <f aca="false">IF(J1018+L1018=0,"",J1018/(J1018+L1018))</f>
        <v>0.5</v>
      </c>
      <c r="P1018" s="11" t="n">
        <f aca="false">2*J1018/(2*J1018+L1018+K1018)</f>
        <v>0.0909090909090909</v>
      </c>
      <c r="Q1018" s="11" t="n">
        <f aca="false">L1018/(L1018+M1018)</f>
        <v>0.05</v>
      </c>
      <c r="R1018" s="6" t="n">
        <v>0</v>
      </c>
      <c r="S1018" s="11"/>
      <c r="T1018" s="11" t="n">
        <v>0.05</v>
      </c>
      <c r="U1018" s="11" t="n">
        <v>0.9</v>
      </c>
      <c r="V1018" s="11" t="n">
        <v>0.9</v>
      </c>
    </row>
    <row r="1019" customFormat="false" ht="15" hidden="false" customHeight="false" outlineLevel="0" collapsed="false">
      <c r="A1019" s="6" t="s">
        <v>62</v>
      </c>
      <c r="B1019" s="6" t="s">
        <v>63</v>
      </c>
      <c r="C1019" s="6" t="s">
        <v>44</v>
      </c>
      <c r="D1019" s="6" t="s">
        <v>114</v>
      </c>
      <c r="E1019" s="6" t="n">
        <v>16</v>
      </c>
      <c r="F1019" s="6" t="n">
        <v>3</v>
      </c>
      <c r="G1019" s="6" t="s">
        <v>73</v>
      </c>
      <c r="H1019" s="11" t="n">
        <v>0.05</v>
      </c>
      <c r="I1019" s="6" t="n">
        <v>20</v>
      </c>
      <c r="J1019" s="6" t="n">
        <v>0</v>
      </c>
      <c r="K1019" s="6" t="n">
        <v>20</v>
      </c>
      <c r="L1019" s="6" t="n">
        <v>0</v>
      </c>
      <c r="M1019" s="6" t="n">
        <v>20</v>
      </c>
      <c r="N1019" s="11" t="n">
        <f aca="false">J1019/(J1019+K1019)</f>
        <v>0</v>
      </c>
      <c r="O1019" s="11" t="str">
        <f aca="false">IF(J1019+L1019=0,"",J1019/(J1019+L1019))</f>
        <v/>
      </c>
      <c r="P1019" s="11" t="n">
        <f aca="false">2*J1019/(2*J1019+L1019+K1019)</f>
        <v>0</v>
      </c>
      <c r="Q1019" s="11" t="n">
        <f aca="false">L1019/(L1019+M1019)</f>
        <v>0</v>
      </c>
      <c r="R1019" s="6" t="n">
        <v>1</v>
      </c>
      <c r="S1019" s="11" t="n">
        <v>0</v>
      </c>
      <c r="T1019" s="11" t="n">
        <v>0</v>
      </c>
      <c r="U1019" s="11" t="n">
        <v>0.65</v>
      </c>
      <c r="V1019" s="11" t="n">
        <v>0.65</v>
      </c>
    </row>
    <row r="1020" customFormat="false" ht="15" hidden="false" customHeight="false" outlineLevel="0" collapsed="false">
      <c r="A1020" s="6" t="s">
        <v>62</v>
      </c>
      <c r="B1020" s="6" t="s">
        <v>63</v>
      </c>
      <c r="C1020" s="6" t="s">
        <v>44</v>
      </c>
      <c r="D1020" s="6" t="s">
        <v>114</v>
      </c>
      <c r="E1020" s="6" t="n">
        <v>16</v>
      </c>
      <c r="F1020" s="6" t="n">
        <v>3</v>
      </c>
      <c r="G1020" s="6" t="s">
        <v>74</v>
      </c>
      <c r="H1020" s="11" t="n">
        <v>0.05</v>
      </c>
      <c r="I1020" s="6" t="n">
        <v>20</v>
      </c>
      <c r="J1020" s="6" t="n">
        <v>1</v>
      </c>
      <c r="K1020" s="6" t="n">
        <v>19</v>
      </c>
      <c r="L1020" s="6" t="n">
        <v>1</v>
      </c>
      <c r="M1020" s="6" t="n">
        <v>19</v>
      </c>
      <c r="N1020" s="11" t="n">
        <f aca="false">J1020/(J1020+K1020)</f>
        <v>0.05</v>
      </c>
      <c r="O1020" s="11" t="n">
        <f aca="false">IF(J1020+L1020=0,"",J1020/(J1020+L1020))</f>
        <v>0.5</v>
      </c>
      <c r="P1020" s="11" t="n">
        <f aca="false">2*J1020/(2*J1020+L1020+K1020)</f>
        <v>0.0909090909090909</v>
      </c>
      <c r="Q1020" s="11" t="n">
        <f aca="false">L1020/(L1020+M1020)</f>
        <v>0.05</v>
      </c>
      <c r="R1020" s="6" t="n">
        <v>1</v>
      </c>
      <c r="S1020" s="11" t="n">
        <v>0</v>
      </c>
      <c r="T1020" s="11" t="n">
        <v>0.0526315789473684</v>
      </c>
      <c r="U1020" s="11" t="n">
        <v>0.85</v>
      </c>
      <c r="V1020" s="11" t="n">
        <v>0.85</v>
      </c>
    </row>
    <row r="1021" customFormat="false" ht="15" hidden="false" customHeight="false" outlineLevel="0" collapsed="false">
      <c r="A1021" s="6" t="s">
        <v>62</v>
      </c>
      <c r="B1021" s="6" t="s">
        <v>63</v>
      </c>
      <c r="C1021" s="6" t="s">
        <v>44</v>
      </c>
      <c r="D1021" s="6" t="s">
        <v>114</v>
      </c>
      <c r="E1021" s="6" t="n">
        <v>16</v>
      </c>
      <c r="F1021" s="6" t="n">
        <v>3</v>
      </c>
      <c r="G1021" s="6" t="s">
        <v>75</v>
      </c>
      <c r="H1021" s="11" t="n">
        <v>0.05</v>
      </c>
      <c r="I1021" s="6" t="n">
        <v>20</v>
      </c>
      <c r="J1021" s="6" t="n">
        <v>0</v>
      </c>
      <c r="K1021" s="6" t="n">
        <v>20</v>
      </c>
      <c r="L1021" s="6" t="n">
        <v>0</v>
      </c>
      <c r="M1021" s="6" t="n">
        <v>20</v>
      </c>
      <c r="N1021" s="11" t="n">
        <f aca="false">J1021/(J1021+K1021)</f>
        <v>0</v>
      </c>
      <c r="O1021" s="11" t="str">
        <f aca="false">IF(J1021+L1021=0,"",J1021/(J1021+L1021))</f>
        <v/>
      </c>
      <c r="P1021" s="11" t="n">
        <f aca="false">2*J1021/(2*J1021+L1021+K1021)</f>
        <v>0</v>
      </c>
      <c r="Q1021" s="11" t="n">
        <f aca="false">L1021/(L1021+M1021)</f>
        <v>0</v>
      </c>
      <c r="R1021" s="6" t="n">
        <v>0</v>
      </c>
      <c r="S1021" s="11"/>
      <c r="T1021" s="11" t="n">
        <v>0</v>
      </c>
      <c r="U1021" s="11" t="n">
        <v>0.9</v>
      </c>
      <c r="V1021" s="11" t="n">
        <v>0.9</v>
      </c>
    </row>
    <row r="1022" customFormat="false" ht="15" hidden="false" customHeight="false" outlineLevel="0" collapsed="false">
      <c r="A1022" s="6" t="s">
        <v>62</v>
      </c>
      <c r="B1022" s="6" t="s">
        <v>63</v>
      </c>
      <c r="C1022" s="6" t="s">
        <v>44</v>
      </c>
      <c r="D1022" s="6" t="s">
        <v>114</v>
      </c>
      <c r="E1022" s="6" t="n">
        <v>16</v>
      </c>
      <c r="F1022" s="6" t="n">
        <v>3</v>
      </c>
      <c r="G1022" s="6" t="s">
        <v>76</v>
      </c>
      <c r="H1022" s="11" t="n">
        <v>0.05</v>
      </c>
      <c r="I1022" s="6" t="n">
        <v>20</v>
      </c>
      <c r="J1022" s="6" t="n">
        <v>0</v>
      </c>
      <c r="K1022" s="6" t="n">
        <v>20</v>
      </c>
      <c r="L1022" s="6" t="n">
        <v>0</v>
      </c>
      <c r="M1022" s="6" t="n">
        <v>20</v>
      </c>
      <c r="N1022" s="11" t="n">
        <f aca="false">J1022/(J1022+K1022)</f>
        <v>0</v>
      </c>
      <c r="O1022" s="11" t="str">
        <f aca="false">IF(J1022+L1022=0,"",J1022/(J1022+L1022))</f>
        <v/>
      </c>
      <c r="P1022" s="11" t="n">
        <f aca="false">2*J1022/(2*J1022+L1022+K1022)</f>
        <v>0</v>
      </c>
      <c r="Q1022" s="11" t="n">
        <f aca="false">L1022/(L1022+M1022)</f>
        <v>0</v>
      </c>
      <c r="R1022" s="6" t="n">
        <v>0</v>
      </c>
      <c r="S1022" s="11"/>
      <c r="T1022" s="11" t="n">
        <v>0</v>
      </c>
      <c r="U1022" s="11" t="n">
        <v>0.95</v>
      </c>
      <c r="V1022" s="11" t="n">
        <v>0.95</v>
      </c>
    </row>
    <row r="1023" customFormat="false" ht="15" hidden="false" customHeight="false" outlineLevel="0" collapsed="false">
      <c r="A1023" s="6" t="s">
        <v>62</v>
      </c>
      <c r="B1023" s="6" t="s">
        <v>63</v>
      </c>
      <c r="C1023" s="6" t="s">
        <v>44</v>
      </c>
      <c r="D1023" s="6" t="s">
        <v>114</v>
      </c>
      <c r="E1023" s="6" t="n">
        <v>16</v>
      </c>
      <c r="F1023" s="6" t="n">
        <v>3</v>
      </c>
      <c r="G1023" s="6" t="s">
        <v>77</v>
      </c>
      <c r="H1023" s="11" t="n">
        <v>0.05</v>
      </c>
      <c r="I1023" s="6" t="n">
        <v>20</v>
      </c>
      <c r="J1023" s="6" t="n">
        <v>0</v>
      </c>
      <c r="K1023" s="6" t="n">
        <v>20</v>
      </c>
      <c r="L1023" s="6" t="n">
        <v>1</v>
      </c>
      <c r="M1023" s="6" t="n">
        <v>19</v>
      </c>
      <c r="N1023" s="11" t="n">
        <f aca="false">J1023/(J1023+K1023)</f>
        <v>0</v>
      </c>
      <c r="O1023" s="11" t="n">
        <f aca="false">IF(J1023+L1023=0,"",J1023/(J1023+L1023))</f>
        <v>0</v>
      </c>
      <c r="P1023" s="11" t="n">
        <f aca="false">2*J1023/(2*J1023+L1023+K1023)</f>
        <v>0</v>
      </c>
      <c r="Q1023" s="11" t="n">
        <f aca="false">L1023/(L1023+M1023)</f>
        <v>0.05</v>
      </c>
      <c r="R1023" s="6" t="n">
        <v>0</v>
      </c>
      <c r="S1023" s="11"/>
      <c r="T1023" s="11" t="n">
        <v>0</v>
      </c>
      <c r="U1023" s="11" t="n">
        <v>1</v>
      </c>
      <c r="V1023" s="11" t="n">
        <v>1</v>
      </c>
    </row>
    <row r="1024" customFormat="false" ht="15" hidden="false" customHeight="false" outlineLevel="0" collapsed="false">
      <c r="A1024" s="6" t="s">
        <v>62</v>
      </c>
      <c r="B1024" s="6" t="s">
        <v>63</v>
      </c>
      <c r="C1024" s="6" t="s">
        <v>44</v>
      </c>
      <c r="D1024" s="6" t="s">
        <v>114</v>
      </c>
      <c r="E1024" s="6" t="n">
        <v>16</v>
      </c>
      <c r="F1024" s="6" t="n">
        <v>3</v>
      </c>
      <c r="G1024" s="6" t="s">
        <v>78</v>
      </c>
      <c r="H1024" s="11" t="n">
        <v>0.05</v>
      </c>
      <c r="I1024" s="6" t="n">
        <v>200</v>
      </c>
      <c r="J1024" s="6" t="n">
        <v>5</v>
      </c>
      <c r="K1024" s="6" t="n">
        <v>195</v>
      </c>
      <c r="L1024" s="6" t="n">
        <v>6</v>
      </c>
      <c r="M1024" s="6" t="n">
        <v>194</v>
      </c>
      <c r="N1024" s="11" t="n">
        <f aca="false">J1024/(J1024+K1024)</f>
        <v>0.025</v>
      </c>
      <c r="O1024" s="11" t="n">
        <f aca="false">IF(J1024+L1024=0,"",J1024/(J1024+L1024))</f>
        <v>0.454545454545455</v>
      </c>
      <c r="P1024" s="11" t="n">
        <f aca="false">2*J1024/(2*J1024+L1024+K1024)</f>
        <v>0.04739336492891</v>
      </c>
      <c r="Q1024" s="11" t="n">
        <f aca="false">L1024/(L1024+M1024)</f>
        <v>0.03</v>
      </c>
      <c r="R1024" s="6" t="n">
        <v>3</v>
      </c>
      <c r="S1024" s="11" t="n">
        <v>0</v>
      </c>
      <c r="T1024" s="11" t="n">
        <v>0.0253807106598985</v>
      </c>
      <c r="U1024" s="11" t="n">
        <v>0.88</v>
      </c>
      <c r="V1024" s="11" t="n">
        <v>0.875</v>
      </c>
    </row>
    <row r="1025" customFormat="false" ht="15" hidden="false" customHeight="false" outlineLevel="0" collapsed="false">
      <c r="A1025" s="6" t="s">
        <v>62</v>
      </c>
      <c r="B1025" s="6" t="s">
        <v>63</v>
      </c>
      <c r="C1025" s="6" t="s">
        <v>44</v>
      </c>
      <c r="D1025" s="6" t="s">
        <v>114</v>
      </c>
      <c r="E1025" s="6" t="n">
        <v>16</v>
      </c>
      <c r="F1025" s="6" t="n">
        <v>4</v>
      </c>
      <c r="G1025" s="6" t="s">
        <v>68</v>
      </c>
      <c r="H1025" s="11" t="n">
        <v>0.05</v>
      </c>
      <c r="I1025" s="6" t="n">
        <v>20</v>
      </c>
      <c r="J1025" s="6" t="n">
        <v>1</v>
      </c>
      <c r="K1025" s="6" t="n">
        <v>19</v>
      </c>
      <c r="L1025" s="6" t="n">
        <v>2</v>
      </c>
      <c r="M1025" s="6" t="n">
        <v>18</v>
      </c>
      <c r="N1025" s="11" t="n">
        <f aca="false">J1025/(J1025+K1025)</f>
        <v>0.05</v>
      </c>
      <c r="O1025" s="11" t="n">
        <f aca="false">IF(J1025+L1025=0,"",J1025/(J1025+L1025))</f>
        <v>0.333333333333333</v>
      </c>
      <c r="P1025" s="11" t="n">
        <f aca="false">2*J1025/(2*J1025+L1025+K1025)</f>
        <v>0.0869565217391304</v>
      </c>
      <c r="Q1025" s="11" t="n">
        <f aca="false">L1025/(L1025+M1025)</f>
        <v>0.1</v>
      </c>
      <c r="R1025" s="6" t="n">
        <v>0</v>
      </c>
      <c r="S1025" s="11"/>
      <c r="T1025" s="11" t="n">
        <v>0.05</v>
      </c>
      <c r="U1025" s="11" t="n">
        <v>0.85</v>
      </c>
      <c r="V1025" s="11" t="n">
        <v>0.85</v>
      </c>
    </row>
    <row r="1026" customFormat="false" ht="15" hidden="false" customHeight="false" outlineLevel="0" collapsed="false">
      <c r="A1026" s="6" t="s">
        <v>62</v>
      </c>
      <c r="B1026" s="6" t="s">
        <v>63</v>
      </c>
      <c r="C1026" s="6" t="s">
        <v>44</v>
      </c>
      <c r="D1026" s="6" t="s">
        <v>114</v>
      </c>
      <c r="E1026" s="6" t="n">
        <v>16</v>
      </c>
      <c r="F1026" s="6" t="n">
        <v>4</v>
      </c>
      <c r="G1026" s="6" t="s">
        <v>69</v>
      </c>
      <c r="H1026" s="11" t="n">
        <v>0.05</v>
      </c>
      <c r="I1026" s="6" t="n">
        <v>20</v>
      </c>
      <c r="J1026" s="6" t="n">
        <v>1</v>
      </c>
      <c r="K1026" s="6" t="n">
        <v>19</v>
      </c>
      <c r="L1026" s="6" t="n">
        <v>1</v>
      </c>
      <c r="M1026" s="6" t="n">
        <v>19</v>
      </c>
      <c r="N1026" s="11" t="n">
        <f aca="false">J1026/(J1026+K1026)</f>
        <v>0.05</v>
      </c>
      <c r="O1026" s="11" t="n">
        <f aca="false">IF(J1026+L1026=0,"",J1026/(J1026+L1026))</f>
        <v>0.5</v>
      </c>
      <c r="P1026" s="11" t="n">
        <f aca="false">2*J1026/(2*J1026+L1026+K1026)</f>
        <v>0.0909090909090909</v>
      </c>
      <c r="Q1026" s="11" t="n">
        <f aca="false">L1026/(L1026+M1026)</f>
        <v>0.05</v>
      </c>
      <c r="R1026" s="6" t="n">
        <v>0</v>
      </c>
      <c r="S1026" s="11"/>
      <c r="T1026" s="11" t="n">
        <v>0.05</v>
      </c>
      <c r="U1026" s="11" t="n">
        <v>1</v>
      </c>
      <c r="V1026" s="11" t="n">
        <v>1</v>
      </c>
    </row>
    <row r="1027" customFormat="false" ht="15" hidden="false" customHeight="false" outlineLevel="0" collapsed="false">
      <c r="A1027" s="6" t="s">
        <v>62</v>
      </c>
      <c r="B1027" s="6" t="s">
        <v>63</v>
      </c>
      <c r="C1027" s="6" t="s">
        <v>44</v>
      </c>
      <c r="D1027" s="6" t="s">
        <v>114</v>
      </c>
      <c r="E1027" s="6" t="n">
        <v>16</v>
      </c>
      <c r="F1027" s="6" t="n">
        <v>4</v>
      </c>
      <c r="G1027" s="6" t="s">
        <v>70</v>
      </c>
      <c r="H1027" s="11" t="n">
        <v>0.05</v>
      </c>
      <c r="I1027" s="6" t="n">
        <v>20</v>
      </c>
      <c r="J1027" s="6" t="n">
        <v>0</v>
      </c>
      <c r="K1027" s="6" t="n">
        <v>20</v>
      </c>
      <c r="L1027" s="6" t="n">
        <v>0</v>
      </c>
      <c r="M1027" s="6" t="n">
        <v>20</v>
      </c>
      <c r="N1027" s="11" t="n">
        <f aca="false">J1027/(J1027+K1027)</f>
        <v>0</v>
      </c>
      <c r="O1027" s="11" t="str">
        <f aca="false">IF(J1027+L1027=0,"",J1027/(J1027+L1027))</f>
        <v/>
      </c>
      <c r="P1027" s="11" t="n">
        <f aca="false">2*J1027/(2*J1027+L1027+K1027)</f>
        <v>0</v>
      </c>
      <c r="Q1027" s="11" t="n">
        <f aca="false">L1027/(L1027+M1027)</f>
        <v>0</v>
      </c>
      <c r="R1027" s="6" t="n">
        <v>0</v>
      </c>
      <c r="S1027" s="11"/>
      <c r="T1027" s="11" t="n">
        <v>0</v>
      </c>
      <c r="U1027" s="11" t="n">
        <v>0.9</v>
      </c>
      <c r="V1027" s="11" t="n">
        <v>0.9</v>
      </c>
    </row>
    <row r="1028" customFormat="false" ht="15" hidden="false" customHeight="false" outlineLevel="0" collapsed="false">
      <c r="A1028" s="6" t="s">
        <v>62</v>
      </c>
      <c r="B1028" s="6" t="s">
        <v>63</v>
      </c>
      <c r="C1028" s="6" t="s">
        <v>44</v>
      </c>
      <c r="D1028" s="6" t="s">
        <v>114</v>
      </c>
      <c r="E1028" s="6" t="n">
        <v>16</v>
      </c>
      <c r="F1028" s="6" t="n">
        <v>4</v>
      </c>
      <c r="G1028" s="6" t="s">
        <v>71</v>
      </c>
      <c r="H1028" s="11" t="n">
        <v>0.05</v>
      </c>
      <c r="I1028" s="6" t="n">
        <v>20</v>
      </c>
      <c r="J1028" s="6" t="n">
        <v>0</v>
      </c>
      <c r="K1028" s="6" t="n">
        <v>20</v>
      </c>
      <c r="L1028" s="6" t="n">
        <v>0</v>
      </c>
      <c r="M1028" s="6" t="n">
        <v>20</v>
      </c>
      <c r="N1028" s="11" t="n">
        <f aca="false">J1028/(J1028+K1028)</f>
        <v>0</v>
      </c>
      <c r="O1028" s="11" t="str">
        <f aca="false">IF(J1028+L1028=0,"",J1028/(J1028+L1028))</f>
        <v/>
      </c>
      <c r="P1028" s="11" t="n">
        <f aca="false">2*J1028/(2*J1028+L1028+K1028)</f>
        <v>0</v>
      </c>
      <c r="Q1028" s="11" t="n">
        <f aca="false">L1028/(L1028+M1028)</f>
        <v>0</v>
      </c>
      <c r="R1028" s="6" t="n">
        <v>0</v>
      </c>
      <c r="S1028" s="11"/>
      <c r="T1028" s="11" t="n">
        <v>0</v>
      </c>
      <c r="U1028" s="11" t="n">
        <v>0.8</v>
      </c>
      <c r="V1028" s="11" t="n">
        <v>0.8</v>
      </c>
    </row>
    <row r="1029" customFormat="false" ht="15" hidden="false" customHeight="false" outlineLevel="0" collapsed="false">
      <c r="A1029" s="6" t="s">
        <v>62</v>
      </c>
      <c r="B1029" s="6" t="s">
        <v>63</v>
      </c>
      <c r="C1029" s="6" t="s">
        <v>44</v>
      </c>
      <c r="D1029" s="6" t="s">
        <v>114</v>
      </c>
      <c r="E1029" s="6" t="n">
        <v>16</v>
      </c>
      <c r="F1029" s="6" t="n">
        <v>4</v>
      </c>
      <c r="G1029" s="6" t="s">
        <v>72</v>
      </c>
      <c r="H1029" s="11" t="n">
        <v>0.05</v>
      </c>
      <c r="I1029" s="6" t="n">
        <v>20</v>
      </c>
      <c r="J1029" s="6" t="n">
        <v>1</v>
      </c>
      <c r="K1029" s="6" t="n">
        <v>19</v>
      </c>
      <c r="L1029" s="6" t="n">
        <v>1</v>
      </c>
      <c r="M1029" s="6" t="n">
        <v>19</v>
      </c>
      <c r="N1029" s="11" t="n">
        <f aca="false">J1029/(J1029+K1029)</f>
        <v>0.05</v>
      </c>
      <c r="O1029" s="11" t="n">
        <f aca="false">IF(J1029+L1029=0,"",J1029/(J1029+L1029))</f>
        <v>0.5</v>
      </c>
      <c r="P1029" s="11" t="n">
        <f aca="false">2*J1029/(2*J1029+L1029+K1029)</f>
        <v>0.0909090909090909</v>
      </c>
      <c r="Q1029" s="11" t="n">
        <f aca="false">L1029/(L1029+M1029)</f>
        <v>0.05</v>
      </c>
      <c r="R1029" s="6" t="n">
        <v>0</v>
      </c>
      <c r="S1029" s="11"/>
      <c r="T1029" s="11" t="n">
        <v>0.05</v>
      </c>
      <c r="U1029" s="11" t="n">
        <v>0.9</v>
      </c>
      <c r="V1029" s="11" t="n">
        <v>0.9</v>
      </c>
    </row>
    <row r="1030" customFormat="false" ht="15" hidden="false" customHeight="false" outlineLevel="0" collapsed="false">
      <c r="A1030" s="6" t="s">
        <v>62</v>
      </c>
      <c r="B1030" s="6" t="s">
        <v>63</v>
      </c>
      <c r="C1030" s="6" t="s">
        <v>44</v>
      </c>
      <c r="D1030" s="6" t="s">
        <v>114</v>
      </c>
      <c r="E1030" s="6" t="n">
        <v>16</v>
      </c>
      <c r="F1030" s="6" t="n">
        <v>4</v>
      </c>
      <c r="G1030" s="6" t="s">
        <v>73</v>
      </c>
      <c r="H1030" s="11" t="n">
        <v>0.05</v>
      </c>
      <c r="I1030" s="6" t="n">
        <v>20</v>
      </c>
      <c r="J1030" s="6" t="n">
        <v>0</v>
      </c>
      <c r="K1030" s="6" t="n">
        <v>20</v>
      </c>
      <c r="L1030" s="6" t="n">
        <v>0</v>
      </c>
      <c r="M1030" s="6" t="n">
        <v>20</v>
      </c>
      <c r="N1030" s="11" t="n">
        <f aca="false">J1030/(J1030+K1030)</f>
        <v>0</v>
      </c>
      <c r="O1030" s="11" t="str">
        <f aca="false">IF(J1030+L1030=0,"",J1030/(J1030+L1030))</f>
        <v/>
      </c>
      <c r="P1030" s="11" t="n">
        <f aca="false">2*J1030/(2*J1030+L1030+K1030)</f>
        <v>0</v>
      </c>
      <c r="Q1030" s="11" t="n">
        <f aca="false">L1030/(L1030+M1030)</f>
        <v>0</v>
      </c>
      <c r="R1030" s="6" t="n">
        <v>2</v>
      </c>
      <c r="S1030" s="11" t="n">
        <v>0</v>
      </c>
      <c r="T1030" s="11" t="n">
        <v>0</v>
      </c>
      <c r="U1030" s="11" t="n">
        <v>0.65</v>
      </c>
      <c r="V1030" s="11" t="n">
        <v>0.65</v>
      </c>
    </row>
    <row r="1031" customFormat="false" ht="15" hidden="false" customHeight="false" outlineLevel="0" collapsed="false">
      <c r="A1031" s="6" t="s">
        <v>62</v>
      </c>
      <c r="B1031" s="6" t="s">
        <v>63</v>
      </c>
      <c r="C1031" s="6" t="s">
        <v>44</v>
      </c>
      <c r="D1031" s="6" t="s">
        <v>114</v>
      </c>
      <c r="E1031" s="6" t="n">
        <v>16</v>
      </c>
      <c r="F1031" s="6" t="n">
        <v>4</v>
      </c>
      <c r="G1031" s="6" t="s">
        <v>74</v>
      </c>
      <c r="H1031" s="11" t="n">
        <v>0.05</v>
      </c>
      <c r="I1031" s="6" t="n">
        <v>20</v>
      </c>
      <c r="J1031" s="6" t="n">
        <v>1</v>
      </c>
      <c r="K1031" s="6" t="n">
        <v>19</v>
      </c>
      <c r="L1031" s="6" t="n">
        <v>1</v>
      </c>
      <c r="M1031" s="6" t="n">
        <v>19</v>
      </c>
      <c r="N1031" s="11" t="n">
        <f aca="false">J1031/(J1031+K1031)</f>
        <v>0.05</v>
      </c>
      <c r="O1031" s="11" t="n">
        <f aca="false">IF(J1031+L1031=0,"",J1031/(J1031+L1031))</f>
        <v>0.5</v>
      </c>
      <c r="P1031" s="11" t="n">
        <f aca="false">2*J1031/(2*J1031+L1031+K1031)</f>
        <v>0.0909090909090909</v>
      </c>
      <c r="Q1031" s="11" t="n">
        <f aca="false">L1031/(L1031+M1031)</f>
        <v>0.05</v>
      </c>
      <c r="R1031" s="6" t="n">
        <v>1</v>
      </c>
      <c r="S1031" s="11" t="n">
        <v>0</v>
      </c>
      <c r="T1031" s="11" t="n">
        <v>0.0526315789473684</v>
      </c>
      <c r="U1031" s="11" t="n">
        <v>0.85</v>
      </c>
      <c r="V1031" s="11" t="n">
        <v>0.9</v>
      </c>
    </row>
    <row r="1032" customFormat="false" ht="15" hidden="false" customHeight="false" outlineLevel="0" collapsed="false">
      <c r="A1032" s="6" t="s">
        <v>62</v>
      </c>
      <c r="B1032" s="6" t="s">
        <v>63</v>
      </c>
      <c r="C1032" s="6" t="s">
        <v>44</v>
      </c>
      <c r="D1032" s="6" t="s">
        <v>114</v>
      </c>
      <c r="E1032" s="6" t="n">
        <v>16</v>
      </c>
      <c r="F1032" s="6" t="n">
        <v>4</v>
      </c>
      <c r="G1032" s="6" t="s">
        <v>75</v>
      </c>
      <c r="H1032" s="11" t="n">
        <v>0.05</v>
      </c>
      <c r="I1032" s="6" t="n">
        <v>20</v>
      </c>
      <c r="J1032" s="6" t="n">
        <v>0</v>
      </c>
      <c r="K1032" s="6" t="n">
        <v>20</v>
      </c>
      <c r="L1032" s="6" t="n">
        <v>0</v>
      </c>
      <c r="M1032" s="6" t="n">
        <v>20</v>
      </c>
      <c r="N1032" s="11" t="n">
        <f aca="false">J1032/(J1032+K1032)</f>
        <v>0</v>
      </c>
      <c r="O1032" s="11" t="str">
        <f aca="false">IF(J1032+L1032=0,"",J1032/(J1032+L1032))</f>
        <v/>
      </c>
      <c r="P1032" s="11" t="n">
        <f aca="false">2*J1032/(2*J1032+L1032+K1032)</f>
        <v>0</v>
      </c>
      <c r="Q1032" s="11" t="n">
        <f aca="false">L1032/(L1032+M1032)</f>
        <v>0</v>
      </c>
      <c r="R1032" s="6" t="n">
        <v>0</v>
      </c>
      <c r="S1032" s="11"/>
      <c r="T1032" s="11" t="n">
        <v>0</v>
      </c>
      <c r="U1032" s="11" t="n">
        <v>0.9</v>
      </c>
      <c r="V1032" s="11" t="n">
        <v>0.9</v>
      </c>
    </row>
    <row r="1033" customFormat="false" ht="15" hidden="false" customHeight="false" outlineLevel="0" collapsed="false">
      <c r="A1033" s="6" t="s">
        <v>62</v>
      </c>
      <c r="B1033" s="6" t="s">
        <v>63</v>
      </c>
      <c r="C1033" s="6" t="s">
        <v>44</v>
      </c>
      <c r="D1033" s="6" t="s">
        <v>114</v>
      </c>
      <c r="E1033" s="6" t="n">
        <v>16</v>
      </c>
      <c r="F1033" s="6" t="n">
        <v>4</v>
      </c>
      <c r="G1033" s="6" t="s">
        <v>76</v>
      </c>
      <c r="H1033" s="11" t="n">
        <v>0.05</v>
      </c>
      <c r="I1033" s="6" t="n">
        <v>20</v>
      </c>
      <c r="J1033" s="6" t="n">
        <v>0</v>
      </c>
      <c r="K1033" s="6" t="n">
        <v>20</v>
      </c>
      <c r="L1033" s="6" t="n">
        <v>0</v>
      </c>
      <c r="M1033" s="6" t="n">
        <v>20</v>
      </c>
      <c r="N1033" s="11" t="n">
        <f aca="false">J1033/(J1033+K1033)</f>
        <v>0</v>
      </c>
      <c r="O1033" s="11" t="str">
        <f aca="false">IF(J1033+L1033=0,"",J1033/(J1033+L1033))</f>
        <v/>
      </c>
      <c r="P1033" s="11" t="n">
        <f aca="false">2*J1033/(2*J1033+L1033+K1033)</f>
        <v>0</v>
      </c>
      <c r="Q1033" s="11" t="n">
        <f aca="false">L1033/(L1033+M1033)</f>
        <v>0</v>
      </c>
      <c r="R1033" s="6" t="n">
        <v>0</v>
      </c>
      <c r="S1033" s="11"/>
      <c r="T1033" s="11" t="n">
        <v>0</v>
      </c>
      <c r="U1033" s="11" t="n">
        <v>0.95</v>
      </c>
      <c r="V1033" s="11" t="n">
        <v>0.95</v>
      </c>
    </row>
    <row r="1034" customFormat="false" ht="15" hidden="false" customHeight="false" outlineLevel="0" collapsed="false">
      <c r="A1034" s="6" t="s">
        <v>62</v>
      </c>
      <c r="B1034" s="6" t="s">
        <v>63</v>
      </c>
      <c r="C1034" s="6" t="s">
        <v>44</v>
      </c>
      <c r="D1034" s="6" t="s">
        <v>114</v>
      </c>
      <c r="E1034" s="6" t="n">
        <v>16</v>
      </c>
      <c r="F1034" s="6" t="n">
        <v>4</v>
      </c>
      <c r="G1034" s="6" t="s">
        <v>77</v>
      </c>
      <c r="H1034" s="11" t="n">
        <v>0.05</v>
      </c>
      <c r="I1034" s="6" t="n">
        <v>20</v>
      </c>
      <c r="J1034" s="6" t="n">
        <v>1</v>
      </c>
      <c r="K1034" s="6" t="n">
        <v>19</v>
      </c>
      <c r="L1034" s="6" t="n">
        <v>1</v>
      </c>
      <c r="M1034" s="6" t="n">
        <v>19</v>
      </c>
      <c r="N1034" s="11" t="n">
        <f aca="false">J1034/(J1034+K1034)</f>
        <v>0.05</v>
      </c>
      <c r="O1034" s="11" t="n">
        <f aca="false">IF(J1034+L1034=0,"",J1034/(J1034+L1034))</f>
        <v>0.5</v>
      </c>
      <c r="P1034" s="11" t="n">
        <f aca="false">2*J1034/(2*J1034+L1034+K1034)</f>
        <v>0.0909090909090909</v>
      </c>
      <c r="Q1034" s="11" t="n">
        <f aca="false">L1034/(L1034+M1034)</f>
        <v>0.05</v>
      </c>
      <c r="R1034" s="6" t="n">
        <v>0</v>
      </c>
      <c r="S1034" s="11"/>
      <c r="T1034" s="11" t="n">
        <v>0.05</v>
      </c>
      <c r="U1034" s="11" t="n">
        <v>1</v>
      </c>
      <c r="V1034" s="11" t="n">
        <v>1</v>
      </c>
    </row>
    <row r="1035" customFormat="false" ht="15" hidden="false" customHeight="false" outlineLevel="0" collapsed="false">
      <c r="A1035" s="6" t="s">
        <v>62</v>
      </c>
      <c r="B1035" s="6" t="s">
        <v>63</v>
      </c>
      <c r="C1035" s="6" t="s">
        <v>44</v>
      </c>
      <c r="D1035" s="6" t="s">
        <v>114</v>
      </c>
      <c r="E1035" s="6" t="n">
        <v>16</v>
      </c>
      <c r="F1035" s="6" t="n">
        <v>4</v>
      </c>
      <c r="G1035" s="6" t="s">
        <v>78</v>
      </c>
      <c r="H1035" s="11" t="n">
        <v>0.05</v>
      </c>
      <c r="I1035" s="6" t="n">
        <v>200</v>
      </c>
      <c r="J1035" s="6" t="n">
        <v>5</v>
      </c>
      <c r="K1035" s="6" t="n">
        <v>195</v>
      </c>
      <c r="L1035" s="6" t="n">
        <v>6</v>
      </c>
      <c r="M1035" s="6" t="n">
        <v>194</v>
      </c>
      <c r="N1035" s="11" t="n">
        <f aca="false">J1035/(J1035+K1035)</f>
        <v>0.025</v>
      </c>
      <c r="O1035" s="11" t="n">
        <f aca="false">IF(J1035+L1035=0,"",J1035/(J1035+L1035))</f>
        <v>0.454545454545455</v>
      </c>
      <c r="P1035" s="11" t="n">
        <f aca="false">2*J1035/(2*J1035+L1035+K1035)</f>
        <v>0.04739336492891</v>
      </c>
      <c r="Q1035" s="11" t="n">
        <f aca="false">L1035/(L1035+M1035)</f>
        <v>0.03</v>
      </c>
      <c r="R1035" s="6" t="n">
        <v>3</v>
      </c>
      <c r="S1035" s="11" t="n">
        <v>0</v>
      </c>
      <c r="T1035" s="11" t="n">
        <v>0.0253807106598985</v>
      </c>
      <c r="U1035" s="11" t="n">
        <v>0.88</v>
      </c>
      <c r="V1035" s="11" t="n">
        <v>0.885</v>
      </c>
    </row>
    <row r="1036" customFormat="false" ht="15" hidden="false" customHeight="false" outlineLevel="0" collapsed="false">
      <c r="A1036" s="6" t="s">
        <v>62</v>
      </c>
      <c r="B1036" s="6" t="s">
        <v>63</v>
      </c>
      <c r="C1036" s="6" t="s">
        <v>44</v>
      </c>
      <c r="D1036" s="6" t="s">
        <v>114</v>
      </c>
      <c r="E1036" s="6" t="n">
        <v>16</v>
      </c>
      <c r="F1036" s="6" t="n">
        <v>5</v>
      </c>
      <c r="G1036" s="6" t="s">
        <v>68</v>
      </c>
      <c r="H1036" s="11" t="n">
        <v>0.05</v>
      </c>
      <c r="I1036" s="6" t="n">
        <v>20</v>
      </c>
      <c r="J1036" s="6" t="n">
        <v>3</v>
      </c>
      <c r="K1036" s="6" t="n">
        <v>17</v>
      </c>
      <c r="L1036" s="6" t="n">
        <v>2</v>
      </c>
      <c r="M1036" s="6" t="n">
        <v>18</v>
      </c>
      <c r="N1036" s="11" t="n">
        <f aca="false">J1036/(J1036+K1036)</f>
        <v>0.15</v>
      </c>
      <c r="O1036" s="11" t="n">
        <f aca="false">IF(J1036+L1036=0,"",J1036/(J1036+L1036))</f>
        <v>0.6</v>
      </c>
      <c r="P1036" s="11" t="n">
        <f aca="false">2*J1036/(2*J1036+L1036+K1036)</f>
        <v>0.24</v>
      </c>
      <c r="Q1036" s="11" t="n">
        <f aca="false">L1036/(L1036+M1036)</f>
        <v>0.1</v>
      </c>
      <c r="R1036" s="6" t="n">
        <v>1</v>
      </c>
      <c r="S1036" s="11" t="n">
        <v>0</v>
      </c>
      <c r="T1036" s="11" t="n">
        <v>0.157894736842105</v>
      </c>
      <c r="U1036" s="11" t="n">
        <v>0.85</v>
      </c>
      <c r="V1036" s="11" t="n">
        <v>0.9</v>
      </c>
    </row>
    <row r="1037" customFormat="false" ht="15" hidden="false" customHeight="false" outlineLevel="0" collapsed="false">
      <c r="A1037" s="6" t="s">
        <v>62</v>
      </c>
      <c r="B1037" s="6" t="s">
        <v>63</v>
      </c>
      <c r="C1037" s="6" t="s">
        <v>44</v>
      </c>
      <c r="D1037" s="6" t="s">
        <v>114</v>
      </c>
      <c r="E1037" s="6" t="n">
        <v>16</v>
      </c>
      <c r="F1037" s="6" t="n">
        <v>5</v>
      </c>
      <c r="G1037" s="6" t="s">
        <v>69</v>
      </c>
      <c r="H1037" s="11" t="n">
        <v>0.05</v>
      </c>
      <c r="I1037" s="6" t="n">
        <v>20</v>
      </c>
      <c r="J1037" s="6" t="n">
        <v>1</v>
      </c>
      <c r="K1037" s="6" t="n">
        <v>19</v>
      </c>
      <c r="L1037" s="6" t="n">
        <v>1</v>
      </c>
      <c r="M1037" s="6" t="n">
        <v>19</v>
      </c>
      <c r="N1037" s="11" t="n">
        <f aca="false">J1037/(J1037+K1037)</f>
        <v>0.05</v>
      </c>
      <c r="O1037" s="11" t="n">
        <f aca="false">IF(J1037+L1037=0,"",J1037/(J1037+L1037))</f>
        <v>0.5</v>
      </c>
      <c r="P1037" s="11" t="n">
        <f aca="false">2*J1037/(2*J1037+L1037+K1037)</f>
        <v>0.0909090909090909</v>
      </c>
      <c r="Q1037" s="11" t="n">
        <f aca="false">L1037/(L1037+M1037)</f>
        <v>0.05</v>
      </c>
      <c r="R1037" s="6" t="n">
        <v>0</v>
      </c>
      <c r="S1037" s="11"/>
      <c r="T1037" s="11" t="n">
        <v>0.05</v>
      </c>
      <c r="U1037" s="11" t="n">
        <v>1</v>
      </c>
      <c r="V1037" s="11" t="n">
        <v>1</v>
      </c>
    </row>
    <row r="1038" customFormat="false" ht="15" hidden="false" customHeight="false" outlineLevel="0" collapsed="false">
      <c r="A1038" s="6" t="s">
        <v>62</v>
      </c>
      <c r="B1038" s="6" t="s">
        <v>63</v>
      </c>
      <c r="C1038" s="6" t="s">
        <v>44</v>
      </c>
      <c r="D1038" s="6" t="s">
        <v>114</v>
      </c>
      <c r="E1038" s="6" t="n">
        <v>16</v>
      </c>
      <c r="F1038" s="6" t="n">
        <v>5</v>
      </c>
      <c r="G1038" s="6" t="s">
        <v>70</v>
      </c>
      <c r="H1038" s="11" t="n">
        <v>0.05</v>
      </c>
      <c r="I1038" s="6" t="n">
        <v>20</v>
      </c>
      <c r="J1038" s="6" t="n">
        <v>0</v>
      </c>
      <c r="K1038" s="6" t="n">
        <v>20</v>
      </c>
      <c r="L1038" s="6" t="n">
        <v>0</v>
      </c>
      <c r="M1038" s="6" t="n">
        <v>20</v>
      </c>
      <c r="N1038" s="11" t="n">
        <f aca="false">J1038/(J1038+K1038)</f>
        <v>0</v>
      </c>
      <c r="O1038" s="11" t="str">
        <f aca="false">IF(J1038+L1038=0,"",J1038/(J1038+L1038))</f>
        <v/>
      </c>
      <c r="P1038" s="11" t="n">
        <f aca="false">2*J1038/(2*J1038+L1038+K1038)</f>
        <v>0</v>
      </c>
      <c r="Q1038" s="11" t="n">
        <f aca="false">L1038/(L1038+M1038)</f>
        <v>0</v>
      </c>
      <c r="R1038" s="6" t="n">
        <v>0</v>
      </c>
      <c r="S1038" s="11"/>
      <c r="T1038" s="11" t="n">
        <v>0</v>
      </c>
      <c r="U1038" s="11" t="n">
        <v>0.9</v>
      </c>
      <c r="V1038" s="11" t="n">
        <v>0.9</v>
      </c>
    </row>
    <row r="1039" customFormat="false" ht="15" hidden="false" customHeight="false" outlineLevel="0" collapsed="false">
      <c r="A1039" s="6" t="s">
        <v>62</v>
      </c>
      <c r="B1039" s="6" t="s">
        <v>63</v>
      </c>
      <c r="C1039" s="6" t="s">
        <v>44</v>
      </c>
      <c r="D1039" s="6" t="s">
        <v>114</v>
      </c>
      <c r="E1039" s="6" t="n">
        <v>16</v>
      </c>
      <c r="F1039" s="6" t="n">
        <v>5</v>
      </c>
      <c r="G1039" s="6" t="s">
        <v>71</v>
      </c>
      <c r="H1039" s="11" t="n">
        <v>0.05</v>
      </c>
      <c r="I1039" s="6" t="n">
        <v>20</v>
      </c>
      <c r="J1039" s="6" t="n">
        <v>0</v>
      </c>
      <c r="K1039" s="6" t="n">
        <v>20</v>
      </c>
      <c r="L1039" s="6" t="n">
        <v>0</v>
      </c>
      <c r="M1039" s="6" t="n">
        <v>20</v>
      </c>
      <c r="N1039" s="11" t="n">
        <f aca="false">J1039/(J1039+K1039)</f>
        <v>0</v>
      </c>
      <c r="O1039" s="11" t="str">
        <f aca="false">IF(J1039+L1039=0,"",J1039/(J1039+L1039))</f>
        <v/>
      </c>
      <c r="P1039" s="11" t="n">
        <f aca="false">2*J1039/(2*J1039+L1039+K1039)</f>
        <v>0</v>
      </c>
      <c r="Q1039" s="11" t="n">
        <f aca="false">L1039/(L1039+M1039)</f>
        <v>0</v>
      </c>
      <c r="R1039" s="6" t="n">
        <v>0</v>
      </c>
      <c r="S1039" s="11"/>
      <c r="T1039" s="11" t="n">
        <v>0</v>
      </c>
      <c r="U1039" s="11" t="n">
        <v>0.8</v>
      </c>
      <c r="V1039" s="11" t="n">
        <v>0.8</v>
      </c>
    </row>
    <row r="1040" customFormat="false" ht="15" hidden="false" customHeight="false" outlineLevel="0" collapsed="false">
      <c r="A1040" s="6" t="s">
        <v>62</v>
      </c>
      <c r="B1040" s="6" t="s">
        <v>63</v>
      </c>
      <c r="C1040" s="6" t="s">
        <v>44</v>
      </c>
      <c r="D1040" s="6" t="s">
        <v>114</v>
      </c>
      <c r="E1040" s="6" t="n">
        <v>16</v>
      </c>
      <c r="F1040" s="6" t="n">
        <v>5</v>
      </c>
      <c r="G1040" s="6" t="s">
        <v>72</v>
      </c>
      <c r="H1040" s="11" t="n">
        <v>0.05</v>
      </c>
      <c r="I1040" s="6" t="n">
        <v>20</v>
      </c>
      <c r="J1040" s="6" t="n">
        <v>0</v>
      </c>
      <c r="K1040" s="6" t="n">
        <v>20</v>
      </c>
      <c r="L1040" s="6" t="n">
        <v>1</v>
      </c>
      <c r="M1040" s="6" t="n">
        <v>19</v>
      </c>
      <c r="N1040" s="11" t="n">
        <f aca="false">J1040/(J1040+K1040)</f>
        <v>0</v>
      </c>
      <c r="O1040" s="11" t="n">
        <f aca="false">IF(J1040+L1040=0,"",J1040/(J1040+L1040))</f>
        <v>0</v>
      </c>
      <c r="P1040" s="11" t="n">
        <f aca="false">2*J1040/(2*J1040+L1040+K1040)</f>
        <v>0</v>
      </c>
      <c r="Q1040" s="11" t="n">
        <f aca="false">L1040/(L1040+M1040)</f>
        <v>0.05</v>
      </c>
      <c r="R1040" s="6" t="n">
        <v>0</v>
      </c>
      <c r="S1040" s="11"/>
      <c r="T1040" s="11" t="n">
        <v>0</v>
      </c>
      <c r="U1040" s="11" t="n">
        <v>0.9</v>
      </c>
      <c r="V1040" s="11" t="n">
        <v>0.9</v>
      </c>
    </row>
    <row r="1041" customFormat="false" ht="15" hidden="false" customHeight="false" outlineLevel="0" collapsed="false">
      <c r="A1041" s="6" t="s">
        <v>62</v>
      </c>
      <c r="B1041" s="6" t="s">
        <v>63</v>
      </c>
      <c r="C1041" s="6" t="s">
        <v>44</v>
      </c>
      <c r="D1041" s="6" t="s">
        <v>114</v>
      </c>
      <c r="E1041" s="6" t="n">
        <v>16</v>
      </c>
      <c r="F1041" s="6" t="n">
        <v>5</v>
      </c>
      <c r="G1041" s="6" t="s">
        <v>73</v>
      </c>
      <c r="H1041" s="11" t="n">
        <v>0.05</v>
      </c>
      <c r="I1041" s="6" t="n">
        <v>20</v>
      </c>
      <c r="J1041" s="6" t="n">
        <v>0</v>
      </c>
      <c r="K1041" s="6" t="n">
        <v>20</v>
      </c>
      <c r="L1041" s="6" t="n">
        <v>0</v>
      </c>
      <c r="M1041" s="6" t="n">
        <v>20</v>
      </c>
      <c r="N1041" s="11" t="n">
        <f aca="false">J1041/(J1041+K1041)</f>
        <v>0</v>
      </c>
      <c r="O1041" s="11" t="str">
        <f aca="false">IF(J1041+L1041=0,"",J1041/(J1041+L1041))</f>
        <v/>
      </c>
      <c r="P1041" s="11" t="n">
        <f aca="false">2*J1041/(2*J1041+L1041+K1041)</f>
        <v>0</v>
      </c>
      <c r="Q1041" s="11" t="n">
        <f aca="false">L1041/(L1041+M1041)</f>
        <v>0</v>
      </c>
      <c r="R1041" s="6" t="n">
        <v>1</v>
      </c>
      <c r="S1041" s="11" t="n">
        <v>0</v>
      </c>
      <c r="T1041" s="11" t="n">
        <v>0</v>
      </c>
      <c r="U1041" s="11" t="n">
        <v>0.65</v>
      </c>
      <c r="V1041" s="11" t="n">
        <v>0.65</v>
      </c>
    </row>
    <row r="1042" customFormat="false" ht="15" hidden="false" customHeight="false" outlineLevel="0" collapsed="false">
      <c r="A1042" s="6" t="s">
        <v>62</v>
      </c>
      <c r="B1042" s="6" t="s">
        <v>63</v>
      </c>
      <c r="C1042" s="6" t="s">
        <v>44</v>
      </c>
      <c r="D1042" s="6" t="s">
        <v>114</v>
      </c>
      <c r="E1042" s="6" t="n">
        <v>16</v>
      </c>
      <c r="F1042" s="6" t="n">
        <v>5</v>
      </c>
      <c r="G1042" s="6" t="s">
        <v>74</v>
      </c>
      <c r="H1042" s="11" t="n">
        <v>0.05</v>
      </c>
      <c r="I1042" s="6" t="n">
        <v>20</v>
      </c>
      <c r="J1042" s="6" t="n">
        <v>1</v>
      </c>
      <c r="K1042" s="6" t="n">
        <v>19</v>
      </c>
      <c r="L1042" s="6" t="n">
        <v>1</v>
      </c>
      <c r="M1042" s="6" t="n">
        <v>19</v>
      </c>
      <c r="N1042" s="11" t="n">
        <f aca="false">J1042/(J1042+K1042)</f>
        <v>0.05</v>
      </c>
      <c r="O1042" s="11" t="n">
        <f aca="false">IF(J1042+L1042=0,"",J1042/(J1042+L1042))</f>
        <v>0.5</v>
      </c>
      <c r="P1042" s="11" t="n">
        <f aca="false">2*J1042/(2*J1042+L1042+K1042)</f>
        <v>0.0909090909090909</v>
      </c>
      <c r="Q1042" s="11" t="n">
        <f aca="false">L1042/(L1042+M1042)</f>
        <v>0.05</v>
      </c>
      <c r="R1042" s="6" t="n">
        <v>1</v>
      </c>
      <c r="S1042" s="11" t="n">
        <v>0</v>
      </c>
      <c r="T1042" s="11" t="n">
        <v>0.0526315789473684</v>
      </c>
      <c r="U1042" s="11" t="n">
        <v>0.85</v>
      </c>
      <c r="V1042" s="11" t="n">
        <v>0.9</v>
      </c>
    </row>
    <row r="1043" customFormat="false" ht="15" hidden="false" customHeight="false" outlineLevel="0" collapsed="false">
      <c r="A1043" s="6" t="s">
        <v>62</v>
      </c>
      <c r="B1043" s="6" t="s">
        <v>63</v>
      </c>
      <c r="C1043" s="6" t="s">
        <v>44</v>
      </c>
      <c r="D1043" s="6" t="s">
        <v>114</v>
      </c>
      <c r="E1043" s="6" t="n">
        <v>16</v>
      </c>
      <c r="F1043" s="6" t="n">
        <v>5</v>
      </c>
      <c r="G1043" s="6" t="s">
        <v>75</v>
      </c>
      <c r="H1043" s="11" t="n">
        <v>0.05</v>
      </c>
      <c r="I1043" s="6" t="n">
        <v>20</v>
      </c>
      <c r="J1043" s="6" t="n">
        <v>0</v>
      </c>
      <c r="K1043" s="6" t="n">
        <v>20</v>
      </c>
      <c r="L1043" s="6" t="n">
        <v>0</v>
      </c>
      <c r="M1043" s="6" t="n">
        <v>20</v>
      </c>
      <c r="N1043" s="11" t="n">
        <f aca="false">J1043/(J1043+K1043)</f>
        <v>0</v>
      </c>
      <c r="O1043" s="11" t="str">
        <f aca="false">IF(J1043+L1043=0,"",J1043/(J1043+L1043))</f>
        <v/>
      </c>
      <c r="P1043" s="11" t="n">
        <f aca="false">2*J1043/(2*J1043+L1043+K1043)</f>
        <v>0</v>
      </c>
      <c r="Q1043" s="11" t="n">
        <f aca="false">L1043/(L1043+M1043)</f>
        <v>0</v>
      </c>
      <c r="R1043" s="6" t="n">
        <v>1</v>
      </c>
      <c r="S1043" s="11" t="n">
        <v>0</v>
      </c>
      <c r="T1043" s="11" t="n">
        <v>0</v>
      </c>
      <c r="U1043" s="11" t="n">
        <v>0.9</v>
      </c>
      <c r="V1043" s="11" t="n">
        <v>0.95</v>
      </c>
    </row>
    <row r="1044" customFormat="false" ht="15" hidden="false" customHeight="false" outlineLevel="0" collapsed="false">
      <c r="A1044" s="6" t="s">
        <v>62</v>
      </c>
      <c r="B1044" s="6" t="s">
        <v>63</v>
      </c>
      <c r="C1044" s="6" t="s">
        <v>44</v>
      </c>
      <c r="D1044" s="6" t="s">
        <v>114</v>
      </c>
      <c r="E1044" s="6" t="n">
        <v>16</v>
      </c>
      <c r="F1044" s="6" t="n">
        <v>5</v>
      </c>
      <c r="G1044" s="6" t="s">
        <v>76</v>
      </c>
      <c r="H1044" s="11" t="n">
        <v>0.05</v>
      </c>
      <c r="I1044" s="6" t="n">
        <v>20</v>
      </c>
      <c r="J1044" s="6" t="n">
        <v>0</v>
      </c>
      <c r="K1044" s="6" t="n">
        <v>20</v>
      </c>
      <c r="L1044" s="6" t="n">
        <v>0</v>
      </c>
      <c r="M1044" s="6" t="n">
        <v>20</v>
      </c>
      <c r="N1044" s="11" t="n">
        <f aca="false">J1044/(J1044+K1044)</f>
        <v>0</v>
      </c>
      <c r="O1044" s="11" t="str">
        <f aca="false">IF(J1044+L1044=0,"",J1044/(J1044+L1044))</f>
        <v/>
      </c>
      <c r="P1044" s="11" t="n">
        <f aca="false">2*J1044/(2*J1044+L1044+K1044)</f>
        <v>0</v>
      </c>
      <c r="Q1044" s="11" t="n">
        <f aca="false">L1044/(L1044+M1044)</f>
        <v>0</v>
      </c>
      <c r="R1044" s="6" t="n">
        <v>0</v>
      </c>
      <c r="S1044" s="11"/>
      <c r="T1044" s="11" t="n">
        <v>0</v>
      </c>
      <c r="U1044" s="11" t="n">
        <v>0.95</v>
      </c>
      <c r="V1044" s="11" t="n">
        <v>0.95</v>
      </c>
    </row>
    <row r="1045" customFormat="false" ht="15" hidden="false" customHeight="false" outlineLevel="0" collapsed="false">
      <c r="A1045" s="6" t="s">
        <v>62</v>
      </c>
      <c r="B1045" s="6" t="s">
        <v>63</v>
      </c>
      <c r="C1045" s="6" t="s">
        <v>44</v>
      </c>
      <c r="D1045" s="6" t="s">
        <v>114</v>
      </c>
      <c r="E1045" s="6" t="n">
        <v>16</v>
      </c>
      <c r="F1045" s="6" t="n">
        <v>5</v>
      </c>
      <c r="G1045" s="6" t="s">
        <v>77</v>
      </c>
      <c r="H1045" s="11" t="n">
        <v>0.05</v>
      </c>
      <c r="I1045" s="6" t="n">
        <v>20</v>
      </c>
      <c r="J1045" s="6" t="n">
        <v>1</v>
      </c>
      <c r="K1045" s="6" t="n">
        <v>19</v>
      </c>
      <c r="L1045" s="6" t="n">
        <v>1</v>
      </c>
      <c r="M1045" s="6" t="n">
        <v>19</v>
      </c>
      <c r="N1045" s="11" t="n">
        <f aca="false">J1045/(J1045+K1045)</f>
        <v>0.05</v>
      </c>
      <c r="O1045" s="11" t="n">
        <f aca="false">IF(J1045+L1045=0,"",J1045/(J1045+L1045))</f>
        <v>0.5</v>
      </c>
      <c r="P1045" s="11" t="n">
        <f aca="false">2*J1045/(2*J1045+L1045+K1045)</f>
        <v>0.0909090909090909</v>
      </c>
      <c r="Q1045" s="11" t="n">
        <f aca="false">L1045/(L1045+M1045)</f>
        <v>0.05</v>
      </c>
      <c r="R1045" s="6" t="n">
        <v>0</v>
      </c>
      <c r="S1045" s="11"/>
      <c r="T1045" s="11" t="n">
        <v>0.05</v>
      </c>
      <c r="U1045" s="11" t="n">
        <v>1</v>
      </c>
      <c r="V1045" s="11" t="n">
        <v>1</v>
      </c>
    </row>
    <row r="1046" customFormat="false" ht="15" hidden="false" customHeight="false" outlineLevel="0" collapsed="false">
      <c r="A1046" s="6" t="s">
        <v>62</v>
      </c>
      <c r="B1046" s="6" t="s">
        <v>63</v>
      </c>
      <c r="C1046" s="6" t="s">
        <v>44</v>
      </c>
      <c r="D1046" s="6" t="s">
        <v>114</v>
      </c>
      <c r="E1046" s="6" t="n">
        <v>16</v>
      </c>
      <c r="F1046" s="6" t="n">
        <v>5</v>
      </c>
      <c r="G1046" s="6" t="s">
        <v>78</v>
      </c>
      <c r="H1046" s="11" t="n">
        <v>0.05</v>
      </c>
      <c r="I1046" s="6" t="n">
        <v>200</v>
      </c>
      <c r="J1046" s="6" t="n">
        <v>6</v>
      </c>
      <c r="K1046" s="6" t="n">
        <v>194</v>
      </c>
      <c r="L1046" s="6" t="n">
        <v>6</v>
      </c>
      <c r="M1046" s="6" t="n">
        <v>194</v>
      </c>
      <c r="N1046" s="11" t="n">
        <f aca="false">J1046/(J1046+K1046)</f>
        <v>0.03</v>
      </c>
      <c r="O1046" s="11" t="n">
        <f aca="false">IF(J1046+L1046=0,"",J1046/(J1046+L1046))</f>
        <v>0.5</v>
      </c>
      <c r="P1046" s="11" t="n">
        <f aca="false">2*J1046/(2*J1046+L1046+K1046)</f>
        <v>0.0566037735849057</v>
      </c>
      <c r="Q1046" s="11" t="n">
        <f aca="false">L1046/(L1046+M1046)</f>
        <v>0.03</v>
      </c>
      <c r="R1046" s="6" t="n">
        <v>4</v>
      </c>
      <c r="S1046" s="11" t="n">
        <v>0</v>
      </c>
      <c r="T1046" s="11" t="n">
        <v>0.0306122448979592</v>
      </c>
      <c r="U1046" s="11" t="n">
        <v>0.88</v>
      </c>
      <c r="V1046" s="11" t="n">
        <v>0.895</v>
      </c>
    </row>
    <row r="1047" customFormat="false" ht="15" hidden="false" customHeight="false" outlineLevel="0" collapsed="false">
      <c r="A1047" s="6" t="s">
        <v>62</v>
      </c>
      <c r="B1047" s="6" t="s">
        <v>63</v>
      </c>
      <c r="C1047" s="6" t="s">
        <v>44</v>
      </c>
      <c r="D1047" s="6" t="s">
        <v>114</v>
      </c>
      <c r="E1047" s="6" t="n">
        <v>16</v>
      </c>
      <c r="F1047" s="6" t="n">
        <v>6</v>
      </c>
      <c r="G1047" s="6" t="s">
        <v>68</v>
      </c>
      <c r="H1047" s="11" t="n">
        <v>0.05</v>
      </c>
      <c r="I1047" s="6" t="n">
        <v>20</v>
      </c>
      <c r="J1047" s="6" t="n">
        <v>1</v>
      </c>
      <c r="K1047" s="6" t="n">
        <v>19</v>
      </c>
      <c r="L1047" s="6" t="n">
        <v>2</v>
      </c>
      <c r="M1047" s="6" t="n">
        <v>18</v>
      </c>
      <c r="N1047" s="11" t="n">
        <f aca="false">J1047/(J1047+K1047)</f>
        <v>0.05</v>
      </c>
      <c r="O1047" s="11" t="n">
        <f aca="false">IF(J1047+L1047=0,"",J1047/(J1047+L1047))</f>
        <v>0.333333333333333</v>
      </c>
      <c r="P1047" s="11" t="n">
        <f aca="false">2*J1047/(2*J1047+L1047+K1047)</f>
        <v>0.0869565217391304</v>
      </c>
      <c r="Q1047" s="11" t="n">
        <f aca="false">L1047/(L1047+M1047)</f>
        <v>0.1</v>
      </c>
      <c r="R1047" s="6" t="n">
        <v>0</v>
      </c>
      <c r="S1047" s="11"/>
      <c r="T1047" s="11" t="n">
        <v>0.05</v>
      </c>
      <c r="U1047" s="11" t="n">
        <v>0.85</v>
      </c>
      <c r="V1047" s="11" t="n">
        <v>0.85</v>
      </c>
    </row>
    <row r="1048" customFormat="false" ht="15" hidden="false" customHeight="false" outlineLevel="0" collapsed="false">
      <c r="A1048" s="6" t="s">
        <v>62</v>
      </c>
      <c r="B1048" s="6" t="s">
        <v>63</v>
      </c>
      <c r="C1048" s="6" t="s">
        <v>44</v>
      </c>
      <c r="D1048" s="6" t="s">
        <v>114</v>
      </c>
      <c r="E1048" s="6" t="n">
        <v>16</v>
      </c>
      <c r="F1048" s="6" t="n">
        <v>6</v>
      </c>
      <c r="G1048" s="6" t="s">
        <v>69</v>
      </c>
      <c r="H1048" s="11" t="n">
        <v>0.05</v>
      </c>
      <c r="I1048" s="6" t="n">
        <v>20</v>
      </c>
      <c r="J1048" s="6" t="n">
        <v>2</v>
      </c>
      <c r="K1048" s="6" t="n">
        <v>18</v>
      </c>
      <c r="L1048" s="6" t="n">
        <v>1</v>
      </c>
      <c r="M1048" s="6" t="n">
        <v>19</v>
      </c>
      <c r="N1048" s="11" t="n">
        <f aca="false">J1048/(J1048+K1048)</f>
        <v>0.1</v>
      </c>
      <c r="O1048" s="11" t="n">
        <f aca="false">IF(J1048+L1048=0,"",J1048/(J1048+L1048))</f>
        <v>0.666666666666667</v>
      </c>
      <c r="P1048" s="11" t="n">
        <f aca="false">2*J1048/(2*J1048+L1048+K1048)</f>
        <v>0.173913043478261</v>
      </c>
      <c r="Q1048" s="11" t="n">
        <f aca="false">L1048/(L1048+M1048)</f>
        <v>0.05</v>
      </c>
      <c r="R1048" s="6" t="n">
        <v>0</v>
      </c>
      <c r="S1048" s="11"/>
      <c r="T1048" s="11" t="n">
        <v>0.1</v>
      </c>
      <c r="U1048" s="11" t="n">
        <v>1</v>
      </c>
      <c r="V1048" s="11" t="n">
        <v>1</v>
      </c>
    </row>
    <row r="1049" customFormat="false" ht="15" hidden="false" customHeight="false" outlineLevel="0" collapsed="false">
      <c r="A1049" s="6" t="s">
        <v>62</v>
      </c>
      <c r="B1049" s="6" t="s">
        <v>63</v>
      </c>
      <c r="C1049" s="6" t="s">
        <v>44</v>
      </c>
      <c r="D1049" s="6" t="s">
        <v>114</v>
      </c>
      <c r="E1049" s="6" t="n">
        <v>16</v>
      </c>
      <c r="F1049" s="6" t="n">
        <v>6</v>
      </c>
      <c r="G1049" s="6" t="s">
        <v>70</v>
      </c>
      <c r="H1049" s="11" t="n">
        <v>0.05</v>
      </c>
      <c r="I1049" s="6" t="n">
        <v>20</v>
      </c>
      <c r="J1049" s="6" t="n">
        <v>0</v>
      </c>
      <c r="K1049" s="6" t="n">
        <v>20</v>
      </c>
      <c r="L1049" s="6" t="n">
        <v>0</v>
      </c>
      <c r="M1049" s="6" t="n">
        <v>20</v>
      </c>
      <c r="N1049" s="11" t="n">
        <f aca="false">J1049/(J1049+K1049)</f>
        <v>0</v>
      </c>
      <c r="O1049" s="11" t="str">
        <f aca="false">IF(J1049+L1049=0,"",J1049/(J1049+L1049))</f>
        <v/>
      </c>
      <c r="P1049" s="11" t="n">
        <f aca="false">2*J1049/(2*J1049+L1049+K1049)</f>
        <v>0</v>
      </c>
      <c r="Q1049" s="11" t="n">
        <f aca="false">L1049/(L1049+M1049)</f>
        <v>0</v>
      </c>
      <c r="R1049" s="6" t="n">
        <v>0</v>
      </c>
      <c r="S1049" s="11"/>
      <c r="T1049" s="11" t="n">
        <v>0</v>
      </c>
      <c r="U1049" s="11" t="n">
        <v>0.9</v>
      </c>
      <c r="V1049" s="11" t="n">
        <v>0.9</v>
      </c>
    </row>
    <row r="1050" customFormat="false" ht="15" hidden="false" customHeight="false" outlineLevel="0" collapsed="false">
      <c r="A1050" s="6" t="s">
        <v>62</v>
      </c>
      <c r="B1050" s="6" t="s">
        <v>63</v>
      </c>
      <c r="C1050" s="6" t="s">
        <v>44</v>
      </c>
      <c r="D1050" s="6" t="s">
        <v>114</v>
      </c>
      <c r="E1050" s="6" t="n">
        <v>16</v>
      </c>
      <c r="F1050" s="6" t="n">
        <v>6</v>
      </c>
      <c r="G1050" s="6" t="s">
        <v>71</v>
      </c>
      <c r="H1050" s="11" t="n">
        <v>0.05</v>
      </c>
      <c r="I1050" s="6" t="n">
        <v>20</v>
      </c>
      <c r="J1050" s="6" t="n">
        <v>0</v>
      </c>
      <c r="K1050" s="6" t="n">
        <v>20</v>
      </c>
      <c r="L1050" s="6" t="n">
        <v>0</v>
      </c>
      <c r="M1050" s="6" t="n">
        <v>20</v>
      </c>
      <c r="N1050" s="11" t="n">
        <f aca="false">J1050/(J1050+K1050)</f>
        <v>0</v>
      </c>
      <c r="O1050" s="11" t="str">
        <f aca="false">IF(J1050+L1050=0,"",J1050/(J1050+L1050))</f>
        <v/>
      </c>
      <c r="P1050" s="11" t="n">
        <f aca="false">2*J1050/(2*J1050+L1050+K1050)</f>
        <v>0</v>
      </c>
      <c r="Q1050" s="11" t="n">
        <f aca="false">L1050/(L1050+M1050)</f>
        <v>0</v>
      </c>
      <c r="R1050" s="6" t="n">
        <v>0</v>
      </c>
      <c r="S1050" s="11"/>
      <c r="T1050" s="11" t="n">
        <v>0</v>
      </c>
      <c r="U1050" s="11" t="n">
        <v>0.8</v>
      </c>
      <c r="V1050" s="11" t="n">
        <v>0.8</v>
      </c>
    </row>
    <row r="1051" customFormat="false" ht="15" hidden="false" customHeight="false" outlineLevel="0" collapsed="false">
      <c r="A1051" s="6" t="s">
        <v>62</v>
      </c>
      <c r="B1051" s="6" t="s">
        <v>63</v>
      </c>
      <c r="C1051" s="6" t="s">
        <v>44</v>
      </c>
      <c r="D1051" s="6" t="s">
        <v>114</v>
      </c>
      <c r="E1051" s="6" t="n">
        <v>16</v>
      </c>
      <c r="F1051" s="6" t="n">
        <v>6</v>
      </c>
      <c r="G1051" s="6" t="s">
        <v>72</v>
      </c>
      <c r="H1051" s="11" t="n">
        <v>0.05</v>
      </c>
      <c r="I1051" s="6" t="n">
        <v>20</v>
      </c>
      <c r="J1051" s="6" t="n">
        <v>0</v>
      </c>
      <c r="K1051" s="6" t="n">
        <v>20</v>
      </c>
      <c r="L1051" s="6" t="n">
        <v>1</v>
      </c>
      <c r="M1051" s="6" t="n">
        <v>19</v>
      </c>
      <c r="N1051" s="11" t="n">
        <f aca="false">J1051/(J1051+K1051)</f>
        <v>0</v>
      </c>
      <c r="O1051" s="11" t="n">
        <f aca="false">IF(J1051+L1051=0,"",J1051/(J1051+L1051))</f>
        <v>0</v>
      </c>
      <c r="P1051" s="11" t="n">
        <f aca="false">2*J1051/(2*J1051+L1051+K1051)</f>
        <v>0</v>
      </c>
      <c r="Q1051" s="11" t="n">
        <f aca="false">L1051/(L1051+M1051)</f>
        <v>0.05</v>
      </c>
      <c r="R1051" s="6" t="n">
        <v>0</v>
      </c>
      <c r="S1051" s="11"/>
      <c r="T1051" s="11" t="n">
        <v>0</v>
      </c>
      <c r="U1051" s="11" t="n">
        <v>0.9</v>
      </c>
      <c r="V1051" s="11" t="n">
        <v>0.9</v>
      </c>
    </row>
    <row r="1052" customFormat="false" ht="15" hidden="false" customHeight="false" outlineLevel="0" collapsed="false">
      <c r="A1052" s="6" t="s">
        <v>62</v>
      </c>
      <c r="B1052" s="6" t="s">
        <v>63</v>
      </c>
      <c r="C1052" s="6" t="s">
        <v>44</v>
      </c>
      <c r="D1052" s="6" t="s">
        <v>114</v>
      </c>
      <c r="E1052" s="6" t="n">
        <v>16</v>
      </c>
      <c r="F1052" s="6" t="n">
        <v>6</v>
      </c>
      <c r="G1052" s="6" t="s">
        <v>73</v>
      </c>
      <c r="H1052" s="11" t="n">
        <v>0.05</v>
      </c>
      <c r="I1052" s="6" t="n">
        <v>20</v>
      </c>
      <c r="J1052" s="6" t="n">
        <v>0</v>
      </c>
      <c r="K1052" s="6" t="n">
        <v>20</v>
      </c>
      <c r="L1052" s="6" t="n">
        <v>0</v>
      </c>
      <c r="M1052" s="6" t="n">
        <v>20</v>
      </c>
      <c r="N1052" s="11" t="n">
        <f aca="false">J1052/(J1052+K1052)</f>
        <v>0</v>
      </c>
      <c r="O1052" s="11" t="str">
        <f aca="false">IF(J1052+L1052=0,"",J1052/(J1052+L1052))</f>
        <v/>
      </c>
      <c r="P1052" s="11" t="n">
        <f aca="false">2*J1052/(2*J1052+L1052+K1052)</f>
        <v>0</v>
      </c>
      <c r="Q1052" s="11" t="n">
        <f aca="false">L1052/(L1052+M1052)</f>
        <v>0</v>
      </c>
      <c r="R1052" s="6" t="n">
        <v>2</v>
      </c>
      <c r="S1052" s="11" t="n">
        <v>0</v>
      </c>
      <c r="T1052" s="11" t="n">
        <v>0</v>
      </c>
      <c r="U1052" s="11" t="n">
        <v>0.65</v>
      </c>
      <c r="V1052" s="11" t="n">
        <v>0.65</v>
      </c>
    </row>
    <row r="1053" customFormat="false" ht="15" hidden="false" customHeight="false" outlineLevel="0" collapsed="false">
      <c r="A1053" s="6" t="s">
        <v>62</v>
      </c>
      <c r="B1053" s="6" t="s">
        <v>63</v>
      </c>
      <c r="C1053" s="6" t="s">
        <v>44</v>
      </c>
      <c r="D1053" s="6" t="s">
        <v>114</v>
      </c>
      <c r="E1053" s="6" t="n">
        <v>16</v>
      </c>
      <c r="F1053" s="6" t="n">
        <v>6</v>
      </c>
      <c r="G1053" s="6" t="s">
        <v>74</v>
      </c>
      <c r="H1053" s="11" t="n">
        <v>0.05</v>
      </c>
      <c r="I1053" s="6" t="n">
        <v>20</v>
      </c>
      <c r="J1053" s="6" t="n">
        <v>1</v>
      </c>
      <c r="K1053" s="6" t="n">
        <v>19</v>
      </c>
      <c r="L1053" s="6" t="n">
        <v>1</v>
      </c>
      <c r="M1053" s="6" t="n">
        <v>19</v>
      </c>
      <c r="N1053" s="11" t="n">
        <f aca="false">J1053/(J1053+K1053)</f>
        <v>0.05</v>
      </c>
      <c r="O1053" s="11" t="n">
        <f aca="false">IF(J1053+L1053=0,"",J1053/(J1053+L1053))</f>
        <v>0.5</v>
      </c>
      <c r="P1053" s="11" t="n">
        <f aca="false">2*J1053/(2*J1053+L1053+K1053)</f>
        <v>0.0909090909090909</v>
      </c>
      <c r="Q1053" s="11" t="n">
        <f aca="false">L1053/(L1053+M1053)</f>
        <v>0.05</v>
      </c>
      <c r="R1053" s="6" t="n">
        <v>2</v>
      </c>
      <c r="S1053" s="11" t="n">
        <v>0.5</v>
      </c>
      <c r="T1053" s="11" t="n">
        <v>0</v>
      </c>
      <c r="U1053" s="11" t="n">
        <v>0.85</v>
      </c>
      <c r="V1053" s="11" t="n">
        <v>0.75</v>
      </c>
    </row>
    <row r="1054" customFormat="false" ht="15" hidden="false" customHeight="false" outlineLevel="0" collapsed="false">
      <c r="A1054" s="6" t="s">
        <v>62</v>
      </c>
      <c r="B1054" s="6" t="s">
        <v>63</v>
      </c>
      <c r="C1054" s="6" t="s">
        <v>44</v>
      </c>
      <c r="D1054" s="6" t="s">
        <v>114</v>
      </c>
      <c r="E1054" s="6" t="n">
        <v>16</v>
      </c>
      <c r="F1054" s="6" t="n">
        <v>6</v>
      </c>
      <c r="G1054" s="6" t="s">
        <v>75</v>
      </c>
      <c r="H1054" s="11" t="n">
        <v>0.05</v>
      </c>
      <c r="I1054" s="6" t="n">
        <v>20</v>
      </c>
      <c r="J1054" s="6" t="n">
        <v>0</v>
      </c>
      <c r="K1054" s="6" t="n">
        <v>20</v>
      </c>
      <c r="L1054" s="6" t="n">
        <v>0</v>
      </c>
      <c r="M1054" s="6" t="n">
        <v>20</v>
      </c>
      <c r="N1054" s="11" t="n">
        <f aca="false">J1054/(J1054+K1054)</f>
        <v>0</v>
      </c>
      <c r="O1054" s="11" t="str">
        <f aca="false">IF(J1054+L1054=0,"",J1054/(J1054+L1054))</f>
        <v/>
      </c>
      <c r="P1054" s="11" t="n">
        <f aca="false">2*J1054/(2*J1054+L1054+K1054)</f>
        <v>0</v>
      </c>
      <c r="Q1054" s="11" t="n">
        <f aca="false">L1054/(L1054+M1054)</f>
        <v>0</v>
      </c>
      <c r="R1054" s="6" t="n">
        <v>0</v>
      </c>
      <c r="S1054" s="11"/>
      <c r="T1054" s="11" t="n">
        <v>0</v>
      </c>
      <c r="U1054" s="11" t="n">
        <v>0.9</v>
      </c>
      <c r="V1054" s="11" t="n">
        <v>0.9</v>
      </c>
    </row>
    <row r="1055" customFormat="false" ht="15" hidden="false" customHeight="false" outlineLevel="0" collapsed="false">
      <c r="A1055" s="6" t="s">
        <v>62</v>
      </c>
      <c r="B1055" s="6" t="s">
        <v>63</v>
      </c>
      <c r="C1055" s="6" t="s">
        <v>44</v>
      </c>
      <c r="D1055" s="6" t="s">
        <v>114</v>
      </c>
      <c r="E1055" s="6" t="n">
        <v>16</v>
      </c>
      <c r="F1055" s="6" t="n">
        <v>6</v>
      </c>
      <c r="G1055" s="6" t="s">
        <v>76</v>
      </c>
      <c r="H1055" s="11" t="n">
        <v>0.05</v>
      </c>
      <c r="I1055" s="6" t="n">
        <v>20</v>
      </c>
      <c r="J1055" s="6" t="n">
        <v>0</v>
      </c>
      <c r="K1055" s="6" t="n">
        <v>20</v>
      </c>
      <c r="L1055" s="6" t="n">
        <v>0</v>
      </c>
      <c r="M1055" s="6" t="n">
        <v>20</v>
      </c>
      <c r="N1055" s="11" t="n">
        <f aca="false">J1055/(J1055+K1055)</f>
        <v>0</v>
      </c>
      <c r="O1055" s="11" t="str">
        <f aca="false">IF(J1055+L1055=0,"",J1055/(J1055+L1055))</f>
        <v/>
      </c>
      <c r="P1055" s="11" t="n">
        <f aca="false">2*J1055/(2*J1055+L1055+K1055)</f>
        <v>0</v>
      </c>
      <c r="Q1055" s="11" t="n">
        <f aca="false">L1055/(L1055+M1055)</f>
        <v>0</v>
      </c>
      <c r="R1055" s="6" t="n">
        <v>0</v>
      </c>
      <c r="S1055" s="11"/>
      <c r="T1055" s="11" t="n">
        <v>0</v>
      </c>
      <c r="U1055" s="11" t="n">
        <v>0.95</v>
      </c>
      <c r="V1055" s="11" t="n">
        <v>0.95</v>
      </c>
    </row>
    <row r="1056" customFormat="false" ht="15" hidden="false" customHeight="false" outlineLevel="0" collapsed="false">
      <c r="A1056" s="6" t="s">
        <v>62</v>
      </c>
      <c r="B1056" s="6" t="s">
        <v>63</v>
      </c>
      <c r="C1056" s="6" t="s">
        <v>44</v>
      </c>
      <c r="D1056" s="6" t="s">
        <v>114</v>
      </c>
      <c r="E1056" s="6" t="n">
        <v>16</v>
      </c>
      <c r="F1056" s="6" t="n">
        <v>6</v>
      </c>
      <c r="G1056" s="6" t="s">
        <v>77</v>
      </c>
      <c r="H1056" s="11" t="n">
        <v>0.05</v>
      </c>
      <c r="I1056" s="6" t="n">
        <v>20</v>
      </c>
      <c r="J1056" s="6" t="n">
        <v>1</v>
      </c>
      <c r="K1056" s="6" t="n">
        <v>19</v>
      </c>
      <c r="L1056" s="6" t="n">
        <v>1</v>
      </c>
      <c r="M1056" s="6" t="n">
        <v>19</v>
      </c>
      <c r="N1056" s="11" t="n">
        <f aca="false">J1056/(J1056+K1056)</f>
        <v>0.05</v>
      </c>
      <c r="O1056" s="11" t="n">
        <f aca="false">IF(J1056+L1056=0,"",J1056/(J1056+L1056))</f>
        <v>0.5</v>
      </c>
      <c r="P1056" s="11" t="n">
        <f aca="false">2*J1056/(2*J1056+L1056+K1056)</f>
        <v>0.0909090909090909</v>
      </c>
      <c r="Q1056" s="11" t="n">
        <f aca="false">L1056/(L1056+M1056)</f>
        <v>0.05</v>
      </c>
      <c r="R1056" s="6" t="n">
        <v>0</v>
      </c>
      <c r="S1056" s="11"/>
      <c r="T1056" s="11" t="n">
        <v>0.05</v>
      </c>
      <c r="U1056" s="11" t="n">
        <v>1</v>
      </c>
      <c r="V1056" s="11" t="n">
        <v>1</v>
      </c>
    </row>
    <row r="1057" customFormat="false" ht="15" hidden="false" customHeight="false" outlineLevel="0" collapsed="false">
      <c r="A1057" s="6" t="s">
        <v>62</v>
      </c>
      <c r="B1057" s="6" t="s">
        <v>63</v>
      </c>
      <c r="C1057" s="6" t="s">
        <v>44</v>
      </c>
      <c r="D1057" s="6" t="s">
        <v>114</v>
      </c>
      <c r="E1057" s="6" t="n">
        <v>16</v>
      </c>
      <c r="F1057" s="6" t="n">
        <v>6</v>
      </c>
      <c r="G1057" s="6" t="s">
        <v>78</v>
      </c>
      <c r="H1057" s="11" t="n">
        <v>0.05</v>
      </c>
      <c r="I1057" s="6" t="n">
        <v>200</v>
      </c>
      <c r="J1057" s="6" t="n">
        <v>5</v>
      </c>
      <c r="K1057" s="6" t="n">
        <v>195</v>
      </c>
      <c r="L1057" s="6" t="n">
        <v>6</v>
      </c>
      <c r="M1057" s="6" t="n">
        <v>194</v>
      </c>
      <c r="N1057" s="11" t="n">
        <f aca="false">J1057/(J1057+K1057)</f>
        <v>0.025</v>
      </c>
      <c r="O1057" s="11" t="n">
        <f aca="false">IF(J1057+L1057=0,"",J1057/(J1057+L1057))</f>
        <v>0.454545454545455</v>
      </c>
      <c r="P1057" s="11" t="n">
        <f aca="false">2*J1057/(2*J1057+L1057+K1057)</f>
        <v>0.04739336492891</v>
      </c>
      <c r="Q1057" s="11" t="n">
        <f aca="false">L1057/(L1057+M1057)</f>
        <v>0.03</v>
      </c>
      <c r="R1057" s="6" t="n">
        <v>4</v>
      </c>
      <c r="S1057" s="11" t="n">
        <v>0.25</v>
      </c>
      <c r="T1057" s="11" t="n">
        <v>0.0204081632653061</v>
      </c>
      <c r="U1057" s="11" t="n">
        <v>0.88</v>
      </c>
      <c r="V1057" s="11" t="n">
        <v>0.87</v>
      </c>
    </row>
    <row r="1058" customFormat="false" ht="15" hidden="false" customHeight="false" outlineLevel="0" collapsed="false">
      <c r="A1058" s="6" t="s">
        <v>62</v>
      </c>
      <c r="B1058" s="6" t="s">
        <v>63</v>
      </c>
      <c r="C1058" s="6" t="s">
        <v>44</v>
      </c>
      <c r="D1058" s="6" t="s">
        <v>114</v>
      </c>
      <c r="E1058" s="6" t="n">
        <v>16</v>
      </c>
      <c r="F1058" s="6" t="n">
        <v>7</v>
      </c>
      <c r="G1058" s="6" t="s">
        <v>68</v>
      </c>
      <c r="H1058" s="11" t="n">
        <v>0.05</v>
      </c>
      <c r="I1058" s="6" t="n">
        <v>20</v>
      </c>
      <c r="J1058" s="6" t="n">
        <v>2</v>
      </c>
      <c r="K1058" s="6" t="n">
        <v>18</v>
      </c>
      <c r="L1058" s="6" t="n">
        <v>2</v>
      </c>
      <c r="M1058" s="6" t="n">
        <v>18</v>
      </c>
      <c r="N1058" s="11" t="n">
        <f aca="false">J1058/(J1058+K1058)</f>
        <v>0.1</v>
      </c>
      <c r="O1058" s="11" t="n">
        <f aca="false">IF(J1058+L1058=0,"",J1058/(J1058+L1058))</f>
        <v>0.5</v>
      </c>
      <c r="P1058" s="11" t="n">
        <f aca="false">2*J1058/(2*J1058+L1058+K1058)</f>
        <v>0.166666666666667</v>
      </c>
      <c r="Q1058" s="11" t="n">
        <f aca="false">L1058/(L1058+M1058)</f>
        <v>0.1</v>
      </c>
      <c r="R1058" s="6" t="n">
        <v>1</v>
      </c>
      <c r="S1058" s="11" t="n">
        <v>0</v>
      </c>
      <c r="T1058" s="11" t="n">
        <v>0.105263157894737</v>
      </c>
      <c r="U1058" s="11" t="n">
        <v>0.85</v>
      </c>
      <c r="V1058" s="11" t="n">
        <v>0.8</v>
      </c>
    </row>
    <row r="1059" customFormat="false" ht="15" hidden="false" customHeight="false" outlineLevel="0" collapsed="false">
      <c r="A1059" s="6" t="s">
        <v>62</v>
      </c>
      <c r="B1059" s="6" t="s">
        <v>63</v>
      </c>
      <c r="C1059" s="6" t="s">
        <v>44</v>
      </c>
      <c r="D1059" s="6" t="s">
        <v>114</v>
      </c>
      <c r="E1059" s="6" t="n">
        <v>16</v>
      </c>
      <c r="F1059" s="6" t="n">
        <v>7</v>
      </c>
      <c r="G1059" s="6" t="s">
        <v>69</v>
      </c>
      <c r="H1059" s="11" t="n">
        <v>0.05</v>
      </c>
      <c r="I1059" s="6" t="n">
        <v>20</v>
      </c>
      <c r="J1059" s="6" t="n">
        <v>1</v>
      </c>
      <c r="K1059" s="6" t="n">
        <v>19</v>
      </c>
      <c r="L1059" s="6" t="n">
        <v>1</v>
      </c>
      <c r="M1059" s="6" t="n">
        <v>19</v>
      </c>
      <c r="N1059" s="11" t="n">
        <f aca="false">J1059/(J1059+K1059)</f>
        <v>0.05</v>
      </c>
      <c r="O1059" s="11" t="n">
        <f aca="false">IF(J1059+L1059=0,"",J1059/(J1059+L1059))</f>
        <v>0.5</v>
      </c>
      <c r="P1059" s="11" t="n">
        <f aca="false">2*J1059/(2*J1059+L1059+K1059)</f>
        <v>0.0909090909090909</v>
      </c>
      <c r="Q1059" s="11" t="n">
        <f aca="false">L1059/(L1059+M1059)</f>
        <v>0.05</v>
      </c>
      <c r="R1059" s="6" t="n">
        <v>0</v>
      </c>
      <c r="S1059" s="11"/>
      <c r="T1059" s="11" t="n">
        <v>0.05</v>
      </c>
      <c r="U1059" s="11" t="n">
        <v>1</v>
      </c>
      <c r="V1059" s="11" t="n">
        <v>1</v>
      </c>
    </row>
    <row r="1060" customFormat="false" ht="15" hidden="false" customHeight="false" outlineLevel="0" collapsed="false">
      <c r="A1060" s="6" t="s">
        <v>62</v>
      </c>
      <c r="B1060" s="6" t="s">
        <v>63</v>
      </c>
      <c r="C1060" s="6" t="s">
        <v>44</v>
      </c>
      <c r="D1060" s="6" t="s">
        <v>114</v>
      </c>
      <c r="E1060" s="6" t="n">
        <v>16</v>
      </c>
      <c r="F1060" s="6" t="n">
        <v>7</v>
      </c>
      <c r="G1060" s="6" t="s">
        <v>70</v>
      </c>
      <c r="H1060" s="11" t="n">
        <v>0.05</v>
      </c>
      <c r="I1060" s="6" t="n">
        <v>20</v>
      </c>
      <c r="J1060" s="6" t="n">
        <v>0</v>
      </c>
      <c r="K1060" s="6" t="n">
        <v>20</v>
      </c>
      <c r="L1060" s="6" t="n">
        <v>0</v>
      </c>
      <c r="M1060" s="6" t="n">
        <v>20</v>
      </c>
      <c r="N1060" s="11" t="n">
        <f aca="false">J1060/(J1060+K1060)</f>
        <v>0</v>
      </c>
      <c r="O1060" s="11" t="str">
        <f aca="false">IF(J1060+L1060=0,"",J1060/(J1060+L1060))</f>
        <v/>
      </c>
      <c r="P1060" s="11" t="n">
        <f aca="false">2*J1060/(2*J1060+L1060+K1060)</f>
        <v>0</v>
      </c>
      <c r="Q1060" s="11" t="n">
        <f aca="false">L1060/(L1060+M1060)</f>
        <v>0</v>
      </c>
      <c r="R1060" s="6" t="n">
        <v>0</v>
      </c>
      <c r="S1060" s="11"/>
      <c r="T1060" s="11" t="n">
        <v>0</v>
      </c>
      <c r="U1060" s="11" t="n">
        <v>0.9</v>
      </c>
      <c r="V1060" s="11" t="n">
        <v>0.9</v>
      </c>
    </row>
    <row r="1061" customFormat="false" ht="15" hidden="false" customHeight="false" outlineLevel="0" collapsed="false">
      <c r="A1061" s="6" t="s">
        <v>62</v>
      </c>
      <c r="B1061" s="6" t="s">
        <v>63</v>
      </c>
      <c r="C1061" s="6" t="s">
        <v>44</v>
      </c>
      <c r="D1061" s="6" t="s">
        <v>114</v>
      </c>
      <c r="E1061" s="6" t="n">
        <v>16</v>
      </c>
      <c r="F1061" s="6" t="n">
        <v>7</v>
      </c>
      <c r="G1061" s="6" t="s">
        <v>71</v>
      </c>
      <c r="H1061" s="11" t="n">
        <v>0.05</v>
      </c>
      <c r="I1061" s="6" t="n">
        <v>20</v>
      </c>
      <c r="J1061" s="6" t="n">
        <v>0</v>
      </c>
      <c r="K1061" s="6" t="n">
        <v>20</v>
      </c>
      <c r="L1061" s="6" t="n">
        <v>0</v>
      </c>
      <c r="M1061" s="6" t="n">
        <v>20</v>
      </c>
      <c r="N1061" s="11" t="n">
        <f aca="false">J1061/(J1061+K1061)</f>
        <v>0</v>
      </c>
      <c r="O1061" s="11" t="str">
        <f aca="false">IF(J1061+L1061=0,"",J1061/(J1061+L1061))</f>
        <v/>
      </c>
      <c r="P1061" s="11" t="n">
        <f aca="false">2*J1061/(2*J1061+L1061+K1061)</f>
        <v>0</v>
      </c>
      <c r="Q1061" s="11" t="n">
        <f aca="false">L1061/(L1061+M1061)</f>
        <v>0</v>
      </c>
      <c r="R1061" s="6" t="n">
        <v>0</v>
      </c>
      <c r="S1061" s="11"/>
      <c r="T1061" s="11" t="n">
        <v>0</v>
      </c>
      <c r="U1061" s="11" t="n">
        <v>0.8</v>
      </c>
      <c r="V1061" s="11" t="n">
        <v>0.8</v>
      </c>
    </row>
    <row r="1062" customFormat="false" ht="15" hidden="false" customHeight="false" outlineLevel="0" collapsed="false">
      <c r="A1062" s="6" t="s">
        <v>62</v>
      </c>
      <c r="B1062" s="6" t="s">
        <v>63</v>
      </c>
      <c r="C1062" s="6" t="s">
        <v>44</v>
      </c>
      <c r="D1062" s="6" t="s">
        <v>114</v>
      </c>
      <c r="E1062" s="6" t="n">
        <v>16</v>
      </c>
      <c r="F1062" s="6" t="n">
        <v>7</v>
      </c>
      <c r="G1062" s="6" t="s">
        <v>72</v>
      </c>
      <c r="H1062" s="11" t="n">
        <v>0.05</v>
      </c>
      <c r="I1062" s="6" t="n">
        <v>20</v>
      </c>
      <c r="J1062" s="6" t="n">
        <v>1</v>
      </c>
      <c r="K1062" s="6" t="n">
        <v>19</v>
      </c>
      <c r="L1062" s="6" t="n">
        <v>1</v>
      </c>
      <c r="M1062" s="6" t="n">
        <v>19</v>
      </c>
      <c r="N1062" s="11" t="n">
        <f aca="false">J1062/(J1062+K1062)</f>
        <v>0.05</v>
      </c>
      <c r="O1062" s="11" t="n">
        <f aca="false">IF(J1062+L1062=0,"",J1062/(J1062+L1062))</f>
        <v>0.5</v>
      </c>
      <c r="P1062" s="11" t="n">
        <f aca="false">2*J1062/(2*J1062+L1062+K1062)</f>
        <v>0.0909090909090909</v>
      </c>
      <c r="Q1062" s="11" t="n">
        <f aca="false">L1062/(L1062+M1062)</f>
        <v>0.05</v>
      </c>
      <c r="R1062" s="6" t="n">
        <v>0</v>
      </c>
      <c r="S1062" s="11"/>
      <c r="T1062" s="11" t="n">
        <v>0.05</v>
      </c>
      <c r="U1062" s="11" t="n">
        <v>0.9</v>
      </c>
      <c r="V1062" s="11" t="n">
        <v>0.9</v>
      </c>
    </row>
    <row r="1063" customFormat="false" ht="15" hidden="false" customHeight="false" outlineLevel="0" collapsed="false">
      <c r="A1063" s="6" t="s">
        <v>62</v>
      </c>
      <c r="B1063" s="6" t="s">
        <v>63</v>
      </c>
      <c r="C1063" s="6" t="s">
        <v>44</v>
      </c>
      <c r="D1063" s="6" t="s">
        <v>114</v>
      </c>
      <c r="E1063" s="6" t="n">
        <v>16</v>
      </c>
      <c r="F1063" s="6" t="n">
        <v>7</v>
      </c>
      <c r="G1063" s="6" t="s">
        <v>73</v>
      </c>
      <c r="H1063" s="11" t="n">
        <v>0.05</v>
      </c>
      <c r="I1063" s="6" t="n">
        <v>20</v>
      </c>
      <c r="J1063" s="6" t="n">
        <v>0</v>
      </c>
      <c r="K1063" s="6" t="n">
        <v>20</v>
      </c>
      <c r="L1063" s="6" t="n">
        <v>0</v>
      </c>
      <c r="M1063" s="6" t="n">
        <v>20</v>
      </c>
      <c r="N1063" s="11" t="n">
        <f aca="false">J1063/(J1063+K1063)</f>
        <v>0</v>
      </c>
      <c r="O1063" s="11" t="str">
        <f aca="false">IF(J1063+L1063=0,"",J1063/(J1063+L1063))</f>
        <v/>
      </c>
      <c r="P1063" s="11" t="n">
        <f aca="false">2*J1063/(2*J1063+L1063+K1063)</f>
        <v>0</v>
      </c>
      <c r="Q1063" s="11" t="n">
        <f aca="false">L1063/(L1063+M1063)</f>
        <v>0</v>
      </c>
      <c r="R1063" s="6" t="n">
        <v>0</v>
      </c>
      <c r="S1063" s="11"/>
      <c r="T1063" s="11" t="n">
        <v>0</v>
      </c>
      <c r="U1063" s="11" t="n">
        <v>0.65</v>
      </c>
      <c r="V1063" s="11" t="n">
        <v>0.65</v>
      </c>
    </row>
    <row r="1064" customFormat="false" ht="15" hidden="false" customHeight="false" outlineLevel="0" collapsed="false">
      <c r="A1064" s="6" t="s">
        <v>62</v>
      </c>
      <c r="B1064" s="6" t="s">
        <v>63</v>
      </c>
      <c r="C1064" s="6" t="s">
        <v>44</v>
      </c>
      <c r="D1064" s="6" t="s">
        <v>114</v>
      </c>
      <c r="E1064" s="6" t="n">
        <v>16</v>
      </c>
      <c r="F1064" s="6" t="n">
        <v>7</v>
      </c>
      <c r="G1064" s="6" t="s">
        <v>74</v>
      </c>
      <c r="H1064" s="11" t="n">
        <v>0.05</v>
      </c>
      <c r="I1064" s="6" t="n">
        <v>20</v>
      </c>
      <c r="J1064" s="6" t="n">
        <v>1</v>
      </c>
      <c r="K1064" s="6" t="n">
        <v>19</v>
      </c>
      <c r="L1064" s="6" t="n">
        <v>1</v>
      </c>
      <c r="M1064" s="6" t="n">
        <v>19</v>
      </c>
      <c r="N1064" s="11" t="n">
        <f aca="false">J1064/(J1064+K1064)</f>
        <v>0.05</v>
      </c>
      <c r="O1064" s="11" t="n">
        <f aca="false">IF(J1064+L1064=0,"",J1064/(J1064+L1064))</f>
        <v>0.5</v>
      </c>
      <c r="P1064" s="11" t="n">
        <f aca="false">2*J1064/(2*J1064+L1064+K1064)</f>
        <v>0.0909090909090909</v>
      </c>
      <c r="Q1064" s="11" t="n">
        <f aca="false">L1064/(L1064+M1064)</f>
        <v>0.05</v>
      </c>
      <c r="R1064" s="6" t="n">
        <v>1</v>
      </c>
      <c r="S1064" s="11" t="n">
        <v>0</v>
      </c>
      <c r="T1064" s="11" t="n">
        <v>0.0526315789473684</v>
      </c>
      <c r="U1064" s="11" t="n">
        <v>0.85</v>
      </c>
      <c r="V1064" s="11" t="n">
        <v>0.9</v>
      </c>
    </row>
    <row r="1065" customFormat="false" ht="15" hidden="false" customHeight="false" outlineLevel="0" collapsed="false">
      <c r="A1065" s="6" t="s">
        <v>62</v>
      </c>
      <c r="B1065" s="6" t="s">
        <v>63</v>
      </c>
      <c r="C1065" s="6" t="s">
        <v>44</v>
      </c>
      <c r="D1065" s="6" t="s">
        <v>114</v>
      </c>
      <c r="E1065" s="6" t="n">
        <v>16</v>
      </c>
      <c r="F1065" s="6" t="n">
        <v>7</v>
      </c>
      <c r="G1065" s="6" t="s">
        <v>75</v>
      </c>
      <c r="H1065" s="11" t="n">
        <v>0.05</v>
      </c>
      <c r="I1065" s="6" t="n">
        <v>20</v>
      </c>
      <c r="J1065" s="6" t="n">
        <v>0</v>
      </c>
      <c r="K1065" s="6" t="n">
        <v>20</v>
      </c>
      <c r="L1065" s="6" t="n">
        <v>0</v>
      </c>
      <c r="M1065" s="6" t="n">
        <v>20</v>
      </c>
      <c r="N1065" s="11" t="n">
        <f aca="false">J1065/(J1065+K1065)</f>
        <v>0</v>
      </c>
      <c r="O1065" s="11" t="str">
        <f aca="false">IF(J1065+L1065=0,"",J1065/(J1065+L1065))</f>
        <v/>
      </c>
      <c r="P1065" s="11" t="n">
        <f aca="false">2*J1065/(2*J1065+L1065+K1065)</f>
        <v>0</v>
      </c>
      <c r="Q1065" s="11" t="n">
        <f aca="false">L1065/(L1065+M1065)</f>
        <v>0</v>
      </c>
      <c r="R1065" s="6" t="n">
        <v>1</v>
      </c>
      <c r="S1065" s="11" t="n">
        <v>0</v>
      </c>
      <c r="T1065" s="11" t="n">
        <v>0</v>
      </c>
      <c r="U1065" s="11" t="n">
        <v>0.9</v>
      </c>
      <c r="V1065" s="11" t="n">
        <v>0.95</v>
      </c>
    </row>
    <row r="1066" customFormat="false" ht="15" hidden="false" customHeight="false" outlineLevel="0" collapsed="false">
      <c r="A1066" s="6" t="s">
        <v>62</v>
      </c>
      <c r="B1066" s="6" t="s">
        <v>63</v>
      </c>
      <c r="C1066" s="6" t="s">
        <v>44</v>
      </c>
      <c r="D1066" s="6" t="s">
        <v>114</v>
      </c>
      <c r="E1066" s="6" t="n">
        <v>16</v>
      </c>
      <c r="F1066" s="6" t="n">
        <v>7</v>
      </c>
      <c r="G1066" s="6" t="s">
        <v>76</v>
      </c>
      <c r="H1066" s="11" t="n">
        <v>0.05</v>
      </c>
      <c r="I1066" s="6" t="n">
        <v>20</v>
      </c>
      <c r="J1066" s="6" t="n">
        <v>0</v>
      </c>
      <c r="K1066" s="6" t="n">
        <v>20</v>
      </c>
      <c r="L1066" s="6" t="n">
        <v>0</v>
      </c>
      <c r="M1066" s="6" t="n">
        <v>20</v>
      </c>
      <c r="N1066" s="11" t="n">
        <f aca="false">J1066/(J1066+K1066)</f>
        <v>0</v>
      </c>
      <c r="O1066" s="11" t="str">
        <f aca="false">IF(J1066+L1066=0,"",J1066/(J1066+L1066))</f>
        <v/>
      </c>
      <c r="P1066" s="11" t="n">
        <f aca="false">2*J1066/(2*J1066+L1066+K1066)</f>
        <v>0</v>
      </c>
      <c r="Q1066" s="11" t="n">
        <f aca="false">L1066/(L1066+M1066)</f>
        <v>0</v>
      </c>
      <c r="R1066" s="6" t="n">
        <v>0</v>
      </c>
      <c r="S1066" s="11"/>
      <c r="T1066" s="11" t="n">
        <v>0</v>
      </c>
      <c r="U1066" s="11" t="n">
        <v>0.95</v>
      </c>
      <c r="V1066" s="11" t="n">
        <v>0.95</v>
      </c>
    </row>
    <row r="1067" customFormat="false" ht="15" hidden="false" customHeight="false" outlineLevel="0" collapsed="false">
      <c r="A1067" s="6" t="s">
        <v>62</v>
      </c>
      <c r="B1067" s="6" t="s">
        <v>63</v>
      </c>
      <c r="C1067" s="6" t="s">
        <v>44</v>
      </c>
      <c r="D1067" s="6" t="s">
        <v>114</v>
      </c>
      <c r="E1067" s="6" t="n">
        <v>16</v>
      </c>
      <c r="F1067" s="6" t="n">
        <v>7</v>
      </c>
      <c r="G1067" s="6" t="s">
        <v>77</v>
      </c>
      <c r="H1067" s="11" t="n">
        <v>0.05</v>
      </c>
      <c r="I1067" s="6" t="n">
        <v>20</v>
      </c>
      <c r="J1067" s="6" t="n">
        <v>1</v>
      </c>
      <c r="K1067" s="6" t="n">
        <v>19</v>
      </c>
      <c r="L1067" s="6" t="n">
        <v>1</v>
      </c>
      <c r="M1067" s="6" t="n">
        <v>19</v>
      </c>
      <c r="N1067" s="11" t="n">
        <f aca="false">J1067/(J1067+K1067)</f>
        <v>0.05</v>
      </c>
      <c r="O1067" s="11" t="n">
        <f aca="false">IF(J1067+L1067=0,"",J1067/(J1067+L1067))</f>
        <v>0.5</v>
      </c>
      <c r="P1067" s="11" t="n">
        <f aca="false">2*J1067/(2*J1067+L1067+K1067)</f>
        <v>0.0909090909090909</v>
      </c>
      <c r="Q1067" s="11" t="n">
        <f aca="false">L1067/(L1067+M1067)</f>
        <v>0.05</v>
      </c>
      <c r="R1067" s="6" t="n">
        <v>0</v>
      </c>
      <c r="S1067" s="11"/>
      <c r="T1067" s="11" t="n">
        <v>0.05</v>
      </c>
      <c r="U1067" s="11" t="n">
        <v>1</v>
      </c>
      <c r="V1067" s="11" t="n">
        <v>1</v>
      </c>
    </row>
    <row r="1068" customFormat="false" ht="15" hidden="false" customHeight="false" outlineLevel="0" collapsed="false">
      <c r="A1068" s="6" t="s">
        <v>62</v>
      </c>
      <c r="B1068" s="6" t="s">
        <v>63</v>
      </c>
      <c r="C1068" s="6" t="s">
        <v>44</v>
      </c>
      <c r="D1068" s="6" t="s">
        <v>114</v>
      </c>
      <c r="E1068" s="6" t="n">
        <v>16</v>
      </c>
      <c r="F1068" s="6" t="n">
        <v>7</v>
      </c>
      <c r="G1068" s="6" t="s">
        <v>78</v>
      </c>
      <c r="H1068" s="11" t="n">
        <v>0.05</v>
      </c>
      <c r="I1068" s="6" t="n">
        <v>200</v>
      </c>
      <c r="J1068" s="6" t="n">
        <v>6</v>
      </c>
      <c r="K1068" s="6" t="n">
        <v>194</v>
      </c>
      <c r="L1068" s="6" t="n">
        <v>6</v>
      </c>
      <c r="M1068" s="6" t="n">
        <v>194</v>
      </c>
      <c r="N1068" s="11" t="n">
        <f aca="false">J1068/(J1068+K1068)</f>
        <v>0.03</v>
      </c>
      <c r="O1068" s="11" t="n">
        <f aca="false">IF(J1068+L1068=0,"",J1068/(J1068+L1068))</f>
        <v>0.5</v>
      </c>
      <c r="P1068" s="11" t="n">
        <f aca="false">2*J1068/(2*J1068+L1068+K1068)</f>
        <v>0.0566037735849057</v>
      </c>
      <c r="Q1068" s="11" t="n">
        <f aca="false">L1068/(L1068+M1068)</f>
        <v>0.03</v>
      </c>
      <c r="R1068" s="6" t="n">
        <v>3</v>
      </c>
      <c r="S1068" s="11" t="n">
        <v>0</v>
      </c>
      <c r="T1068" s="11" t="n">
        <v>0.0304568527918782</v>
      </c>
      <c r="U1068" s="11" t="n">
        <v>0.88</v>
      </c>
      <c r="V1068" s="11" t="n">
        <v>0.885</v>
      </c>
    </row>
    <row r="1069" customFormat="false" ht="15" hidden="false" customHeight="false" outlineLevel="0" collapsed="false">
      <c r="A1069" s="6" t="s">
        <v>62</v>
      </c>
      <c r="B1069" s="6" t="s">
        <v>63</v>
      </c>
      <c r="C1069" s="6" t="s">
        <v>44</v>
      </c>
      <c r="D1069" s="6" t="s">
        <v>114</v>
      </c>
      <c r="E1069" s="6" t="n">
        <v>16</v>
      </c>
      <c r="F1069" s="6" t="n">
        <v>8</v>
      </c>
      <c r="G1069" s="6" t="s">
        <v>68</v>
      </c>
      <c r="H1069" s="11" t="n">
        <v>0.05</v>
      </c>
      <c r="I1069" s="6" t="n">
        <v>20</v>
      </c>
      <c r="J1069" s="6" t="n">
        <v>3</v>
      </c>
      <c r="K1069" s="6" t="n">
        <v>17</v>
      </c>
      <c r="L1069" s="6" t="n">
        <v>2</v>
      </c>
      <c r="M1069" s="6" t="n">
        <v>18</v>
      </c>
      <c r="N1069" s="11" t="n">
        <f aca="false">J1069/(J1069+K1069)</f>
        <v>0.15</v>
      </c>
      <c r="O1069" s="11" t="n">
        <f aca="false">IF(J1069+L1069=0,"",J1069/(J1069+L1069))</f>
        <v>0.6</v>
      </c>
      <c r="P1069" s="11" t="n">
        <f aca="false">2*J1069/(2*J1069+L1069+K1069)</f>
        <v>0.24</v>
      </c>
      <c r="Q1069" s="11" t="n">
        <f aca="false">L1069/(L1069+M1069)</f>
        <v>0.1</v>
      </c>
      <c r="R1069" s="6" t="n">
        <v>0</v>
      </c>
      <c r="S1069" s="11"/>
      <c r="T1069" s="11" t="n">
        <v>0.15</v>
      </c>
      <c r="U1069" s="11" t="n">
        <v>0.85</v>
      </c>
      <c r="V1069" s="11" t="n">
        <v>0.85</v>
      </c>
    </row>
    <row r="1070" customFormat="false" ht="15" hidden="false" customHeight="false" outlineLevel="0" collapsed="false">
      <c r="A1070" s="6" t="s">
        <v>62</v>
      </c>
      <c r="B1070" s="6" t="s">
        <v>63</v>
      </c>
      <c r="C1070" s="6" t="s">
        <v>44</v>
      </c>
      <c r="D1070" s="6" t="s">
        <v>114</v>
      </c>
      <c r="E1070" s="6" t="n">
        <v>16</v>
      </c>
      <c r="F1070" s="6" t="n">
        <v>8</v>
      </c>
      <c r="G1070" s="6" t="s">
        <v>69</v>
      </c>
      <c r="H1070" s="11" t="n">
        <v>0.05</v>
      </c>
      <c r="I1070" s="6" t="n">
        <v>20</v>
      </c>
      <c r="J1070" s="6" t="n">
        <v>1</v>
      </c>
      <c r="K1070" s="6" t="n">
        <v>19</v>
      </c>
      <c r="L1070" s="6" t="n">
        <v>1</v>
      </c>
      <c r="M1070" s="6" t="n">
        <v>19</v>
      </c>
      <c r="N1070" s="11" t="n">
        <f aca="false">J1070/(J1070+K1070)</f>
        <v>0.05</v>
      </c>
      <c r="O1070" s="11" t="n">
        <f aca="false">IF(J1070+L1070=0,"",J1070/(J1070+L1070))</f>
        <v>0.5</v>
      </c>
      <c r="P1070" s="11" t="n">
        <f aca="false">2*J1070/(2*J1070+L1070+K1070)</f>
        <v>0.0909090909090909</v>
      </c>
      <c r="Q1070" s="11" t="n">
        <f aca="false">L1070/(L1070+M1070)</f>
        <v>0.05</v>
      </c>
      <c r="R1070" s="6" t="n">
        <v>0</v>
      </c>
      <c r="S1070" s="11"/>
      <c r="T1070" s="11" t="n">
        <v>0.05</v>
      </c>
      <c r="U1070" s="11" t="n">
        <v>1</v>
      </c>
      <c r="V1070" s="11" t="n">
        <v>1</v>
      </c>
    </row>
    <row r="1071" customFormat="false" ht="15" hidden="false" customHeight="false" outlineLevel="0" collapsed="false">
      <c r="A1071" s="6" t="s">
        <v>62</v>
      </c>
      <c r="B1071" s="6" t="s">
        <v>63</v>
      </c>
      <c r="C1071" s="6" t="s">
        <v>44</v>
      </c>
      <c r="D1071" s="6" t="s">
        <v>114</v>
      </c>
      <c r="E1071" s="6" t="n">
        <v>16</v>
      </c>
      <c r="F1071" s="6" t="n">
        <v>8</v>
      </c>
      <c r="G1071" s="6" t="s">
        <v>70</v>
      </c>
      <c r="H1071" s="11" t="n">
        <v>0.05</v>
      </c>
      <c r="I1071" s="6" t="n">
        <v>20</v>
      </c>
      <c r="J1071" s="6" t="n">
        <v>0</v>
      </c>
      <c r="K1071" s="6" t="n">
        <v>20</v>
      </c>
      <c r="L1071" s="6" t="n">
        <v>0</v>
      </c>
      <c r="M1071" s="6" t="n">
        <v>20</v>
      </c>
      <c r="N1071" s="11" t="n">
        <f aca="false">J1071/(J1071+K1071)</f>
        <v>0</v>
      </c>
      <c r="O1071" s="11" t="str">
        <f aca="false">IF(J1071+L1071=0,"",J1071/(J1071+L1071))</f>
        <v/>
      </c>
      <c r="P1071" s="11" t="n">
        <f aca="false">2*J1071/(2*J1071+L1071+K1071)</f>
        <v>0</v>
      </c>
      <c r="Q1071" s="11" t="n">
        <f aca="false">L1071/(L1071+M1071)</f>
        <v>0</v>
      </c>
      <c r="R1071" s="6" t="n">
        <v>0</v>
      </c>
      <c r="S1071" s="11"/>
      <c r="T1071" s="11" t="n">
        <v>0</v>
      </c>
      <c r="U1071" s="11" t="n">
        <v>0.9</v>
      </c>
      <c r="V1071" s="11" t="n">
        <v>0.9</v>
      </c>
    </row>
    <row r="1072" customFormat="false" ht="15" hidden="false" customHeight="false" outlineLevel="0" collapsed="false">
      <c r="A1072" s="6" t="s">
        <v>62</v>
      </c>
      <c r="B1072" s="6" t="s">
        <v>63</v>
      </c>
      <c r="C1072" s="6" t="s">
        <v>44</v>
      </c>
      <c r="D1072" s="6" t="s">
        <v>114</v>
      </c>
      <c r="E1072" s="6" t="n">
        <v>16</v>
      </c>
      <c r="F1072" s="6" t="n">
        <v>8</v>
      </c>
      <c r="G1072" s="6" t="s">
        <v>71</v>
      </c>
      <c r="H1072" s="11" t="n">
        <v>0.05</v>
      </c>
      <c r="I1072" s="6" t="n">
        <v>20</v>
      </c>
      <c r="J1072" s="6" t="n">
        <v>0</v>
      </c>
      <c r="K1072" s="6" t="n">
        <v>20</v>
      </c>
      <c r="L1072" s="6" t="n">
        <v>0</v>
      </c>
      <c r="M1072" s="6" t="n">
        <v>20</v>
      </c>
      <c r="N1072" s="11" t="n">
        <f aca="false">J1072/(J1072+K1072)</f>
        <v>0</v>
      </c>
      <c r="O1072" s="11" t="str">
        <f aca="false">IF(J1072+L1072=0,"",J1072/(J1072+L1072))</f>
        <v/>
      </c>
      <c r="P1072" s="11" t="n">
        <f aca="false">2*J1072/(2*J1072+L1072+K1072)</f>
        <v>0</v>
      </c>
      <c r="Q1072" s="11" t="n">
        <f aca="false">L1072/(L1072+M1072)</f>
        <v>0</v>
      </c>
      <c r="R1072" s="6" t="n">
        <v>0</v>
      </c>
      <c r="S1072" s="11"/>
      <c r="T1072" s="11" t="n">
        <v>0</v>
      </c>
      <c r="U1072" s="11" t="n">
        <v>0.8</v>
      </c>
      <c r="V1072" s="11" t="n">
        <v>0.8</v>
      </c>
    </row>
    <row r="1073" customFormat="false" ht="15" hidden="false" customHeight="false" outlineLevel="0" collapsed="false">
      <c r="A1073" s="6" t="s">
        <v>62</v>
      </c>
      <c r="B1073" s="6" t="s">
        <v>63</v>
      </c>
      <c r="C1073" s="6" t="s">
        <v>44</v>
      </c>
      <c r="D1073" s="6" t="s">
        <v>114</v>
      </c>
      <c r="E1073" s="6" t="n">
        <v>16</v>
      </c>
      <c r="F1073" s="6" t="n">
        <v>8</v>
      </c>
      <c r="G1073" s="6" t="s">
        <v>72</v>
      </c>
      <c r="H1073" s="11" t="n">
        <v>0.05</v>
      </c>
      <c r="I1073" s="6" t="n">
        <v>20</v>
      </c>
      <c r="J1073" s="6" t="n">
        <v>0</v>
      </c>
      <c r="K1073" s="6" t="n">
        <v>20</v>
      </c>
      <c r="L1073" s="6" t="n">
        <v>1</v>
      </c>
      <c r="M1073" s="6" t="n">
        <v>19</v>
      </c>
      <c r="N1073" s="11" t="n">
        <f aca="false">J1073/(J1073+K1073)</f>
        <v>0</v>
      </c>
      <c r="O1073" s="11" t="n">
        <f aca="false">IF(J1073+L1073=0,"",J1073/(J1073+L1073))</f>
        <v>0</v>
      </c>
      <c r="P1073" s="11" t="n">
        <f aca="false">2*J1073/(2*J1073+L1073+K1073)</f>
        <v>0</v>
      </c>
      <c r="Q1073" s="11" t="n">
        <f aca="false">L1073/(L1073+M1073)</f>
        <v>0.05</v>
      </c>
      <c r="R1073" s="6" t="n">
        <v>0</v>
      </c>
      <c r="S1073" s="11"/>
      <c r="T1073" s="11" t="n">
        <v>0</v>
      </c>
      <c r="U1073" s="11" t="n">
        <v>0.9</v>
      </c>
      <c r="V1073" s="11" t="n">
        <v>0.9</v>
      </c>
    </row>
    <row r="1074" customFormat="false" ht="15" hidden="false" customHeight="false" outlineLevel="0" collapsed="false">
      <c r="A1074" s="6" t="s">
        <v>62</v>
      </c>
      <c r="B1074" s="6" t="s">
        <v>63</v>
      </c>
      <c r="C1074" s="6" t="s">
        <v>44</v>
      </c>
      <c r="D1074" s="6" t="s">
        <v>114</v>
      </c>
      <c r="E1074" s="6" t="n">
        <v>16</v>
      </c>
      <c r="F1074" s="6" t="n">
        <v>8</v>
      </c>
      <c r="G1074" s="6" t="s">
        <v>73</v>
      </c>
      <c r="H1074" s="11" t="n">
        <v>0.05</v>
      </c>
      <c r="I1074" s="6" t="n">
        <v>20</v>
      </c>
      <c r="J1074" s="6" t="n">
        <v>0</v>
      </c>
      <c r="K1074" s="6" t="n">
        <v>20</v>
      </c>
      <c r="L1074" s="6" t="n">
        <v>0</v>
      </c>
      <c r="M1074" s="6" t="n">
        <v>20</v>
      </c>
      <c r="N1074" s="11" t="n">
        <f aca="false">J1074/(J1074+K1074)</f>
        <v>0</v>
      </c>
      <c r="O1074" s="11" t="str">
        <f aca="false">IF(J1074+L1074=0,"",J1074/(J1074+L1074))</f>
        <v/>
      </c>
      <c r="P1074" s="11" t="n">
        <f aca="false">2*J1074/(2*J1074+L1074+K1074)</f>
        <v>0</v>
      </c>
      <c r="Q1074" s="11" t="n">
        <f aca="false">L1074/(L1074+M1074)</f>
        <v>0</v>
      </c>
      <c r="R1074" s="6" t="n">
        <v>0</v>
      </c>
      <c r="S1074" s="11"/>
      <c r="T1074" s="11" t="n">
        <v>0</v>
      </c>
      <c r="U1074" s="11" t="n">
        <v>0.65</v>
      </c>
      <c r="V1074" s="11" t="n">
        <v>0.65</v>
      </c>
    </row>
    <row r="1075" customFormat="false" ht="15" hidden="false" customHeight="false" outlineLevel="0" collapsed="false">
      <c r="A1075" s="6" t="s">
        <v>62</v>
      </c>
      <c r="B1075" s="6" t="s">
        <v>63</v>
      </c>
      <c r="C1075" s="6" t="s">
        <v>44</v>
      </c>
      <c r="D1075" s="6" t="s">
        <v>114</v>
      </c>
      <c r="E1075" s="6" t="n">
        <v>16</v>
      </c>
      <c r="F1075" s="6" t="n">
        <v>8</v>
      </c>
      <c r="G1075" s="6" t="s">
        <v>74</v>
      </c>
      <c r="H1075" s="11" t="n">
        <v>0.05</v>
      </c>
      <c r="I1075" s="6" t="n">
        <v>20</v>
      </c>
      <c r="J1075" s="6" t="n">
        <v>1</v>
      </c>
      <c r="K1075" s="6" t="n">
        <v>19</v>
      </c>
      <c r="L1075" s="6" t="n">
        <v>1</v>
      </c>
      <c r="M1075" s="6" t="n">
        <v>19</v>
      </c>
      <c r="N1075" s="11" t="n">
        <f aca="false">J1075/(J1075+K1075)</f>
        <v>0.05</v>
      </c>
      <c r="O1075" s="11" t="n">
        <f aca="false">IF(J1075+L1075=0,"",J1075/(J1075+L1075))</f>
        <v>0.5</v>
      </c>
      <c r="P1075" s="11" t="n">
        <f aca="false">2*J1075/(2*J1075+L1075+K1075)</f>
        <v>0.0909090909090909</v>
      </c>
      <c r="Q1075" s="11" t="n">
        <f aca="false">L1075/(L1075+M1075)</f>
        <v>0.05</v>
      </c>
      <c r="R1075" s="6" t="n">
        <v>3</v>
      </c>
      <c r="S1075" s="11" t="n">
        <v>0</v>
      </c>
      <c r="T1075" s="11" t="n">
        <v>0.0588235294117647</v>
      </c>
      <c r="U1075" s="11" t="n">
        <v>0.85</v>
      </c>
      <c r="V1075" s="11" t="n">
        <v>0.75</v>
      </c>
    </row>
    <row r="1076" customFormat="false" ht="15" hidden="false" customHeight="false" outlineLevel="0" collapsed="false">
      <c r="A1076" s="6" t="s">
        <v>62</v>
      </c>
      <c r="B1076" s="6" t="s">
        <v>63</v>
      </c>
      <c r="C1076" s="6" t="s">
        <v>44</v>
      </c>
      <c r="D1076" s="6" t="s">
        <v>114</v>
      </c>
      <c r="E1076" s="6" t="n">
        <v>16</v>
      </c>
      <c r="F1076" s="6" t="n">
        <v>8</v>
      </c>
      <c r="G1076" s="6" t="s">
        <v>75</v>
      </c>
      <c r="H1076" s="11" t="n">
        <v>0.05</v>
      </c>
      <c r="I1076" s="6" t="n">
        <v>20</v>
      </c>
      <c r="J1076" s="6" t="n">
        <v>0</v>
      </c>
      <c r="K1076" s="6" t="n">
        <v>20</v>
      </c>
      <c r="L1076" s="6" t="n">
        <v>0</v>
      </c>
      <c r="M1076" s="6" t="n">
        <v>20</v>
      </c>
      <c r="N1076" s="11" t="n">
        <f aca="false">J1076/(J1076+K1076)</f>
        <v>0</v>
      </c>
      <c r="O1076" s="11" t="str">
        <f aca="false">IF(J1076+L1076=0,"",J1076/(J1076+L1076))</f>
        <v/>
      </c>
      <c r="P1076" s="11" t="n">
        <f aca="false">2*J1076/(2*J1076+L1076+K1076)</f>
        <v>0</v>
      </c>
      <c r="Q1076" s="11" t="n">
        <f aca="false">L1076/(L1076+M1076)</f>
        <v>0</v>
      </c>
      <c r="R1076" s="6" t="n">
        <v>0</v>
      </c>
      <c r="S1076" s="11"/>
      <c r="T1076" s="11" t="n">
        <v>0</v>
      </c>
      <c r="U1076" s="11" t="n">
        <v>0.9</v>
      </c>
      <c r="V1076" s="11" t="n">
        <v>0.9</v>
      </c>
    </row>
    <row r="1077" customFormat="false" ht="15" hidden="false" customHeight="false" outlineLevel="0" collapsed="false">
      <c r="A1077" s="6" t="s">
        <v>62</v>
      </c>
      <c r="B1077" s="6" t="s">
        <v>63</v>
      </c>
      <c r="C1077" s="6" t="s">
        <v>44</v>
      </c>
      <c r="D1077" s="6" t="s">
        <v>114</v>
      </c>
      <c r="E1077" s="6" t="n">
        <v>16</v>
      </c>
      <c r="F1077" s="6" t="n">
        <v>8</v>
      </c>
      <c r="G1077" s="6" t="s">
        <v>76</v>
      </c>
      <c r="H1077" s="11" t="n">
        <v>0.05</v>
      </c>
      <c r="I1077" s="6" t="n">
        <v>20</v>
      </c>
      <c r="J1077" s="6" t="n">
        <v>0</v>
      </c>
      <c r="K1077" s="6" t="n">
        <v>20</v>
      </c>
      <c r="L1077" s="6" t="n">
        <v>0</v>
      </c>
      <c r="M1077" s="6" t="n">
        <v>20</v>
      </c>
      <c r="N1077" s="11" t="n">
        <f aca="false">J1077/(J1077+K1077)</f>
        <v>0</v>
      </c>
      <c r="O1077" s="11" t="str">
        <f aca="false">IF(J1077+L1077=0,"",J1077/(J1077+L1077))</f>
        <v/>
      </c>
      <c r="P1077" s="11" t="n">
        <f aca="false">2*J1077/(2*J1077+L1077+K1077)</f>
        <v>0</v>
      </c>
      <c r="Q1077" s="11" t="n">
        <f aca="false">L1077/(L1077+M1077)</f>
        <v>0</v>
      </c>
      <c r="R1077" s="6" t="n">
        <v>0</v>
      </c>
      <c r="S1077" s="11"/>
      <c r="T1077" s="11" t="n">
        <v>0</v>
      </c>
      <c r="U1077" s="11" t="n">
        <v>0.95</v>
      </c>
      <c r="V1077" s="11" t="n">
        <v>0.95</v>
      </c>
    </row>
    <row r="1078" customFormat="false" ht="15" hidden="false" customHeight="false" outlineLevel="0" collapsed="false">
      <c r="A1078" s="6" t="s">
        <v>62</v>
      </c>
      <c r="B1078" s="6" t="s">
        <v>63</v>
      </c>
      <c r="C1078" s="6" t="s">
        <v>44</v>
      </c>
      <c r="D1078" s="6" t="s">
        <v>114</v>
      </c>
      <c r="E1078" s="6" t="n">
        <v>16</v>
      </c>
      <c r="F1078" s="6" t="n">
        <v>8</v>
      </c>
      <c r="G1078" s="6" t="s">
        <v>77</v>
      </c>
      <c r="H1078" s="11" t="n">
        <v>0.05</v>
      </c>
      <c r="I1078" s="6" t="n">
        <v>20</v>
      </c>
      <c r="J1078" s="6" t="n">
        <v>1</v>
      </c>
      <c r="K1078" s="6" t="n">
        <v>19</v>
      </c>
      <c r="L1078" s="6" t="n">
        <v>1</v>
      </c>
      <c r="M1078" s="6" t="n">
        <v>19</v>
      </c>
      <c r="N1078" s="11" t="n">
        <f aca="false">J1078/(J1078+K1078)</f>
        <v>0.05</v>
      </c>
      <c r="O1078" s="11" t="n">
        <f aca="false">IF(J1078+L1078=0,"",J1078/(J1078+L1078))</f>
        <v>0.5</v>
      </c>
      <c r="P1078" s="11" t="n">
        <f aca="false">2*J1078/(2*J1078+L1078+K1078)</f>
        <v>0.0909090909090909</v>
      </c>
      <c r="Q1078" s="11" t="n">
        <f aca="false">L1078/(L1078+M1078)</f>
        <v>0.05</v>
      </c>
      <c r="R1078" s="6" t="n">
        <v>0</v>
      </c>
      <c r="S1078" s="11"/>
      <c r="T1078" s="11" t="n">
        <v>0.05</v>
      </c>
      <c r="U1078" s="11" t="n">
        <v>1</v>
      </c>
      <c r="V1078" s="11" t="n">
        <v>1</v>
      </c>
    </row>
    <row r="1079" customFormat="false" ht="15" hidden="false" customHeight="false" outlineLevel="0" collapsed="false">
      <c r="A1079" s="6" t="s">
        <v>62</v>
      </c>
      <c r="B1079" s="6" t="s">
        <v>63</v>
      </c>
      <c r="C1079" s="6" t="s">
        <v>44</v>
      </c>
      <c r="D1079" s="6" t="s">
        <v>114</v>
      </c>
      <c r="E1079" s="6" t="n">
        <v>16</v>
      </c>
      <c r="F1079" s="6" t="n">
        <v>8</v>
      </c>
      <c r="G1079" s="6" t="s">
        <v>78</v>
      </c>
      <c r="H1079" s="11" t="n">
        <v>0.05</v>
      </c>
      <c r="I1079" s="6" t="n">
        <v>200</v>
      </c>
      <c r="J1079" s="6" t="n">
        <v>6</v>
      </c>
      <c r="K1079" s="6" t="n">
        <v>194</v>
      </c>
      <c r="L1079" s="6" t="n">
        <v>6</v>
      </c>
      <c r="M1079" s="6" t="n">
        <v>194</v>
      </c>
      <c r="N1079" s="11" t="n">
        <f aca="false">J1079/(J1079+K1079)</f>
        <v>0.03</v>
      </c>
      <c r="O1079" s="11" t="n">
        <f aca="false">IF(J1079+L1079=0,"",J1079/(J1079+L1079))</f>
        <v>0.5</v>
      </c>
      <c r="P1079" s="11" t="n">
        <f aca="false">2*J1079/(2*J1079+L1079+K1079)</f>
        <v>0.0566037735849057</v>
      </c>
      <c r="Q1079" s="11" t="n">
        <f aca="false">L1079/(L1079+M1079)</f>
        <v>0.03</v>
      </c>
      <c r="R1079" s="6" t="n">
        <v>3</v>
      </c>
      <c r="S1079" s="11" t="n">
        <v>0</v>
      </c>
      <c r="T1079" s="11" t="n">
        <v>0.0304568527918782</v>
      </c>
      <c r="U1079" s="11" t="n">
        <v>0.88</v>
      </c>
      <c r="V1079" s="11" t="n">
        <v>0.87</v>
      </c>
    </row>
    <row r="1080" customFormat="false" ht="15" hidden="false" customHeight="false" outlineLevel="0" collapsed="false">
      <c r="A1080" s="6" t="s">
        <v>62</v>
      </c>
      <c r="B1080" s="6" t="s">
        <v>63</v>
      </c>
      <c r="C1080" s="6" t="s">
        <v>44</v>
      </c>
      <c r="D1080" s="6" t="s">
        <v>114</v>
      </c>
      <c r="E1080" s="6" t="n">
        <v>16</v>
      </c>
      <c r="F1080" s="6" t="n">
        <v>9</v>
      </c>
      <c r="G1080" s="6" t="s">
        <v>68</v>
      </c>
      <c r="H1080" s="11" t="n">
        <v>0.05</v>
      </c>
      <c r="I1080" s="6" t="n">
        <v>20</v>
      </c>
      <c r="J1080" s="6" t="n">
        <v>2</v>
      </c>
      <c r="K1080" s="6" t="n">
        <v>18</v>
      </c>
      <c r="L1080" s="6" t="n">
        <v>2</v>
      </c>
      <c r="M1080" s="6" t="n">
        <v>18</v>
      </c>
      <c r="N1080" s="11" t="n">
        <f aca="false">J1080/(J1080+K1080)</f>
        <v>0.1</v>
      </c>
      <c r="O1080" s="11" t="n">
        <f aca="false">IF(J1080+L1080=0,"",J1080/(J1080+L1080))</f>
        <v>0.5</v>
      </c>
      <c r="P1080" s="11" t="n">
        <f aca="false">2*J1080/(2*J1080+L1080+K1080)</f>
        <v>0.166666666666667</v>
      </c>
      <c r="Q1080" s="11" t="n">
        <f aca="false">L1080/(L1080+M1080)</f>
        <v>0.1</v>
      </c>
      <c r="R1080" s="6" t="n">
        <v>0</v>
      </c>
      <c r="S1080" s="11"/>
      <c r="T1080" s="11" t="n">
        <v>0.1</v>
      </c>
      <c r="U1080" s="11" t="n">
        <v>0.85</v>
      </c>
      <c r="V1080" s="11" t="n">
        <v>0.85</v>
      </c>
    </row>
    <row r="1081" customFormat="false" ht="15" hidden="false" customHeight="false" outlineLevel="0" collapsed="false">
      <c r="A1081" s="6" t="s">
        <v>62</v>
      </c>
      <c r="B1081" s="6" t="s">
        <v>63</v>
      </c>
      <c r="C1081" s="6" t="s">
        <v>44</v>
      </c>
      <c r="D1081" s="6" t="s">
        <v>114</v>
      </c>
      <c r="E1081" s="6" t="n">
        <v>16</v>
      </c>
      <c r="F1081" s="6" t="n">
        <v>9</v>
      </c>
      <c r="G1081" s="6" t="s">
        <v>69</v>
      </c>
      <c r="H1081" s="11" t="n">
        <v>0.05</v>
      </c>
      <c r="I1081" s="6" t="n">
        <v>20</v>
      </c>
      <c r="J1081" s="6" t="n">
        <v>1</v>
      </c>
      <c r="K1081" s="6" t="n">
        <v>19</v>
      </c>
      <c r="L1081" s="6" t="n">
        <v>1</v>
      </c>
      <c r="M1081" s="6" t="n">
        <v>19</v>
      </c>
      <c r="N1081" s="11" t="n">
        <f aca="false">J1081/(J1081+K1081)</f>
        <v>0.05</v>
      </c>
      <c r="O1081" s="11" t="n">
        <f aca="false">IF(J1081+L1081=0,"",J1081/(J1081+L1081))</f>
        <v>0.5</v>
      </c>
      <c r="P1081" s="11" t="n">
        <f aca="false">2*J1081/(2*J1081+L1081+K1081)</f>
        <v>0.0909090909090909</v>
      </c>
      <c r="Q1081" s="11" t="n">
        <f aca="false">L1081/(L1081+M1081)</f>
        <v>0.05</v>
      </c>
      <c r="R1081" s="6" t="n">
        <v>0</v>
      </c>
      <c r="S1081" s="11"/>
      <c r="T1081" s="11" t="n">
        <v>0.05</v>
      </c>
      <c r="U1081" s="11" t="n">
        <v>1</v>
      </c>
      <c r="V1081" s="11" t="n">
        <v>1</v>
      </c>
    </row>
    <row r="1082" customFormat="false" ht="15" hidden="false" customHeight="false" outlineLevel="0" collapsed="false">
      <c r="A1082" s="6" t="s">
        <v>62</v>
      </c>
      <c r="B1082" s="6" t="s">
        <v>63</v>
      </c>
      <c r="C1082" s="6" t="s">
        <v>44</v>
      </c>
      <c r="D1082" s="6" t="s">
        <v>114</v>
      </c>
      <c r="E1082" s="6" t="n">
        <v>16</v>
      </c>
      <c r="F1082" s="6" t="n">
        <v>9</v>
      </c>
      <c r="G1082" s="6" t="s">
        <v>70</v>
      </c>
      <c r="H1082" s="11" t="n">
        <v>0.05</v>
      </c>
      <c r="I1082" s="6" t="n">
        <v>20</v>
      </c>
      <c r="J1082" s="6" t="n">
        <v>0</v>
      </c>
      <c r="K1082" s="6" t="n">
        <v>20</v>
      </c>
      <c r="L1082" s="6" t="n">
        <v>0</v>
      </c>
      <c r="M1082" s="6" t="n">
        <v>20</v>
      </c>
      <c r="N1082" s="11" t="n">
        <f aca="false">J1082/(J1082+K1082)</f>
        <v>0</v>
      </c>
      <c r="O1082" s="11" t="str">
        <f aca="false">IF(J1082+L1082=0,"",J1082/(J1082+L1082))</f>
        <v/>
      </c>
      <c r="P1082" s="11" t="n">
        <f aca="false">2*J1082/(2*J1082+L1082+K1082)</f>
        <v>0</v>
      </c>
      <c r="Q1082" s="11" t="n">
        <f aca="false">L1082/(L1082+M1082)</f>
        <v>0</v>
      </c>
      <c r="R1082" s="6" t="n">
        <v>0</v>
      </c>
      <c r="S1082" s="11"/>
      <c r="T1082" s="11" t="n">
        <v>0</v>
      </c>
      <c r="U1082" s="11" t="n">
        <v>0.9</v>
      </c>
      <c r="V1082" s="11" t="n">
        <v>0.9</v>
      </c>
    </row>
    <row r="1083" customFormat="false" ht="15" hidden="false" customHeight="false" outlineLevel="0" collapsed="false">
      <c r="A1083" s="6" t="s">
        <v>62</v>
      </c>
      <c r="B1083" s="6" t="s">
        <v>63</v>
      </c>
      <c r="C1083" s="6" t="s">
        <v>44</v>
      </c>
      <c r="D1083" s="6" t="s">
        <v>114</v>
      </c>
      <c r="E1083" s="6" t="n">
        <v>16</v>
      </c>
      <c r="F1083" s="6" t="n">
        <v>9</v>
      </c>
      <c r="G1083" s="6" t="s">
        <v>71</v>
      </c>
      <c r="H1083" s="11" t="n">
        <v>0.05</v>
      </c>
      <c r="I1083" s="6" t="n">
        <v>20</v>
      </c>
      <c r="J1083" s="6" t="n">
        <v>0</v>
      </c>
      <c r="K1083" s="6" t="n">
        <v>20</v>
      </c>
      <c r="L1083" s="6" t="n">
        <v>0</v>
      </c>
      <c r="M1083" s="6" t="n">
        <v>20</v>
      </c>
      <c r="N1083" s="11" t="n">
        <f aca="false">J1083/(J1083+K1083)</f>
        <v>0</v>
      </c>
      <c r="O1083" s="11" t="str">
        <f aca="false">IF(J1083+L1083=0,"",J1083/(J1083+L1083))</f>
        <v/>
      </c>
      <c r="P1083" s="11" t="n">
        <f aca="false">2*J1083/(2*J1083+L1083+K1083)</f>
        <v>0</v>
      </c>
      <c r="Q1083" s="11" t="n">
        <f aca="false">L1083/(L1083+M1083)</f>
        <v>0</v>
      </c>
      <c r="R1083" s="6" t="n">
        <v>0</v>
      </c>
      <c r="S1083" s="11"/>
      <c r="T1083" s="11" t="n">
        <v>0</v>
      </c>
      <c r="U1083" s="11" t="n">
        <v>0.8</v>
      </c>
      <c r="V1083" s="11" t="n">
        <v>0.8</v>
      </c>
    </row>
    <row r="1084" customFormat="false" ht="15" hidden="false" customHeight="false" outlineLevel="0" collapsed="false">
      <c r="A1084" s="6" t="s">
        <v>62</v>
      </c>
      <c r="B1084" s="6" t="s">
        <v>63</v>
      </c>
      <c r="C1084" s="6" t="s">
        <v>44</v>
      </c>
      <c r="D1084" s="6" t="s">
        <v>114</v>
      </c>
      <c r="E1084" s="6" t="n">
        <v>16</v>
      </c>
      <c r="F1084" s="6" t="n">
        <v>9</v>
      </c>
      <c r="G1084" s="6" t="s">
        <v>72</v>
      </c>
      <c r="H1084" s="11" t="n">
        <v>0.05</v>
      </c>
      <c r="I1084" s="6" t="n">
        <v>20</v>
      </c>
      <c r="J1084" s="6" t="n">
        <v>0</v>
      </c>
      <c r="K1084" s="6" t="n">
        <v>20</v>
      </c>
      <c r="L1084" s="6" t="n">
        <v>1</v>
      </c>
      <c r="M1084" s="6" t="n">
        <v>19</v>
      </c>
      <c r="N1084" s="11" t="n">
        <f aca="false">J1084/(J1084+K1084)</f>
        <v>0</v>
      </c>
      <c r="O1084" s="11" t="n">
        <f aca="false">IF(J1084+L1084=0,"",J1084/(J1084+L1084))</f>
        <v>0</v>
      </c>
      <c r="P1084" s="11" t="n">
        <f aca="false">2*J1084/(2*J1084+L1084+K1084)</f>
        <v>0</v>
      </c>
      <c r="Q1084" s="11" t="n">
        <f aca="false">L1084/(L1084+M1084)</f>
        <v>0.05</v>
      </c>
      <c r="R1084" s="6" t="n">
        <v>0</v>
      </c>
      <c r="S1084" s="11"/>
      <c r="T1084" s="11" t="n">
        <v>0</v>
      </c>
      <c r="U1084" s="11" t="n">
        <v>0.9</v>
      </c>
      <c r="V1084" s="11" t="n">
        <v>0.9</v>
      </c>
    </row>
    <row r="1085" customFormat="false" ht="15" hidden="false" customHeight="false" outlineLevel="0" collapsed="false">
      <c r="A1085" s="6" t="s">
        <v>62</v>
      </c>
      <c r="B1085" s="6" t="s">
        <v>63</v>
      </c>
      <c r="C1085" s="6" t="s">
        <v>44</v>
      </c>
      <c r="D1085" s="6" t="s">
        <v>114</v>
      </c>
      <c r="E1085" s="6" t="n">
        <v>16</v>
      </c>
      <c r="F1085" s="6" t="n">
        <v>9</v>
      </c>
      <c r="G1085" s="6" t="s">
        <v>73</v>
      </c>
      <c r="H1085" s="11" t="n">
        <v>0.05</v>
      </c>
      <c r="I1085" s="6" t="n">
        <v>20</v>
      </c>
      <c r="J1085" s="6" t="n">
        <v>0</v>
      </c>
      <c r="K1085" s="6" t="n">
        <v>20</v>
      </c>
      <c r="L1085" s="6" t="n">
        <v>0</v>
      </c>
      <c r="M1085" s="6" t="n">
        <v>20</v>
      </c>
      <c r="N1085" s="11" t="n">
        <f aca="false">J1085/(J1085+K1085)</f>
        <v>0</v>
      </c>
      <c r="O1085" s="11" t="str">
        <f aca="false">IF(J1085+L1085=0,"",J1085/(J1085+L1085))</f>
        <v/>
      </c>
      <c r="P1085" s="11" t="n">
        <f aca="false">2*J1085/(2*J1085+L1085+K1085)</f>
        <v>0</v>
      </c>
      <c r="Q1085" s="11" t="n">
        <f aca="false">L1085/(L1085+M1085)</f>
        <v>0</v>
      </c>
      <c r="R1085" s="6" t="n">
        <v>1</v>
      </c>
      <c r="S1085" s="11" t="n">
        <v>0</v>
      </c>
      <c r="T1085" s="11" t="n">
        <v>0</v>
      </c>
      <c r="U1085" s="11" t="n">
        <v>0.65</v>
      </c>
      <c r="V1085" s="11" t="n">
        <v>0.65</v>
      </c>
    </row>
    <row r="1086" customFormat="false" ht="15" hidden="false" customHeight="false" outlineLevel="0" collapsed="false">
      <c r="A1086" s="6" t="s">
        <v>62</v>
      </c>
      <c r="B1086" s="6" t="s">
        <v>63</v>
      </c>
      <c r="C1086" s="6" t="s">
        <v>44</v>
      </c>
      <c r="D1086" s="6" t="s">
        <v>114</v>
      </c>
      <c r="E1086" s="6" t="n">
        <v>16</v>
      </c>
      <c r="F1086" s="6" t="n">
        <v>9</v>
      </c>
      <c r="G1086" s="6" t="s">
        <v>74</v>
      </c>
      <c r="H1086" s="11" t="n">
        <v>0.05</v>
      </c>
      <c r="I1086" s="6" t="n">
        <v>20</v>
      </c>
      <c r="J1086" s="6" t="n">
        <v>1</v>
      </c>
      <c r="K1086" s="6" t="n">
        <v>19</v>
      </c>
      <c r="L1086" s="6" t="n">
        <v>1</v>
      </c>
      <c r="M1086" s="6" t="n">
        <v>19</v>
      </c>
      <c r="N1086" s="11" t="n">
        <f aca="false">J1086/(J1086+K1086)</f>
        <v>0.05</v>
      </c>
      <c r="O1086" s="11" t="n">
        <f aca="false">IF(J1086+L1086=0,"",J1086/(J1086+L1086))</f>
        <v>0.5</v>
      </c>
      <c r="P1086" s="11" t="n">
        <f aca="false">2*J1086/(2*J1086+L1086+K1086)</f>
        <v>0.0909090909090909</v>
      </c>
      <c r="Q1086" s="11" t="n">
        <f aca="false">L1086/(L1086+M1086)</f>
        <v>0.05</v>
      </c>
      <c r="R1086" s="6" t="n">
        <v>1</v>
      </c>
      <c r="S1086" s="11" t="n">
        <v>0</v>
      </c>
      <c r="T1086" s="11" t="n">
        <v>0.0526315789473684</v>
      </c>
      <c r="U1086" s="11" t="n">
        <v>0.85</v>
      </c>
      <c r="V1086" s="11" t="n">
        <v>0.85</v>
      </c>
    </row>
    <row r="1087" customFormat="false" ht="15" hidden="false" customHeight="false" outlineLevel="0" collapsed="false">
      <c r="A1087" s="6" t="s">
        <v>62</v>
      </c>
      <c r="B1087" s="6" t="s">
        <v>63</v>
      </c>
      <c r="C1087" s="6" t="s">
        <v>44</v>
      </c>
      <c r="D1087" s="6" t="s">
        <v>114</v>
      </c>
      <c r="E1087" s="6" t="n">
        <v>16</v>
      </c>
      <c r="F1087" s="6" t="n">
        <v>9</v>
      </c>
      <c r="G1087" s="6" t="s">
        <v>75</v>
      </c>
      <c r="H1087" s="11" t="n">
        <v>0.05</v>
      </c>
      <c r="I1087" s="6" t="n">
        <v>20</v>
      </c>
      <c r="J1087" s="6" t="n">
        <v>0</v>
      </c>
      <c r="K1087" s="6" t="n">
        <v>20</v>
      </c>
      <c r="L1087" s="6" t="n">
        <v>0</v>
      </c>
      <c r="M1087" s="6" t="n">
        <v>20</v>
      </c>
      <c r="N1087" s="11" t="n">
        <f aca="false">J1087/(J1087+K1087)</f>
        <v>0</v>
      </c>
      <c r="O1087" s="11" t="str">
        <f aca="false">IF(J1087+L1087=0,"",J1087/(J1087+L1087))</f>
        <v/>
      </c>
      <c r="P1087" s="11" t="n">
        <f aca="false">2*J1087/(2*J1087+L1087+K1087)</f>
        <v>0</v>
      </c>
      <c r="Q1087" s="11" t="n">
        <f aca="false">L1087/(L1087+M1087)</f>
        <v>0</v>
      </c>
      <c r="R1087" s="6" t="n">
        <v>1</v>
      </c>
      <c r="S1087" s="11" t="n">
        <v>0</v>
      </c>
      <c r="T1087" s="11" t="n">
        <v>0</v>
      </c>
      <c r="U1087" s="11" t="n">
        <v>0.9</v>
      </c>
      <c r="V1087" s="11" t="n">
        <v>0.95</v>
      </c>
    </row>
    <row r="1088" customFormat="false" ht="15" hidden="false" customHeight="false" outlineLevel="0" collapsed="false">
      <c r="A1088" s="6" t="s">
        <v>62</v>
      </c>
      <c r="B1088" s="6" t="s">
        <v>63</v>
      </c>
      <c r="C1088" s="6" t="s">
        <v>44</v>
      </c>
      <c r="D1088" s="6" t="s">
        <v>114</v>
      </c>
      <c r="E1088" s="6" t="n">
        <v>16</v>
      </c>
      <c r="F1088" s="6" t="n">
        <v>9</v>
      </c>
      <c r="G1088" s="6" t="s">
        <v>76</v>
      </c>
      <c r="H1088" s="11" t="n">
        <v>0.05</v>
      </c>
      <c r="I1088" s="6" t="n">
        <v>20</v>
      </c>
      <c r="J1088" s="6" t="n">
        <v>0</v>
      </c>
      <c r="K1088" s="6" t="n">
        <v>20</v>
      </c>
      <c r="L1088" s="6" t="n">
        <v>0</v>
      </c>
      <c r="M1088" s="6" t="n">
        <v>20</v>
      </c>
      <c r="N1088" s="11" t="n">
        <f aca="false">J1088/(J1088+K1088)</f>
        <v>0</v>
      </c>
      <c r="O1088" s="11" t="str">
        <f aca="false">IF(J1088+L1088=0,"",J1088/(J1088+L1088))</f>
        <v/>
      </c>
      <c r="P1088" s="11" t="n">
        <f aca="false">2*J1088/(2*J1088+L1088+K1088)</f>
        <v>0</v>
      </c>
      <c r="Q1088" s="11" t="n">
        <f aca="false">L1088/(L1088+M1088)</f>
        <v>0</v>
      </c>
      <c r="R1088" s="6" t="n">
        <v>0</v>
      </c>
      <c r="S1088" s="11"/>
      <c r="T1088" s="11" t="n">
        <v>0</v>
      </c>
      <c r="U1088" s="11" t="n">
        <v>0.95</v>
      </c>
      <c r="V1088" s="11" t="n">
        <v>0.95</v>
      </c>
    </row>
    <row r="1089" customFormat="false" ht="15" hidden="false" customHeight="false" outlineLevel="0" collapsed="false">
      <c r="A1089" s="6" t="s">
        <v>62</v>
      </c>
      <c r="B1089" s="6" t="s">
        <v>63</v>
      </c>
      <c r="C1089" s="6" t="s">
        <v>44</v>
      </c>
      <c r="D1089" s="6" t="s">
        <v>114</v>
      </c>
      <c r="E1089" s="6" t="n">
        <v>16</v>
      </c>
      <c r="F1089" s="6" t="n">
        <v>9</v>
      </c>
      <c r="G1089" s="6" t="s">
        <v>77</v>
      </c>
      <c r="H1089" s="11" t="n">
        <v>0.05</v>
      </c>
      <c r="I1089" s="6" t="n">
        <v>20</v>
      </c>
      <c r="J1089" s="6" t="n">
        <v>1</v>
      </c>
      <c r="K1089" s="6" t="n">
        <v>19</v>
      </c>
      <c r="L1089" s="6" t="n">
        <v>1</v>
      </c>
      <c r="M1089" s="6" t="n">
        <v>19</v>
      </c>
      <c r="N1089" s="11" t="n">
        <f aca="false">J1089/(J1089+K1089)</f>
        <v>0.05</v>
      </c>
      <c r="O1089" s="11" t="n">
        <f aca="false">IF(J1089+L1089=0,"",J1089/(J1089+L1089))</f>
        <v>0.5</v>
      </c>
      <c r="P1089" s="11" t="n">
        <f aca="false">2*J1089/(2*J1089+L1089+K1089)</f>
        <v>0.0909090909090909</v>
      </c>
      <c r="Q1089" s="11" t="n">
        <f aca="false">L1089/(L1089+M1089)</f>
        <v>0.05</v>
      </c>
      <c r="R1089" s="6" t="n">
        <v>0</v>
      </c>
      <c r="S1089" s="11"/>
      <c r="T1089" s="11" t="n">
        <v>0.05</v>
      </c>
      <c r="U1089" s="11" t="n">
        <v>1</v>
      </c>
      <c r="V1089" s="11" t="n">
        <v>1</v>
      </c>
    </row>
    <row r="1090" customFormat="false" ht="15" hidden="false" customHeight="false" outlineLevel="0" collapsed="false">
      <c r="A1090" s="6" t="s">
        <v>62</v>
      </c>
      <c r="B1090" s="6" t="s">
        <v>63</v>
      </c>
      <c r="C1090" s="6" t="s">
        <v>44</v>
      </c>
      <c r="D1090" s="6" t="s">
        <v>114</v>
      </c>
      <c r="E1090" s="6" t="n">
        <v>16</v>
      </c>
      <c r="F1090" s="6" t="n">
        <v>9</v>
      </c>
      <c r="G1090" s="6" t="s">
        <v>78</v>
      </c>
      <c r="H1090" s="11" t="n">
        <v>0.05</v>
      </c>
      <c r="I1090" s="6" t="n">
        <v>200</v>
      </c>
      <c r="J1090" s="6" t="n">
        <v>5</v>
      </c>
      <c r="K1090" s="6" t="n">
        <v>195</v>
      </c>
      <c r="L1090" s="6" t="n">
        <v>6</v>
      </c>
      <c r="M1090" s="6" t="n">
        <v>194</v>
      </c>
      <c r="N1090" s="11" t="n">
        <f aca="false">J1090/(J1090+K1090)</f>
        <v>0.025</v>
      </c>
      <c r="O1090" s="11" t="n">
        <f aca="false">IF(J1090+L1090=0,"",J1090/(J1090+L1090))</f>
        <v>0.454545454545455</v>
      </c>
      <c r="P1090" s="11" t="n">
        <f aca="false">2*J1090/(2*J1090+L1090+K1090)</f>
        <v>0.04739336492891</v>
      </c>
      <c r="Q1090" s="11" t="n">
        <f aca="false">L1090/(L1090+M1090)</f>
        <v>0.03</v>
      </c>
      <c r="R1090" s="6" t="n">
        <v>3</v>
      </c>
      <c r="S1090" s="11" t="n">
        <v>0</v>
      </c>
      <c r="T1090" s="11" t="n">
        <v>0.0253807106598985</v>
      </c>
      <c r="U1090" s="11" t="n">
        <v>0.88</v>
      </c>
      <c r="V1090" s="11" t="n">
        <v>0.885</v>
      </c>
    </row>
    <row r="1091" customFormat="false" ht="15" hidden="false" customHeight="false" outlineLevel="0" collapsed="false">
      <c r="A1091" s="6" t="s">
        <v>62</v>
      </c>
      <c r="B1091" s="6" t="s">
        <v>63</v>
      </c>
      <c r="C1091" s="6" t="s">
        <v>44</v>
      </c>
      <c r="D1091" s="6" t="s">
        <v>114</v>
      </c>
      <c r="E1091" s="6" t="n">
        <v>16</v>
      </c>
      <c r="F1091" s="6" t="n">
        <v>10</v>
      </c>
      <c r="G1091" s="6" t="s">
        <v>68</v>
      </c>
      <c r="H1091" s="11" t="n">
        <v>0.05</v>
      </c>
      <c r="I1091" s="6" t="n">
        <v>20</v>
      </c>
      <c r="J1091" s="6" t="n">
        <v>3</v>
      </c>
      <c r="K1091" s="6" t="n">
        <v>17</v>
      </c>
      <c r="L1091" s="6" t="n">
        <v>2</v>
      </c>
      <c r="M1091" s="6" t="n">
        <v>18</v>
      </c>
      <c r="N1091" s="11" t="n">
        <f aca="false">J1091/(J1091+K1091)</f>
        <v>0.15</v>
      </c>
      <c r="O1091" s="11" t="n">
        <f aca="false">IF(J1091+L1091=0,"",J1091/(J1091+L1091))</f>
        <v>0.6</v>
      </c>
      <c r="P1091" s="11" t="n">
        <f aca="false">2*J1091/(2*J1091+L1091+K1091)</f>
        <v>0.24</v>
      </c>
      <c r="Q1091" s="11" t="n">
        <f aca="false">L1091/(L1091+M1091)</f>
        <v>0.1</v>
      </c>
      <c r="R1091" s="6" t="n">
        <v>1</v>
      </c>
      <c r="S1091" s="11" t="n">
        <v>0</v>
      </c>
      <c r="T1091" s="11" t="n">
        <v>0.157894736842105</v>
      </c>
      <c r="U1091" s="11" t="n">
        <v>0.85</v>
      </c>
      <c r="V1091" s="11" t="n">
        <v>0.9</v>
      </c>
    </row>
    <row r="1092" customFormat="false" ht="15" hidden="false" customHeight="false" outlineLevel="0" collapsed="false">
      <c r="A1092" s="6" t="s">
        <v>62</v>
      </c>
      <c r="B1092" s="6" t="s">
        <v>63</v>
      </c>
      <c r="C1092" s="6" t="s">
        <v>44</v>
      </c>
      <c r="D1092" s="6" t="s">
        <v>114</v>
      </c>
      <c r="E1092" s="6" t="n">
        <v>16</v>
      </c>
      <c r="F1092" s="6" t="n">
        <v>10</v>
      </c>
      <c r="G1092" s="6" t="s">
        <v>69</v>
      </c>
      <c r="H1092" s="11" t="n">
        <v>0.05</v>
      </c>
      <c r="I1092" s="6" t="n">
        <v>20</v>
      </c>
      <c r="J1092" s="6" t="n">
        <v>2</v>
      </c>
      <c r="K1092" s="6" t="n">
        <v>18</v>
      </c>
      <c r="L1092" s="6" t="n">
        <v>1</v>
      </c>
      <c r="M1092" s="6" t="n">
        <v>19</v>
      </c>
      <c r="N1092" s="11" t="n">
        <f aca="false">J1092/(J1092+K1092)</f>
        <v>0.1</v>
      </c>
      <c r="O1092" s="11" t="n">
        <f aca="false">IF(J1092+L1092=0,"",J1092/(J1092+L1092))</f>
        <v>0.666666666666667</v>
      </c>
      <c r="P1092" s="11" t="n">
        <f aca="false">2*J1092/(2*J1092+L1092+K1092)</f>
        <v>0.173913043478261</v>
      </c>
      <c r="Q1092" s="11" t="n">
        <f aca="false">L1092/(L1092+M1092)</f>
        <v>0.05</v>
      </c>
      <c r="R1092" s="6" t="n">
        <v>0</v>
      </c>
      <c r="S1092" s="11"/>
      <c r="T1092" s="11" t="n">
        <v>0.1</v>
      </c>
      <c r="U1092" s="11" t="n">
        <v>1</v>
      </c>
      <c r="V1092" s="11" t="n">
        <v>1</v>
      </c>
    </row>
    <row r="1093" customFormat="false" ht="15" hidden="false" customHeight="false" outlineLevel="0" collapsed="false">
      <c r="A1093" s="6" t="s">
        <v>62</v>
      </c>
      <c r="B1093" s="6" t="s">
        <v>63</v>
      </c>
      <c r="C1093" s="6" t="s">
        <v>44</v>
      </c>
      <c r="D1093" s="6" t="s">
        <v>114</v>
      </c>
      <c r="E1093" s="6" t="n">
        <v>16</v>
      </c>
      <c r="F1093" s="6" t="n">
        <v>10</v>
      </c>
      <c r="G1093" s="6" t="s">
        <v>70</v>
      </c>
      <c r="H1093" s="11" t="n">
        <v>0.05</v>
      </c>
      <c r="I1093" s="6" t="n">
        <v>20</v>
      </c>
      <c r="J1093" s="6" t="n">
        <v>0</v>
      </c>
      <c r="K1093" s="6" t="n">
        <v>20</v>
      </c>
      <c r="L1093" s="6" t="n">
        <v>0</v>
      </c>
      <c r="M1093" s="6" t="n">
        <v>20</v>
      </c>
      <c r="N1093" s="11" t="n">
        <f aca="false">J1093/(J1093+K1093)</f>
        <v>0</v>
      </c>
      <c r="O1093" s="11" t="str">
        <f aca="false">IF(J1093+L1093=0,"",J1093/(J1093+L1093))</f>
        <v/>
      </c>
      <c r="P1093" s="11" t="n">
        <f aca="false">2*J1093/(2*J1093+L1093+K1093)</f>
        <v>0</v>
      </c>
      <c r="Q1093" s="11" t="n">
        <f aca="false">L1093/(L1093+M1093)</f>
        <v>0</v>
      </c>
      <c r="R1093" s="6" t="n">
        <v>1</v>
      </c>
      <c r="S1093" s="11" t="n">
        <v>0</v>
      </c>
      <c r="T1093" s="11" t="n">
        <v>0</v>
      </c>
      <c r="U1093" s="11" t="n">
        <v>0.9</v>
      </c>
      <c r="V1093" s="11" t="n">
        <v>0.95</v>
      </c>
    </row>
    <row r="1094" customFormat="false" ht="15" hidden="false" customHeight="false" outlineLevel="0" collapsed="false">
      <c r="A1094" s="6" t="s">
        <v>62</v>
      </c>
      <c r="B1094" s="6" t="s">
        <v>63</v>
      </c>
      <c r="C1094" s="6" t="s">
        <v>44</v>
      </c>
      <c r="D1094" s="6" t="s">
        <v>114</v>
      </c>
      <c r="E1094" s="6" t="n">
        <v>16</v>
      </c>
      <c r="F1094" s="6" t="n">
        <v>10</v>
      </c>
      <c r="G1094" s="6" t="s">
        <v>71</v>
      </c>
      <c r="H1094" s="11" t="n">
        <v>0.05</v>
      </c>
      <c r="I1094" s="6" t="n">
        <v>20</v>
      </c>
      <c r="J1094" s="6" t="n">
        <v>0</v>
      </c>
      <c r="K1094" s="6" t="n">
        <v>20</v>
      </c>
      <c r="L1094" s="6" t="n">
        <v>0</v>
      </c>
      <c r="M1094" s="6" t="n">
        <v>20</v>
      </c>
      <c r="N1094" s="11" t="n">
        <f aca="false">J1094/(J1094+K1094)</f>
        <v>0</v>
      </c>
      <c r="O1094" s="11" t="str">
        <f aca="false">IF(J1094+L1094=0,"",J1094/(J1094+L1094))</f>
        <v/>
      </c>
      <c r="P1094" s="11" t="n">
        <f aca="false">2*J1094/(2*J1094+L1094+K1094)</f>
        <v>0</v>
      </c>
      <c r="Q1094" s="11" t="n">
        <f aca="false">L1094/(L1094+M1094)</f>
        <v>0</v>
      </c>
      <c r="R1094" s="6" t="n">
        <v>0</v>
      </c>
      <c r="S1094" s="11"/>
      <c r="T1094" s="11" t="n">
        <v>0</v>
      </c>
      <c r="U1094" s="11" t="n">
        <v>0.8</v>
      </c>
      <c r="V1094" s="11" t="n">
        <v>0.8</v>
      </c>
    </row>
    <row r="1095" customFormat="false" ht="15" hidden="false" customHeight="false" outlineLevel="0" collapsed="false">
      <c r="A1095" s="6" t="s">
        <v>62</v>
      </c>
      <c r="B1095" s="6" t="s">
        <v>63</v>
      </c>
      <c r="C1095" s="6" t="s">
        <v>44</v>
      </c>
      <c r="D1095" s="6" t="s">
        <v>114</v>
      </c>
      <c r="E1095" s="6" t="n">
        <v>16</v>
      </c>
      <c r="F1095" s="6" t="n">
        <v>10</v>
      </c>
      <c r="G1095" s="6" t="s">
        <v>72</v>
      </c>
      <c r="H1095" s="11" t="n">
        <v>0.05</v>
      </c>
      <c r="I1095" s="6" t="n">
        <v>20</v>
      </c>
      <c r="J1095" s="6" t="n">
        <v>0</v>
      </c>
      <c r="K1095" s="6" t="n">
        <v>20</v>
      </c>
      <c r="L1095" s="6" t="n">
        <v>1</v>
      </c>
      <c r="M1095" s="6" t="n">
        <v>19</v>
      </c>
      <c r="N1095" s="11" t="n">
        <f aca="false">J1095/(J1095+K1095)</f>
        <v>0</v>
      </c>
      <c r="O1095" s="11" t="n">
        <f aca="false">IF(J1095+L1095=0,"",J1095/(J1095+L1095))</f>
        <v>0</v>
      </c>
      <c r="P1095" s="11" t="n">
        <f aca="false">2*J1095/(2*J1095+L1095+K1095)</f>
        <v>0</v>
      </c>
      <c r="Q1095" s="11" t="n">
        <f aca="false">L1095/(L1095+M1095)</f>
        <v>0.05</v>
      </c>
      <c r="R1095" s="6" t="n">
        <v>0</v>
      </c>
      <c r="S1095" s="11"/>
      <c r="T1095" s="11" t="n">
        <v>0</v>
      </c>
      <c r="U1095" s="11" t="n">
        <v>0.9</v>
      </c>
      <c r="V1095" s="11" t="n">
        <v>0.9</v>
      </c>
    </row>
    <row r="1096" customFormat="false" ht="15" hidden="false" customHeight="false" outlineLevel="0" collapsed="false">
      <c r="A1096" s="6" t="s">
        <v>62</v>
      </c>
      <c r="B1096" s="6" t="s">
        <v>63</v>
      </c>
      <c r="C1096" s="6" t="s">
        <v>44</v>
      </c>
      <c r="D1096" s="6" t="s">
        <v>114</v>
      </c>
      <c r="E1096" s="6" t="n">
        <v>16</v>
      </c>
      <c r="F1096" s="6" t="n">
        <v>10</v>
      </c>
      <c r="G1096" s="6" t="s">
        <v>73</v>
      </c>
      <c r="H1096" s="11" t="n">
        <v>0.05</v>
      </c>
      <c r="I1096" s="6" t="n">
        <v>20</v>
      </c>
      <c r="J1096" s="6" t="n">
        <v>0</v>
      </c>
      <c r="K1096" s="6" t="n">
        <v>20</v>
      </c>
      <c r="L1096" s="6" t="n">
        <v>0</v>
      </c>
      <c r="M1096" s="6" t="n">
        <v>20</v>
      </c>
      <c r="N1096" s="11" t="n">
        <f aca="false">J1096/(J1096+K1096)</f>
        <v>0</v>
      </c>
      <c r="O1096" s="11" t="str">
        <f aca="false">IF(J1096+L1096=0,"",J1096/(J1096+L1096))</f>
        <v/>
      </c>
      <c r="P1096" s="11" t="n">
        <f aca="false">2*J1096/(2*J1096+L1096+K1096)</f>
        <v>0</v>
      </c>
      <c r="Q1096" s="11" t="n">
        <f aca="false">L1096/(L1096+M1096)</f>
        <v>0</v>
      </c>
      <c r="R1096" s="6" t="n">
        <v>1</v>
      </c>
      <c r="S1096" s="11" t="n">
        <v>0</v>
      </c>
      <c r="T1096" s="11" t="n">
        <v>0</v>
      </c>
      <c r="U1096" s="11" t="n">
        <v>0.65</v>
      </c>
      <c r="V1096" s="11" t="n">
        <v>0.65</v>
      </c>
    </row>
    <row r="1097" customFormat="false" ht="15" hidden="false" customHeight="false" outlineLevel="0" collapsed="false">
      <c r="A1097" s="6" t="s">
        <v>62</v>
      </c>
      <c r="B1097" s="6" t="s">
        <v>63</v>
      </c>
      <c r="C1097" s="6" t="s">
        <v>44</v>
      </c>
      <c r="D1097" s="6" t="s">
        <v>114</v>
      </c>
      <c r="E1097" s="6" t="n">
        <v>16</v>
      </c>
      <c r="F1097" s="6" t="n">
        <v>10</v>
      </c>
      <c r="G1097" s="6" t="s">
        <v>74</v>
      </c>
      <c r="H1097" s="11" t="n">
        <v>0.05</v>
      </c>
      <c r="I1097" s="6" t="n">
        <v>20</v>
      </c>
      <c r="J1097" s="6" t="n">
        <v>1</v>
      </c>
      <c r="K1097" s="6" t="n">
        <v>19</v>
      </c>
      <c r="L1097" s="6" t="n">
        <v>1</v>
      </c>
      <c r="M1097" s="6" t="n">
        <v>19</v>
      </c>
      <c r="N1097" s="11" t="n">
        <f aca="false">J1097/(J1097+K1097)</f>
        <v>0.05</v>
      </c>
      <c r="O1097" s="11" t="n">
        <f aca="false">IF(J1097+L1097=0,"",J1097/(J1097+L1097))</f>
        <v>0.5</v>
      </c>
      <c r="P1097" s="11" t="n">
        <f aca="false">2*J1097/(2*J1097+L1097+K1097)</f>
        <v>0.0909090909090909</v>
      </c>
      <c r="Q1097" s="11" t="n">
        <f aca="false">L1097/(L1097+M1097)</f>
        <v>0.05</v>
      </c>
      <c r="R1097" s="6" t="n">
        <v>1</v>
      </c>
      <c r="S1097" s="11" t="n">
        <v>0</v>
      </c>
      <c r="T1097" s="11" t="n">
        <v>0.0526315789473684</v>
      </c>
      <c r="U1097" s="11" t="n">
        <v>0.85</v>
      </c>
      <c r="V1097" s="11" t="n">
        <v>0.9</v>
      </c>
    </row>
    <row r="1098" customFormat="false" ht="15" hidden="false" customHeight="false" outlineLevel="0" collapsed="false">
      <c r="A1098" s="6" t="s">
        <v>62</v>
      </c>
      <c r="B1098" s="6" t="s">
        <v>63</v>
      </c>
      <c r="C1098" s="6" t="s">
        <v>44</v>
      </c>
      <c r="D1098" s="6" t="s">
        <v>114</v>
      </c>
      <c r="E1098" s="6" t="n">
        <v>16</v>
      </c>
      <c r="F1098" s="6" t="n">
        <v>10</v>
      </c>
      <c r="G1098" s="6" t="s">
        <v>75</v>
      </c>
      <c r="H1098" s="11" t="n">
        <v>0.05</v>
      </c>
      <c r="I1098" s="6" t="n">
        <v>20</v>
      </c>
      <c r="J1098" s="6" t="n">
        <v>0</v>
      </c>
      <c r="K1098" s="6" t="n">
        <v>20</v>
      </c>
      <c r="L1098" s="6" t="n">
        <v>0</v>
      </c>
      <c r="M1098" s="6" t="n">
        <v>20</v>
      </c>
      <c r="N1098" s="11" t="n">
        <f aca="false">J1098/(J1098+K1098)</f>
        <v>0</v>
      </c>
      <c r="O1098" s="11" t="str">
        <f aca="false">IF(J1098+L1098=0,"",J1098/(J1098+L1098))</f>
        <v/>
      </c>
      <c r="P1098" s="11" t="n">
        <f aca="false">2*J1098/(2*J1098+L1098+K1098)</f>
        <v>0</v>
      </c>
      <c r="Q1098" s="11" t="n">
        <f aca="false">L1098/(L1098+M1098)</f>
        <v>0</v>
      </c>
      <c r="R1098" s="6" t="n">
        <v>1</v>
      </c>
      <c r="S1098" s="11" t="n">
        <v>0</v>
      </c>
      <c r="T1098" s="11" t="n">
        <v>0</v>
      </c>
      <c r="U1098" s="11" t="n">
        <v>0.9</v>
      </c>
      <c r="V1098" s="11" t="n">
        <v>0.9</v>
      </c>
    </row>
    <row r="1099" customFormat="false" ht="15" hidden="false" customHeight="false" outlineLevel="0" collapsed="false">
      <c r="A1099" s="6" t="s">
        <v>62</v>
      </c>
      <c r="B1099" s="6" t="s">
        <v>63</v>
      </c>
      <c r="C1099" s="6" t="s">
        <v>44</v>
      </c>
      <c r="D1099" s="6" t="s">
        <v>114</v>
      </c>
      <c r="E1099" s="6" t="n">
        <v>16</v>
      </c>
      <c r="F1099" s="6" t="n">
        <v>10</v>
      </c>
      <c r="G1099" s="6" t="s">
        <v>76</v>
      </c>
      <c r="H1099" s="11" t="n">
        <v>0.05</v>
      </c>
      <c r="I1099" s="6" t="n">
        <v>20</v>
      </c>
      <c r="J1099" s="6" t="n">
        <v>0</v>
      </c>
      <c r="K1099" s="6" t="n">
        <v>20</v>
      </c>
      <c r="L1099" s="6" t="n">
        <v>0</v>
      </c>
      <c r="M1099" s="6" t="n">
        <v>20</v>
      </c>
      <c r="N1099" s="11" t="n">
        <f aca="false">J1099/(J1099+K1099)</f>
        <v>0</v>
      </c>
      <c r="O1099" s="11" t="str">
        <f aca="false">IF(J1099+L1099=0,"",J1099/(J1099+L1099))</f>
        <v/>
      </c>
      <c r="P1099" s="11" t="n">
        <f aca="false">2*J1099/(2*J1099+L1099+K1099)</f>
        <v>0</v>
      </c>
      <c r="Q1099" s="11" t="n">
        <f aca="false">L1099/(L1099+M1099)</f>
        <v>0</v>
      </c>
      <c r="R1099" s="6" t="n">
        <v>0</v>
      </c>
      <c r="S1099" s="11"/>
      <c r="T1099" s="11" t="n">
        <v>0</v>
      </c>
      <c r="U1099" s="11" t="n">
        <v>0.95</v>
      </c>
      <c r="V1099" s="11" t="n">
        <v>0.95</v>
      </c>
    </row>
    <row r="1100" customFormat="false" ht="15" hidden="false" customHeight="false" outlineLevel="0" collapsed="false">
      <c r="A1100" s="6" t="s">
        <v>62</v>
      </c>
      <c r="B1100" s="6" t="s">
        <v>63</v>
      </c>
      <c r="C1100" s="6" t="s">
        <v>44</v>
      </c>
      <c r="D1100" s="6" t="s">
        <v>114</v>
      </c>
      <c r="E1100" s="6" t="n">
        <v>16</v>
      </c>
      <c r="F1100" s="6" t="n">
        <v>10</v>
      </c>
      <c r="G1100" s="6" t="s">
        <v>77</v>
      </c>
      <c r="H1100" s="11" t="n">
        <v>0.05</v>
      </c>
      <c r="I1100" s="6" t="n">
        <v>20</v>
      </c>
      <c r="J1100" s="6" t="n">
        <v>1</v>
      </c>
      <c r="K1100" s="6" t="n">
        <v>19</v>
      </c>
      <c r="L1100" s="6" t="n">
        <v>1</v>
      </c>
      <c r="M1100" s="6" t="n">
        <v>19</v>
      </c>
      <c r="N1100" s="11" t="n">
        <f aca="false">J1100/(J1100+K1100)</f>
        <v>0.05</v>
      </c>
      <c r="O1100" s="11" t="n">
        <f aca="false">IF(J1100+L1100=0,"",J1100/(J1100+L1100))</f>
        <v>0.5</v>
      </c>
      <c r="P1100" s="11" t="n">
        <f aca="false">2*J1100/(2*J1100+L1100+K1100)</f>
        <v>0.0909090909090909</v>
      </c>
      <c r="Q1100" s="11" t="n">
        <f aca="false">L1100/(L1100+M1100)</f>
        <v>0.05</v>
      </c>
      <c r="R1100" s="6" t="n">
        <v>0</v>
      </c>
      <c r="S1100" s="11"/>
      <c r="T1100" s="11" t="n">
        <v>0.05</v>
      </c>
      <c r="U1100" s="11" t="n">
        <v>1</v>
      </c>
      <c r="V1100" s="11" t="n">
        <v>1</v>
      </c>
    </row>
    <row r="1101" customFormat="false" ht="15" hidden="false" customHeight="false" outlineLevel="0" collapsed="false">
      <c r="A1101" s="6" t="s">
        <v>62</v>
      </c>
      <c r="B1101" s="6" t="s">
        <v>63</v>
      </c>
      <c r="C1101" s="6" t="s">
        <v>44</v>
      </c>
      <c r="D1101" s="6" t="s">
        <v>114</v>
      </c>
      <c r="E1101" s="6" t="n">
        <v>16</v>
      </c>
      <c r="F1101" s="6" t="n">
        <v>10</v>
      </c>
      <c r="G1101" s="6" t="s">
        <v>78</v>
      </c>
      <c r="H1101" s="11" t="n">
        <v>0.05</v>
      </c>
      <c r="I1101" s="6" t="n">
        <v>200</v>
      </c>
      <c r="J1101" s="6" t="n">
        <v>7</v>
      </c>
      <c r="K1101" s="6" t="n">
        <v>193</v>
      </c>
      <c r="L1101" s="6" t="n">
        <v>6</v>
      </c>
      <c r="M1101" s="6" t="n">
        <v>194</v>
      </c>
      <c r="N1101" s="11" t="n">
        <f aca="false">J1101/(J1101+K1101)</f>
        <v>0.035</v>
      </c>
      <c r="O1101" s="11" t="n">
        <f aca="false">IF(J1101+L1101=0,"",J1101/(J1101+L1101))</f>
        <v>0.538461538461538</v>
      </c>
      <c r="P1101" s="11" t="n">
        <f aca="false">2*J1101/(2*J1101+L1101+K1101)</f>
        <v>0.0657276995305164</v>
      </c>
      <c r="Q1101" s="11" t="n">
        <f aca="false">L1101/(L1101+M1101)</f>
        <v>0.03</v>
      </c>
      <c r="R1101" s="6" t="n">
        <v>5</v>
      </c>
      <c r="S1101" s="11" t="n">
        <v>0</v>
      </c>
      <c r="T1101" s="11" t="n">
        <v>0.0358974358974359</v>
      </c>
      <c r="U1101" s="11" t="n">
        <v>0.88</v>
      </c>
      <c r="V1101" s="11" t="n">
        <v>0.895</v>
      </c>
    </row>
    <row r="1102" customFormat="false" ht="15" hidden="false" customHeight="false" outlineLevel="0" collapsed="false">
      <c r="A1102" s="6" t="s">
        <v>42</v>
      </c>
      <c r="B1102" s="6" t="s">
        <v>43</v>
      </c>
      <c r="C1102" s="6" t="s">
        <v>44</v>
      </c>
      <c r="D1102" s="6" t="s">
        <v>114</v>
      </c>
      <c r="E1102" s="6" t="n">
        <v>16</v>
      </c>
      <c r="F1102" s="6" t="n">
        <v>1</v>
      </c>
      <c r="G1102" s="6" t="s">
        <v>68</v>
      </c>
      <c r="H1102" s="11" t="n">
        <v>0.01</v>
      </c>
      <c r="I1102" s="6" t="n">
        <v>20</v>
      </c>
      <c r="J1102" s="6" t="n">
        <v>0</v>
      </c>
      <c r="K1102" s="6" t="n">
        <v>20</v>
      </c>
      <c r="L1102" s="6" t="n">
        <v>0</v>
      </c>
      <c r="M1102" s="6" t="n">
        <v>20</v>
      </c>
      <c r="N1102" s="11" t="n">
        <f aca="false">J1102/(J1102+K1102)</f>
        <v>0</v>
      </c>
      <c r="O1102" s="11" t="str">
        <f aca="false">IF(J1102+L1102=0,"",J1102/(J1102+L1102))</f>
        <v/>
      </c>
      <c r="P1102" s="11" t="n">
        <f aca="false">2*J1102/(2*J1102+L1102+K1102)</f>
        <v>0</v>
      </c>
      <c r="Q1102" s="11" t="n">
        <f aca="false">L1102/(L1102+M1102)</f>
        <v>0</v>
      </c>
      <c r="R1102" s="6" t="n">
        <v>2</v>
      </c>
      <c r="S1102" s="11" t="n">
        <v>0</v>
      </c>
      <c r="T1102" s="11" t="n">
        <v>0</v>
      </c>
      <c r="U1102" s="11" t="n">
        <v>0.85</v>
      </c>
      <c r="V1102" s="11" t="n">
        <v>0.8</v>
      </c>
    </row>
    <row r="1103" customFormat="false" ht="15" hidden="false" customHeight="false" outlineLevel="0" collapsed="false">
      <c r="A1103" s="6" t="s">
        <v>42</v>
      </c>
      <c r="B1103" s="6" t="s">
        <v>43</v>
      </c>
      <c r="C1103" s="6" t="s">
        <v>44</v>
      </c>
      <c r="D1103" s="6" t="s">
        <v>114</v>
      </c>
      <c r="E1103" s="6" t="n">
        <v>16</v>
      </c>
      <c r="F1103" s="6" t="n">
        <v>1</v>
      </c>
      <c r="G1103" s="6" t="s">
        <v>69</v>
      </c>
      <c r="H1103" s="11" t="n">
        <v>0.01</v>
      </c>
      <c r="I1103" s="6" t="n">
        <v>20</v>
      </c>
      <c r="J1103" s="6" t="n">
        <v>1</v>
      </c>
      <c r="K1103" s="6" t="n">
        <v>19</v>
      </c>
      <c r="L1103" s="6" t="n">
        <v>0</v>
      </c>
      <c r="M1103" s="6" t="n">
        <v>20</v>
      </c>
      <c r="N1103" s="11" t="n">
        <f aca="false">J1103/(J1103+K1103)</f>
        <v>0.05</v>
      </c>
      <c r="O1103" s="11" t="n">
        <f aca="false">IF(J1103+L1103=0,"",J1103/(J1103+L1103))</f>
        <v>1</v>
      </c>
      <c r="P1103" s="11" t="n">
        <f aca="false">2*J1103/(2*J1103+L1103+K1103)</f>
        <v>0.0952380952380952</v>
      </c>
      <c r="Q1103" s="11" t="n">
        <f aca="false">L1103/(L1103+M1103)</f>
        <v>0</v>
      </c>
      <c r="R1103" s="6" t="n">
        <v>0</v>
      </c>
      <c r="S1103" s="11"/>
      <c r="T1103" s="11" t="n">
        <v>0.05</v>
      </c>
      <c r="U1103" s="11" t="n">
        <v>1</v>
      </c>
      <c r="V1103" s="11" t="n">
        <v>1</v>
      </c>
    </row>
    <row r="1104" customFormat="false" ht="15" hidden="false" customHeight="false" outlineLevel="0" collapsed="false">
      <c r="A1104" s="6" t="s">
        <v>42</v>
      </c>
      <c r="B1104" s="6" t="s">
        <v>43</v>
      </c>
      <c r="C1104" s="6" t="s">
        <v>44</v>
      </c>
      <c r="D1104" s="6" t="s">
        <v>114</v>
      </c>
      <c r="E1104" s="6" t="n">
        <v>16</v>
      </c>
      <c r="F1104" s="6" t="n">
        <v>1</v>
      </c>
      <c r="G1104" s="6" t="s">
        <v>70</v>
      </c>
      <c r="H1104" s="11" t="n">
        <v>0.01</v>
      </c>
      <c r="I1104" s="6" t="n">
        <v>20</v>
      </c>
      <c r="J1104" s="6" t="n">
        <v>0</v>
      </c>
      <c r="K1104" s="6" t="n">
        <v>20</v>
      </c>
      <c r="L1104" s="6" t="n">
        <v>0</v>
      </c>
      <c r="M1104" s="6" t="n">
        <v>20</v>
      </c>
      <c r="N1104" s="11" t="n">
        <f aca="false">J1104/(J1104+K1104)</f>
        <v>0</v>
      </c>
      <c r="O1104" s="11" t="str">
        <f aca="false">IF(J1104+L1104=0,"",J1104/(J1104+L1104))</f>
        <v/>
      </c>
      <c r="P1104" s="11" t="n">
        <f aca="false">2*J1104/(2*J1104+L1104+K1104)</f>
        <v>0</v>
      </c>
      <c r="Q1104" s="11" t="n">
        <f aca="false">L1104/(L1104+M1104)</f>
        <v>0</v>
      </c>
      <c r="R1104" s="6" t="n">
        <v>2</v>
      </c>
      <c r="S1104" s="11" t="n">
        <v>0</v>
      </c>
      <c r="T1104" s="11" t="n">
        <v>0</v>
      </c>
      <c r="U1104" s="11" t="n">
        <v>0.9</v>
      </c>
      <c r="V1104" s="11" t="n">
        <v>1</v>
      </c>
    </row>
    <row r="1105" customFormat="false" ht="15" hidden="false" customHeight="false" outlineLevel="0" collapsed="false">
      <c r="A1105" s="6" t="s">
        <v>42</v>
      </c>
      <c r="B1105" s="6" t="s">
        <v>43</v>
      </c>
      <c r="C1105" s="6" t="s">
        <v>44</v>
      </c>
      <c r="D1105" s="6" t="s">
        <v>114</v>
      </c>
      <c r="E1105" s="6" t="n">
        <v>16</v>
      </c>
      <c r="F1105" s="6" t="n">
        <v>1</v>
      </c>
      <c r="G1105" s="6" t="s">
        <v>71</v>
      </c>
      <c r="H1105" s="11" t="n">
        <v>0.01</v>
      </c>
      <c r="I1105" s="6" t="n">
        <v>20</v>
      </c>
      <c r="J1105" s="6" t="n">
        <v>0</v>
      </c>
      <c r="K1105" s="6" t="n">
        <v>20</v>
      </c>
      <c r="L1105" s="6" t="n">
        <v>0</v>
      </c>
      <c r="M1105" s="6" t="n">
        <v>20</v>
      </c>
      <c r="N1105" s="11" t="n">
        <f aca="false">J1105/(J1105+K1105)</f>
        <v>0</v>
      </c>
      <c r="O1105" s="11" t="str">
        <f aca="false">IF(J1105+L1105=0,"",J1105/(J1105+L1105))</f>
        <v/>
      </c>
      <c r="P1105" s="11" t="n">
        <f aca="false">2*J1105/(2*J1105+L1105+K1105)</f>
        <v>0</v>
      </c>
      <c r="Q1105" s="11" t="n">
        <f aca="false">L1105/(L1105+M1105)</f>
        <v>0</v>
      </c>
      <c r="R1105" s="6" t="n">
        <v>1</v>
      </c>
      <c r="S1105" s="11" t="n">
        <v>0</v>
      </c>
      <c r="T1105" s="11" t="n">
        <v>0</v>
      </c>
      <c r="U1105" s="11" t="n">
        <v>0.8</v>
      </c>
      <c r="V1105" s="11" t="n">
        <v>0.75</v>
      </c>
    </row>
    <row r="1106" customFormat="false" ht="15" hidden="false" customHeight="false" outlineLevel="0" collapsed="false">
      <c r="A1106" s="6" t="s">
        <v>42</v>
      </c>
      <c r="B1106" s="6" t="s">
        <v>43</v>
      </c>
      <c r="C1106" s="6" t="s">
        <v>44</v>
      </c>
      <c r="D1106" s="6" t="s">
        <v>114</v>
      </c>
      <c r="E1106" s="6" t="n">
        <v>16</v>
      </c>
      <c r="F1106" s="6" t="n">
        <v>1</v>
      </c>
      <c r="G1106" s="6" t="s">
        <v>72</v>
      </c>
      <c r="H1106" s="11" t="n">
        <v>0.01</v>
      </c>
      <c r="I1106" s="6" t="n">
        <v>20</v>
      </c>
      <c r="J1106" s="6" t="n">
        <v>0</v>
      </c>
      <c r="K1106" s="6" t="n">
        <v>20</v>
      </c>
      <c r="L1106" s="6" t="n">
        <v>0</v>
      </c>
      <c r="M1106" s="6" t="n">
        <v>20</v>
      </c>
      <c r="N1106" s="11" t="n">
        <f aca="false">J1106/(J1106+K1106)</f>
        <v>0</v>
      </c>
      <c r="O1106" s="11" t="str">
        <f aca="false">IF(J1106+L1106=0,"",J1106/(J1106+L1106))</f>
        <v/>
      </c>
      <c r="P1106" s="11" t="n">
        <f aca="false">2*J1106/(2*J1106+L1106+K1106)</f>
        <v>0</v>
      </c>
      <c r="Q1106" s="11" t="n">
        <f aca="false">L1106/(L1106+M1106)</f>
        <v>0</v>
      </c>
      <c r="R1106" s="6" t="n">
        <v>1</v>
      </c>
      <c r="S1106" s="11" t="n">
        <v>0</v>
      </c>
      <c r="T1106" s="11" t="n">
        <v>0</v>
      </c>
      <c r="U1106" s="11" t="n">
        <v>0.9</v>
      </c>
      <c r="V1106" s="11" t="n">
        <v>0.85</v>
      </c>
    </row>
    <row r="1107" customFormat="false" ht="15" hidden="false" customHeight="false" outlineLevel="0" collapsed="false">
      <c r="A1107" s="6" t="s">
        <v>42</v>
      </c>
      <c r="B1107" s="6" t="s">
        <v>43</v>
      </c>
      <c r="C1107" s="6" t="s">
        <v>44</v>
      </c>
      <c r="D1107" s="6" t="s">
        <v>114</v>
      </c>
      <c r="E1107" s="6" t="n">
        <v>16</v>
      </c>
      <c r="F1107" s="6" t="n">
        <v>1</v>
      </c>
      <c r="G1107" s="6" t="s">
        <v>73</v>
      </c>
      <c r="H1107" s="11" t="n">
        <v>0.01</v>
      </c>
      <c r="I1107" s="6" t="n">
        <v>20</v>
      </c>
      <c r="J1107" s="6" t="n">
        <v>0</v>
      </c>
      <c r="K1107" s="6" t="n">
        <v>20</v>
      </c>
      <c r="L1107" s="6" t="n">
        <v>0</v>
      </c>
      <c r="M1107" s="6" t="n">
        <v>20</v>
      </c>
      <c r="N1107" s="11" t="n">
        <f aca="false">J1107/(J1107+K1107)</f>
        <v>0</v>
      </c>
      <c r="O1107" s="11" t="str">
        <f aca="false">IF(J1107+L1107=0,"",J1107/(J1107+L1107))</f>
        <v/>
      </c>
      <c r="P1107" s="11" t="n">
        <f aca="false">2*J1107/(2*J1107+L1107+K1107)</f>
        <v>0</v>
      </c>
      <c r="Q1107" s="11" t="n">
        <f aca="false">L1107/(L1107+M1107)</f>
        <v>0</v>
      </c>
      <c r="R1107" s="6" t="n">
        <v>1</v>
      </c>
      <c r="S1107" s="11" t="n">
        <v>0</v>
      </c>
      <c r="T1107" s="11" t="n">
        <v>0</v>
      </c>
      <c r="U1107" s="11" t="n">
        <v>0.65</v>
      </c>
      <c r="V1107" s="11" t="n">
        <v>0.65</v>
      </c>
    </row>
    <row r="1108" customFormat="false" ht="15" hidden="false" customHeight="false" outlineLevel="0" collapsed="false">
      <c r="A1108" s="6" t="s">
        <v>42</v>
      </c>
      <c r="B1108" s="6" t="s">
        <v>43</v>
      </c>
      <c r="C1108" s="6" t="s">
        <v>44</v>
      </c>
      <c r="D1108" s="6" t="s">
        <v>114</v>
      </c>
      <c r="E1108" s="6" t="n">
        <v>16</v>
      </c>
      <c r="F1108" s="6" t="n">
        <v>1</v>
      </c>
      <c r="G1108" s="6" t="s">
        <v>74</v>
      </c>
      <c r="H1108" s="11" t="n">
        <v>0.01</v>
      </c>
      <c r="I1108" s="6" t="n">
        <v>20</v>
      </c>
      <c r="J1108" s="6" t="n">
        <v>0</v>
      </c>
      <c r="K1108" s="6" t="n">
        <v>20</v>
      </c>
      <c r="L1108" s="6" t="n">
        <v>0</v>
      </c>
      <c r="M1108" s="6" t="n">
        <v>20</v>
      </c>
      <c r="N1108" s="11" t="n">
        <f aca="false">J1108/(J1108+K1108)</f>
        <v>0</v>
      </c>
      <c r="O1108" s="11" t="str">
        <f aca="false">IF(J1108+L1108=0,"",J1108/(J1108+L1108))</f>
        <v/>
      </c>
      <c r="P1108" s="11" t="n">
        <f aca="false">2*J1108/(2*J1108+L1108+K1108)</f>
        <v>0</v>
      </c>
      <c r="Q1108" s="11" t="n">
        <f aca="false">L1108/(L1108+M1108)</f>
        <v>0</v>
      </c>
      <c r="R1108" s="6" t="n">
        <v>4</v>
      </c>
      <c r="S1108" s="11" t="n">
        <v>0</v>
      </c>
      <c r="T1108" s="11" t="n">
        <v>0</v>
      </c>
      <c r="U1108" s="11" t="n">
        <v>0.85</v>
      </c>
      <c r="V1108" s="11" t="n">
        <v>0.8</v>
      </c>
    </row>
    <row r="1109" customFormat="false" ht="15" hidden="false" customHeight="false" outlineLevel="0" collapsed="false">
      <c r="A1109" s="6" t="s">
        <v>42</v>
      </c>
      <c r="B1109" s="6" t="s">
        <v>43</v>
      </c>
      <c r="C1109" s="6" t="s">
        <v>44</v>
      </c>
      <c r="D1109" s="6" t="s">
        <v>114</v>
      </c>
      <c r="E1109" s="6" t="n">
        <v>16</v>
      </c>
      <c r="F1109" s="6" t="n">
        <v>1</v>
      </c>
      <c r="G1109" s="6" t="s">
        <v>75</v>
      </c>
      <c r="H1109" s="11" t="n">
        <v>0.01</v>
      </c>
      <c r="I1109" s="6" t="n">
        <v>20</v>
      </c>
      <c r="J1109" s="6" t="n">
        <v>0</v>
      </c>
      <c r="K1109" s="6" t="n">
        <v>20</v>
      </c>
      <c r="L1109" s="6" t="n">
        <v>0</v>
      </c>
      <c r="M1109" s="6" t="n">
        <v>20</v>
      </c>
      <c r="N1109" s="11" t="n">
        <f aca="false">J1109/(J1109+K1109)</f>
        <v>0</v>
      </c>
      <c r="O1109" s="11" t="str">
        <f aca="false">IF(J1109+L1109=0,"",J1109/(J1109+L1109))</f>
        <v/>
      </c>
      <c r="P1109" s="11" t="n">
        <f aca="false">2*J1109/(2*J1109+L1109+K1109)</f>
        <v>0</v>
      </c>
      <c r="Q1109" s="11" t="n">
        <f aca="false">L1109/(L1109+M1109)</f>
        <v>0</v>
      </c>
      <c r="R1109" s="6" t="n">
        <v>2</v>
      </c>
      <c r="S1109" s="11" t="n">
        <v>0</v>
      </c>
      <c r="T1109" s="11" t="n">
        <v>0</v>
      </c>
      <c r="U1109" s="11" t="n">
        <v>0.9</v>
      </c>
      <c r="V1109" s="11" t="n">
        <v>0.9</v>
      </c>
    </row>
    <row r="1110" customFormat="false" ht="15" hidden="false" customHeight="false" outlineLevel="0" collapsed="false">
      <c r="A1110" s="6" t="s">
        <v>42</v>
      </c>
      <c r="B1110" s="6" t="s">
        <v>43</v>
      </c>
      <c r="C1110" s="6" t="s">
        <v>44</v>
      </c>
      <c r="D1110" s="6" t="s">
        <v>114</v>
      </c>
      <c r="E1110" s="6" t="n">
        <v>16</v>
      </c>
      <c r="F1110" s="6" t="n">
        <v>1</v>
      </c>
      <c r="G1110" s="6" t="s">
        <v>76</v>
      </c>
      <c r="H1110" s="11" t="n">
        <v>0.01</v>
      </c>
      <c r="I1110" s="6" t="n">
        <v>20</v>
      </c>
      <c r="J1110" s="6" t="n">
        <v>0</v>
      </c>
      <c r="K1110" s="6" t="n">
        <v>20</v>
      </c>
      <c r="L1110" s="6" t="n">
        <v>0</v>
      </c>
      <c r="M1110" s="6" t="n">
        <v>20</v>
      </c>
      <c r="N1110" s="11" t="n">
        <f aca="false">J1110/(J1110+K1110)</f>
        <v>0</v>
      </c>
      <c r="O1110" s="11" t="str">
        <f aca="false">IF(J1110+L1110=0,"",J1110/(J1110+L1110))</f>
        <v/>
      </c>
      <c r="P1110" s="11" t="n">
        <f aca="false">2*J1110/(2*J1110+L1110+K1110)</f>
        <v>0</v>
      </c>
      <c r="Q1110" s="11" t="n">
        <f aca="false">L1110/(L1110+M1110)</f>
        <v>0</v>
      </c>
      <c r="R1110" s="6" t="n">
        <v>0</v>
      </c>
      <c r="S1110" s="11"/>
      <c r="T1110" s="11" t="n">
        <v>0</v>
      </c>
      <c r="U1110" s="11" t="n">
        <v>0.95</v>
      </c>
      <c r="V1110" s="11" t="n">
        <v>0.95</v>
      </c>
    </row>
    <row r="1111" customFormat="false" ht="15" hidden="false" customHeight="false" outlineLevel="0" collapsed="false">
      <c r="A1111" s="6" t="s">
        <v>42</v>
      </c>
      <c r="B1111" s="6" t="s">
        <v>43</v>
      </c>
      <c r="C1111" s="6" t="s">
        <v>44</v>
      </c>
      <c r="D1111" s="6" t="s">
        <v>114</v>
      </c>
      <c r="E1111" s="6" t="n">
        <v>16</v>
      </c>
      <c r="F1111" s="6" t="n">
        <v>1</v>
      </c>
      <c r="G1111" s="6" t="s">
        <v>77</v>
      </c>
      <c r="H1111" s="11" t="n">
        <v>0.01</v>
      </c>
      <c r="I1111" s="6" t="n">
        <v>20</v>
      </c>
      <c r="J1111" s="6" t="n">
        <v>0</v>
      </c>
      <c r="K1111" s="6" t="n">
        <v>20</v>
      </c>
      <c r="L1111" s="6" t="n">
        <v>1</v>
      </c>
      <c r="M1111" s="6" t="n">
        <v>19</v>
      </c>
      <c r="N1111" s="11" t="n">
        <f aca="false">J1111/(J1111+K1111)</f>
        <v>0</v>
      </c>
      <c r="O1111" s="11" t="n">
        <f aca="false">IF(J1111+L1111=0,"",J1111/(J1111+L1111))</f>
        <v>0</v>
      </c>
      <c r="P1111" s="11" t="n">
        <f aca="false">2*J1111/(2*J1111+L1111+K1111)</f>
        <v>0</v>
      </c>
      <c r="Q1111" s="11" t="n">
        <f aca="false">L1111/(L1111+M1111)</f>
        <v>0.05</v>
      </c>
      <c r="R1111" s="6" t="n">
        <v>0</v>
      </c>
      <c r="S1111" s="11"/>
      <c r="T1111" s="11" t="n">
        <v>0</v>
      </c>
      <c r="U1111" s="11" t="n">
        <v>1</v>
      </c>
      <c r="V1111" s="11" t="n">
        <v>1</v>
      </c>
    </row>
    <row r="1112" customFormat="false" ht="15" hidden="false" customHeight="false" outlineLevel="0" collapsed="false">
      <c r="A1112" s="6" t="s">
        <v>42</v>
      </c>
      <c r="B1112" s="6" t="s">
        <v>43</v>
      </c>
      <c r="C1112" s="6" t="s">
        <v>44</v>
      </c>
      <c r="D1112" s="6" t="s">
        <v>114</v>
      </c>
      <c r="E1112" s="6" t="n">
        <v>16</v>
      </c>
      <c r="F1112" s="6" t="n">
        <v>1</v>
      </c>
      <c r="G1112" s="6" t="s">
        <v>78</v>
      </c>
      <c r="H1112" s="11" t="n">
        <v>0.01</v>
      </c>
      <c r="I1112" s="6" t="n">
        <v>200</v>
      </c>
      <c r="J1112" s="6" t="n">
        <v>1</v>
      </c>
      <c r="K1112" s="6" t="n">
        <v>199</v>
      </c>
      <c r="L1112" s="6" t="n">
        <v>1</v>
      </c>
      <c r="M1112" s="6" t="n">
        <v>199</v>
      </c>
      <c r="N1112" s="11" t="n">
        <f aca="false">J1112/(J1112+K1112)</f>
        <v>0.005</v>
      </c>
      <c r="O1112" s="11" t="n">
        <f aca="false">IF(J1112+L1112=0,"",J1112/(J1112+L1112))</f>
        <v>0.5</v>
      </c>
      <c r="P1112" s="11" t="n">
        <f aca="false">2*J1112/(2*J1112+L1112+K1112)</f>
        <v>0.0099009900990099</v>
      </c>
      <c r="Q1112" s="11" t="n">
        <f aca="false">L1112/(L1112+M1112)</f>
        <v>0.005</v>
      </c>
      <c r="R1112" s="6" t="n">
        <v>13</v>
      </c>
      <c r="S1112" s="11" t="n">
        <v>0</v>
      </c>
      <c r="T1112" s="11" t="n">
        <v>0.0053475935828877</v>
      </c>
      <c r="U1112" s="11" t="n">
        <v>0.88</v>
      </c>
      <c r="V1112" s="11" t="n">
        <v>0.87</v>
      </c>
    </row>
    <row r="1113" customFormat="false" ht="15" hidden="false" customHeight="false" outlineLevel="0" collapsed="false">
      <c r="A1113" s="6" t="s">
        <v>42</v>
      </c>
      <c r="B1113" s="6" t="s">
        <v>43</v>
      </c>
      <c r="C1113" s="6" t="s">
        <v>44</v>
      </c>
      <c r="D1113" s="6" t="s">
        <v>114</v>
      </c>
      <c r="E1113" s="6" t="n">
        <v>16</v>
      </c>
      <c r="F1113" s="6" t="n">
        <v>2</v>
      </c>
      <c r="G1113" s="6" t="s">
        <v>68</v>
      </c>
      <c r="H1113" s="11" t="n">
        <v>0.01</v>
      </c>
      <c r="I1113" s="6" t="n">
        <v>20</v>
      </c>
      <c r="J1113" s="6" t="n">
        <v>0</v>
      </c>
      <c r="K1113" s="6" t="n">
        <v>20</v>
      </c>
      <c r="L1113" s="6" t="n">
        <v>0</v>
      </c>
      <c r="M1113" s="6" t="n">
        <v>20</v>
      </c>
      <c r="N1113" s="11" t="n">
        <f aca="false">J1113/(J1113+K1113)</f>
        <v>0</v>
      </c>
      <c r="O1113" s="11" t="str">
        <f aca="false">IF(J1113+L1113=0,"",J1113/(J1113+L1113))</f>
        <v/>
      </c>
      <c r="P1113" s="11" t="n">
        <f aca="false">2*J1113/(2*J1113+L1113+K1113)</f>
        <v>0</v>
      </c>
      <c r="Q1113" s="11" t="n">
        <f aca="false">L1113/(L1113+M1113)</f>
        <v>0</v>
      </c>
      <c r="R1113" s="6" t="n">
        <v>0</v>
      </c>
      <c r="S1113" s="11"/>
      <c r="T1113" s="11" t="n">
        <v>0</v>
      </c>
      <c r="U1113" s="11" t="n">
        <v>0.85</v>
      </c>
      <c r="V1113" s="11" t="n">
        <v>0.85</v>
      </c>
    </row>
    <row r="1114" customFormat="false" ht="15" hidden="false" customHeight="false" outlineLevel="0" collapsed="false">
      <c r="A1114" s="6" t="s">
        <v>42</v>
      </c>
      <c r="B1114" s="6" t="s">
        <v>43</v>
      </c>
      <c r="C1114" s="6" t="s">
        <v>44</v>
      </c>
      <c r="D1114" s="6" t="s">
        <v>114</v>
      </c>
      <c r="E1114" s="6" t="n">
        <v>16</v>
      </c>
      <c r="F1114" s="6" t="n">
        <v>2</v>
      </c>
      <c r="G1114" s="6" t="s">
        <v>69</v>
      </c>
      <c r="H1114" s="11" t="n">
        <v>0.01</v>
      </c>
      <c r="I1114" s="6" t="n">
        <v>20</v>
      </c>
      <c r="J1114" s="6" t="n">
        <v>0</v>
      </c>
      <c r="K1114" s="6" t="n">
        <v>20</v>
      </c>
      <c r="L1114" s="6" t="n">
        <v>0</v>
      </c>
      <c r="M1114" s="6" t="n">
        <v>20</v>
      </c>
      <c r="N1114" s="11" t="n">
        <f aca="false">J1114/(J1114+K1114)</f>
        <v>0</v>
      </c>
      <c r="O1114" s="11" t="str">
        <f aca="false">IF(J1114+L1114=0,"",J1114/(J1114+L1114))</f>
        <v/>
      </c>
      <c r="P1114" s="11" t="n">
        <f aca="false">2*J1114/(2*J1114+L1114+K1114)</f>
        <v>0</v>
      </c>
      <c r="Q1114" s="11" t="n">
        <f aca="false">L1114/(L1114+M1114)</f>
        <v>0</v>
      </c>
      <c r="R1114" s="6" t="n">
        <v>0</v>
      </c>
      <c r="S1114" s="11"/>
      <c r="T1114" s="11" t="n">
        <v>0</v>
      </c>
      <c r="U1114" s="11" t="n">
        <v>1</v>
      </c>
      <c r="V1114" s="11" t="n">
        <v>1</v>
      </c>
    </row>
    <row r="1115" customFormat="false" ht="15" hidden="false" customHeight="false" outlineLevel="0" collapsed="false">
      <c r="A1115" s="6" t="s">
        <v>42</v>
      </c>
      <c r="B1115" s="6" t="s">
        <v>43</v>
      </c>
      <c r="C1115" s="6" t="s">
        <v>44</v>
      </c>
      <c r="D1115" s="6" t="s">
        <v>114</v>
      </c>
      <c r="E1115" s="6" t="n">
        <v>16</v>
      </c>
      <c r="F1115" s="6" t="n">
        <v>2</v>
      </c>
      <c r="G1115" s="6" t="s">
        <v>70</v>
      </c>
      <c r="H1115" s="11" t="n">
        <v>0.01</v>
      </c>
      <c r="I1115" s="6" t="n">
        <v>20</v>
      </c>
      <c r="J1115" s="6" t="n">
        <v>0</v>
      </c>
      <c r="K1115" s="6" t="n">
        <v>20</v>
      </c>
      <c r="L1115" s="6" t="n">
        <v>0</v>
      </c>
      <c r="M1115" s="6" t="n">
        <v>20</v>
      </c>
      <c r="N1115" s="11" t="n">
        <f aca="false">J1115/(J1115+K1115)</f>
        <v>0</v>
      </c>
      <c r="O1115" s="11" t="str">
        <f aca="false">IF(J1115+L1115=0,"",J1115/(J1115+L1115))</f>
        <v/>
      </c>
      <c r="P1115" s="11" t="n">
        <f aca="false">2*J1115/(2*J1115+L1115+K1115)</f>
        <v>0</v>
      </c>
      <c r="Q1115" s="11" t="n">
        <f aca="false">L1115/(L1115+M1115)</f>
        <v>0</v>
      </c>
      <c r="R1115" s="6" t="n">
        <v>0</v>
      </c>
      <c r="S1115" s="11"/>
      <c r="T1115" s="11" t="n">
        <v>0</v>
      </c>
      <c r="U1115" s="11" t="n">
        <v>0.9</v>
      </c>
      <c r="V1115" s="11" t="n">
        <v>0.9</v>
      </c>
    </row>
    <row r="1116" customFormat="false" ht="15" hidden="false" customHeight="false" outlineLevel="0" collapsed="false">
      <c r="A1116" s="6" t="s">
        <v>42</v>
      </c>
      <c r="B1116" s="6" t="s">
        <v>43</v>
      </c>
      <c r="C1116" s="6" t="s">
        <v>44</v>
      </c>
      <c r="D1116" s="6" t="s">
        <v>114</v>
      </c>
      <c r="E1116" s="6" t="n">
        <v>16</v>
      </c>
      <c r="F1116" s="6" t="n">
        <v>2</v>
      </c>
      <c r="G1116" s="6" t="s">
        <v>71</v>
      </c>
      <c r="H1116" s="11" t="n">
        <v>0.01</v>
      </c>
      <c r="I1116" s="6" t="n">
        <v>20</v>
      </c>
      <c r="J1116" s="6" t="n">
        <v>0</v>
      </c>
      <c r="K1116" s="6" t="n">
        <v>20</v>
      </c>
      <c r="L1116" s="6" t="n">
        <v>0</v>
      </c>
      <c r="M1116" s="6" t="n">
        <v>20</v>
      </c>
      <c r="N1116" s="11" t="n">
        <f aca="false">J1116/(J1116+K1116)</f>
        <v>0</v>
      </c>
      <c r="O1116" s="11" t="str">
        <f aca="false">IF(J1116+L1116=0,"",J1116/(J1116+L1116))</f>
        <v/>
      </c>
      <c r="P1116" s="11" t="n">
        <f aca="false">2*J1116/(2*J1116+L1116+K1116)</f>
        <v>0</v>
      </c>
      <c r="Q1116" s="11" t="n">
        <f aca="false">L1116/(L1116+M1116)</f>
        <v>0</v>
      </c>
      <c r="R1116" s="6" t="n">
        <v>0</v>
      </c>
      <c r="S1116" s="11"/>
      <c r="T1116" s="11" t="n">
        <v>0</v>
      </c>
      <c r="U1116" s="11" t="n">
        <v>0.8</v>
      </c>
      <c r="V1116" s="11" t="n">
        <v>0.8</v>
      </c>
    </row>
    <row r="1117" customFormat="false" ht="15" hidden="false" customHeight="false" outlineLevel="0" collapsed="false">
      <c r="A1117" s="6" t="s">
        <v>42</v>
      </c>
      <c r="B1117" s="6" t="s">
        <v>43</v>
      </c>
      <c r="C1117" s="6" t="s">
        <v>44</v>
      </c>
      <c r="D1117" s="6" t="s">
        <v>114</v>
      </c>
      <c r="E1117" s="6" t="n">
        <v>16</v>
      </c>
      <c r="F1117" s="6" t="n">
        <v>2</v>
      </c>
      <c r="G1117" s="6" t="s">
        <v>72</v>
      </c>
      <c r="H1117" s="11" t="n">
        <v>0.01</v>
      </c>
      <c r="I1117" s="6" t="n">
        <v>20</v>
      </c>
      <c r="J1117" s="6" t="n">
        <v>0</v>
      </c>
      <c r="K1117" s="6" t="n">
        <v>20</v>
      </c>
      <c r="L1117" s="6" t="n">
        <v>0</v>
      </c>
      <c r="M1117" s="6" t="n">
        <v>20</v>
      </c>
      <c r="N1117" s="11" t="n">
        <f aca="false">J1117/(J1117+K1117)</f>
        <v>0</v>
      </c>
      <c r="O1117" s="11" t="str">
        <f aca="false">IF(J1117+L1117=0,"",J1117/(J1117+L1117))</f>
        <v/>
      </c>
      <c r="P1117" s="11" t="n">
        <f aca="false">2*J1117/(2*J1117+L1117+K1117)</f>
        <v>0</v>
      </c>
      <c r="Q1117" s="11" t="n">
        <f aca="false">L1117/(L1117+M1117)</f>
        <v>0</v>
      </c>
      <c r="R1117" s="6" t="n">
        <v>0</v>
      </c>
      <c r="S1117" s="11"/>
      <c r="T1117" s="11" t="n">
        <v>0</v>
      </c>
      <c r="U1117" s="11" t="n">
        <v>0.9</v>
      </c>
      <c r="V1117" s="11" t="n">
        <v>0.9</v>
      </c>
    </row>
    <row r="1118" customFormat="false" ht="15" hidden="false" customHeight="false" outlineLevel="0" collapsed="false">
      <c r="A1118" s="6" t="s">
        <v>42</v>
      </c>
      <c r="B1118" s="6" t="s">
        <v>43</v>
      </c>
      <c r="C1118" s="6" t="s">
        <v>44</v>
      </c>
      <c r="D1118" s="6" t="s">
        <v>114</v>
      </c>
      <c r="E1118" s="6" t="n">
        <v>16</v>
      </c>
      <c r="F1118" s="6" t="n">
        <v>2</v>
      </c>
      <c r="G1118" s="6" t="s">
        <v>73</v>
      </c>
      <c r="H1118" s="11" t="n">
        <v>0.01</v>
      </c>
      <c r="I1118" s="6" t="n">
        <v>20</v>
      </c>
      <c r="J1118" s="6" t="n">
        <v>0</v>
      </c>
      <c r="K1118" s="6" t="n">
        <v>20</v>
      </c>
      <c r="L1118" s="6" t="n">
        <v>0</v>
      </c>
      <c r="M1118" s="6" t="n">
        <v>20</v>
      </c>
      <c r="N1118" s="11" t="n">
        <f aca="false">J1118/(J1118+K1118)</f>
        <v>0</v>
      </c>
      <c r="O1118" s="11" t="str">
        <f aca="false">IF(J1118+L1118=0,"",J1118/(J1118+L1118))</f>
        <v/>
      </c>
      <c r="P1118" s="11" t="n">
        <f aca="false">2*J1118/(2*J1118+L1118+K1118)</f>
        <v>0</v>
      </c>
      <c r="Q1118" s="11" t="n">
        <f aca="false">L1118/(L1118+M1118)</f>
        <v>0</v>
      </c>
      <c r="R1118" s="6" t="n">
        <v>1</v>
      </c>
      <c r="S1118" s="11" t="n">
        <v>0</v>
      </c>
      <c r="T1118" s="11" t="n">
        <v>0</v>
      </c>
      <c r="U1118" s="11" t="n">
        <v>0.65</v>
      </c>
      <c r="V1118" s="11" t="n">
        <v>0.65</v>
      </c>
    </row>
    <row r="1119" customFormat="false" ht="15" hidden="false" customHeight="false" outlineLevel="0" collapsed="false">
      <c r="A1119" s="6" t="s">
        <v>42</v>
      </c>
      <c r="B1119" s="6" t="s">
        <v>43</v>
      </c>
      <c r="C1119" s="6" t="s">
        <v>44</v>
      </c>
      <c r="D1119" s="6" t="s">
        <v>114</v>
      </c>
      <c r="E1119" s="6" t="n">
        <v>16</v>
      </c>
      <c r="F1119" s="6" t="n">
        <v>2</v>
      </c>
      <c r="G1119" s="6" t="s">
        <v>74</v>
      </c>
      <c r="H1119" s="11" t="n">
        <v>0.01</v>
      </c>
      <c r="I1119" s="6" t="n">
        <v>20</v>
      </c>
      <c r="J1119" s="6" t="n">
        <v>0</v>
      </c>
      <c r="K1119" s="6" t="n">
        <v>20</v>
      </c>
      <c r="L1119" s="6" t="n">
        <v>0</v>
      </c>
      <c r="M1119" s="6" t="n">
        <v>20</v>
      </c>
      <c r="N1119" s="11" t="n">
        <f aca="false">J1119/(J1119+K1119)</f>
        <v>0</v>
      </c>
      <c r="O1119" s="11" t="str">
        <f aca="false">IF(J1119+L1119=0,"",J1119/(J1119+L1119))</f>
        <v/>
      </c>
      <c r="P1119" s="11" t="n">
        <f aca="false">2*J1119/(2*J1119+L1119+K1119)</f>
        <v>0</v>
      </c>
      <c r="Q1119" s="11" t="n">
        <f aca="false">L1119/(L1119+M1119)</f>
        <v>0</v>
      </c>
      <c r="R1119" s="6" t="n">
        <v>1</v>
      </c>
      <c r="S1119" s="11" t="n">
        <v>0</v>
      </c>
      <c r="T1119" s="11" t="n">
        <v>0</v>
      </c>
      <c r="U1119" s="11" t="n">
        <v>0.85</v>
      </c>
      <c r="V1119" s="11" t="n">
        <v>0.9</v>
      </c>
    </row>
    <row r="1120" customFormat="false" ht="15" hidden="false" customHeight="false" outlineLevel="0" collapsed="false">
      <c r="A1120" s="6" t="s">
        <v>42</v>
      </c>
      <c r="B1120" s="6" t="s">
        <v>43</v>
      </c>
      <c r="C1120" s="6" t="s">
        <v>44</v>
      </c>
      <c r="D1120" s="6" t="s">
        <v>114</v>
      </c>
      <c r="E1120" s="6" t="n">
        <v>16</v>
      </c>
      <c r="F1120" s="6" t="n">
        <v>2</v>
      </c>
      <c r="G1120" s="6" t="s">
        <v>75</v>
      </c>
      <c r="H1120" s="11" t="n">
        <v>0.01</v>
      </c>
      <c r="I1120" s="6" t="n">
        <v>20</v>
      </c>
      <c r="J1120" s="6" t="n">
        <v>0</v>
      </c>
      <c r="K1120" s="6" t="n">
        <v>20</v>
      </c>
      <c r="L1120" s="6" t="n">
        <v>0</v>
      </c>
      <c r="M1120" s="6" t="n">
        <v>20</v>
      </c>
      <c r="N1120" s="11" t="n">
        <f aca="false">J1120/(J1120+K1120)</f>
        <v>0</v>
      </c>
      <c r="O1120" s="11" t="str">
        <f aca="false">IF(J1120+L1120=0,"",J1120/(J1120+L1120))</f>
        <v/>
      </c>
      <c r="P1120" s="11" t="n">
        <f aca="false">2*J1120/(2*J1120+L1120+K1120)</f>
        <v>0</v>
      </c>
      <c r="Q1120" s="11" t="n">
        <f aca="false">L1120/(L1120+M1120)</f>
        <v>0</v>
      </c>
      <c r="R1120" s="6" t="n">
        <v>0</v>
      </c>
      <c r="S1120" s="11"/>
      <c r="T1120" s="11" t="n">
        <v>0</v>
      </c>
      <c r="U1120" s="11" t="n">
        <v>0.9</v>
      </c>
      <c r="V1120" s="11" t="n">
        <v>0.9</v>
      </c>
    </row>
    <row r="1121" customFormat="false" ht="15" hidden="false" customHeight="false" outlineLevel="0" collapsed="false">
      <c r="A1121" s="6" t="s">
        <v>42</v>
      </c>
      <c r="B1121" s="6" t="s">
        <v>43</v>
      </c>
      <c r="C1121" s="6" t="s">
        <v>44</v>
      </c>
      <c r="D1121" s="6" t="s">
        <v>114</v>
      </c>
      <c r="E1121" s="6" t="n">
        <v>16</v>
      </c>
      <c r="F1121" s="6" t="n">
        <v>2</v>
      </c>
      <c r="G1121" s="6" t="s">
        <v>76</v>
      </c>
      <c r="H1121" s="11" t="n">
        <v>0.01</v>
      </c>
      <c r="I1121" s="6" t="n">
        <v>20</v>
      </c>
      <c r="J1121" s="6" t="n">
        <v>0</v>
      </c>
      <c r="K1121" s="6" t="n">
        <v>20</v>
      </c>
      <c r="L1121" s="6" t="n">
        <v>0</v>
      </c>
      <c r="M1121" s="6" t="n">
        <v>20</v>
      </c>
      <c r="N1121" s="11" t="n">
        <f aca="false">J1121/(J1121+K1121)</f>
        <v>0</v>
      </c>
      <c r="O1121" s="11" t="str">
        <f aca="false">IF(J1121+L1121=0,"",J1121/(J1121+L1121))</f>
        <v/>
      </c>
      <c r="P1121" s="11" t="n">
        <f aca="false">2*J1121/(2*J1121+L1121+K1121)</f>
        <v>0</v>
      </c>
      <c r="Q1121" s="11" t="n">
        <f aca="false">L1121/(L1121+M1121)</f>
        <v>0</v>
      </c>
      <c r="R1121" s="6" t="n">
        <v>0</v>
      </c>
      <c r="S1121" s="11"/>
      <c r="T1121" s="11" t="n">
        <v>0</v>
      </c>
      <c r="U1121" s="11" t="n">
        <v>0.95</v>
      </c>
      <c r="V1121" s="11" t="n">
        <v>0.95</v>
      </c>
    </row>
    <row r="1122" customFormat="false" ht="15" hidden="false" customHeight="false" outlineLevel="0" collapsed="false">
      <c r="A1122" s="6" t="s">
        <v>42</v>
      </c>
      <c r="B1122" s="6" t="s">
        <v>43</v>
      </c>
      <c r="C1122" s="6" t="s">
        <v>44</v>
      </c>
      <c r="D1122" s="6" t="s">
        <v>114</v>
      </c>
      <c r="E1122" s="6" t="n">
        <v>16</v>
      </c>
      <c r="F1122" s="6" t="n">
        <v>2</v>
      </c>
      <c r="G1122" s="6" t="s">
        <v>77</v>
      </c>
      <c r="H1122" s="11" t="n">
        <v>0.01</v>
      </c>
      <c r="I1122" s="6" t="n">
        <v>20</v>
      </c>
      <c r="J1122" s="6" t="n">
        <v>1</v>
      </c>
      <c r="K1122" s="6" t="n">
        <v>19</v>
      </c>
      <c r="L1122" s="6" t="n">
        <v>1</v>
      </c>
      <c r="M1122" s="6" t="n">
        <v>19</v>
      </c>
      <c r="N1122" s="11" t="n">
        <f aca="false">J1122/(J1122+K1122)</f>
        <v>0.05</v>
      </c>
      <c r="O1122" s="11" t="n">
        <f aca="false">IF(J1122+L1122=0,"",J1122/(J1122+L1122))</f>
        <v>0.5</v>
      </c>
      <c r="P1122" s="11" t="n">
        <f aca="false">2*J1122/(2*J1122+L1122+K1122)</f>
        <v>0.0909090909090909</v>
      </c>
      <c r="Q1122" s="11" t="n">
        <f aca="false">L1122/(L1122+M1122)</f>
        <v>0.05</v>
      </c>
      <c r="R1122" s="6" t="n">
        <v>0</v>
      </c>
      <c r="S1122" s="11"/>
      <c r="T1122" s="11" t="n">
        <v>0.05</v>
      </c>
      <c r="U1122" s="11" t="n">
        <v>1</v>
      </c>
      <c r="V1122" s="11" t="n">
        <v>1</v>
      </c>
    </row>
    <row r="1123" customFormat="false" ht="15" hidden="false" customHeight="false" outlineLevel="0" collapsed="false">
      <c r="A1123" s="6" t="s">
        <v>42</v>
      </c>
      <c r="B1123" s="6" t="s">
        <v>43</v>
      </c>
      <c r="C1123" s="6" t="s">
        <v>44</v>
      </c>
      <c r="D1123" s="6" t="s">
        <v>114</v>
      </c>
      <c r="E1123" s="6" t="n">
        <v>16</v>
      </c>
      <c r="F1123" s="6" t="n">
        <v>2</v>
      </c>
      <c r="G1123" s="6" t="s">
        <v>78</v>
      </c>
      <c r="H1123" s="11" t="n">
        <v>0.01</v>
      </c>
      <c r="I1123" s="6" t="n">
        <v>200</v>
      </c>
      <c r="J1123" s="6" t="n">
        <v>1</v>
      </c>
      <c r="K1123" s="6" t="n">
        <v>199</v>
      </c>
      <c r="L1123" s="6" t="n">
        <v>1</v>
      </c>
      <c r="M1123" s="6" t="n">
        <v>199</v>
      </c>
      <c r="N1123" s="11" t="n">
        <f aca="false">J1123/(J1123+K1123)</f>
        <v>0.005</v>
      </c>
      <c r="O1123" s="11" t="n">
        <f aca="false">IF(J1123+L1123=0,"",J1123/(J1123+L1123))</f>
        <v>0.5</v>
      </c>
      <c r="P1123" s="11" t="n">
        <f aca="false">2*J1123/(2*J1123+L1123+K1123)</f>
        <v>0.0099009900990099</v>
      </c>
      <c r="Q1123" s="11" t="n">
        <f aca="false">L1123/(L1123+M1123)</f>
        <v>0.005</v>
      </c>
      <c r="R1123" s="6" t="n">
        <v>2</v>
      </c>
      <c r="S1123" s="11" t="n">
        <v>0</v>
      </c>
      <c r="T1123" s="11" t="n">
        <v>0.00505050505050505</v>
      </c>
      <c r="U1123" s="11" t="n">
        <v>0.88</v>
      </c>
      <c r="V1123" s="11" t="n">
        <v>0.885</v>
      </c>
    </row>
    <row r="1124" customFormat="false" ht="15" hidden="false" customHeight="false" outlineLevel="0" collapsed="false">
      <c r="A1124" s="6" t="s">
        <v>42</v>
      </c>
      <c r="B1124" s="6" t="s">
        <v>43</v>
      </c>
      <c r="C1124" s="6" t="s">
        <v>44</v>
      </c>
      <c r="D1124" s="6" t="s">
        <v>114</v>
      </c>
      <c r="E1124" s="6" t="n">
        <v>16</v>
      </c>
      <c r="F1124" s="6" t="n">
        <v>3</v>
      </c>
      <c r="G1124" s="6" t="s">
        <v>68</v>
      </c>
      <c r="H1124" s="11" t="n">
        <v>0.01</v>
      </c>
      <c r="I1124" s="6" t="n">
        <v>20</v>
      </c>
      <c r="J1124" s="6" t="n">
        <v>0</v>
      </c>
      <c r="K1124" s="6" t="n">
        <v>20</v>
      </c>
      <c r="L1124" s="6" t="n">
        <v>0</v>
      </c>
      <c r="M1124" s="6" t="n">
        <v>20</v>
      </c>
      <c r="N1124" s="11" t="n">
        <f aca="false">J1124/(J1124+K1124)</f>
        <v>0</v>
      </c>
      <c r="O1124" s="11" t="str">
        <f aca="false">IF(J1124+L1124=0,"",J1124/(J1124+L1124))</f>
        <v/>
      </c>
      <c r="P1124" s="11" t="n">
        <f aca="false">2*J1124/(2*J1124+L1124+K1124)</f>
        <v>0</v>
      </c>
      <c r="Q1124" s="11" t="n">
        <f aca="false">L1124/(L1124+M1124)</f>
        <v>0</v>
      </c>
      <c r="R1124" s="6" t="n">
        <v>1</v>
      </c>
      <c r="S1124" s="11" t="n">
        <v>0</v>
      </c>
      <c r="T1124" s="11" t="n">
        <v>0</v>
      </c>
      <c r="U1124" s="11" t="n">
        <v>0.85</v>
      </c>
      <c r="V1124" s="11" t="n">
        <v>0.85</v>
      </c>
    </row>
    <row r="1125" customFormat="false" ht="15" hidden="false" customHeight="false" outlineLevel="0" collapsed="false">
      <c r="A1125" s="6" t="s">
        <v>42</v>
      </c>
      <c r="B1125" s="6" t="s">
        <v>43</v>
      </c>
      <c r="C1125" s="6" t="s">
        <v>44</v>
      </c>
      <c r="D1125" s="6" t="s">
        <v>114</v>
      </c>
      <c r="E1125" s="6" t="n">
        <v>16</v>
      </c>
      <c r="F1125" s="6" t="n">
        <v>3</v>
      </c>
      <c r="G1125" s="6" t="s">
        <v>69</v>
      </c>
      <c r="H1125" s="11" t="n">
        <v>0.01</v>
      </c>
      <c r="I1125" s="6" t="n">
        <v>20</v>
      </c>
      <c r="J1125" s="6" t="n">
        <v>0</v>
      </c>
      <c r="K1125" s="6" t="n">
        <v>20</v>
      </c>
      <c r="L1125" s="6" t="n">
        <v>0</v>
      </c>
      <c r="M1125" s="6" t="n">
        <v>20</v>
      </c>
      <c r="N1125" s="11" t="n">
        <f aca="false">J1125/(J1125+K1125)</f>
        <v>0</v>
      </c>
      <c r="O1125" s="11" t="str">
        <f aca="false">IF(J1125+L1125=0,"",J1125/(J1125+L1125))</f>
        <v/>
      </c>
      <c r="P1125" s="11" t="n">
        <f aca="false">2*J1125/(2*J1125+L1125+K1125)</f>
        <v>0</v>
      </c>
      <c r="Q1125" s="11" t="n">
        <f aca="false">L1125/(L1125+M1125)</f>
        <v>0</v>
      </c>
      <c r="R1125" s="6" t="n">
        <v>0</v>
      </c>
      <c r="S1125" s="11"/>
      <c r="T1125" s="11" t="n">
        <v>0</v>
      </c>
      <c r="U1125" s="11" t="n">
        <v>1</v>
      </c>
      <c r="V1125" s="11" t="n">
        <v>1</v>
      </c>
    </row>
    <row r="1126" customFormat="false" ht="15" hidden="false" customHeight="false" outlineLevel="0" collapsed="false">
      <c r="A1126" s="6" t="s">
        <v>42</v>
      </c>
      <c r="B1126" s="6" t="s">
        <v>43</v>
      </c>
      <c r="C1126" s="6" t="s">
        <v>44</v>
      </c>
      <c r="D1126" s="6" t="s">
        <v>114</v>
      </c>
      <c r="E1126" s="6" t="n">
        <v>16</v>
      </c>
      <c r="F1126" s="6" t="n">
        <v>3</v>
      </c>
      <c r="G1126" s="6" t="s">
        <v>70</v>
      </c>
      <c r="H1126" s="11" t="n">
        <v>0.01</v>
      </c>
      <c r="I1126" s="6" t="n">
        <v>20</v>
      </c>
      <c r="J1126" s="6" t="n">
        <v>0</v>
      </c>
      <c r="K1126" s="6" t="n">
        <v>20</v>
      </c>
      <c r="L1126" s="6" t="n">
        <v>0</v>
      </c>
      <c r="M1126" s="6" t="n">
        <v>20</v>
      </c>
      <c r="N1126" s="11" t="n">
        <f aca="false">J1126/(J1126+K1126)</f>
        <v>0</v>
      </c>
      <c r="O1126" s="11" t="str">
        <f aca="false">IF(J1126+L1126=0,"",J1126/(J1126+L1126))</f>
        <v/>
      </c>
      <c r="P1126" s="11" t="n">
        <f aca="false">2*J1126/(2*J1126+L1126+K1126)</f>
        <v>0</v>
      </c>
      <c r="Q1126" s="11" t="n">
        <f aca="false">L1126/(L1126+M1126)</f>
        <v>0</v>
      </c>
      <c r="R1126" s="6" t="n">
        <v>0</v>
      </c>
      <c r="S1126" s="11"/>
      <c r="T1126" s="11" t="n">
        <v>0</v>
      </c>
      <c r="U1126" s="11" t="n">
        <v>0.9</v>
      </c>
      <c r="V1126" s="11" t="n">
        <v>0.9</v>
      </c>
    </row>
    <row r="1127" customFormat="false" ht="15" hidden="false" customHeight="false" outlineLevel="0" collapsed="false">
      <c r="A1127" s="6" t="s">
        <v>42</v>
      </c>
      <c r="B1127" s="6" t="s">
        <v>43</v>
      </c>
      <c r="C1127" s="6" t="s">
        <v>44</v>
      </c>
      <c r="D1127" s="6" t="s">
        <v>114</v>
      </c>
      <c r="E1127" s="6" t="n">
        <v>16</v>
      </c>
      <c r="F1127" s="6" t="n">
        <v>3</v>
      </c>
      <c r="G1127" s="6" t="s">
        <v>71</v>
      </c>
      <c r="H1127" s="11" t="n">
        <v>0.01</v>
      </c>
      <c r="I1127" s="6" t="n">
        <v>20</v>
      </c>
      <c r="J1127" s="6" t="n">
        <v>0</v>
      </c>
      <c r="K1127" s="6" t="n">
        <v>20</v>
      </c>
      <c r="L1127" s="6" t="n">
        <v>0</v>
      </c>
      <c r="M1127" s="6" t="n">
        <v>20</v>
      </c>
      <c r="N1127" s="11" t="n">
        <f aca="false">J1127/(J1127+K1127)</f>
        <v>0</v>
      </c>
      <c r="O1127" s="11" t="str">
        <f aca="false">IF(J1127+L1127=0,"",J1127/(J1127+L1127))</f>
        <v/>
      </c>
      <c r="P1127" s="11" t="n">
        <f aca="false">2*J1127/(2*J1127+L1127+K1127)</f>
        <v>0</v>
      </c>
      <c r="Q1127" s="11" t="n">
        <f aca="false">L1127/(L1127+M1127)</f>
        <v>0</v>
      </c>
      <c r="R1127" s="6" t="n">
        <v>0</v>
      </c>
      <c r="S1127" s="11"/>
      <c r="T1127" s="11" t="n">
        <v>0</v>
      </c>
      <c r="U1127" s="11" t="n">
        <v>0.8</v>
      </c>
      <c r="V1127" s="11" t="n">
        <v>0.8</v>
      </c>
    </row>
    <row r="1128" customFormat="false" ht="15" hidden="false" customHeight="false" outlineLevel="0" collapsed="false">
      <c r="A1128" s="6" t="s">
        <v>42</v>
      </c>
      <c r="B1128" s="6" t="s">
        <v>43</v>
      </c>
      <c r="C1128" s="6" t="s">
        <v>44</v>
      </c>
      <c r="D1128" s="6" t="s">
        <v>114</v>
      </c>
      <c r="E1128" s="6" t="n">
        <v>16</v>
      </c>
      <c r="F1128" s="6" t="n">
        <v>3</v>
      </c>
      <c r="G1128" s="6" t="s">
        <v>72</v>
      </c>
      <c r="H1128" s="11" t="n">
        <v>0.01</v>
      </c>
      <c r="I1128" s="6" t="n">
        <v>20</v>
      </c>
      <c r="J1128" s="6" t="n">
        <v>0</v>
      </c>
      <c r="K1128" s="6" t="n">
        <v>20</v>
      </c>
      <c r="L1128" s="6" t="n">
        <v>0</v>
      </c>
      <c r="M1128" s="6" t="n">
        <v>20</v>
      </c>
      <c r="N1128" s="11" t="n">
        <f aca="false">J1128/(J1128+K1128)</f>
        <v>0</v>
      </c>
      <c r="O1128" s="11" t="str">
        <f aca="false">IF(J1128+L1128=0,"",J1128/(J1128+L1128))</f>
        <v/>
      </c>
      <c r="P1128" s="11" t="n">
        <f aca="false">2*J1128/(2*J1128+L1128+K1128)</f>
        <v>0</v>
      </c>
      <c r="Q1128" s="11" t="n">
        <f aca="false">L1128/(L1128+M1128)</f>
        <v>0</v>
      </c>
      <c r="R1128" s="6" t="n">
        <v>0</v>
      </c>
      <c r="S1128" s="11"/>
      <c r="T1128" s="11" t="n">
        <v>0</v>
      </c>
      <c r="U1128" s="11" t="n">
        <v>0.9</v>
      </c>
      <c r="V1128" s="11" t="n">
        <v>0.9</v>
      </c>
    </row>
    <row r="1129" customFormat="false" ht="15" hidden="false" customHeight="false" outlineLevel="0" collapsed="false">
      <c r="A1129" s="6" t="s">
        <v>42</v>
      </c>
      <c r="B1129" s="6" t="s">
        <v>43</v>
      </c>
      <c r="C1129" s="6" t="s">
        <v>44</v>
      </c>
      <c r="D1129" s="6" t="s">
        <v>114</v>
      </c>
      <c r="E1129" s="6" t="n">
        <v>16</v>
      </c>
      <c r="F1129" s="6" t="n">
        <v>3</v>
      </c>
      <c r="G1129" s="6" t="s">
        <v>73</v>
      </c>
      <c r="H1129" s="11" t="n">
        <v>0.01</v>
      </c>
      <c r="I1129" s="6" t="n">
        <v>20</v>
      </c>
      <c r="J1129" s="6" t="n">
        <v>0</v>
      </c>
      <c r="K1129" s="6" t="n">
        <v>20</v>
      </c>
      <c r="L1129" s="6" t="n">
        <v>0</v>
      </c>
      <c r="M1129" s="6" t="n">
        <v>20</v>
      </c>
      <c r="N1129" s="11" t="n">
        <f aca="false">J1129/(J1129+K1129)</f>
        <v>0</v>
      </c>
      <c r="O1129" s="11" t="str">
        <f aca="false">IF(J1129+L1129=0,"",J1129/(J1129+L1129))</f>
        <v/>
      </c>
      <c r="P1129" s="11" t="n">
        <f aca="false">2*J1129/(2*J1129+L1129+K1129)</f>
        <v>0</v>
      </c>
      <c r="Q1129" s="11" t="n">
        <f aca="false">L1129/(L1129+M1129)</f>
        <v>0</v>
      </c>
      <c r="R1129" s="6" t="n">
        <v>0</v>
      </c>
      <c r="S1129" s="11"/>
      <c r="T1129" s="11" t="n">
        <v>0</v>
      </c>
      <c r="U1129" s="11" t="n">
        <v>0.65</v>
      </c>
      <c r="V1129" s="11" t="n">
        <v>0.65</v>
      </c>
    </row>
    <row r="1130" customFormat="false" ht="15" hidden="false" customHeight="false" outlineLevel="0" collapsed="false">
      <c r="A1130" s="6" t="s">
        <v>42</v>
      </c>
      <c r="B1130" s="6" t="s">
        <v>43</v>
      </c>
      <c r="C1130" s="6" t="s">
        <v>44</v>
      </c>
      <c r="D1130" s="6" t="s">
        <v>114</v>
      </c>
      <c r="E1130" s="6" t="n">
        <v>16</v>
      </c>
      <c r="F1130" s="6" t="n">
        <v>3</v>
      </c>
      <c r="G1130" s="6" t="s">
        <v>74</v>
      </c>
      <c r="H1130" s="11" t="n">
        <v>0.01</v>
      </c>
      <c r="I1130" s="6" t="n">
        <v>20</v>
      </c>
      <c r="J1130" s="6" t="n">
        <v>0</v>
      </c>
      <c r="K1130" s="6" t="n">
        <v>20</v>
      </c>
      <c r="L1130" s="6" t="n">
        <v>0</v>
      </c>
      <c r="M1130" s="6" t="n">
        <v>20</v>
      </c>
      <c r="N1130" s="11" t="n">
        <f aca="false">J1130/(J1130+K1130)</f>
        <v>0</v>
      </c>
      <c r="O1130" s="11" t="str">
        <f aca="false">IF(J1130+L1130=0,"",J1130/(J1130+L1130))</f>
        <v/>
      </c>
      <c r="P1130" s="11" t="n">
        <f aca="false">2*J1130/(2*J1130+L1130+K1130)</f>
        <v>0</v>
      </c>
      <c r="Q1130" s="11" t="n">
        <f aca="false">L1130/(L1130+M1130)</f>
        <v>0</v>
      </c>
      <c r="R1130" s="6" t="n">
        <v>2</v>
      </c>
      <c r="S1130" s="11" t="n">
        <v>0</v>
      </c>
      <c r="T1130" s="11" t="n">
        <v>0</v>
      </c>
      <c r="U1130" s="11" t="n">
        <v>0.85</v>
      </c>
      <c r="V1130" s="11" t="n">
        <v>0.9</v>
      </c>
    </row>
    <row r="1131" customFormat="false" ht="15" hidden="false" customHeight="false" outlineLevel="0" collapsed="false">
      <c r="A1131" s="6" t="s">
        <v>42</v>
      </c>
      <c r="B1131" s="6" t="s">
        <v>43</v>
      </c>
      <c r="C1131" s="6" t="s">
        <v>44</v>
      </c>
      <c r="D1131" s="6" t="s">
        <v>114</v>
      </c>
      <c r="E1131" s="6" t="n">
        <v>16</v>
      </c>
      <c r="F1131" s="6" t="n">
        <v>3</v>
      </c>
      <c r="G1131" s="6" t="s">
        <v>75</v>
      </c>
      <c r="H1131" s="11" t="n">
        <v>0.01</v>
      </c>
      <c r="I1131" s="6" t="n">
        <v>20</v>
      </c>
      <c r="J1131" s="6" t="n">
        <v>0</v>
      </c>
      <c r="K1131" s="6" t="n">
        <v>20</v>
      </c>
      <c r="L1131" s="6" t="n">
        <v>0</v>
      </c>
      <c r="M1131" s="6" t="n">
        <v>20</v>
      </c>
      <c r="N1131" s="11" t="n">
        <f aca="false">J1131/(J1131+K1131)</f>
        <v>0</v>
      </c>
      <c r="O1131" s="11" t="str">
        <f aca="false">IF(J1131+L1131=0,"",J1131/(J1131+L1131))</f>
        <v/>
      </c>
      <c r="P1131" s="11" t="n">
        <f aca="false">2*J1131/(2*J1131+L1131+K1131)</f>
        <v>0</v>
      </c>
      <c r="Q1131" s="11" t="n">
        <f aca="false">L1131/(L1131+M1131)</f>
        <v>0</v>
      </c>
      <c r="R1131" s="6" t="n">
        <v>1</v>
      </c>
      <c r="S1131" s="11" t="n">
        <v>0</v>
      </c>
      <c r="T1131" s="11" t="n">
        <v>0</v>
      </c>
      <c r="U1131" s="11" t="n">
        <v>0.9</v>
      </c>
      <c r="V1131" s="11" t="n">
        <v>0.95</v>
      </c>
    </row>
    <row r="1132" customFormat="false" ht="15" hidden="false" customHeight="false" outlineLevel="0" collapsed="false">
      <c r="A1132" s="6" t="s">
        <v>42</v>
      </c>
      <c r="B1132" s="6" t="s">
        <v>43</v>
      </c>
      <c r="C1132" s="6" t="s">
        <v>44</v>
      </c>
      <c r="D1132" s="6" t="s">
        <v>114</v>
      </c>
      <c r="E1132" s="6" t="n">
        <v>16</v>
      </c>
      <c r="F1132" s="6" t="n">
        <v>3</v>
      </c>
      <c r="G1132" s="6" t="s">
        <v>76</v>
      </c>
      <c r="H1132" s="11" t="n">
        <v>0.01</v>
      </c>
      <c r="I1132" s="6" t="n">
        <v>20</v>
      </c>
      <c r="J1132" s="6" t="n">
        <v>0</v>
      </c>
      <c r="K1132" s="6" t="n">
        <v>20</v>
      </c>
      <c r="L1132" s="6" t="n">
        <v>0</v>
      </c>
      <c r="M1132" s="6" t="n">
        <v>20</v>
      </c>
      <c r="N1132" s="11" t="n">
        <f aca="false">J1132/(J1132+K1132)</f>
        <v>0</v>
      </c>
      <c r="O1132" s="11" t="str">
        <f aca="false">IF(J1132+L1132=0,"",J1132/(J1132+L1132))</f>
        <v/>
      </c>
      <c r="P1132" s="11" t="n">
        <f aca="false">2*J1132/(2*J1132+L1132+K1132)</f>
        <v>0</v>
      </c>
      <c r="Q1132" s="11" t="n">
        <f aca="false">L1132/(L1132+M1132)</f>
        <v>0</v>
      </c>
      <c r="R1132" s="6" t="n">
        <v>0</v>
      </c>
      <c r="S1132" s="11"/>
      <c r="T1132" s="11" t="n">
        <v>0</v>
      </c>
      <c r="U1132" s="11" t="n">
        <v>0.95</v>
      </c>
      <c r="V1132" s="11" t="n">
        <v>0.95</v>
      </c>
    </row>
    <row r="1133" customFormat="false" ht="15" hidden="false" customHeight="false" outlineLevel="0" collapsed="false">
      <c r="A1133" s="6" t="s">
        <v>42</v>
      </c>
      <c r="B1133" s="6" t="s">
        <v>43</v>
      </c>
      <c r="C1133" s="6" t="s">
        <v>44</v>
      </c>
      <c r="D1133" s="6" t="s">
        <v>114</v>
      </c>
      <c r="E1133" s="6" t="n">
        <v>16</v>
      </c>
      <c r="F1133" s="6" t="n">
        <v>3</v>
      </c>
      <c r="G1133" s="6" t="s">
        <v>77</v>
      </c>
      <c r="H1133" s="11" t="n">
        <v>0.01</v>
      </c>
      <c r="I1133" s="6" t="n">
        <v>20</v>
      </c>
      <c r="J1133" s="6" t="n">
        <v>1</v>
      </c>
      <c r="K1133" s="6" t="n">
        <v>19</v>
      </c>
      <c r="L1133" s="6" t="n">
        <v>1</v>
      </c>
      <c r="M1133" s="6" t="n">
        <v>19</v>
      </c>
      <c r="N1133" s="11" t="n">
        <f aca="false">J1133/(J1133+K1133)</f>
        <v>0.05</v>
      </c>
      <c r="O1133" s="11" t="n">
        <f aca="false">IF(J1133+L1133=0,"",J1133/(J1133+L1133))</f>
        <v>0.5</v>
      </c>
      <c r="P1133" s="11" t="n">
        <f aca="false">2*J1133/(2*J1133+L1133+K1133)</f>
        <v>0.0909090909090909</v>
      </c>
      <c r="Q1133" s="11" t="n">
        <f aca="false">L1133/(L1133+M1133)</f>
        <v>0.05</v>
      </c>
      <c r="R1133" s="6" t="n">
        <v>0</v>
      </c>
      <c r="S1133" s="11"/>
      <c r="T1133" s="11" t="n">
        <v>0.05</v>
      </c>
      <c r="U1133" s="11" t="n">
        <v>1</v>
      </c>
      <c r="V1133" s="11" t="n">
        <v>1</v>
      </c>
    </row>
    <row r="1134" customFormat="false" ht="15" hidden="false" customHeight="false" outlineLevel="0" collapsed="false">
      <c r="A1134" s="6" t="s">
        <v>42</v>
      </c>
      <c r="B1134" s="6" t="s">
        <v>43</v>
      </c>
      <c r="C1134" s="6" t="s">
        <v>44</v>
      </c>
      <c r="D1134" s="6" t="s">
        <v>114</v>
      </c>
      <c r="E1134" s="6" t="n">
        <v>16</v>
      </c>
      <c r="F1134" s="6" t="n">
        <v>3</v>
      </c>
      <c r="G1134" s="6" t="s">
        <v>78</v>
      </c>
      <c r="H1134" s="11" t="n">
        <v>0.01</v>
      </c>
      <c r="I1134" s="6" t="n">
        <v>200</v>
      </c>
      <c r="J1134" s="6" t="n">
        <v>1</v>
      </c>
      <c r="K1134" s="6" t="n">
        <v>199</v>
      </c>
      <c r="L1134" s="6" t="n">
        <v>1</v>
      </c>
      <c r="M1134" s="6" t="n">
        <v>199</v>
      </c>
      <c r="N1134" s="11" t="n">
        <f aca="false">J1134/(J1134+K1134)</f>
        <v>0.005</v>
      </c>
      <c r="O1134" s="11" t="n">
        <f aca="false">IF(J1134+L1134=0,"",J1134/(J1134+L1134))</f>
        <v>0.5</v>
      </c>
      <c r="P1134" s="11" t="n">
        <f aca="false">2*J1134/(2*J1134+L1134+K1134)</f>
        <v>0.0099009900990099</v>
      </c>
      <c r="Q1134" s="11" t="n">
        <f aca="false">L1134/(L1134+M1134)</f>
        <v>0.005</v>
      </c>
      <c r="R1134" s="6" t="n">
        <v>4</v>
      </c>
      <c r="S1134" s="11" t="n">
        <v>0</v>
      </c>
      <c r="T1134" s="11" t="n">
        <v>0.00510204081632653</v>
      </c>
      <c r="U1134" s="11" t="n">
        <v>0.88</v>
      </c>
      <c r="V1134" s="11" t="n">
        <v>0.89</v>
      </c>
    </row>
    <row r="1135" customFormat="false" ht="15" hidden="false" customHeight="false" outlineLevel="0" collapsed="false">
      <c r="A1135" s="6" t="s">
        <v>42</v>
      </c>
      <c r="B1135" s="6" t="s">
        <v>43</v>
      </c>
      <c r="C1135" s="6" t="s">
        <v>44</v>
      </c>
      <c r="D1135" s="6" t="s">
        <v>114</v>
      </c>
      <c r="E1135" s="6" t="n">
        <v>16</v>
      </c>
      <c r="F1135" s="6" t="n">
        <v>4</v>
      </c>
      <c r="G1135" s="6" t="s">
        <v>68</v>
      </c>
      <c r="H1135" s="11" t="n">
        <v>0.01</v>
      </c>
      <c r="I1135" s="6" t="n">
        <v>20</v>
      </c>
      <c r="J1135" s="6" t="n">
        <v>0</v>
      </c>
      <c r="K1135" s="6" t="n">
        <v>20</v>
      </c>
      <c r="L1135" s="6" t="n">
        <v>0</v>
      </c>
      <c r="M1135" s="6" t="n">
        <v>20</v>
      </c>
      <c r="N1135" s="11" t="n">
        <f aca="false">J1135/(J1135+K1135)</f>
        <v>0</v>
      </c>
      <c r="O1135" s="11" t="str">
        <f aca="false">IF(J1135+L1135=0,"",J1135/(J1135+L1135))</f>
        <v/>
      </c>
      <c r="P1135" s="11" t="n">
        <f aca="false">2*J1135/(2*J1135+L1135+K1135)</f>
        <v>0</v>
      </c>
      <c r="Q1135" s="11" t="n">
        <f aca="false">L1135/(L1135+M1135)</f>
        <v>0</v>
      </c>
      <c r="R1135" s="6" t="n">
        <v>0</v>
      </c>
      <c r="S1135" s="11"/>
      <c r="T1135" s="11" t="n">
        <v>0</v>
      </c>
      <c r="U1135" s="11" t="n">
        <v>0.85</v>
      </c>
      <c r="V1135" s="11" t="n">
        <v>0.85</v>
      </c>
    </row>
    <row r="1136" customFormat="false" ht="15" hidden="false" customHeight="false" outlineLevel="0" collapsed="false">
      <c r="A1136" s="6" t="s">
        <v>42</v>
      </c>
      <c r="B1136" s="6" t="s">
        <v>43</v>
      </c>
      <c r="C1136" s="6" t="s">
        <v>44</v>
      </c>
      <c r="D1136" s="6" t="s">
        <v>114</v>
      </c>
      <c r="E1136" s="6" t="n">
        <v>16</v>
      </c>
      <c r="F1136" s="6" t="n">
        <v>4</v>
      </c>
      <c r="G1136" s="6" t="s">
        <v>69</v>
      </c>
      <c r="H1136" s="11" t="n">
        <v>0.01</v>
      </c>
      <c r="I1136" s="6" t="n">
        <v>20</v>
      </c>
      <c r="J1136" s="6" t="n">
        <v>0</v>
      </c>
      <c r="K1136" s="6" t="n">
        <v>20</v>
      </c>
      <c r="L1136" s="6" t="n">
        <v>0</v>
      </c>
      <c r="M1136" s="6" t="n">
        <v>20</v>
      </c>
      <c r="N1136" s="11" t="n">
        <f aca="false">J1136/(J1136+K1136)</f>
        <v>0</v>
      </c>
      <c r="O1136" s="11" t="str">
        <f aca="false">IF(J1136+L1136=0,"",J1136/(J1136+L1136))</f>
        <v/>
      </c>
      <c r="P1136" s="11" t="n">
        <f aca="false">2*J1136/(2*J1136+L1136+K1136)</f>
        <v>0</v>
      </c>
      <c r="Q1136" s="11" t="n">
        <f aca="false">L1136/(L1136+M1136)</f>
        <v>0</v>
      </c>
      <c r="R1136" s="6" t="n">
        <v>0</v>
      </c>
      <c r="S1136" s="11"/>
      <c r="T1136" s="11" t="n">
        <v>0</v>
      </c>
      <c r="U1136" s="11" t="n">
        <v>1</v>
      </c>
      <c r="V1136" s="11" t="n">
        <v>1</v>
      </c>
    </row>
    <row r="1137" customFormat="false" ht="15" hidden="false" customHeight="false" outlineLevel="0" collapsed="false">
      <c r="A1137" s="6" t="s">
        <v>42</v>
      </c>
      <c r="B1137" s="6" t="s">
        <v>43</v>
      </c>
      <c r="C1137" s="6" t="s">
        <v>44</v>
      </c>
      <c r="D1137" s="6" t="s">
        <v>114</v>
      </c>
      <c r="E1137" s="6" t="n">
        <v>16</v>
      </c>
      <c r="F1137" s="6" t="n">
        <v>4</v>
      </c>
      <c r="G1137" s="6" t="s">
        <v>70</v>
      </c>
      <c r="H1137" s="11" t="n">
        <v>0.01</v>
      </c>
      <c r="I1137" s="6" t="n">
        <v>20</v>
      </c>
      <c r="J1137" s="6" t="n">
        <v>0</v>
      </c>
      <c r="K1137" s="6" t="n">
        <v>20</v>
      </c>
      <c r="L1137" s="6" t="n">
        <v>0</v>
      </c>
      <c r="M1137" s="6" t="n">
        <v>20</v>
      </c>
      <c r="N1137" s="11" t="n">
        <f aca="false">J1137/(J1137+K1137)</f>
        <v>0</v>
      </c>
      <c r="O1137" s="11" t="str">
        <f aca="false">IF(J1137+L1137=0,"",J1137/(J1137+L1137))</f>
        <v/>
      </c>
      <c r="P1137" s="11" t="n">
        <f aca="false">2*J1137/(2*J1137+L1137+K1137)</f>
        <v>0</v>
      </c>
      <c r="Q1137" s="11" t="n">
        <f aca="false">L1137/(L1137+M1137)</f>
        <v>0</v>
      </c>
      <c r="R1137" s="6" t="n">
        <v>0</v>
      </c>
      <c r="S1137" s="11"/>
      <c r="T1137" s="11" t="n">
        <v>0</v>
      </c>
      <c r="U1137" s="11" t="n">
        <v>0.9</v>
      </c>
      <c r="V1137" s="11" t="n">
        <v>0.9</v>
      </c>
    </row>
    <row r="1138" customFormat="false" ht="15" hidden="false" customHeight="false" outlineLevel="0" collapsed="false">
      <c r="A1138" s="6" t="s">
        <v>42</v>
      </c>
      <c r="B1138" s="6" t="s">
        <v>43</v>
      </c>
      <c r="C1138" s="6" t="s">
        <v>44</v>
      </c>
      <c r="D1138" s="6" t="s">
        <v>114</v>
      </c>
      <c r="E1138" s="6" t="n">
        <v>16</v>
      </c>
      <c r="F1138" s="6" t="n">
        <v>4</v>
      </c>
      <c r="G1138" s="6" t="s">
        <v>71</v>
      </c>
      <c r="H1138" s="11" t="n">
        <v>0.01</v>
      </c>
      <c r="I1138" s="6" t="n">
        <v>20</v>
      </c>
      <c r="J1138" s="6" t="n">
        <v>0</v>
      </c>
      <c r="K1138" s="6" t="n">
        <v>20</v>
      </c>
      <c r="L1138" s="6" t="n">
        <v>0</v>
      </c>
      <c r="M1138" s="6" t="n">
        <v>20</v>
      </c>
      <c r="N1138" s="11" t="n">
        <f aca="false">J1138/(J1138+K1138)</f>
        <v>0</v>
      </c>
      <c r="O1138" s="11" t="str">
        <f aca="false">IF(J1138+L1138=0,"",J1138/(J1138+L1138))</f>
        <v/>
      </c>
      <c r="P1138" s="11" t="n">
        <f aca="false">2*J1138/(2*J1138+L1138+K1138)</f>
        <v>0</v>
      </c>
      <c r="Q1138" s="11" t="n">
        <f aca="false">L1138/(L1138+M1138)</f>
        <v>0</v>
      </c>
      <c r="R1138" s="6" t="n">
        <v>0</v>
      </c>
      <c r="S1138" s="11"/>
      <c r="T1138" s="11" t="n">
        <v>0</v>
      </c>
      <c r="U1138" s="11" t="n">
        <v>0.8</v>
      </c>
      <c r="V1138" s="11" t="n">
        <v>0.8</v>
      </c>
    </row>
    <row r="1139" customFormat="false" ht="15" hidden="false" customHeight="false" outlineLevel="0" collapsed="false">
      <c r="A1139" s="6" t="s">
        <v>42</v>
      </c>
      <c r="B1139" s="6" t="s">
        <v>43</v>
      </c>
      <c r="C1139" s="6" t="s">
        <v>44</v>
      </c>
      <c r="D1139" s="6" t="s">
        <v>114</v>
      </c>
      <c r="E1139" s="6" t="n">
        <v>16</v>
      </c>
      <c r="F1139" s="6" t="n">
        <v>4</v>
      </c>
      <c r="G1139" s="6" t="s">
        <v>72</v>
      </c>
      <c r="H1139" s="11" t="n">
        <v>0.01</v>
      </c>
      <c r="I1139" s="6" t="n">
        <v>20</v>
      </c>
      <c r="J1139" s="6" t="n">
        <v>0</v>
      </c>
      <c r="K1139" s="6" t="n">
        <v>20</v>
      </c>
      <c r="L1139" s="6" t="n">
        <v>0</v>
      </c>
      <c r="M1139" s="6" t="n">
        <v>20</v>
      </c>
      <c r="N1139" s="11" t="n">
        <f aca="false">J1139/(J1139+K1139)</f>
        <v>0</v>
      </c>
      <c r="O1139" s="11" t="str">
        <f aca="false">IF(J1139+L1139=0,"",J1139/(J1139+L1139))</f>
        <v/>
      </c>
      <c r="P1139" s="11" t="n">
        <f aca="false">2*J1139/(2*J1139+L1139+K1139)</f>
        <v>0</v>
      </c>
      <c r="Q1139" s="11" t="n">
        <f aca="false">L1139/(L1139+M1139)</f>
        <v>0</v>
      </c>
      <c r="R1139" s="6" t="n">
        <v>0</v>
      </c>
      <c r="S1139" s="11"/>
      <c r="T1139" s="11" t="n">
        <v>0</v>
      </c>
      <c r="U1139" s="11" t="n">
        <v>0.9</v>
      </c>
      <c r="V1139" s="11" t="n">
        <v>0.9</v>
      </c>
    </row>
    <row r="1140" customFormat="false" ht="15" hidden="false" customHeight="false" outlineLevel="0" collapsed="false">
      <c r="A1140" s="6" t="s">
        <v>42</v>
      </c>
      <c r="B1140" s="6" t="s">
        <v>43</v>
      </c>
      <c r="C1140" s="6" t="s">
        <v>44</v>
      </c>
      <c r="D1140" s="6" t="s">
        <v>114</v>
      </c>
      <c r="E1140" s="6" t="n">
        <v>16</v>
      </c>
      <c r="F1140" s="6" t="n">
        <v>4</v>
      </c>
      <c r="G1140" s="6" t="s">
        <v>73</v>
      </c>
      <c r="H1140" s="11" t="n">
        <v>0.01</v>
      </c>
      <c r="I1140" s="6" t="n">
        <v>20</v>
      </c>
      <c r="J1140" s="6" t="n">
        <v>0</v>
      </c>
      <c r="K1140" s="6" t="n">
        <v>20</v>
      </c>
      <c r="L1140" s="6" t="n">
        <v>0</v>
      </c>
      <c r="M1140" s="6" t="n">
        <v>20</v>
      </c>
      <c r="N1140" s="11" t="n">
        <f aca="false">J1140/(J1140+K1140)</f>
        <v>0</v>
      </c>
      <c r="O1140" s="11" t="str">
        <f aca="false">IF(J1140+L1140=0,"",J1140/(J1140+L1140))</f>
        <v/>
      </c>
      <c r="P1140" s="11" t="n">
        <f aca="false">2*J1140/(2*J1140+L1140+K1140)</f>
        <v>0</v>
      </c>
      <c r="Q1140" s="11" t="n">
        <f aca="false">L1140/(L1140+M1140)</f>
        <v>0</v>
      </c>
      <c r="R1140" s="6" t="n">
        <v>2</v>
      </c>
      <c r="S1140" s="11" t="n">
        <v>0</v>
      </c>
      <c r="T1140" s="11" t="n">
        <v>0</v>
      </c>
      <c r="U1140" s="11" t="n">
        <v>0.65</v>
      </c>
      <c r="V1140" s="11" t="n">
        <v>0.65</v>
      </c>
    </row>
    <row r="1141" customFormat="false" ht="15" hidden="false" customHeight="false" outlineLevel="0" collapsed="false">
      <c r="A1141" s="6" t="s">
        <v>42</v>
      </c>
      <c r="B1141" s="6" t="s">
        <v>43</v>
      </c>
      <c r="C1141" s="6" t="s">
        <v>44</v>
      </c>
      <c r="D1141" s="6" t="s">
        <v>114</v>
      </c>
      <c r="E1141" s="6" t="n">
        <v>16</v>
      </c>
      <c r="F1141" s="6" t="n">
        <v>4</v>
      </c>
      <c r="G1141" s="6" t="s">
        <v>74</v>
      </c>
      <c r="H1141" s="11" t="n">
        <v>0.01</v>
      </c>
      <c r="I1141" s="6" t="n">
        <v>20</v>
      </c>
      <c r="J1141" s="6" t="n">
        <v>0</v>
      </c>
      <c r="K1141" s="6" t="n">
        <v>20</v>
      </c>
      <c r="L1141" s="6" t="n">
        <v>0</v>
      </c>
      <c r="M1141" s="6" t="n">
        <v>20</v>
      </c>
      <c r="N1141" s="11" t="n">
        <f aca="false">J1141/(J1141+K1141)</f>
        <v>0</v>
      </c>
      <c r="O1141" s="11" t="str">
        <f aca="false">IF(J1141+L1141=0,"",J1141/(J1141+L1141))</f>
        <v/>
      </c>
      <c r="P1141" s="11" t="n">
        <f aca="false">2*J1141/(2*J1141+L1141+K1141)</f>
        <v>0</v>
      </c>
      <c r="Q1141" s="11" t="n">
        <f aca="false">L1141/(L1141+M1141)</f>
        <v>0</v>
      </c>
      <c r="R1141" s="6" t="n">
        <v>2</v>
      </c>
      <c r="S1141" s="11" t="n">
        <v>0</v>
      </c>
      <c r="T1141" s="11" t="n">
        <v>0</v>
      </c>
      <c r="U1141" s="11" t="n">
        <v>0.85</v>
      </c>
      <c r="V1141" s="11" t="n">
        <v>0.75</v>
      </c>
    </row>
    <row r="1142" customFormat="false" ht="15" hidden="false" customHeight="false" outlineLevel="0" collapsed="false">
      <c r="A1142" s="6" t="s">
        <v>42</v>
      </c>
      <c r="B1142" s="6" t="s">
        <v>43</v>
      </c>
      <c r="C1142" s="6" t="s">
        <v>44</v>
      </c>
      <c r="D1142" s="6" t="s">
        <v>114</v>
      </c>
      <c r="E1142" s="6" t="n">
        <v>16</v>
      </c>
      <c r="F1142" s="6" t="n">
        <v>4</v>
      </c>
      <c r="G1142" s="6" t="s">
        <v>75</v>
      </c>
      <c r="H1142" s="11" t="n">
        <v>0.01</v>
      </c>
      <c r="I1142" s="6" t="n">
        <v>20</v>
      </c>
      <c r="J1142" s="6" t="n">
        <v>0</v>
      </c>
      <c r="K1142" s="6" t="n">
        <v>20</v>
      </c>
      <c r="L1142" s="6" t="n">
        <v>0</v>
      </c>
      <c r="M1142" s="6" t="n">
        <v>20</v>
      </c>
      <c r="N1142" s="11" t="n">
        <f aca="false">J1142/(J1142+K1142)</f>
        <v>0</v>
      </c>
      <c r="O1142" s="11" t="str">
        <f aca="false">IF(J1142+L1142=0,"",J1142/(J1142+L1142))</f>
        <v/>
      </c>
      <c r="P1142" s="11" t="n">
        <f aca="false">2*J1142/(2*J1142+L1142+K1142)</f>
        <v>0</v>
      </c>
      <c r="Q1142" s="11" t="n">
        <f aca="false">L1142/(L1142+M1142)</f>
        <v>0</v>
      </c>
      <c r="R1142" s="6" t="n">
        <v>0</v>
      </c>
      <c r="S1142" s="11"/>
      <c r="T1142" s="11" t="n">
        <v>0</v>
      </c>
      <c r="U1142" s="11" t="n">
        <v>0.9</v>
      </c>
      <c r="V1142" s="11" t="n">
        <v>0.9</v>
      </c>
    </row>
    <row r="1143" customFormat="false" ht="15" hidden="false" customHeight="false" outlineLevel="0" collapsed="false">
      <c r="A1143" s="6" t="s">
        <v>42</v>
      </c>
      <c r="B1143" s="6" t="s">
        <v>43</v>
      </c>
      <c r="C1143" s="6" t="s">
        <v>44</v>
      </c>
      <c r="D1143" s="6" t="s">
        <v>114</v>
      </c>
      <c r="E1143" s="6" t="n">
        <v>16</v>
      </c>
      <c r="F1143" s="6" t="n">
        <v>4</v>
      </c>
      <c r="G1143" s="6" t="s">
        <v>76</v>
      </c>
      <c r="H1143" s="11" t="n">
        <v>0.01</v>
      </c>
      <c r="I1143" s="6" t="n">
        <v>20</v>
      </c>
      <c r="J1143" s="6" t="n">
        <v>0</v>
      </c>
      <c r="K1143" s="6" t="n">
        <v>20</v>
      </c>
      <c r="L1143" s="6" t="n">
        <v>0</v>
      </c>
      <c r="M1143" s="6" t="n">
        <v>20</v>
      </c>
      <c r="N1143" s="11" t="n">
        <f aca="false">J1143/(J1143+K1143)</f>
        <v>0</v>
      </c>
      <c r="O1143" s="11" t="str">
        <f aca="false">IF(J1143+L1143=0,"",J1143/(J1143+L1143))</f>
        <v/>
      </c>
      <c r="P1143" s="11" t="n">
        <f aca="false">2*J1143/(2*J1143+L1143+K1143)</f>
        <v>0</v>
      </c>
      <c r="Q1143" s="11" t="n">
        <f aca="false">L1143/(L1143+M1143)</f>
        <v>0</v>
      </c>
      <c r="R1143" s="6" t="n">
        <v>0</v>
      </c>
      <c r="S1143" s="11"/>
      <c r="T1143" s="11" t="n">
        <v>0</v>
      </c>
      <c r="U1143" s="11" t="n">
        <v>0.95</v>
      </c>
      <c r="V1143" s="11" t="n">
        <v>0.95</v>
      </c>
    </row>
    <row r="1144" customFormat="false" ht="15" hidden="false" customHeight="false" outlineLevel="0" collapsed="false">
      <c r="A1144" s="6" t="s">
        <v>42</v>
      </c>
      <c r="B1144" s="6" t="s">
        <v>43</v>
      </c>
      <c r="C1144" s="6" t="s">
        <v>44</v>
      </c>
      <c r="D1144" s="6" t="s">
        <v>114</v>
      </c>
      <c r="E1144" s="6" t="n">
        <v>16</v>
      </c>
      <c r="F1144" s="6" t="n">
        <v>4</v>
      </c>
      <c r="G1144" s="6" t="s">
        <v>77</v>
      </c>
      <c r="H1144" s="11" t="n">
        <v>0.01</v>
      </c>
      <c r="I1144" s="6" t="n">
        <v>20</v>
      </c>
      <c r="J1144" s="6" t="n">
        <v>1</v>
      </c>
      <c r="K1144" s="6" t="n">
        <v>19</v>
      </c>
      <c r="L1144" s="6" t="n">
        <v>1</v>
      </c>
      <c r="M1144" s="6" t="n">
        <v>19</v>
      </c>
      <c r="N1144" s="11" t="n">
        <f aca="false">J1144/(J1144+K1144)</f>
        <v>0.05</v>
      </c>
      <c r="O1144" s="11" t="n">
        <f aca="false">IF(J1144+L1144=0,"",J1144/(J1144+L1144))</f>
        <v>0.5</v>
      </c>
      <c r="P1144" s="11" t="n">
        <f aca="false">2*J1144/(2*J1144+L1144+K1144)</f>
        <v>0.0909090909090909</v>
      </c>
      <c r="Q1144" s="11" t="n">
        <f aca="false">L1144/(L1144+M1144)</f>
        <v>0.05</v>
      </c>
      <c r="R1144" s="6" t="n">
        <v>0</v>
      </c>
      <c r="S1144" s="11"/>
      <c r="T1144" s="11" t="n">
        <v>0.05</v>
      </c>
      <c r="U1144" s="11" t="n">
        <v>1</v>
      </c>
      <c r="V1144" s="11" t="n">
        <v>1</v>
      </c>
    </row>
    <row r="1145" customFormat="false" ht="15" hidden="false" customHeight="false" outlineLevel="0" collapsed="false">
      <c r="A1145" s="6" t="s">
        <v>42</v>
      </c>
      <c r="B1145" s="6" t="s">
        <v>43</v>
      </c>
      <c r="C1145" s="6" t="s">
        <v>44</v>
      </c>
      <c r="D1145" s="6" t="s">
        <v>114</v>
      </c>
      <c r="E1145" s="6" t="n">
        <v>16</v>
      </c>
      <c r="F1145" s="6" t="n">
        <v>4</v>
      </c>
      <c r="G1145" s="6" t="s">
        <v>78</v>
      </c>
      <c r="H1145" s="11" t="n">
        <v>0.01</v>
      </c>
      <c r="I1145" s="6" t="n">
        <v>200</v>
      </c>
      <c r="J1145" s="6" t="n">
        <v>1</v>
      </c>
      <c r="K1145" s="6" t="n">
        <v>199</v>
      </c>
      <c r="L1145" s="6" t="n">
        <v>1</v>
      </c>
      <c r="M1145" s="6" t="n">
        <v>199</v>
      </c>
      <c r="N1145" s="11" t="n">
        <f aca="false">J1145/(J1145+K1145)</f>
        <v>0.005</v>
      </c>
      <c r="O1145" s="11" t="n">
        <f aca="false">IF(J1145+L1145=0,"",J1145/(J1145+L1145))</f>
        <v>0.5</v>
      </c>
      <c r="P1145" s="11" t="n">
        <f aca="false">2*J1145/(2*J1145+L1145+K1145)</f>
        <v>0.0099009900990099</v>
      </c>
      <c r="Q1145" s="11" t="n">
        <f aca="false">L1145/(L1145+M1145)</f>
        <v>0.005</v>
      </c>
      <c r="R1145" s="6" t="n">
        <v>4</v>
      </c>
      <c r="S1145" s="11" t="n">
        <v>0</v>
      </c>
      <c r="T1145" s="11" t="n">
        <v>0.00510204081632653</v>
      </c>
      <c r="U1145" s="11" t="n">
        <v>0.88</v>
      </c>
      <c r="V1145" s="11" t="n">
        <v>0.87</v>
      </c>
    </row>
    <row r="1146" customFormat="false" ht="15" hidden="false" customHeight="false" outlineLevel="0" collapsed="false">
      <c r="A1146" s="6" t="s">
        <v>42</v>
      </c>
      <c r="B1146" s="6" t="s">
        <v>43</v>
      </c>
      <c r="C1146" s="6" t="s">
        <v>44</v>
      </c>
      <c r="D1146" s="6" t="s">
        <v>114</v>
      </c>
      <c r="E1146" s="6" t="n">
        <v>16</v>
      </c>
      <c r="F1146" s="6" t="n">
        <v>5</v>
      </c>
      <c r="G1146" s="6" t="s">
        <v>68</v>
      </c>
      <c r="H1146" s="11" t="n">
        <v>0.01</v>
      </c>
      <c r="I1146" s="6" t="n">
        <v>20</v>
      </c>
      <c r="J1146" s="6" t="n">
        <v>0</v>
      </c>
      <c r="K1146" s="6" t="n">
        <v>20</v>
      </c>
      <c r="L1146" s="6" t="n">
        <v>0</v>
      </c>
      <c r="M1146" s="6" t="n">
        <v>20</v>
      </c>
      <c r="N1146" s="11" t="n">
        <f aca="false">J1146/(J1146+K1146)</f>
        <v>0</v>
      </c>
      <c r="O1146" s="11" t="str">
        <f aca="false">IF(J1146+L1146=0,"",J1146/(J1146+L1146))</f>
        <v/>
      </c>
      <c r="P1146" s="11" t="n">
        <f aca="false">2*J1146/(2*J1146+L1146+K1146)</f>
        <v>0</v>
      </c>
      <c r="Q1146" s="11" t="n">
        <f aca="false">L1146/(L1146+M1146)</f>
        <v>0</v>
      </c>
      <c r="R1146" s="6" t="n">
        <v>2</v>
      </c>
      <c r="S1146" s="11" t="n">
        <v>0</v>
      </c>
      <c r="T1146" s="11" t="n">
        <v>0</v>
      </c>
      <c r="U1146" s="11" t="n">
        <v>0.85</v>
      </c>
      <c r="V1146" s="11" t="n">
        <v>0.85</v>
      </c>
    </row>
    <row r="1147" customFormat="false" ht="15" hidden="false" customHeight="false" outlineLevel="0" collapsed="false">
      <c r="A1147" s="6" t="s">
        <v>42</v>
      </c>
      <c r="B1147" s="6" t="s">
        <v>43</v>
      </c>
      <c r="C1147" s="6" t="s">
        <v>44</v>
      </c>
      <c r="D1147" s="6" t="s">
        <v>114</v>
      </c>
      <c r="E1147" s="6" t="n">
        <v>16</v>
      </c>
      <c r="F1147" s="6" t="n">
        <v>5</v>
      </c>
      <c r="G1147" s="6" t="s">
        <v>69</v>
      </c>
      <c r="H1147" s="11" t="n">
        <v>0.01</v>
      </c>
      <c r="I1147" s="6" t="n">
        <v>20</v>
      </c>
      <c r="J1147" s="6" t="n">
        <v>0</v>
      </c>
      <c r="K1147" s="6" t="n">
        <v>20</v>
      </c>
      <c r="L1147" s="6" t="n">
        <v>0</v>
      </c>
      <c r="M1147" s="6" t="n">
        <v>20</v>
      </c>
      <c r="N1147" s="11" t="n">
        <f aca="false">J1147/(J1147+K1147)</f>
        <v>0</v>
      </c>
      <c r="O1147" s="11" t="str">
        <f aca="false">IF(J1147+L1147=0,"",J1147/(J1147+L1147))</f>
        <v/>
      </c>
      <c r="P1147" s="11" t="n">
        <f aca="false">2*J1147/(2*J1147+L1147+K1147)</f>
        <v>0</v>
      </c>
      <c r="Q1147" s="11" t="n">
        <f aca="false">L1147/(L1147+M1147)</f>
        <v>0</v>
      </c>
      <c r="R1147" s="6" t="n">
        <v>0</v>
      </c>
      <c r="S1147" s="11"/>
      <c r="T1147" s="11" t="n">
        <v>0</v>
      </c>
      <c r="U1147" s="11" t="n">
        <v>1</v>
      </c>
      <c r="V1147" s="11" t="n">
        <v>1</v>
      </c>
    </row>
    <row r="1148" customFormat="false" ht="15" hidden="false" customHeight="false" outlineLevel="0" collapsed="false">
      <c r="A1148" s="6" t="s">
        <v>42</v>
      </c>
      <c r="B1148" s="6" t="s">
        <v>43</v>
      </c>
      <c r="C1148" s="6" t="s">
        <v>44</v>
      </c>
      <c r="D1148" s="6" t="s">
        <v>114</v>
      </c>
      <c r="E1148" s="6" t="n">
        <v>16</v>
      </c>
      <c r="F1148" s="6" t="n">
        <v>5</v>
      </c>
      <c r="G1148" s="6" t="s">
        <v>70</v>
      </c>
      <c r="H1148" s="11" t="n">
        <v>0.01</v>
      </c>
      <c r="I1148" s="6" t="n">
        <v>20</v>
      </c>
      <c r="J1148" s="6" t="n">
        <v>0</v>
      </c>
      <c r="K1148" s="6" t="n">
        <v>20</v>
      </c>
      <c r="L1148" s="6" t="n">
        <v>0</v>
      </c>
      <c r="M1148" s="6" t="n">
        <v>20</v>
      </c>
      <c r="N1148" s="11" t="n">
        <f aca="false">J1148/(J1148+K1148)</f>
        <v>0</v>
      </c>
      <c r="O1148" s="11" t="str">
        <f aca="false">IF(J1148+L1148=0,"",J1148/(J1148+L1148))</f>
        <v/>
      </c>
      <c r="P1148" s="11" t="n">
        <f aca="false">2*J1148/(2*J1148+L1148+K1148)</f>
        <v>0</v>
      </c>
      <c r="Q1148" s="11" t="n">
        <f aca="false">L1148/(L1148+M1148)</f>
        <v>0</v>
      </c>
      <c r="R1148" s="6" t="n">
        <v>0</v>
      </c>
      <c r="S1148" s="11"/>
      <c r="T1148" s="11" t="n">
        <v>0</v>
      </c>
      <c r="U1148" s="11" t="n">
        <v>0.9</v>
      </c>
      <c r="V1148" s="11" t="n">
        <v>0.9</v>
      </c>
    </row>
    <row r="1149" customFormat="false" ht="15" hidden="false" customHeight="false" outlineLevel="0" collapsed="false">
      <c r="A1149" s="6" t="s">
        <v>42</v>
      </c>
      <c r="B1149" s="6" t="s">
        <v>43</v>
      </c>
      <c r="C1149" s="6" t="s">
        <v>44</v>
      </c>
      <c r="D1149" s="6" t="s">
        <v>114</v>
      </c>
      <c r="E1149" s="6" t="n">
        <v>16</v>
      </c>
      <c r="F1149" s="6" t="n">
        <v>5</v>
      </c>
      <c r="G1149" s="6" t="s">
        <v>71</v>
      </c>
      <c r="H1149" s="11" t="n">
        <v>0.01</v>
      </c>
      <c r="I1149" s="6" t="n">
        <v>20</v>
      </c>
      <c r="J1149" s="6" t="n">
        <v>0</v>
      </c>
      <c r="K1149" s="6" t="n">
        <v>20</v>
      </c>
      <c r="L1149" s="6" t="n">
        <v>0</v>
      </c>
      <c r="M1149" s="6" t="n">
        <v>20</v>
      </c>
      <c r="N1149" s="11" t="n">
        <f aca="false">J1149/(J1149+K1149)</f>
        <v>0</v>
      </c>
      <c r="O1149" s="11" t="str">
        <f aca="false">IF(J1149+L1149=0,"",J1149/(J1149+L1149))</f>
        <v/>
      </c>
      <c r="P1149" s="11" t="n">
        <f aca="false">2*J1149/(2*J1149+L1149+K1149)</f>
        <v>0</v>
      </c>
      <c r="Q1149" s="11" t="n">
        <f aca="false">L1149/(L1149+M1149)</f>
        <v>0</v>
      </c>
      <c r="R1149" s="6" t="n">
        <v>0</v>
      </c>
      <c r="S1149" s="11"/>
      <c r="T1149" s="11" t="n">
        <v>0</v>
      </c>
      <c r="U1149" s="11" t="n">
        <v>0.8</v>
      </c>
      <c r="V1149" s="11" t="n">
        <v>0.8</v>
      </c>
    </row>
    <row r="1150" customFormat="false" ht="15" hidden="false" customHeight="false" outlineLevel="0" collapsed="false">
      <c r="A1150" s="6" t="s">
        <v>42</v>
      </c>
      <c r="B1150" s="6" t="s">
        <v>43</v>
      </c>
      <c r="C1150" s="6" t="s">
        <v>44</v>
      </c>
      <c r="D1150" s="6" t="s">
        <v>114</v>
      </c>
      <c r="E1150" s="6" t="n">
        <v>16</v>
      </c>
      <c r="F1150" s="6" t="n">
        <v>5</v>
      </c>
      <c r="G1150" s="6" t="s">
        <v>72</v>
      </c>
      <c r="H1150" s="11" t="n">
        <v>0.01</v>
      </c>
      <c r="I1150" s="6" t="n">
        <v>20</v>
      </c>
      <c r="J1150" s="6" t="n">
        <v>0</v>
      </c>
      <c r="K1150" s="6" t="n">
        <v>20</v>
      </c>
      <c r="L1150" s="6" t="n">
        <v>0</v>
      </c>
      <c r="M1150" s="6" t="n">
        <v>20</v>
      </c>
      <c r="N1150" s="11" t="n">
        <f aca="false">J1150/(J1150+K1150)</f>
        <v>0</v>
      </c>
      <c r="O1150" s="11" t="str">
        <f aca="false">IF(J1150+L1150=0,"",J1150/(J1150+L1150))</f>
        <v/>
      </c>
      <c r="P1150" s="11" t="n">
        <f aca="false">2*J1150/(2*J1150+L1150+K1150)</f>
        <v>0</v>
      </c>
      <c r="Q1150" s="11" t="n">
        <f aca="false">L1150/(L1150+M1150)</f>
        <v>0</v>
      </c>
      <c r="R1150" s="6" t="n">
        <v>1</v>
      </c>
      <c r="S1150" s="11" t="n">
        <v>0</v>
      </c>
      <c r="T1150" s="11" t="n">
        <v>0</v>
      </c>
      <c r="U1150" s="11" t="n">
        <v>0.9</v>
      </c>
      <c r="V1150" s="11" t="n">
        <v>0.9</v>
      </c>
    </row>
    <row r="1151" customFormat="false" ht="15" hidden="false" customHeight="false" outlineLevel="0" collapsed="false">
      <c r="A1151" s="6" t="s">
        <v>42</v>
      </c>
      <c r="B1151" s="6" t="s">
        <v>43</v>
      </c>
      <c r="C1151" s="6" t="s">
        <v>44</v>
      </c>
      <c r="D1151" s="6" t="s">
        <v>114</v>
      </c>
      <c r="E1151" s="6" t="n">
        <v>16</v>
      </c>
      <c r="F1151" s="6" t="n">
        <v>5</v>
      </c>
      <c r="G1151" s="6" t="s">
        <v>73</v>
      </c>
      <c r="H1151" s="11" t="n">
        <v>0.01</v>
      </c>
      <c r="I1151" s="6" t="n">
        <v>20</v>
      </c>
      <c r="J1151" s="6" t="n">
        <v>0</v>
      </c>
      <c r="K1151" s="6" t="n">
        <v>20</v>
      </c>
      <c r="L1151" s="6" t="n">
        <v>0</v>
      </c>
      <c r="M1151" s="6" t="n">
        <v>20</v>
      </c>
      <c r="N1151" s="11" t="n">
        <f aca="false">J1151/(J1151+K1151)</f>
        <v>0</v>
      </c>
      <c r="O1151" s="11" t="str">
        <f aca="false">IF(J1151+L1151=0,"",J1151/(J1151+L1151))</f>
        <v/>
      </c>
      <c r="P1151" s="11" t="n">
        <f aca="false">2*J1151/(2*J1151+L1151+K1151)</f>
        <v>0</v>
      </c>
      <c r="Q1151" s="11" t="n">
        <f aca="false">L1151/(L1151+M1151)</f>
        <v>0</v>
      </c>
      <c r="R1151" s="6" t="n">
        <v>0</v>
      </c>
      <c r="S1151" s="11"/>
      <c r="T1151" s="11" t="n">
        <v>0</v>
      </c>
      <c r="U1151" s="11" t="n">
        <v>0.65</v>
      </c>
      <c r="V1151" s="11" t="n">
        <v>0.65</v>
      </c>
    </row>
    <row r="1152" customFormat="false" ht="15" hidden="false" customHeight="false" outlineLevel="0" collapsed="false">
      <c r="A1152" s="6" t="s">
        <v>42</v>
      </c>
      <c r="B1152" s="6" t="s">
        <v>43</v>
      </c>
      <c r="C1152" s="6" t="s">
        <v>44</v>
      </c>
      <c r="D1152" s="6" t="s">
        <v>114</v>
      </c>
      <c r="E1152" s="6" t="n">
        <v>16</v>
      </c>
      <c r="F1152" s="6" t="n">
        <v>5</v>
      </c>
      <c r="G1152" s="6" t="s">
        <v>74</v>
      </c>
      <c r="H1152" s="11" t="n">
        <v>0.01</v>
      </c>
      <c r="I1152" s="6" t="n">
        <v>20</v>
      </c>
      <c r="J1152" s="6" t="n">
        <v>1</v>
      </c>
      <c r="K1152" s="6" t="n">
        <v>19</v>
      </c>
      <c r="L1152" s="6" t="n">
        <v>0</v>
      </c>
      <c r="M1152" s="6" t="n">
        <v>20</v>
      </c>
      <c r="N1152" s="11" t="n">
        <f aca="false">J1152/(J1152+K1152)</f>
        <v>0.05</v>
      </c>
      <c r="O1152" s="11" t="n">
        <f aca="false">IF(J1152+L1152=0,"",J1152/(J1152+L1152))</f>
        <v>1</v>
      </c>
      <c r="P1152" s="11" t="n">
        <f aca="false">2*J1152/(2*J1152+L1152+K1152)</f>
        <v>0.0952380952380952</v>
      </c>
      <c r="Q1152" s="11" t="n">
        <f aca="false">L1152/(L1152+M1152)</f>
        <v>0</v>
      </c>
      <c r="R1152" s="6" t="n">
        <v>2</v>
      </c>
      <c r="S1152" s="11" t="n">
        <v>0</v>
      </c>
      <c r="T1152" s="11" t="n">
        <v>0.0555555555555556</v>
      </c>
      <c r="U1152" s="11" t="n">
        <v>0.85</v>
      </c>
      <c r="V1152" s="11" t="n">
        <v>0.95</v>
      </c>
    </row>
    <row r="1153" customFormat="false" ht="15" hidden="false" customHeight="false" outlineLevel="0" collapsed="false">
      <c r="A1153" s="6" t="s">
        <v>42</v>
      </c>
      <c r="B1153" s="6" t="s">
        <v>43</v>
      </c>
      <c r="C1153" s="6" t="s">
        <v>44</v>
      </c>
      <c r="D1153" s="6" t="s">
        <v>114</v>
      </c>
      <c r="E1153" s="6" t="n">
        <v>16</v>
      </c>
      <c r="F1153" s="6" t="n">
        <v>5</v>
      </c>
      <c r="G1153" s="6" t="s">
        <v>75</v>
      </c>
      <c r="H1153" s="11" t="n">
        <v>0.01</v>
      </c>
      <c r="I1153" s="6" t="n">
        <v>20</v>
      </c>
      <c r="J1153" s="6" t="n">
        <v>0</v>
      </c>
      <c r="K1153" s="6" t="n">
        <v>20</v>
      </c>
      <c r="L1153" s="6" t="n">
        <v>0</v>
      </c>
      <c r="M1153" s="6" t="n">
        <v>20</v>
      </c>
      <c r="N1153" s="11" t="n">
        <f aca="false">J1153/(J1153+K1153)</f>
        <v>0</v>
      </c>
      <c r="O1153" s="11" t="str">
        <f aca="false">IF(J1153+L1153=0,"",J1153/(J1153+L1153))</f>
        <v/>
      </c>
      <c r="P1153" s="11" t="n">
        <f aca="false">2*J1153/(2*J1153+L1153+K1153)</f>
        <v>0</v>
      </c>
      <c r="Q1153" s="11" t="n">
        <f aca="false">L1153/(L1153+M1153)</f>
        <v>0</v>
      </c>
      <c r="R1153" s="6" t="n">
        <v>0</v>
      </c>
      <c r="S1153" s="11"/>
      <c r="T1153" s="11" t="n">
        <v>0</v>
      </c>
      <c r="U1153" s="11" t="n">
        <v>0.9</v>
      </c>
      <c r="V1153" s="11" t="n">
        <v>0.9</v>
      </c>
    </row>
    <row r="1154" customFormat="false" ht="15" hidden="false" customHeight="false" outlineLevel="0" collapsed="false">
      <c r="A1154" s="6" t="s">
        <v>42</v>
      </c>
      <c r="B1154" s="6" t="s">
        <v>43</v>
      </c>
      <c r="C1154" s="6" t="s">
        <v>44</v>
      </c>
      <c r="D1154" s="6" t="s">
        <v>114</v>
      </c>
      <c r="E1154" s="6" t="n">
        <v>16</v>
      </c>
      <c r="F1154" s="6" t="n">
        <v>5</v>
      </c>
      <c r="G1154" s="6" t="s">
        <v>76</v>
      </c>
      <c r="H1154" s="11" t="n">
        <v>0.01</v>
      </c>
      <c r="I1154" s="6" t="n">
        <v>20</v>
      </c>
      <c r="J1154" s="6" t="n">
        <v>0</v>
      </c>
      <c r="K1154" s="6" t="n">
        <v>20</v>
      </c>
      <c r="L1154" s="6" t="n">
        <v>0</v>
      </c>
      <c r="M1154" s="6" t="n">
        <v>20</v>
      </c>
      <c r="N1154" s="11" t="n">
        <f aca="false">J1154/(J1154+K1154)</f>
        <v>0</v>
      </c>
      <c r="O1154" s="11" t="str">
        <f aca="false">IF(J1154+L1154=0,"",J1154/(J1154+L1154))</f>
        <v/>
      </c>
      <c r="P1154" s="11" t="n">
        <f aca="false">2*J1154/(2*J1154+L1154+K1154)</f>
        <v>0</v>
      </c>
      <c r="Q1154" s="11" t="n">
        <f aca="false">L1154/(L1154+M1154)</f>
        <v>0</v>
      </c>
      <c r="R1154" s="6" t="n">
        <v>0</v>
      </c>
      <c r="S1154" s="11"/>
      <c r="T1154" s="11" t="n">
        <v>0</v>
      </c>
      <c r="U1154" s="11" t="n">
        <v>0.95</v>
      </c>
      <c r="V1154" s="11" t="n">
        <v>0.95</v>
      </c>
    </row>
    <row r="1155" customFormat="false" ht="15" hidden="false" customHeight="false" outlineLevel="0" collapsed="false">
      <c r="A1155" s="6" t="s">
        <v>42</v>
      </c>
      <c r="B1155" s="6" t="s">
        <v>43</v>
      </c>
      <c r="C1155" s="6" t="s">
        <v>44</v>
      </c>
      <c r="D1155" s="6" t="s">
        <v>114</v>
      </c>
      <c r="E1155" s="6" t="n">
        <v>16</v>
      </c>
      <c r="F1155" s="6" t="n">
        <v>5</v>
      </c>
      <c r="G1155" s="6" t="s">
        <v>77</v>
      </c>
      <c r="H1155" s="11" t="n">
        <v>0.01</v>
      </c>
      <c r="I1155" s="6" t="n">
        <v>20</v>
      </c>
      <c r="J1155" s="6" t="n">
        <v>1</v>
      </c>
      <c r="K1155" s="6" t="n">
        <v>19</v>
      </c>
      <c r="L1155" s="6" t="n">
        <v>1</v>
      </c>
      <c r="M1155" s="6" t="n">
        <v>19</v>
      </c>
      <c r="N1155" s="11" t="n">
        <f aca="false">J1155/(J1155+K1155)</f>
        <v>0.05</v>
      </c>
      <c r="O1155" s="11" t="n">
        <f aca="false">IF(J1155+L1155=0,"",J1155/(J1155+L1155))</f>
        <v>0.5</v>
      </c>
      <c r="P1155" s="11" t="n">
        <f aca="false">2*J1155/(2*J1155+L1155+K1155)</f>
        <v>0.0909090909090909</v>
      </c>
      <c r="Q1155" s="11" t="n">
        <f aca="false">L1155/(L1155+M1155)</f>
        <v>0.05</v>
      </c>
      <c r="R1155" s="6" t="n">
        <v>0</v>
      </c>
      <c r="S1155" s="11"/>
      <c r="T1155" s="11" t="n">
        <v>0.05</v>
      </c>
      <c r="U1155" s="11" t="n">
        <v>1</v>
      </c>
      <c r="V1155" s="11" t="n">
        <v>1</v>
      </c>
    </row>
    <row r="1156" customFormat="false" ht="15" hidden="false" customHeight="false" outlineLevel="0" collapsed="false">
      <c r="A1156" s="6" t="s">
        <v>42</v>
      </c>
      <c r="B1156" s="6" t="s">
        <v>43</v>
      </c>
      <c r="C1156" s="6" t="s">
        <v>44</v>
      </c>
      <c r="D1156" s="6" t="s">
        <v>114</v>
      </c>
      <c r="E1156" s="6" t="n">
        <v>16</v>
      </c>
      <c r="F1156" s="6" t="n">
        <v>5</v>
      </c>
      <c r="G1156" s="6" t="s">
        <v>78</v>
      </c>
      <c r="H1156" s="11" t="n">
        <v>0.01</v>
      </c>
      <c r="I1156" s="6" t="n">
        <v>200</v>
      </c>
      <c r="J1156" s="6" t="n">
        <v>2</v>
      </c>
      <c r="K1156" s="6" t="n">
        <v>198</v>
      </c>
      <c r="L1156" s="6" t="n">
        <v>1</v>
      </c>
      <c r="M1156" s="6" t="n">
        <v>199</v>
      </c>
      <c r="N1156" s="11" t="n">
        <f aca="false">J1156/(J1156+K1156)</f>
        <v>0.01</v>
      </c>
      <c r="O1156" s="11" t="n">
        <f aca="false">IF(J1156+L1156=0,"",J1156/(J1156+L1156))</f>
        <v>0.666666666666667</v>
      </c>
      <c r="P1156" s="11" t="n">
        <f aca="false">2*J1156/(2*J1156+L1156+K1156)</f>
        <v>0.0197044334975369</v>
      </c>
      <c r="Q1156" s="11" t="n">
        <f aca="false">L1156/(L1156+M1156)</f>
        <v>0.005</v>
      </c>
      <c r="R1156" s="6" t="n">
        <v>5</v>
      </c>
      <c r="S1156" s="11" t="n">
        <v>0</v>
      </c>
      <c r="T1156" s="11" t="n">
        <v>0.0102564102564103</v>
      </c>
      <c r="U1156" s="11" t="n">
        <v>0.88</v>
      </c>
      <c r="V1156" s="11" t="n">
        <v>0.89</v>
      </c>
    </row>
    <row r="1157" customFormat="false" ht="15" hidden="false" customHeight="false" outlineLevel="0" collapsed="false">
      <c r="A1157" s="6" t="s">
        <v>42</v>
      </c>
      <c r="B1157" s="6" t="s">
        <v>43</v>
      </c>
      <c r="C1157" s="6" t="s">
        <v>44</v>
      </c>
      <c r="D1157" s="6" t="s">
        <v>114</v>
      </c>
      <c r="E1157" s="6" t="n">
        <v>16</v>
      </c>
      <c r="F1157" s="6" t="n">
        <v>6</v>
      </c>
      <c r="G1157" s="6" t="s">
        <v>68</v>
      </c>
      <c r="H1157" s="11" t="n">
        <v>0.01</v>
      </c>
      <c r="I1157" s="6" t="n">
        <v>20</v>
      </c>
      <c r="J1157" s="6" t="n">
        <v>0</v>
      </c>
      <c r="K1157" s="6" t="n">
        <v>20</v>
      </c>
      <c r="L1157" s="6" t="n">
        <v>0</v>
      </c>
      <c r="M1157" s="6" t="n">
        <v>20</v>
      </c>
      <c r="N1157" s="11" t="n">
        <f aca="false">J1157/(J1157+K1157)</f>
        <v>0</v>
      </c>
      <c r="O1157" s="11" t="str">
        <f aca="false">IF(J1157+L1157=0,"",J1157/(J1157+L1157))</f>
        <v/>
      </c>
      <c r="P1157" s="11" t="n">
        <f aca="false">2*J1157/(2*J1157+L1157+K1157)</f>
        <v>0</v>
      </c>
      <c r="Q1157" s="11" t="n">
        <f aca="false">L1157/(L1157+M1157)</f>
        <v>0</v>
      </c>
      <c r="R1157" s="6" t="n">
        <v>1</v>
      </c>
      <c r="S1157" s="11" t="n">
        <v>0</v>
      </c>
      <c r="T1157" s="11" t="n">
        <v>0</v>
      </c>
      <c r="U1157" s="11" t="n">
        <v>0.85</v>
      </c>
      <c r="V1157" s="11" t="n">
        <v>0.9</v>
      </c>
    </row>
    <row r="1158" customFormat="false" ht="15" hidden="false" customHeight="false" outlineLevel="0" collapsed="false">
      <c r="A1158" s="6" t="s">
        <v>42</v>
      </c>
      <c r="B1158" s="6" t="s">
        <v>43</v>
      </c>
      <c r="C1158" s="6" t="s">
        <v>44</v>
      </c>
      <c r="D1158" s="6" t="s">
        <v>114</v>
      </c>
      <c r="E1158" s="6" t="n">
        <v>16</v>
      </c>
      <c r="F1158" s="6" t="n">
        <v>6</v>
      </c>
      <c r="G1158" s="6" t="s">
        <v>69</v>
      </c>
      <c r="H1158" s="11" t="n">
        <v>0.01</v>
      </c>
      <c r="I1158" s="6" t="n">
        <v>20</v>
      </c>
      <c r="J1158" s="6" t="n">
        <v>0</v>
      </c>
      <c r="K1158" s="6" t="n">
        <v>20</v>
      </c>
      <c r="L1158" s="6" t="n">
        <v>0</v>
      </c>
      <c r="M1158" s="6" t="n">
        <v>20</v>
      </c>
      <c r="N1158" s="11" t="n">
        <f aca="false">J1158/(J1158+K1158)</f>
        <v>0</v>
      </c>
      <c r="O1158" s="11" t="str">
        <f aca="false">IF(J1158+L1158=0,"",J1158/(J1158+L1158))</f>
        <v/>
      </c>
      <c r="P1158" s="11" t="n">
        <f aca="false">2*J1158/(2*J1158+L1158+K1158)</f>
        <v>0</v>
      </c>
      <c r="Q1158" s="11" t="n">
        <f aca="false">L1158/(L1158+M1158)</f>
        <v>0</v>
      </c>
      <c r="R1158" s="6" t="n">
        <v>0</v>
      </c>
      <c r="S1158" s="11"/>
      <c r="T1158" s="11" t="n">
        <v>0</v>
      </c>
      <c r="U1158" s="11" t="n">
        <v>1</v>
      </c>
      <c r="V1158" s="11" t="n">
        <v>1</v>
      </c>
    </row>
    <row r="1159" customFormat="false" ht="15" hidden="false" customHeight="false" outlineLevel="0" collapsed="false">
      <c r="A1159" s="6" t="s">
        <v>42</v>
      </c>
      <c r="B1159" s="6" t="s">
        <v>43</v>
      </c>
      <c r="C1159" s="6" t="s">
        <v>44</v>
      </c>
      <c r="D1159" s="6" t="s">
        <v>114</v>
      </c>
      <c r="E1159" s="6" t="n">
        <v>16</v>
      </c>
      <c r="F1159" s="6" t="n">
        <v>6</v>
      </c>
      <c r="G1159" s="6" t="s">
        <v>70</v>
      </c>
      <c r="H1159" s="11" t="n">
        <v>0.01</v>
      </c>
      <c r="I1159" s="6" t="n">
        <v>20</v>
      </c>
      <c r="J1159" s="6" t="n">
        <v>0</v>
      </c>
      <c r="K1159" s="6" t="n">
        <v>20</v>
      </c>
      <c r="L1159" s="6" t="n">
        <v>0</v>
      </c>
      <c r="M1159" s="6" t="n">
        <v>20</v>
      </c>
      <c r="N1159" s="11" t="n">
        <f aca="false">J1159/(J1159+K1159)</f>
        <v>0</v>
      </c>
      <c r="O1159" s="11" t="str">
        <f aca="false">IF(J1159+L1159=0,"",J1159/(J1159+L1159))</f>
        <v/>
      </c>
      <c r="P1159" s="11" t="n">
        <f aca="false">2*J1159/(2*J1159+L1159+K1159)</f>
        <v>0</v>
      </c>
      <c r="Q1159" s="11" t="n">
        <f aca="false">L1159/(L1159+M1159)</f>
        <v>0</v>
      </c>
      <c r="R1159" s="6" t="n">
        <v>1</v>
      </c>
      <c r="S1159" s="11" t="n">
        <v>0</v>
      </c>
      <c r="T1159" s="11" t="n">
        <v>0</v>
      </c>
      <c r="U1159" s="11" t="n">
        <v>0.9</v>
      </c>
      <c r="V1159" s="11" t="n">
        <v>0.95</v>
      </c>
    </row>
    <row r="1160" customFormat="false" ht="15" hidden="false" customHeight="false" outlineLevel="0" collapsed="false">
      <c r="A1160" s="6" t="s">
        <v>42</v>
      </c>
      <c r="B1160" s="6" t="s">
        <v>43</v>
      </c>
      <c r="C1160" s="6" t="s">
        <v>44</v>
      </c>
      <c r="D1160" s="6" t="s">
        <v>114</v>
      </c>
      <c r="E1160" s="6" t="n">
        <v>16</v>
      </c>
      <c r="F1160" s="6" t="n">
        <v>6</v>
      </c>
      <c r="G1160" s="6" t="s">
        <v>71</v>
      </c>
      <c r="H1160" s="11" t="n">
        <v>0.01</v>
      </c>
      <c r="I1160" s="6" t="n">
        <v>20</v>
      </c>
      <c r="J1160" s="6" t="n">
        <v>0</v>
      </c>
      <c r="K1160" s="6" t="n">
        <v>20</v>
      </c>
      <c r="L1160" s="6" t="n">
        <v>0</v>
      </c>
      <c r="M1160" s="6" t="n">
        <v>20</v>
      </c>
      <c r="N1160" s="11" t="n">
        <f aca="false">J1160/(J1160+K1160)</f>
        <v>0</v>
      </c>
      <c r="O1160" s="11" t="str">
        <f aca="false">IF(J1160+L1160=0,"",J1160/(J1160+L1160))</f>
        <v/>
      </c>
      <c r="P1160" s="11" t="n">
        <f aca="false">2*J1160/(2*J1160+L1160+K1160)</f>
        <v>0</v>
      </c>
      <c r="Q1160" s="11" t="n">
        <f aca="false">L1160/(L1160+M1160)</f>
        <v>0</v>
      </c>
      <c r="R1160" s="6" t="n">
        <v>2</v>
      </c>
      <c r="S1160" s="11" t="n">
        <v>0</v>
      </c>
      <c r="T1160" s="11" t="n">
        <v>0</v>
      </c>
      <c r="U1160" s="11" t="n">
        <v>0.8</v>
      </c>
      <c r="V1160" s="11" t="n">
        <v>0.8</v>
      </c>
    </row>
    <row r="1161" customFormat="false" ht="15" hidden="false" customHeight="false" outlineLevel="0" collapsed="false">
      <c r="A1161" s="6" t="s">
        <v>42</v>
      </c>
      <c r="B1161" s="6" t="s">
        <v>43</v>
      </c>
      <c r="C1161" s="6" t="s">
        <v>44</v>
      </c>
      <c r="D1161" s="6" t="s">
        <v>114</v>
      </c>
      <c r="E1161" s="6" t="n">
        <v>16</v>
      </c>
      <c r="F1161" s="6" t="n">
        <v>6</v>
      </c>
      <c r="G1161" s="6" t="s">
        <v>72</v>
      </c>
      <c r="H1161" s="11" t="n">
        <v>0.01</v>
      </c>
      <c r="I1161" s="6" t="n">
        <v>20</v>
      </c>
      <c r="J1161" s="6" t="n">
        <v>0</v>
      </c>
      <c r="K1161" s="6" t="n">
        <v>20</v>
      </c>
      <c r="L1161" s="6" t="n">
        <v>0</v>
      </c>
      <c r="M1161" s="6" t="n">
        <v>20</v>
      </c>
      <c r="N1161" s="11" t="n">
        <f aca="false">J1161/(J1161+K1161)</f>
        <v>0</v>
      </c>
      <c r="O1161" s="11" t="str">
        <f aca="false">IF(J1161+L1161=0,"",J1161/(J1161+L1161))</f>
        <v/>
      </c>
      <c r="P1161" s="11" t="n">
        <f aca="false">2*J1161/(2*J1161+L1161+K1161)</f>
        <v>0</v>
      </c>
      <c r="Q1161" s="11" t="n">
        <f aca="false">L1161/(L1161+M1161)</f>
        <v>0</v>
      </c>
      <c r="R1161" s="6" t="n">
        <v>0</v>
      </c>
      <c r="S1161" s="11"/>
      <c r="T1161" s="11" t="n">
        <v>0</v>
      </c>
      <c r="U1161" s="11" t="n">
        <v>0.9</v>
      </c>
      <c r="V1161" s="11" t="n">
        <v>0.9</v>
      </c>
    </row>
    <row r="1162" customFormat="false" ht="15" hidden="false" customHeight="false" outlineLevel="0" collapsed="false">
      <c r="A1162" s="6" t="s">
        <v>42</v>
      </c>
      <c r="B1162" s="6" t="s">
        <v>43</v>
      </c>
      <c r="C1162" s="6" t="s">
        <v>44</v>
      </c>
      <c r="D1162" s="6" t="s">
        <v>114</v>
      </c>
      <c r="E1162" s="6" t="n">
        <v>16</v>
      </c>
      <c r="F1162" s="6" t="n">
        <v>6</v>
      </c>
      <c r="G1162" s="6" t="s">
        <v>73</v>
      </c>
      <c r="H1162" s="11" t="n">
        <v>0.01</v>
      </c>
      <c r="I1162" s="6" t="n">
        <v>20</v>
      </c>
      <c r="J1162" s="6" t="n">
        <v>0</v>
      </c>
      <c r="K1162" s="6" t="n">
        <v>20</v>
      </c>
      <c r="L1162" s="6" t="n">
        <v>0</v>
      </c>
      <c r="M1162" s="6" t="n">
        <v>20</v>
      </c>
      <c r="N1162" s="11" t="n">
        <f aca="false">J1162/(J1162+K1162)</f>
        <v>0</v>
      </c>
      <c r="O1162" s="11" t="str">
        <f aca="false">IF(J1162+L1162=0,"",J1162/(J1162+L1162))</f>
        <v/>
      </c>
      <c r="P1162" s="11" t="n">
        <f aca="false">2*J1162/(2*J1162+L1162+K1162)</f>
        <v>0</v>
      </c>
      <c r="Q1162" s="11" t="n">
        <f aca="false">L1162/(L1162+M1162)</f>
        <v>0</v>
      </c>
      <c r="R1162" s="6" t="n">
        <v>1</v>
      </c>
      <c r="S1162" s="11" t="n">
        <v>0</v>
      </c>
      <c r="T1162" s="11" t="n">
        <v>0</v>
      </c>
      <c r="U1162" s="11" t="n">
        <v>0.65</v>
      </c>
      <c r="V1162" s="11" t="n">
        <v>0.65</v>
      </c>
    </row>
    <row r="1163" customFormat="false" ht="15" hidden="false" customHeight="false" outlineLevel="0" collapsed="false">
      <c r="A1163" s="6" t="s">
        <v>42</v>
      </c>
      <c r="B1163" s="6" t="s">
        <v>43</v>
      </c>
      <c r="C1163" s="6" t="s">
        <v>44</v>
      </c>
      <c r="D1163" s="6" t="s">
        <v>114</v>
      </c>
      <c r="E1163" s="6" t="n">
        <v>16</v>
      </c>
      <c r="F1163" s="6" t="n">
        <v>6</v>
      </c>
      <c r="G1163" s="6" t="s">
        <v>74</v>
      </c>
      <c r="H1163" s="11" t="n">
        <v>0.01</v>
      </c>
      <c r="I1163" s="6" t="n">
        <v>20</v>
      </c>
      <c r="J1163" s="6" t="n">
        <v>0</v>
      </c>
      <c r="K1163" s="6" t="n">
        <v>20</v>
      </c>
      <c r="L1163" s="6" t="n">
        <v>0</v>
      </c>
      <c r="M1163" s="6" t="n">
        <v>20</v>
      </c>
      <c r="N1163" s="11" t="n">
        <f aca="false">J1163/(J1163+K1163)</f>
        <v>0</v>
      </c>
      <c r="O1163" s="11" t="str">
        <f aca="false">IF(J1163+L1163=0,"",J1163/(J1163+L1163))</f>
        <v/>
      </c>
      <c r="P1163" s="11" t="n">
        <f aca="false">2*J1163/(2*J1163+L1163+K1163)</f>
        <v>0</v>
      </c>
      <c r="Q1163" s="11" t="n">
        <f aca="false">L1163/(L1163+M1163)</f>
        <v>0</v>
      </c>
      <c r="R1163" s="6" t="n">
        <v>3</v>
      </c>
      <c r="S1163" s="11" t="n">
        <v>0</v>
      </c>
      <c r="T1163" s="11" t="n">
        <v>0</v>
      </c>
      <c r="U1163" s="11" t="n">
        <v>0.85</v>
      </c>
      <c r="V1163" s="11" t="n">
        <v>0.95</v>
      </c>
    </row>
    <row r="1164" customFormat="false" ht="15" hidden="false" customHeight="false" outlineLevel="0" collapsed="false">
      <c r="A1164" s="6" t="s">
        <v>42</v>
      </c>
      <c r="B1164" s="6" t="s">
        <v>43</v>
      </c>
      <c r="C1164" s="6" t="s">
        <v>44</v>
      </c>
      <c r="D1164" s="6" t="s">
        <v>114</v>
      </c>
      <c r="E1164" s="6" t="n">
        <v>16</v>
      </c>
      <c r="F1164" s="6" t="n">
        <v>6</v>
      </c>
      <c r="G1164" s="6" t="s">
        <v>75</v>
      </c>
      <c r="H1164" s="11" t="n">
        <v>0.01</v>
      </c>
      <c r="I1164" s="6" t="n">
        <v>20</v>
      </c>
      <c r="J1164" s="6" t="n">
        <v>0</v>
      </c>
      <c r="K1164" s="6" t="n">
        <v>20</v>
      </c>
      <c r="L1164" s="6" t="n">
        <v>0</v>
      </c>
      <c r="M1164" s="6" t="n">
        <v>20</v>
      </c>
      <c r="N1164" s="11" t="n">
        <f aca="false">J1164/(J1164+K1164)</f>
        <v>0</v>
      </c>
      <c r="O1164" s="11" t="str">
        <f aca="false">IF(J1164+L1164=0,"",J1164/(J1164+L1164))</f>
        <v/>
      </c>
      <c r="P1164" s="11" t="n">
        <f aca="false">2*J1164/(2*J1164+L1164+K1164)</f>
        <v>0</v>
      </c>
      <c r="Q1164" s="11" t="n">
        <f aca="false">L1164/(L1164+M1164)</f>
        <v>0</v>
      </c>
      <c r="R1164" s="6" t="n">
        <v>2</v>
      </c>
      <c r="S1164" s="11" t="n">
        <v>0</v>
      </c>
      <c r="T1164" s="11" t="n">
        <v>0</v>
      </c>
      <c r="U1164" s="11" t="n">
        <v>0.9</v>
      </c>
      <c r="V1164" s="11" t="n">
        <v>0.85</v>
      </c>
    </row>
    <row r="1165" customFormat="false" ht="15" hidden="false" customHeight="false" outlineLevel="0" collapsed="false">
      <c r="A1165" s="6" t="s">
        <v>42</v>
      </c>
      <c r="B1165" s="6" t="s">
        <v>43</v>
      </c>
      <c r="C1165" s="6" t="s">
        <v>44</v>
      </c>
      <c r="D1165" s="6" t="s">
        <v>114</v>
      </c>
      <c r="E1165" s="6" t="n">
        <v>16</v>
      </c>
      <c r="F1165" s="6" t="n">
        <v>6</v>
      </c>
      <c r="G1165" s="6" t="s">
        <v>76</v>
      </c>
      <c r="H1165" s="11" t="n">
        <v>0.01</v>
      </c>
      <c r="I1165" s="6" t="n">
        <v>20</v>
      </c>
      <c r="J1165" s="6" t="n">
        <v>0</v>
      </c>
      <c r="K1165" s="6" t="n">
        <v>20</v>
      </c>
      <c r="L1165" s="6" t="n">
        <v>0</v>
      </c>
      <c r="M1165" s="6" t="n">
        <v>20</v>
      </c>
      <c r="N1165" s="11" t="n">
        <f aca="false">J1165/(J1165+K1165)</f>
        <v>0</v>
      </c>
      <c r="O1165" s="11" t="str">
        <f aca="false">IF(J1165+L1165=0,"",J1165/(J1165+L1165))</f>
        <v/>
      </c>
      <c r="P1165" s="11" t="n">
        <f aca="false">2*J1165/(2*J1165+L1165+K1165)</f>
        <v>0</v>
      </c>
      <c r="Q1165" s="11" t="n">
        <f aca="false">L1165/(L1165+M1165)</f>
        <v>0</v>
      </c>
      <c r="R1165" s="6" t="n">
        <v>0</v>
      </c>
      <c r="S1165" s="11"/>
      <c r="T1165" s="11" t="n">
        <v>0</v>
      </c>
      <c r="U1165" s="11" t="n">
        <v>0.95</v>
      </c>
      <c r="V1165" s="11" t="n">
        <v>0.95</v>
      </c>
    </row>
    <row r="1166" customFormat="false" ht="15" hidden="false" customHeight="false" outlineLevel="0" collapsed="false">
      <c r="A1166" s="6" t="s">
        <v>42</v>
      </c>
      <c r="B1166" s="6" t="s">
        <v>43</v>
      </c>
      <c r="C1166" s="6" t="s">
        <v>44</v>
      </c>
      <c r="D1166" s="6" t="s">
        <v>114</v>
      </c>
      <c r="E1166" s="6" t="n">
        <v>16</v>
      </c>
      <c r="F1166" s="6" t="n">
        <v>6</v>
      </c>
      <c r="G1166" s="6" t="s">
        <v>77</v>
      </c>
      <c r="H1166" s="11" t="n">
        <v>0.01</v>
      </c>
      <c r="I1166" s="6" t="n">
        <v>20</v>
      </c>
      <c r="J1166" s="6" t="n">
        <v>0</v>
      </c>
      <c r="K1166" s="6" t="n">
        <v>20</v>
      </c>
      <c r="L1166" s="6" t="n">
        <v>1</v>
      </c>
      <c r="M1166" s="6" t="n">
        <v>19</v>
      </c>
      <c r="N1166" s="11" t="n">
        <f aca="false">J1166/(J1166+K1166)</f>
        <v>0</v>
      </c>
      <c r="O1166" s="11" t="n">
        <f aca="false">IF(J1166+L1166=0,"",J1166/(J1166+L1166))</f>
        <v>0</v>
      </c>
      <c r="P1166" s="11" t="n">
        <f aca="false">2*J1166/(2*J1166+L1166+K1166)</f>
        <v>0</v>
      </c>
      <c r="Q1166" s="11" t="n">
        <f aca="false">L1166/(L1166+M1166)</f>
        <v>0.05</v>
      </c>
      <c r="R1166" s="6" t="n">
        <v>0</v>
      </c>
      <c r="S1166" s="11"/>
      <c r="T1166" s="11" t="n">
        <v>0</v>
      </c>
      <c r="U1166" s="11" t="n">
        <v>1</v>
      </c>
      <c r="V1166" s="11" t="n">
        <v>1</v>
      </c>
    </row>
    <row r="1167" customFormat="false" ht="15" hidden="false" customHeight="false" outlineLevel="0" collapsed="false">
      <c r="A1167" s="6" t="s">
        <v>42</v>
      </c>
      <c r="B1167" s="6" t="s">
        <v>43</v>
      </c>
      <c r="C1167" s="6" t="s">
        <v>44</v>
      </c>
      <c r="D1167" s="6" t="s">
        <v>114</v>
      </c>
      <c r="E1167" s="6" t="n">
        <v>16</v>
      </c>
      <c r="F1167" s="6" t="n">
        <v>6</v>
      </c>
      <c r="G1167" s="6" t="s">
        <v>78</v>
      </c>
      <c r="H1167" s="11" t="n">
        <v>0.01</v>
      </c>
      <c r="I1167" s="6" t="n">
        <v>200</v>
      </c>
      <c r="J1167" s="6" t="n">
        <v>0</v>
      </c>
      <c r="K1167" s="6" t="n">
        <v>200</v>
      </c>
      <c r="L1167" s="6" t="n">
        <v>1</v>
      </c>
      <c r="M1167" s="6" t="n">
        <v>199</v>
      </c>
      <c r="N1167" s="11" t="n">
        <f aca="false">J1167/(J1167+K1167)</f>
        <v>0</v>
      </c>
      <c r="O1167" s="11" t="n">
        <f aca="false">IF(J1167+L1167=0,"",J1167/(J1167+L1167))</f>
        <v>0</v>
      </c>
      <c r="P1167" s="11" t="n">
        <f aca="false">2*J1167/(2*J1167+L1167+K1167)</f>
        <v>0</v>
      </c>
      <c r="Q1167" s="11" t="n">
        <f aca="false">L1167/(L1167+M1167)</f>
        <v>0.005</v>
      </c>
      <c r="R1167" s="6" t="n">
        <v>10</v>
      </c>
      <c r="S1167" s="11" t="n">
        <v>0</v>
      </c>
      <c r="T1167" s="11" t="n">
        <v>0</v>
      </c>
      <c r="U1167" s="11" t="n">
        <v>0.88</v>
      </c>
      <c r="V1167" s="11" t="n">
        <v>0.895</v>
      </c>
    </row>
    <row r="1168" customFormat="false" ht="15" hidden="false" customHeight="false" outlineLevel="0" collapsed="false">
      <c r="A1168" s="6" t="s">
        <v>42</v>
      </c>
      <c r="B1168" s="6" t="s">
        <v>43</v>
      </c>
      <c r="C1168" s="6" t="s">
        <v>44</v>
      </c>
      <c r="D1168" s="6" t="s">
        <v>114</v>
      </c>
      <c r="E1168" s="6" t="n">
        <v>16</v>
      </c>
      <c r="F1168" s="6" t="n">
        <v>7</v>
      </c>
      <c r="G1168" s="6" t="s">
        <v>68</v>
      </c>
      <c r="H1168" s="11" t="n">
        <v>0.01</v>
      </c>
      <c r="I1168" s="6" t="n">
        <v>20</v>
      </c>
      <c r="J1168" s="6" t="n">
        <v>0</v>
      </c>
      <c r="K1168" s="6" t="n">
        <v>20</v>
      </c>
      <c r="L1168" s="6" t="n">
        <v>0</v>
      </c>
      <c r="M1168" s="6" t="n">
        <v>20</v>
      </c>
      <c r="N1168" s="11" t="n">
        <f aca="false">J1168/(J1168+K1168)</f>
        <v>0</v>
      </c>
      <c r="O1168" s="11" t="str">
        <f aca="false">IF(J1168+L1168=0,"",J1168/(J1168+L1168))</f>
        <v/>
      </c>
      <c r="P1168" s="11" t="n">
        <f aca="false">2*J1168/(2*J1168+L1168+K1168)</f>
        <v>0</v>
      </c>
      <c r="Q1168" s="11" t="n">
        <f aca="false">L1168/(L1168+M1168)</f>
        <v>0</v>
      </c>
      <c r="R1168" s="6" t="n">
        <v>1</v>
      </c>
      <c r="S1168" s="11" t="n">
        <v>0</v>
      </c>
      <c r="T1168" s="11" t="n">
        <v>0</v>
      </c>
      <c r="U1168" s="11" t="n">
        <v>0.85</v>
      </c>
      <c r="V1168" s="11" t="n">
        <v>0.9</v>
      </c>
    </row>
    <row r="1169" customFormat="false" ht="15" hidden="false" customHeight="false" outlineLevel="0" collapsed="false">
      <c r="A1169" s="6" t="s">
        <v>42</v>
      </c>
      <c r="B1169" s="6" t="s">
        <v>43</v>
      </c>
      <c r="C1169" s="6" t="s">
        <v>44</v>
      </c>
      <c r="D1169" s="6" t="s">
        <v>114</v>
      </c>
      <c r="E1169" s="6" t="n">
        <v>16</v>
      </c>
      <c r="F1169" s="6" t="n">
        <v>7</v>
      </c>
      <c r="G1169" s="6" t="s">
        <v>69</v>
      </c>
      <c r="H1169" s="11" t="n">
        <v>0.01</v>
      </c>
      <c r="I1169" s="6" t="n">
        <v>20</v>
      </c>
      <c r="J1169" s="6" t="n">
        <v>0</v>
      </c>
      <c r="K1169" s="6" t="n">
        <v>20</v>
      </c>
      <c r="L1169" s="6" t="n">
        <v>0</v>
      </c>
      <c r="M1169" s="6" t="n">
        <v>20</v>
      </c>
      <c r="N1169" s="11" t="n">
        <f aca="false">J1169/(J1169+K1169)</f>
        <v>0</v>
      </c>
      <c r="O1169" s="11" t="str">
        <f aca="false">IF(J1169+L1169=0,"",J1169/(J1169+L1169))</f>
        <v/>
      </c>
      <c r="P1169" s="11" t="n">
        <f aca="false">2*J1169/(2*J1169+L1169+K1169)</f>
        <v>0</v>
      </c>
      <c r="Q1169" s="11" t="n">
        <f aca="false">L1169/(L1169+M1169)</f>
        <v>0</v>
      </c>
      <c r="R1169" s="6" t="n">
        <v>0</v>
      </c>
      <c r="S1169" s="11"/>
      <c r="T1169" s="11" t="n">
        <v>0</v>
      </c>
      <c r="U1169" s="11" t="n">
        <v>1</v>
      </c>
      <c r="V1169" s="11" t="n">
        <v>1</v>
      </c>
    </row>
    <row r="1170" customFormat="false" ht="15" hidden="false" customHeight="false" outlineLevel="0" collapsed="false">
      <c r="A1170" s="6" t="s">
        <v>42</v>
      </c>
      <c r="B1170" s="6" t="s">
        <v>43</v>
      </c>
      <c r="C1170" s="6" t="s">
        <v>44</v>
      </c>
      <c r="D1170" s="6" t="s">
        <v>114</v>
      </c>
      <c r="E1170" s="6" t="n">
        <v>16</v>
      </c>
      <c r="F1170" s="6" t="n">
        <v>7</v>
      </c>
      <c r="G1170" s="6" t="s">
        <v>70</v>
      </c>
      <c r="H1170" s="11" t="n">
        <v>0.01</v>
      </c>
      <c r="I1170" s="6" t="n">
        <v>20</v>
      </c>
      <c r="J1170" s="6" t="n">
        <v>0</v>
      </c>
      <c r="K1170" s="6" t="n">
        <v>20</v>
      </c>
      <c r="L1170" s="6" t="n">
        <v>0</v>
      </c>
      <c r="M1170" s="6" t="n">
        <v>20</v>
      </c>
      <c r="N1170" s="11" t="n">
        <f aca="false">J1170/(J1170+K1170)</f>
        <v>0</v>
      </c>
      <c r="O1170" s="11" t="str">
        <f aca="false">IF(J1170+L1170=0,"",J1170/(J1170+L1170))</f>
        <v/>
      </c>
      <c r="P1170" s="11" t="n">
        <f aca="false">2*J1170/(2*J1170+L1170+K1170)</f>
        <v>0</v>
      </c>
      <c r="Q1170" s="11" t="n">
        <f aca="false">L1170/(L1170+M1170)</f>
        <v>0</v>
      </c>
      <c r="R1170" s="6" t="n">
        <v>0</v>
      </c>
      <c r="S1170" s="11"/>
      <c r="T1170" s="11" t="n">
        <v>0</v>
      </c>
      <c r="U1170" s="11" t="n">
        <v>0.9</v>
      </c>
      <c r="V1170" s="11" t="n">
        <v>0.9</v>
      </c>
    </row>
    <row r="1171" customFormat="false" ht="15" hidden="false" customHeight="false" outlineLevel="0" collapsed="false">
      <c r="A1171" s="6" t="s">
        <v>42</v>
      </c>
      <c r="B1171" s="6" t="s">
        <v>43</v>
      </c>
      <c r="C1171" s="6" t="s">
        <v>44</v>
      </c>
      <c r="D1171" s="6" t="s">
        <v>114</v>
      </c>
      <c r="E1171" s="6" t="n">
        <v>16</v>
      </c>
      <c r="F1171" s="6" t="n">
        <v>7</v>
      </c>
      <c r="G1171" s="6" t="s">
        <v>71</v>
      </c>
      <c r="H1171" s="11" t="n">
        <v>0.01</v>
      </c>
      <c r="I1171" s="6" t="n">
        <v>20</v>
      </c>
      <c r="J1171" s="6" t="n">
        <v>0</v>
      </c>
      <c r="K1171" s="6" t="n">
        <v>20</v>
      </c>
      <c r="L1171" s="6" t="n">
        <v>0</v>
      </c>
      <c r="M1171" s="6" t="n">
        <v>20</v>
      </c>
      <c r="N1171" s="11" t="n">
        <f aca="false">J1171/(J1171+K1171)</f>
        <v>0</v>
      </c>
      <c r="O1171" s="11" t="str">
        <f aca="false">IF(J1171+L1171=0,"",J1171/(J1171+L1171))</f>
        <v/>
      </c>
      <c r="P1171" s="11" t="n">
        <f aca="false">2*J1171/(2*J1171+L1171+K1171)</f>
        <v>0</v>
      </c>
      <c r="Q1171" s="11" t="n">
        <f aca="false">L1171/(L1171+M1171)</f>
        <v>0</v>
      </c>
      <c r="R1171" s="6" t="n">
        <v>0</v>
      </c>
      <c r="S1171" s="11"/>
      <c r="T1171" s="11" t="n">
        <v>0</v>
      </c>
      <c r="U1171" s="11" t="n">
        <v>0.8</v>
      </c>
      <c r="V1171" s="11" t="n">
        <v>0.8</v>
      </c>
    </row>
    <row r="1172" customFormat="false" ht="15" hidden="false" customHeight="false" outlineLevel="0" collapsed="false">
      <c r="A1172" s="6" t="s">
        <v>42</v>
      </c>
      <c r="B1172" s="6" t="s">
        <v>43</v>
      </c>
      <c r="C1172" s="6" t="s">
        <v>44</v>
      </c>
      <c r="D1172" s="6" t="s">
        <v>114</v>
      </c>
      <c r="E1172" s="6" t="n">
        <v>16</v>
      </c>
      <c r="F1172" s="6" t="n">
        <v>7</v>
      </c>
      <c r="G1172" s="6" t="s">
        <v>72</v>
      </c>
      <c r="H1172" s="11" t="n">
        <v>0.01</v>
      </c>
      <c r="I1172" s="6" t="n">
        <v>20</v>
      </c>
      <c r="J1172" s="6" t="n">
        <v>0</v>
      </c>
      <c r="K1172" s="6" t="n">
        <v>20</v>
      </c>
      <c r="L1172" s="6" t="n">
        <v>0</v>
      </c>
      <c r="M1172" s="6" t="n">
        <v>20</v>
      </c>
      <c r="N1172" s="11" t="n">
        <f aca="false">J1172/(J1172+K1172)</f>
        <v>0</v>
      </c>
      <c r="O1172" s="11" t="str">
        <f aca="false">IF(J1172+L1172=0,"",J1172/(J1172+L1172))</f>
        <v/>
      </c>
      <c r="P1172" s="11" t="n">
        <f aca="false">2*J1172/(2*J1172+L1172+K1172)</f>
        <v>0</v>
      </c>
      <c r="Q1172" s="11" t="n">
        <f aca="false">L1172/(L1172+M1172)</f>
        <v>0</v>
      </c>
      <c r="R1172" s="6" t="n">
        <v>0</v>
      </c>
      <c r="S1172" s="11"/>
      <c r="T1172" s="11" t="n">
        <v>0</v>
      </c>
      <c r="U1172" s="11" t="n">
        <v>0.9</v>
      </c>
      <c r="V1172" s="11" t="n">
        <v>0.9</v>
      </c>
    </row>
    <row r="1173" customFormat="false" ht="15" hidden="false" customHeight="false" outlineLevel="0" collapsed="false">
      <c r="A1173" s="6" t="s">
        <v>42</v>
      </c>
      <c r="B1173" s="6" t="s">
        <v>43</v>
      </c>
      <c r="C1173" s="6" t="s">
        <v>44</v>
      </c>
      <c r="D1173" s="6" t="s">
        <v>114</v>
      </c>
      <c r="E1173" s="6" t="n">
        <v>16</v>
      </c>
      <c r="F1173" s="6" t="n">
        <v>7</v>
      </c>
      <c r="G1173" s="6" t="s">
        <v>73</v>
      </c>
      <c r="H1173" s="11" t="n">
        <v>0.01</v>
      </c>
      <c r="I1173" s="6" t="n">
        <v>20</v>
      </c>
      <c r="J1173" s="6" t="n">
        <v>0</v>
      </c>
      <c r="K1173" s="6" t="n">
        <v>20</v>
      </c>
      <c r="L1173" s="6" t="n">
        <v>0</v>
      </c>
      <c r="M1173" s="6" t="n">
        <v>20</v>
      </c>
      <c r="N1173" s="11" t="n">
        <f aca="false">J1173/(J1173+K1173)</f>
        <v>0</v>
      </c>
      <c r="O1173" s="11" t="str">
        <f aca="false">IF(J1173+L1173=0,"",J1173/(J1173+L1173))</f>
        <v/>
      </c>
      <c r="P1173" s="11" t="n">
        <f aca="false">2*J1173/(2*J1173+L1173+K1173)</f>
        <v>0</v>
      </c>
      <c r="Q1173" s="11" t="n">
        <f aca="false">L1173/(L1173+M1173)</f>
        <v>0</v>
      </c>
      <c r="R1173" s="6" t="n">
        <v>0</v>
      </c>
      <c r="S1173" s="11"/>
      <c r="T1173" s="11" t="n">
        <v>0</v>
      </c>
      <c r="U1173" s="11" t="n">
        <v>0.65</v>
      </c>
      <c r="V1173" s="11" t="n">
        <v>0.65</v>
      </c>
    </row>
    <row r="1174" customFormat="false" ht="15" hidden="false" customHeight="false" outlineLevel="0" collapsed="false">
      <c r="A1174" s="6" t="s">
        <v>42</v>
      </c>
      <c r="B1174" s="6" t="s">
        <v>43</v>
      </c>
      <c r="C1174" s="6" t="s">
        <v>44</v>
      </c>
      <c r="D1174" s="6" t="s">
        <v>114</v>
      </c>
      <c r="E1174" s="6" t="n">
        <v>16</v>
      </c>
      <c r="F1174" s="6" t="n">
        <v>7</v>
      </c>
      <c r="G1174" s="6" t="s">
        <v>74</v>
      </c>
      <c r="H1174" s="11" t="n">
        <v>0.01</v>
      </c>
      <c r="I1174" s="6" t="n">
        <v>20</v>
      </c>
      <c r="J1174" s="6" t="n">
        <v>0</v>
      </c>
      <c r="K1174" s="6" t="n">
        <v>20</v>
      </c>
      <c r="L1174" s="6" t="n">
        <v>0</v>
      </c>
      <c r="M1174" s="6" t="n">
        <v>20</v>
      </c>
      <c r="N1174" s="11" t="n">
        <f aca="false">J1174/(J1174+K1174)</f>
        <v>0</v>
      </c>
      <c r="O1174" s="11" t="str">
        <f aca="false">IF(J1174+L1174=0,"",J1174/(J1174+L1174))</f>
        <v/>
      </c>
      <c r="P1174" s="11" t="n">
        <f aca="false">2*J1174/(2*J1174+L1174+K1174)</f>
        <v>0</v>
      </c>
      <c r="Q1174" s="11" t="n">
        <f aca="false">L1174/(L1174+M1174)</f>
        <v>0</v>
      </c>
      <c r="R1174" s="6" t="n">
        <v>0</v>
      </c>
      <c r="S1174" s="11"/>
      <c r="T1174" s="11" t="n">
        <v>0</v>
      </c>
      <c r="U1174" s="11" t="n">
        <v>0.85</v>
      </c>
      <c r="V1174" s="11" t="n">
        <v>0.85</v>
      </c>
    </row>
    <row r="1175" customFormat="false" ht="15" hidden="false" customHeight="false" outlineLevel="0" collapsed="false">
      <c r="A1175" s="6" t="s">
        <v>42</v>
      </c>
      <c r="B1175" s="6" t="s">
        <v>43</v>
      </c>
      <c r="C1175" s="6" t="s">
        <v>44</v>
      </c>
      <c r="D1175" s="6" t="s">
        <v>114</v>
      </c>
      <c r="E1175" s="6" t="n">
        <v>16</v>
      </c>
      <c r="F1175" s="6" t="n">
        <v>7</v>
      </c>
      <c r="G1175" s="6" t="s">
        <v>75</v>
      </c>
      <c r="H1175" s="11" t="n">
        <v>0.01</v>
      </c>
      <c r="I1175" s="6" t="n">
        <v>20</v>
      </c>
      <c r="J1175" s="6" t="n">
        <v>0</v>
      </c>
      <c r="K1175" s="6" t="n">
        <v>20</v>
      </c>
      <c r="L1175" s="6" t="n">
        <v>0</v>
      </c>
      <c r="M1175" s="6" t="n">
        <v>20</v>
      </c>
      <c r="N1175" s="11" t="n">
        <f aca="false">J1175/(J1175+K1175)</f>
        <v>0</v>
      </c>
      <c r="O1175" s="11" t="str">
        <f aca="false">IF(J1175+L1175=0,"",J1175/(J1175+L1175))</f>
        <v/>
      </c>
      <c r="P1175" s="11" t="n">
        <f aca="false">2*J1175/(2*J1175+L1175+K1175)</f>
        <v>0</v>
      </c>
      <c r="Q1175" s="11" t="n">
        <f aca="false">L1175/(L1175+M1175)</f>
        <v>0</v>
      </c>
      <c r="R1175" s="6" t="n">
        <v>1</v>
      </c>
      <c r="S1175" s="11" t="n">
        <v>0</v>
      </c>
      <c r="T1175" s="11" t="n">
        <v>0</v>
      </c>
      <c r="U1175" s="11" t="n">
        <v>0.9</v>
      </c>
      <c r="V1175" s="11" t="n">
        <v>0.9</v>
      </c>
    </row>
    <row r="1176" customFormat="false" ht="15" hidden="false" customHeight="false" outlineLevel="0" collapsed="false">
      <c r="A1176" s="6" t="s">
        <v>42</v>
      </c>
      <c r="B1176" s="6" t="s">
        <v>43</v>
      </c>
      <c r="C1176" s="6" t="s">
        <v>44</v>
      </c>
      <c r="D1176" s="6" t="s">
        <v>114</v>
      </c>
      <c r="E1176" s="6" t="n">
        <v>16</v>
      </c>
      <c r="F1176" s="6" t="n">
        <v>7</v>
      </c>
      <c r="G1176" s="6" t="s">
        <v>76</v>
      </c>
      <c r="H1176" s="11" t="n">
        <v>0.01</v>
      </c>
      <c r="I1176" s="6" t="n">
        <v>20</v>
      </c>
      <c r="J1176" s="6" t="n">
        <v>0</v>
      </c>
      <c r="K1176" s="6" t="n">
        <v>20</v>
      </c>
      <c r="L1176" s="6" t="n">
        <v>0</v>
      </c>
      <c r="M1176" s="6" t="n">
        <v>20</v>
      </c>
      <c r="N1176" s="11" t="n">
        <f aca="false">J1176/(J1176+K1176)</f>
        <v>0</v>
      </c>
      <c r="O1176" s="11" t="str">
        <f aca="false">IF(J1176+L1176=0,"",J1176/(J1176+L1176))</f>
        <v/>
      </c>
      <c r="P1176" s="11" t="n">
        <f aca="false">2*J1176/(2*J1176+L1176+K1176)</f>
        <v>0</v>
      </c>
      <c r="Q1176" s="11" t="n">
        <f aca="false">L1176/(L1176+M1176)</f>
        <v>0</v>
      </c>
      <c r="R1176" s="6" t="n">
        <v>0</v>
      </c>
      <c r="S1176" s="11"/>
      <c r="T1176" s="11" t="n">
        <v>0</v>
      </c>
      <c r="U1176" s="11" t="n">
        <v>0.95</v>
      </c>
      <c r="V1176" s="11" t="n">
        <v>0.95</v>
      </c>
    </row>
    <row r="1177" customFormat="false" ht="15" hidden="false" customHeight="false" outlineLevel="0" collapsed="false">
      <c r="A1177" s="6" t="s">
        <v>42</v>
      </c>
      <c r="B1177" s="6" t="s">
        <v>43</v>
      </c>
      <c r="C1177" s="6" t="s">
        <v>44</v>
      </c>
      <c r="D1177" s="6" t="s">
        <v>114</v>
      </c>
      <c r="E1177" s="6" t="n">
        <v>16</v>
      </c>
      <c r="F1177" s="6" t="n">
        <v>7</v>
      </c>
      <c r="G1177" s="6" t="s">
        <v>77</v>
      </c>
      <c r="H1177" s="11" t="n">
        <v>0.01</v>
      </c>
      <c r="I1177" s="6" t="n">
        <v>20</v>
      </c>
      <c r="J1177" s="6" t="n">
        <v>1</v>
      </c>
      <c r="K1177" s="6" t="n">
        <v>19</v>
      </c>
      <c r="L1177" s="6" t="n">
        <v>1</v>
      </c>
      <c r="M1177" s="6" t="n">
        <v>19</v>
      </c>
      <c r="N1177" s="11" t="n">
        <f aca="false">J1177/(J1177+K1177)</f>
        <v>0.05</v>
      </c>
      <c r="O1177" s="11" t="n">
        <f aca="false">IF(J1177+L1177=0,"",J1177/(J1177+L1177))</f>
        <v>0.5</v>
      </c>
      <c r="P1177" s="11" t="n">
        <f aca="false">2*J1177/(2*J1177+L1177+K1177)</f>
        <v>0.0909090909090909</v>
      </c>
      <c r="Q1177" s="11" t="n">
        <f aca="false">L1177/(L1177+M1177)</f>
        <v>0.05</v>
      </c>
      <c r="R1177" s="6" t="n">
        <v>0</v>
      </c>
      <c r="S1177" s="11"/>
      <c r="T1177" s="11" t="n">
        <v>0.05</v>
      </c>
      <c r="U1177" s="11" t="n">
        <v>1</v>
      </c>
      <c r="V1177" s="11" t="n">
        <v>1</v>
      </c>
    </row>
    <row r="1178" customFormat="false" ht="15" hidden="false" customHeight="false" outlineLevel="0" collapsed="false">
      <c r="A1178" s="6" t="s">
        <v>42</v>
      </c>
      <c r="B1178" s="6" t="s">
        <v>43</v>
      </c>
      <c r="C1178" s="6" t="s">
        <v>44</v>
      </c>
      <c r="D1178" s="6" t="s">
        <v>114</v>
      </c>
      <c r="E1178" s="6" t="n">
        <v>16</v>
      </c>
      <c r="F1178" s="6" t="n">
        <v>7</v>
      </c>
      <c r="G1178" s="6" t="s">
        <v>78</v>
      </c>
      <c r="H1178" s="11" t="n">
        <v>0.01</v>
      </c>
      <c r="I1178" s="6" t="n">
        <v>200</v>
      </c>
      <c r="J1178" s="6" t="n">
        <v>1</v>
      </c>
      <c r="K1178" s="6" t="n">
        <v>199</v>
      </c>
      <c r="L1178" s="6" t="n">
        <v>1</v>
      </c>
      <c r="M1178" s="6" t="n">
        <v>199</v>
      </c>
      <c r="N1178" s="11" t="n">
        <f aca="false">J1178/(J1178+K1178)</f>
        <v>0.005</v>
      </c>
      <c r="O1178" s="11" t="n">
        <f aca="false">IF(J1178+L1178=0,"",J1178/(J1178+L1178))</f>
        <v>0.5</v>
      </c>
      <c r="P1178" s="11" t="n">
        <f aca="false">2*J1178/(2*J1178+L1178+K1178)</f>
        <v>0.0099009900990099</v>
      </c>
      <c r="Q1178" s="11" t="n">
        <f aca="false">L1178/(L1178+M1178)</f>
        <v>0.005</v>
      </c>
      <c r="R1178" s="6" t="n">
        <v>2</v>
      </c>
      <c r="S1178" s="11" t="n">
        <v>0</v>
      </c>
      <c r="T1178" s="11" t="n">
        <v>0.00505050505050505</v>
      </c>
      <c r="U1178" s="11" t="n">
        <v>0.88</v>
      </c>
      <c r="V1178" s="11" t="n">
        <v>0.885</v>
      </c>
    </row>
    <row r="1179" customFormat="false" ht="15" hidden="false" customHeight="false" outlineLevel="0" collapsed="false">
      <c r="A1179" s="6" t="s">
        <v>42</v>
      </c>
      <c r="B1179" s="6" t="s">
        <v>43</v>
      </c>
      <c r="C1179" s="6" t="s">
        <v>44</v>
      </c>
      <c r="D1179" s="6" t="s">
        <v>114</v>
      </c>
      <c r="E1179" s="6" t="n">
        <v>16</v>
      </c>
      <c r="F1179" s="6" t="n">
        <v>8</v>
      </c>
      <c r="G1179" s="6" t="s">
        <v>68</v>
      </c>
      <c r="H1179" s="11" t="n">
        <v>0.01</v>
      </c>
      <c r="I1179" s="6" t="n">
        <v>20</v>
      </c>
      <c r="J1179" s="6" t="n">
        <v>0</v>
      </c>
      <c r="K1179" s="6" t="n">
        <v>20</v>
      </c>
      <c r="L1179" s="6" t="n">
        <v>0</v>
      </c>
      <c r="M1179" s="6" t="n">
        <v>20</v>
      </c>
      <c r="N1179" s="11" t="n">
        <f aca="false">J1179/(J1179+K1179)</f>
        <v>0</v>
      </c>
      <c r="O1179" s="11" t="str">
        <f aca="false">IF(J1179+L1179=0,"",J1179/(J1179+L1179))</f>
        <v/>
      </c>
      <c r="P1179" s="11" t="n">
        <f aca="false">2*J1179/(2*J1179+L1179+K1179)</f>
        <v>0</v>
      </c>
      <c r="Q1179" s="11" t="n">
        <f aca="false">L1179/(L1179+M1179)</f>
        <v>0</v>
      </c>
      <c r="R1179" s="6" t="n">
        <v>2</v>
      </c>
      <c r="S1179" s="11" t="n">
        <v>0</v>
      </c>
      <c r="T1179" s="11" t="n">
        <v>0</v>
      </c>
      <c r="U1179" s="11" t="n">
        <v>0.85</v>
      </c>
      <c r="V1179" s="11" t="n">
        <v>0.75</v>
      </c>
    </row>
    <row r="1180" customFormat="false" ht="15" hidden="false" customHeight="false" outlineLevel="0" collapsed="false">
      <c r="A1180" s="6" t="s">
        <v>42</v>
      </c>
      <c r="B1180" s="6" t="s">
        <v>43</v>
      </c>
      <c r="C1180" s="6" t="s">
        <v>44</v>
      </c>
      <c r="D1180" s="6" t="s">
        <v>114</v>
      </c>
      <c r="E1180" s="6" t="n">
        <v>16</v>
      </c>
      <c r="F1180" s="6" t="n">
        <v>8</v>
      </c>
      <c r="G1180" s="6" t="s">
        <v>69</v>
      </c>
      <c r="H1180" s="11" t="n">
        <v>0.01</v>
      </c>
      <c r="I1180" s="6" t="n">
        <v>20</v>
      </c>
      <c r="J1180" s="6" t="n">
        <v>0</v>
      </c>
      <c r="K1180" s="6" t="n">
        <v>20</v>
      </c>
      <c r="L1180" s="6" t="n">
        <v>0</v>
      </c>
      <c r="M1180" s="6" t="n">
        <v>20</v>
      </c>
      <c r="N1180" s="11" t="n">
        <f aca="false">J1180/(J1180+K1180)</f>
        <v>0</v>
      </c>
      <c r="O1180" s="11" t="str">
        <f aca="false">IF(J1180+L1180=0,"",J1180/(J1180+L1180))</f>
        <v/>
      </c>
      <c r="P1180" s="11" t="n">
        <f aca="false">2*J1180/(2*J1180+L1180+K1180)</f>
        <v>0</v>
      </c>
      <c r="Q1180" s="11" t="n">
        <f aca="false">L1180/(L1180+M1180)</f>
        <v>0</v>
      </c>
      <c r="R1180" s="6" t="n">
        <v>1</v>
      </c>
      <c r="S1180" s="11" t="n">
        <v>0</v>
      </c>
      <c r="T1180" s="11" t="n">
        <v>0</v>
      </c>
      <c r="U1180" s="11" t="n">
        <v>1</v>
      </c>
      <c r="V1180" s="11" t="n">
        <v>0.95</v>
      </c>
    </row>
    <row r="1181" customFormat="false" ht="15" hidden="false" customHeight="false" outlineLevel="0" collapsed="false">
      <c r="A1181" s="6" t="s">
        <v>42</v>
      </c>
      <c r="B1181" s="6" t="s">
        <v>43</v>
      </c>
      <c r="C1181" s="6" t="s">
        <v>44</v>
      </c>
      <c r="D1181" s="6" t="s">
        <v>114</v>
      </c>
      <c r="E1181" s="6" t="n">
        <v>16</v>
      </c>
      <c r="F1181" s="6" t="n">
        <v>8</v>
      </c>
      <c r="G1181" s="6" t="s">
        <v>70</v>
      </c>
      <c r="H1181" s="11" t="n">
        <v>0.01</v>
      </c>
      <c r="I1181" s="6" t="n">
        <v>20</v>
      </c>
      <c r="J1181" s="6" t="n">
        <v>0</v>
      </c>
      <c r="K1181" s="6" t="n">
        <v>20</v>
      </c>
      <c r="L1181" s="6" t="n">
        <v>0</v>
      </c>
      <c r="M1181" s="6" t="n">
        <v>20</v>
      </c>
      <c r="N1181" s="11" t="n">
        <f aca="false">J1181/(J1181+K1181)</f>
        <v>0</v>
      </c>
      <c r="O1181" s="11" t="str">
        <f aca="false">IF(J1181+L1181=0,"",J1181/(J1181+L1181))</f>
        <v/>
      </c>
      <c r="P1181" s="11" t="n">
        <f aca="false">2*J1181/(2*J1181+L1181+K1181)</f>
        <v>0</v>
      </c>
      <c r="Q1181" s="11" t="n">
        <f aca="false">L1181/(L1181+M1181)</f>
        <v>0</v>
      </c>
      <c r="R1181" s="6" t="n">
        <v>0</v>
      </c>
      <c r="S1181" s="11"/>
      <c r="T1181" s="11" t="n">
        <v>0</v>
      </c>
      <c r="U1181" s="11" t="n">
        <v>0.9</v>
      </c>
      <c r="V1181" s="11" t="n">
        <v>0.9</v>
      </c>
    </row>
    <row r="1182" customFormat="false" ht="15" hidden="false" customHeight="false" outlineLevel="0" collapsed="false">
      <c r="A1182" s="6" t="s">
        <v>42</v>
      </c>
      <c r="B1182" s="6" t="s">
        <v>43</v>
      </c>
      <c r="C1182" s="6" t="s">
        <v>44</v>
      </c>
      <c r="D1182" s="6" t="s">
        <v>114</v>
      </c>
      <c r="E1182" s="6" t="n">
        <v>16</v>
      </c>
      <c r="F1182" s="6" t="n">
        <v>8</v>
      </c>
      <c r="G1182" s="6" t="s">
        <v>71</v>
      </c>
      <c r="H1182" s="11" t="n">
        <v>0.01</v>
      </c>
      <c r="I1182" s="6" t="n">
        <v>20</v>
      </c>
      <c r="J1182" s="6" t="n">
        <v>0</v>
      </c>
      <c r="K1182" s="6" t="n">
        <v>20</v>
      </c>
      <c r="L1182" s="6" t="n">
        <v>0</v>
      </c>
      <c r="M1182" s="6" t="n">
        <v>20</v>
      </c>
      <c r="N1182" s="11" t="n">
        <f aca="false">J1182/(J1182+K1182)</f>
        <v>0</v>
      </c>
      <c r="O1182" s="11" t="str">
        <f aca="false">IF(J1182+L1182=0,"",J1182/(J1182+L1182))</f>
        <v/>
      </c>
      <c r="P1182" s="11" t="n">
        <f aca="false">2*J1182/(2*J1182+L1182+K1182)</f>
        <v>0</v>
      </c>
      <c r="Q1182" s="11" t="n">
        <f aca="false">L1182/(L1182+M1182)</f>
        <v>0</v>
      </c>
      <c r="R1182" s="6" t="n">
        <v>4</v>
      </c>
      <c r="S1182" s="11" t="n">
        <v>0</v>
      </c>
      <c r="T1182" s="11" t="n">
        <v>0</v>
      </c>
      <c r="U1182" s="11" t="n">
        <v>0.8</v>
      </c>
      <c r="V1182" s="11" t="n">
        <v>0.8</v>
      </c>
    </row>
    <row r="1183" customFormat="false" ht="15" hidden="false" customHeight="false" outlineLevel="0" collapsed="false">
      <c r="A1183" s="6" t="s">
        <v>42</v>
      </c>
      <c r="B1183" s="6" t="s">
        <v>43</v>
      </c>
      <c r="C1183" s="6" t="s">
        <v>44</v>
      </c>
      <c r="D1183" s="6" t="s">
        <v>114</v>
      </c>
      <c r="E1183" s="6" t="n">
        <v>16</v>
      </c>
      <c r="F1183" s="6" t="n">
        <v>8</v>
      </c>
      <c r="G1183" s="6" t="s">
        <v>72</v>
      </c>
      <c r="H1183" s="11" t="n">
        <v>0.01</v>
      </c>
      <c r="I1183" s="6" t="n">
        <v>20</v>
      </c>
      <c r="J1183" s="6" t="n">
        <v>0</v>
      </c>
      <c r="K1183" s="6" t="n">
        <v>20</v>
      </c>
      <c r="L1183" s="6" t="n">
        <v>0</v>
      </c>
      <c r="M1183" s="6" t="n">
        <v>20</v>
      </c>
      <c r="N1183" s="11" t="n">
        <f aca="false">J1183/(J1183+K1183)</f>
        <v>0</v>
      </c>
      <c r="O1183" s="11" t="str">
        <f aca="false">IF(J1183+L1183=0,"",J1183/(J1183+L1183))</f>
        <v/>
      </c>
      <c r="P1183" s="11" t="n">
        <f aca="false">2*J1183/(2*J1183+L1183+K1183)</f>
        <v>0</v>
      </c>
      <c r="Q1183" s="11" t="n">
        <f aca="false">L1183/(L1183+M1183)</f>
        <v>0</v>
      </c>
      <c r="R1183" s="6" t="n">
        <v>2</v>
      </c>
      <c r="S1183" s="11" t="n">
        <v>0</v>
      </c>
      <c r="T1183" s="11" t="n">
        <v>0</v>
      </c>
      <c r="U1183" s="11" t="n">
        <v>0.9</v>
      </c>
      <c r="V1183" s="11" t="n">
        <v>0.9</v>
      </c>
    </row>
    <row r="1184" customFormat="false" ht="15" hidden="false" customHeight="false" outlineLevel="0" collapsed="false">
      <c r="A1184" s="6" t="s">
        <v>42</v>
      </c>
      <c r="B1184" s="6" t="s">
        <v>43</v>
      </c>
      <c r="C1184" s="6" t="s">
        <v>44</v>
      </c>
      <c r="D1184" s="6" t="s">
        <v>114</v>
      </c>
      <c r="E1184" s="6" t="n">
        <v>16</v>
      </c>
      <c r="F1184" s="6" t="n">
        <v>8</v>
      </c>
      <c r="G1184" s="6" t="s">
        <v>73</v>
      </c>
      <c r="H1184" s="11" t="n">
        <v>0.01</v>
      </c>
      <c r="I1184" s="6" t="n">
        <v>20</v>
      </c>
      <c r="J1184" s="6" t="n">
        <v>0</v>
      </c>
      <c r="K1184" s="6" t="n">
        <v>20</v>
      </c>
      <c r="L1184" s="6" t="n">
        <v>0</v>
      </c>
      <c r="M1184" s="6" t="n">
        <v>20</v>
      </c>
      <c r="N1184" s="11" t="n">
        <f aca="false">J1184/(J1184+K1184)</f>
        <v>0</v>
      </c>
      <c r="O1184" s="11" t="str">
        <f aca="false">IF(J1184+L1184=0,"",J1184/(J1184+L1184))</f>
        <v/>
      </c>
      <c r="P1184" s="11" t="n">
        <f aca="false">2*J1184/(2*J1184+L1184+K1184)</f>
        <v>0</v>
      </c>
      <c r="Q1184" s="11" t="n">
        <f aca="false">L1184/(L1184+M1184)</f>
        <v>0</v>
      </c>
      <c r="R1184" s="6" t="n">
        <v>2</v>
      </c>
      <c r="S1184" s="11" t="n">
        <v>0</v>
      </c>
      <c r="T1184" s="11" t="n">
        <v>0</v>
      </c>
      <c r="U1184" s="11" t="n">
        <v>0.65</v>
      </c>
      <c r="V1184" s="11" t="n">
        <v>0.6</v>
      </c>
    </row>
    <row r="1185" customFormat="false" ht="15" hidden="false" customHeight="false" outlineLevel="0" collapsed="false">
      <c r="A1185" s="6" t="s">
        <v>42</v>
      </c>
      <c r="B1185" s="6" t="s">
        <v>43</v>
      </c>
      <c r="C1185" s="6" t="s">
        <v>44</v>
      </c>
      <c r="D1185" s="6" t="s">
        <v>114</v>
      </c>
      <c r="E1185" s="6" t="n">
        <v>16</v>
      </c>
      <c r="F1185" s="6" t="n">
        <v>8</v>
      </c>
      <c r="G1185" s="6" t="s">
        <v>74</v>
      </c>
      <c r="H1185" s="11" t="n">
        <v>0.01</v>
      </c>
      <c r="I1185" s="6" t="n">
        <v>20</v>
      </c>
      <c r="J1185" s="6" t="n">
        <v>1</v>
      </c>
      <c r="K1185" s="6" t="n">
        <v>19</v>
      </c>
      <c r="L1185" s="6" t="n">
        <v>0</v>
      </c>
      <c r="M1185" s="6" t="n">
        <v>20</v>
      </c>
      <c r="N1185" s="11" t="n">
        <f aca="false">J1185/(J1185+K1185)</f>
        <v>0.05</v>
      </c>
      <c r="O1185" s="11" t="n">
        <f aca="false">IF(J1185+L1185=0,"",J1185/(J1185+L1185))</f>
        <v>1</v>
      </c>
      <c r="P1185" s="11" t="n">
        <f aca="false">2*J1185/(2*J1185+L1185+K1185)</f>
        <v>0.0952380952380952</v>
      </c>
      <c r="Q1185" s="11" t="n">
        <f aca="false">L1185/(L1185+M1185)</f>
        <v>0</v>
      </c>
      <c r="R1185" s="6" t="n">
        <v>4</v>
      </c>
      <c r="S1185" s="11" t="n">
        <v>0</v>
      </c>
      <c r="T1185" s="11" t="n">
        <v>0.0625</v>
      </c>
      <c r="U1185" s="11" t="n">
        <v>0.85</v>
      </c>
      <c r="V1185" s="11" t="n">
        <v>0.9</v>
      </c>
    </row>
    <row r="1186" customFormat="false" ht="15" hidden="false" customHeight="false" outlineLevel="0" collapsed="false">
      <c r="A1186" s="6" t="s">
        <v>42</v>
      </c>
      <c r="B1186" s="6" t="s">
        <v>43</v>
      </c>
      <c r="C1186" s="6" t="s">
        <v>44</v>
      </c>
      <c r="D1186" s="6" t="s">
        <v>114</v>
      </c>
      <c r="E1186" s="6" t="n">
        <v>16</v>
      </c>
      <c r="F1186" s="6" t="n">
        <v>8</v>
      </c>
      <c r="G1186" s="6" t="s">
        <v>75</v>
      </c>
      <c r="H1186" s="11" t="n">
        <v>0.01</v>
      </c>
      <c r="I1186" s="6" t="n">
        <v>20</v>
      </c>
      <c r="J1186" s="6" t="n">
        <v>0</v>
      </c>
      <c r="K1186" s="6" t="n">
        <v>20</v>
      </c>
      <c r="L1186" s="6" t="n">
        <v>0</v>
      </c>
      <c r="M1186" s="6" t="n">
        <v>20</v>
      </c>
      <c r="N1186" s="11" t="n">
        <f aca="false">J1186/(J1186+K1186)</f>
        <v>0</v>
      </c>
      <c r="O1186" s="11" t="str">
        <f aca="false">IF(J1186+L1186=0,"",J1186/(J1186+L1186))</f>
        <v/>
      </c>
      <c r="P1186" s="11" t="n">
        <f aca="false">2*J1186/(2*J1186+L1186+K1186)</f>
        <v>0</v>
      </c>
      <c r="Q1186" s="11" t="n">
        <f aca="false">L1186/(L1186+M1186)</f>
        <v>0</v>
      </c>
      <c r="R1186" s="6" t="n">
        <v>0</v>
      </c>
      <c r="S1186" s="11"/>
      <c r="T1186" s="11" t="n">
        <v>0</v>
      </c>
      <c r="U1186" s="11" t="n">
        <v>0.9</v>
      </c>
      <c r="V1186" s="11" t="n">
        <v>0.9</v>
      </c>
    </row>
    <row r="1187" customFormat="false" ht="15" hidden="false" customHeight="false" outlineLevel="0" collapsed="false">
      <c r="A1187" s="6" t="s">
        <v>42</v>
      </c>
      <c r="B1187" s="6" t="s">
        <v>43</v>
      </c>
      <c r="C1187" s="6" t="s">
        <v>44</v>
      </c>
      <c r="D1187" s="6" t="s">
        <v>114</v>
      </c>
      <c r="E1187" s="6" t="n">
        <v>16</v>
      </c>
      <c r="F1187" s="6" t="n">
        <v>8</v>
      </c>
      <c r="G1187" s="6" t="s">
        <v>76</v>
      </c>
      <c r="H1187" s="11" t="n">
        <v>0.01</v>
      </c>
      <c r="I1187" s="6" t="n">
        <v>20</v>
      </c>
      <c r="J1187" s="6" t="n">
        <v>0</v>
      </c>
      <c r="K1187" s="6" t="n">
        <v>20</v>
      </c>
      <c r="L1187" s="6" t="n">
        <v>0</v>
      </c>
      <c r="M1187" s="6" t="n">
        <v>20</v>
      </c>
      <c r="N1187" s="11" t="n">
        <f aca="false">J1187/(J1187+K1187)</f>
        <v>0</v>
      </c>
      <c r="O1187" s="11" t="str">
        <f aca="false">IF(J1187+L1187=0,"",J1187/(J1187+L1187))</f>
        <v/>
      </c>
      <c r="P1187" s="11" t="n">
        <f aca="false">2*J1187/(2*J1187+L1187+K1187)</f>
        <v>0</v>
      </c>
      <c r="Q1187" s="11" t="n">
        <f aca="false">L1187/(L1187+M1187)</f>
        <v>0</v>
      </c>
      <c r="R1187" s="6" t="n">
        <v>0</v>
      </c>
      <c r="S1187" s="11"/>
      <c r="T1187" s="11" t="n">
        <v>0</v>
      </c>
      <c r="U1187" s="11" t="n">
        <v>0.95</v>
      </c>
      <c r="V1187" s="11" t="n">
        <v>0.95</v>
      </c>
    </row>
    <row r="1188" customFormat="false" ht="15" hidden="false" customHeight="false" outlineLevel="0" collapsed="false">
      <c r="A1188" s="6" t="s">
        <v>42</v>
      </c>
      <c r="B1188" s="6" t="s">
        <v>43</v>
      </c>
      <c r="C1188" s="6" t="s">
        <v>44</v>
      </c>
      <c r="D1188" s="6" t="s">
        <v>114</v>
      </c>
      <c r="E1188" s="6" t="n">
        <v>16</v>
      </c>
      <c r="F1188" s="6" t="n">
        <v>8</v>
      </c>
      <c r="G1188" s="6" t="s">
        <v>77</v>
      </c>
      <c r="H1188" s="11" t="n">
        <v>0.01</v>
      </c>
      <c r="I1188" s="6" t="n">
        <v>20</v>
      </c>
      <c r="J1188" s="6" t="n">
        <v>0</v>
      </c>
      <c r="K1188" s="6" t="n">
        <v>20</v>
      </c>
      <c r="L1188" s="6" t="n">
        <v>1</v>
      </c>
      <c r="M1188" s="6" t="n">
        <v>19</v>
      </c>
      <c r="N1188" s="11" t="n">
        <f aca="false">J1188/(J1188+K1188)</f>
        <v>0</v>
      </c>
      <c r="O1188" s="11" t="n">
        <f aca="false">IF(J1188+L1188=0,"",J1188/(J1188+L1188))</f>
        <v>0</v>
      </c>
      <c r="P1188" s="11" t="n">
        <f aca="false">2*J1188/(2*J1188+L1188+K1188)</f>
        <v>0</v>
      </c>
      <c r="Q1188" s="11" t="n">
        <f aca="false">L1188/(L1188+M1188)</f>
        <v>0.05</v>
      </c>
      <c r="R1188" s="6" t="n">
        <v>0</v>
      </c>
      <c r="S1188" s="11"/>
      <c r="T1188" s="11" t="n">
        <v>0</v>
      </c>
      <c r="U1188" s="11" t="n">
        <v>1</v>
      </c>
      <c r="V1188" s="11" t="n">
        <v>1</v>
      </c>
    </row>
    <row r="1189" customFormat="false" ht="15" hidden="false" customHeight="false" outlineLevel="0" collapsed="false">
      <c r="A1189" s="6" t="s">
        <v>42</v>
      </c>
      <c r="B1189" s="6" t="s">
        <v>43</v>
      </c>
      <c r="C1189" s="6" t="s">
        <v>44</v>
      </c>
      <c r="D1189" s="6" t="s">
        <v>114</v>
      </c>
      <c r="E1189" s="6" t="n">
        <v>16</v>
      </c>
      <c r="F1189" s="6" t="n">
        <v>8</v>
      </c>
      <c r="G1189" s="6" t="s">
        <v>78</v>
      </c>
      <c r="H1189" s="11" t="n">
        <v>0.01</v>
      </c>
      <c r="I1189" s="6" t="n">
        <v>200</v>
      </c>
      <c r="J1189" s="6" t="n">
        <v>1</v>
      </c>
      <c r="K1189" s="6" t="n">
        <v>199</v>
      </c>
      <c r="L1189" s="6" t="n">
        <v>1</v>
      </c>
      <c r="M1189" s="6" t="n">
        <v>199</v>
      </c>
      <c r="N1189" s="11" t="n">
        <f aca="false">J1189/(J1189+K1189)</f>
        <v>0.005</v>
      </c>
      <c r="O1189" s="11" t="n">
        <f aca="false">IF(J1189+L1189=0,"",J1189/(J1189+L1189))</f>
        <v>0.5</v>
      </c>
      <c r="P1189" s="11" t="n">
        <f aca="false">2*J1189/(2*J1189+L1189+K1189)</f>
        <v>0.0099009900990099</v>
      </c>
      <c r="Q1189" s="11" t="n">
        <f aca="false">L1189/(L1189+M1189)</f>
        <v>0.005</v>
      </c>
      <c r="R1189" s="6" t="n">
        <v>15</v>
      </c>
      <c r="S1189" s="11" t="n">
        <v>0</v>
      </c>
      <c r="T1189" s="11" t="n">
        <v>0.00540540540540541</v>
      </c>
      <c r="U1189" s="11" t="n">
        <v>0.88</v>
      </c>
      <c r="V1189" s="11" t="n">
        <v>0.865</v>
      </c>
    </row>
    <row r="1190" customFormat="false" ht="15" hidden="false" customHeight="false" outlineLevel="0" collapsed="false">
      <c r="A1190" s="6" t="s">
        <v>42</v>
      </c>
      <c r="B1190" s="6" t="s">
        <v>43</v>
      </c>
      <c r="C1190" s="6" t="s">
        <v>44</v>
      </c>
      <c r="D1190" s="6" t="s">
        <v>114</v>
      </c>
      <c r="E1190" s="6" t="n">
        <v>16</v>
      </c>
      <c r="F1190" s="6" t="n">
        <v>9</v>
      </c>
      <c r="G1190" s="6" t="s">
        <v>68</v>
      </c>
      <c r="H1190" s="11" t="n">
        <v>0.01</v>
      </c>
      <c r="I1190" s="6" t="n">
        <v>20</v>
      </c>
      <c r="J1190" s="6" t="n">
        <v>0</v>
      </c>
      <c r="K1190" s="6" t="n">
        <v>20</v>
      </c>
      <c r="L1190" s="6" t="n">
        <v>0</v>
      </c>
      <c r="M1190" s="6" t="n">
        <v>20</v>
      </c>
      <c r="N1190" s="11" t="n">
        <f aca="false">J1190/(J1190+K1190)</f>
        <v>0</v>
      </c>
      <c r="O1190" s="11" t="str">
        <f aca="false">IF(J1190+L1190=0,"",J1190/(J1190+L1190))</f>
        <v/>
      </c>
      <c r="P1190" s="11" t="n">
        <f aca="false">2*J1190/(2*J1190+L1190+K1190)</f>
        <v>0</v>
      </c>
      <c r="Q1190" s="11" t="n">
        <f aca="false">L1190/(L1190+M1190)</f>
        <v>0</v>
      </c>
      <c r="R1190" s="6" t="n">
        <v>2</v>
      </c>
      <c r="S1190" s="11" t="n">
        <v>0</v>
      </c>
      <c r="T1190" s="11" t="n">
        <v>0</v>
      </c>
      <c r="U1190" s="11" t="n">
        <v>0.85</v>
      </c>
      <c r="V1190" s="11" t="n">
        <v>0.95</v>
      </c>
    </row>
    <row r="1191" customFormat="false" ht="15" hidden="false" customHeight="false" outlineLevel="0" collapsed="false">
      <c r="A1191" s="6" t="s">
        <v>42</v>
      </c>
      <c r="B1191" s="6" t="s">
        <v>43</v>
      </c>
      <c r="C1191" s="6" t="s">
        <v>44</v>
      </c>
      <c r="D1191" s="6" t="s">
        <v>114</v>
      </c>
      <c r="E1191" s="6" t="n">
        <v>16</v>
      </c>
      <c r="F1191" s="6" t="n">
        <v>9</v>
      </c>
      <c r="G1191" s="6" t="s">
        <v>69</v>
      </c>
      <c r="H1191" s="11" t="n">
        <v>0.01</v>
      </c>
      <c r="I1191" s="6" t="n">
        <v>20</v>
      </c>
      <c r="J1191" s="6" t="n">
        <v>0</v>
      </c>
      <c r="K1191" s="6" t="n">
        <v>20</v>
      </c>
      <c r="L1191" s="6" t="n">
        <v>0</v>
      </c>
      <c r="M1191" s="6" t="n">
        <v>20</v>
      </c>
      <c r="N1191" s="11" t="n">
        <f aca="false">J1191/(J1191+K1191)</f>
        <v>0</v>
      </c>
      <c r="O1191" s="11" t="str">
        <f aca="false">IF(J1191+L1191=0,"",J1191/(J1191+L1191))</f>
        <v/>
      </c>
      <c r="P1191" s="11" t="n">
        <f aca="false">2*J1191/(2*J1191+L1191+K1191)</f>
        <v>0</v>
      </c>
      <c r="Q1191" s="11" t="n">
        <f aca="false">L1191/(L1191+M1191)</f>
        <v>0</v>
      </c>
      <c r="R1191" s="6" t="n">
        <v>0</v>
      </c>
      <c r="S1191" s="11"/>
      <c r="T1191" s="11" t="n">
        <v>0</v>
      </c>
      <c r="U1191" s="11" t="n">
        <v>1</v>
      </c>
      <c r="V1191" s="11" t="n">
        <v>1</v>
      </c>
    </row>
    <row r="1192" customFormat="false" ht="15" hidden="false" customHeight="false" outlineLevel="0" collapsed="false">
      <c r="A1192" s="6" t="s">
        <v>42</v>
      </c>
      <c r="B1192" s="6" t="s">
        <v>43</v>
      </c>
      <c r="C1192" s="6" t="s">
        <v>44</v>
      </c>
      <c r="D1192" s="6" t="s">
        <v>114</v>
      </c>
      <c r="E1192" s="6" t="n">
        <v>16</v>
      </c>
      <c r="F1192" s="6" t="n">
        <v>9</v>
      </c>
      <c r="G1192" s="6" t="s">
        <v>70</v>
      </c>
      <c r="H1192" s="11" t="n">
        <v>0.01</v>
      </c>
      <c r="I1192" s="6" t="n">
        <v>20</v>
      </c>
      <c r="J1192" s="6" t="n">
        <v>0</v>
      </c>
      <c r="K1192" s="6" t="n">
        <v>20</v>
      </c>
      <c r="L1192" s="6" t="n">
        <v>0</v>
      </c>
      <c r="M1192" s="6" t="n">
        <v>20</v>
      </c>
      <c r="N1192" s="11" t="n">
        <f aca="false">J1192/(J1192+K1192)</f>
        <v>0</v>
      </c>
      <c r="O1192" s="11" t="str">
        <f aca="false">IF(J1192+L1192=0,"",J1192/(J1192+L1192))</f>
        <v/>
      </c>
      <c r="P1192" s="11" t="n">
        <f aca="false">2*J1192/(2*J1192+L1192+K1192)</f>
        <v>0</v>
      </c>
      <c r="Q1192" s="11" t="n">
        <f aca="false">L1192/(L1192+M1192)</f>
        <v>0</v>
      </c>
      <c r="R1192" s="6" t="n">
        <v>0</v>
      </c>
      <c r="S1192" s="11"/>
      <c r="T1192" s="11" t="n">
        <v>0</v>
      </c>
      <c r="U1192" s="11" t="n">
        <v>0.9</v>
      </c>
      <c r="V1192" s="11" t="n">
        <v>0.9</v>
      </c>
    </row>
    <row r="1193" customFormat="false" ht="15" hidden="false" customHeight="false" outlineLevel="0" collapsed="false">
      <c r="A1193" s="6" t="s">
        <v>42</v>
      </c>
      <c r="B1193" s="6" t="s">
        <v>43</v>
      </c>
      <c r="C1193" s="6" t="s">
        <v>44</v>
      </c>
      <c r="D1193" s="6" t="s">
        <v>114</v>
      </c>
      <c r="E1193" s="6" t="n">
        <v>16</v>
      </c>
      <c r="F1193" s="6" t="n">
        <v>9</v>
      </c>
      <c r="G1193" s="6" t="s">
        <v>71</v>
      </c>
      <c r="H1193" s="11" t="n">
        <v>0.01</v>
      </c>
      <c r="I1193" s="6" t="n">
        <v>20</v>
      </c>
      <c r="J1193" s="6" t="n">
        <v>0</v>
      </c>
      <c r="K1193" s="6" t="n">
        <v>20</v>
      </c>
      <c r="L1193" s="6" t="n">
        <v>0</v>
      </c>
      <c r="M1193" s="6" t="n">
        <v>20</v>
      </c>
      <c r="N1193" s="11" t="n">
        <f aca="false">J1193/(J1193+K1193)</f>
        <v>0</v>
      </c>
      <c r="O1193" s="11" t="str">
        <f aca="false">IF(J1193+L1193=0,"",J1193/(J1193+L1193))</f>
        <v/>
      </c>
      <c r="P1193" s="11" t="n">
        <f aca="false">2*J1193/(2*J1193+L1193+K1193)</f>
        <v>0</v>
      </c>
      <c r="Q1193" s="11" t="n">
        <f aca="false">L1193/(L1193+M1193)</f>
        <v>0</v>
      </c>
      <c r="R1193" s="6" t="n">
        <v>1</v>
      </c>
      <c r="S1193" s="11" t="n">
        <v>0</v>
      </c>
      <c r="T1193" s="11" t="n">
        <v>0</v>
      </c>
      <c r="U1193" s="11" t="n">
        <v>0.8</v>
      </c>
      <c r="V1193" s="11" t="n">
        <v>0.85</v>
      </c>
    </row>
    <row r="1194" customFormat="false" ht="15" hidden="false" customHeight="false" outlineLevel="0" collapsed="false">
      <c r="A1194" s="6" t="s">
        <v>42</v>
      </c>
      <c r="B1194" s="6" t="s">
        <v>43</v>
      </c>
      <c r="C1194" s="6" t="s">
        <v>44</v>
      </c>
      <c r="D1194" s="6" t="s">
        <v>114</v>
      </c>
      <c r="E1194" s="6" t="n">
        <v>16</v>
      </c>
      <c r="F1194" s="6" t="n">
        <v>9</v>
      </c>
      <c r="G1194" s="6" t="s">
        <v>72</v>
      </c>
      <c r="H1194" s="11" t="n">
        <v>0.01</v>
      </c>
      <c r="I1194" s="6" t="n">
        <v>20</v>
      </c>
      <c r="J1194" s="6" t="n">
        <v>0</v>
      </c>
      <c r="K1194" s="6" t="n">
        <v>20</v>
      </c>
      <c r="L1194" s="6" t="n">
        <v>0</v>
      </c>
      <c r="M1194" s="6" t="n">
        <v>20</v>
      </c>
      <c r="N1194" s="11" t="n">
        <f aca="false">J1194/(J1194+K1194)</f>
        <v>0</v>
      </c>
      <c r="O1194" s="11" t="str">
        <f aca="false">IF(J1194+L1194=0,"",J1194/(J1194+L1194))</f>
        <v/>
      </c>
      <c r="P1194" s="11" t="n">
        <f aca="false">2*J1194/(2*J1194+L1194+K1194)</f>
        <v>0</v>
      </c>
      <c r="Q1194" s="11" t="n">
        <f aca="false">L1194/(L1194+M1194)</f>
        <v>0</v>
      </c>
      <c r="R1194" s="6" t="n">
        <v>0</v>
      </c>
      <c r="S1194" s="11"/>
      <c r="T1194" s="11" t="n">
        <v>0</v>
      </c>
      <c r="U1194" s="11" t="n">
        <v>0.9</v>
      </c>
      <c r="V1194" s="11" t="n">
        <v>0.9</v>
      </c>
    </row>
    <row r="1195" customFormat="false" ht="15" hidden="false" customHeight="false" outlineLevel="0" collapsed="false">
      <c r="A1195" s="6" t="s">
        <v>42</v>
      </c>
      <c r="B1195" s="6" t="s">
        <v>43</v>
      </c>
      <c r="C1195" s="6" t="s">
        <v>44</v>
      </c>
      <c r="D1195" s="6" t="s">
        <v>114</v>
      </c>
      <c r="E1195" s="6" t="n">
        <v>16</v>
      </c>
      <c r="F1195" s="6" t="n">
        <v>9</v>
      </c>
      <c r="G1195" s="6" t="s">
        <v>73</v>
      </c>
      <c r="H1195" s="11" t="n">
        <v>0.01</v>
      </c>
      <c r="I1195" s="6" t="n">
        <v>20</v>
      </c>
      <c r="J1195" s="6" t="n">
        <v>0</v>
      </c>
      <c r="K1195" s="6" t="n">
        <v>20</v>
      </c>
      <c r="L1195" s="6" t="n">
        <v>0</v>
      </c>
      <c r="M1195" s="6" t="n">
        <v>20</v>
      </c>
      <c r="N1195" s="11" t="n">
        <f aca="false">J1195/(J1195+K1195)</f>
        <v>0</v>
      </c>
      <c r="O1195" s="11" t="str">
        <f aca="false">IF(J1195+L1195=0,"",J1195/(J1195+L1195))</f>
        <v/>
      </c>
      <c r="P1195" s="11" t="n">
        <f aca="false">2*J1195/(2*J1195+L1195+K1195)</f>
        <v>0</v>
      </c>
      <c r="Q1195" s="11" t="n">
        <f aca="false">L1195/(L1195+M1195)</f>
        <v>0</v>
      </c>
      <c r="R1195" s="6" t="n">
        <v>3</v>
      </c>
      <c r="S1195" s="11" t="n">
        <v>0</v>
      </c>
      <c r="T1195" s="11" t="n">
        <v>0</v>
      </c>
      <c r="U1195" s="11" t="n">
        <v>0.65</v>
      </c>
      <c r="V1195" s="11" t="n">
        <v>0.6</v>
      </c>
    </row>
    <row r="1196" customFormat="false" ht="15" hidden="false" customHeight="false" outlineLevel="0" collapsed="false">
      <c r="A1196" s="6" t="s">
        <v>42</v>
      </c>
      <c r="B1196" s="6" t="s">
        <v>43</v>
      </c>
      <c r="C1196" s="6" t="s">
        <v>44</v>
      </c>
      <c r="D1196" s="6" t="s">
        <v>114</v>
      </c>
      <c r="E1196" s="6" t="n">
        <v>16</v>
      </c>
      <c r="F1196" s="6" t="n">
        <v>9</v>
      </c>
      <c r="G1196" s="6" t="s">
        <v>74</v>
      </c>
      <c r="H1196" s="11" t="n">
        <v>0.01</v>
      </c>
      <c r="I1196" s="6" t="n">
        <v>20</v>
      </c>
      <c r="J1196" s="6" t="n">
        <v>1</v>
      </c>
      <c r="K1196" s="6" t="n">
        <v>19</v>
      </c>
      <c r="L1196" s="6" t="n">
        <v>0</v>
      </c>
      <c r="M1196" s="6" t="n">
        <v>20</v>
      </c>
      <c r="N1196" s="11" t="n">
        <f aca="false">J1196/(J1196+K1196)</f>
        <v>0.05</v>
      </c>
      <c r="O1196" s="11" t="n">
        <f aca="false">IF(J1196+L1196=0,"",J1196/(J1196+L1196))</f>
        <v>1</v>
      </c>
      <c r="P1196" s="11" t="n">
        <f aca="false">2*J1196/(2*J1196+L1196+K1196)</f>
        <v>0.0952380952380952</v>
      </c>
      <c r="Q1196" s="11" t="n">
        <f aca="false">L1196/(L1196+M1196)</f>
        <v>0</v>
      </c>
      <c r="R1196" s="6" t="n">
        <v>3</v>
      </c>
      <c r="S1196" s="11" t="n">
        <v>0</v>
      </c>
      <c r="T1196" s="11" t="n">
        <v>0.0588235294117647</v>
      </c>
      <c r="U1196" s="11" t="n">
        <v>0.85</v>
      </c>
      <c r="V1196" s="11" t="n">
        <v>0.95</v>
      </c>
    </row>
    <row r="1197" customFormat="false" ht="15" hidden="false" customHeight="false" outlineLevel="0" collapsed="false">
      <c r="A1197" s="6" t="s">
        <v>42</v>
      </c>
      <c r="B1197" s="6" t="s">
        <v>43</v>
      </c>
      <c r="C1197" s="6" t="s">
        <v>44</v>
      </c>
      <c r="D1197" s="6" t="s">
        <v>114</v>
      </c>
      <c r="E1197" s="6" t="n">
        <v>16</v>
      </c>
      <c r="F1197" s="6" t="n">
        <v>9</v>
      </c>
      <c r="G1197" s="6" t="s">
        <v>75</v>
      </c>
      <c r="H1197" s="11" t="n">
        <v>0.01</v>
      </c>
      <c r="I1197" s="6" t="n">
        <v>20</v>
      </c>
      <c r="J1197" s="6" t="n">
        <v>0</v>
      </c>
      <c r="K1197" s="6" t="n">
        <v>20</v>
      </c>
      <c r="L1197" s="6" t="n">
        <v>0</v>
      </c>
      <c r="M1197" s="6" t="n">
        <v>20</v>
      </c>
      <c r="N1197" s="11" t="n">
        <f aca="false">J1197/(J1197+K1197)</f>
        <v>0</v>
      </c>
      <c r="O1197" s="11" t="str">
        <f aca="false">IF(J1197+L1197=0,"",J1197/(J1197+L1197))</f>
        <v/>
      </c>
      <c r="P1197" s="11" t="n">
        <f aca="false">2*J1197/(2*J1197+L1197+K1197)</f>
        <v>0</v>
      </c>
      <c r="Q1197" s="11" t="n">
        <f aca="false">L1197/(L1197+M1197)</f>
        <v>0</v>
      </c>
      <c r="R1197" s="6" t="n">
        <v>2</v>
      </c>
      <c r="S1197" s="11" t="n">
        <v>0</v>
      </c>
      <c r="T1197" s="11" t="n">
        <v>0</v>
      </c>
      <c r="U1197" s="11" t="n">
        <v>0.9</v>
      </c>
      <c r="V1197" s="11" t="n">
        <v>0.95</v>
      </c>
    </row>
    <row r="1198" customFormat="false" ht="15" hidden="false" customHeight="false" outlineLevel="0" collapsed="false">
      <c r="A1198" s="6" t="s">
        <v>42</v>
      </c>
      <c r="B1198" s="6" t="s">
        <v>43</v>
      </c>
      <c r="C1198" s="6" t="s">
        <v>44</v>
      </c>
      <c r="D1198" s="6" t="s">
        <v>114</v>
      </c>
      <c r="E1198" s="6" t="n">
        <v>16</v>
      </c>
      <c r="F1198" s="6" t="n">
        <v>9</v>
      </c>
      <c r="G1198" s="6" t="s">
        <v>76</v>
      </c>
      <c r="H1198" s="11" t="n">
        <v>0.01</v>
      </c>
      <c r="I1198" s="6" t="n">
        <v>20</v>
      </c>
      <c r="J1198" s="6" t="n">
        <v>0</v>
      </c>
      <c r="K1198" s="6" t="n">
        <v>20</v>
      </c>
      <c r="L1198" s="6" t="n">
        <v>0</v>
      </c>
      <c r="M1198" s="6" t="n">
        <v>20</v>
      </c>
      <c r="N1198" s="11" t="n">
        <f aca="false">J1198/(J1198+K1198)</f>
        <v>0</v>
      </c>
      <c r="O1198" s="11" t="str">
        <f aca="false">IF(J1198+L1198=0,"",J1198/(J1198+L1198))</f>
        <v/>
      </c>
      <c r="P1198" s="11" t="n">
        <f aca="false">2*J1198/(2*J1198+L1198+K1198)</f>
        <v>0</v>
      </c>
      <c r="Q1198" s="11" t="n">
        <f aca="false">L1198/(L1198+M1198)</f>
        <v>0</v>
      </c>
      <c r="R1198" s="6" t="n">
        <v>0</v>
      </c>
      <c r="S1198" s="11"/>
      <c r="T1198" s="11" t="n">
        <v>0</v>
      </c>
      <c r="U1198" s="11" t="n">
        <v>0.95</v>
      </c>
      <c r="V1198" s="11" t="n">
        <v>0.95</v>
      </c>
    </row>
    <row r="1199" customFormat="false" ht="15" hidden="false" customHeight="false" outlineLevel="0" collapsed="false">
      <c r="A1199" s="6" t="s">
        <v>42</v>
      </c>
      <c r="B1199" s="6" t="s">
        <v>43</v>
      </c>
      <c r="C1199" s="6" t="s">
        <v>44</v>
      </c>
      <c r="D1199" s="6" t="s">
        <v>114</v>
      </c>
      <c r="E1199" s="6" t="n">
        <v>16</v>
      </c>
      <c r="F1199" s="6" t="n">
        <v>9</v>
      </c>
      <c r="G1199" s="6" t="s">
        <v>77</v>
      </c>
      <c r="H1199" s="11" t="n">
        <v>0.01</v>
      </c>
      <c r="I1199" s="6" t="n">
        <v>20</v>
      </c>
      <c r="J1199" s="6" t="n">
        <v>1</v>
      </c>
      <c r="K1199" s="6" t="n">
        <v>19</v>
      </c>
      <c r="L1199" s="6" t="n">
        <v>1</v>
      </c>
      <c r="M1199" s="6" t="n">
        <v>19</v>
      </c>
      <c r="N1199" s="11" t="n">
        <f aca="false">J1199/(J1199+K1199)</f>
        <v>0.05</v>
      </c>
      <c r="O1199" s="11" t="n">
        <f aca="false">IF(J1199+L1199=0,"",J1199/(J1199+L1199))</f>
        <v>0.5</v>
      </c>
      <c r="P1199" s="11" t="n">
        <f aca="false">2*J1199/(2*J1199+L1199+K1199)</f>
        <v>0.0909090909090909</v>
      </c>
      <c r="Q1199" s="11" t="n">
        <f aca="false">L1199/(L1199+M1199)</f>
        <v>0.05</v>
      </c>
      <c r="R1199" s="6" t="n">
        <v>0</v>
      </c>
      <c r="S1199" s="11"/>
      <c r="T1199" s="11" t="n">
        <v>0.05</v>
      </c>
      <c r="U1199" s="11" t="n">
        <v>1</v>
      </c>
      <c r="V1199" s="11" t="n">
        <v>1</v>
      </c>
    </row>
    <row r="1200" customFormat="false" ht="15" hidden="false" customHeight="false" outlineLevel="0" collapsed="false">
      <c r="A1200" s="6" t="s">
        <v>42</v>
      </c>
      <c r="B1200" s="6" t="s">
        <v>43</v>
      </c>
      <c r="C1200" s="6" t="s">
        <v>44</v>
      </c>
      <c r="D1200" s="6" t="s">
        <v>114</v>
      </c>
      <c r="E1200" s="6" t="n">
        <v>16</v>
      </c>
      <c r="F1200" s="6" t="n">
        <v>9</v>
      </c>
      <c r="G1200" s="6" t="s">
        <v>78</v>
      </c>
      <c r="H1200" s="11" t="n">
        <v>0.01</v>
      </c>
      <c r="I1200" s="6" t="n">
        <v>200</v>
      </c>
      <c r="J1200" s="6" t="n">
        <v>2</v>
      </c>
      <c r="K1200" s="6" t="n">
        <v>198</v>
      </c>
      <c r="L1200" s="6" t="n">
        <v>1</v>
      </c>
      <c r="M1200" s="6" t="n">
        <v>199</v>
      </c>
      <c r="N1200" s="11" t="n">
        <f aca="false">J1200/(J1200+K1200)</f>
        <v>0.01</v>
      </c>
      <c r="O1200" s="11" t="n">
        <f aca="false">IF(J1200+L1200=0,"",J1200/(J1200+L1200))</f>
        <v>0.666666666666667</v>
      </c>
      <c r="P1200" s="11" t="n">
        <f aca="false">2*J1200/(2*J1200+L1200+K1200)</f>
        <v>0.0197044334975369</v>
      </c>
      <c r="Q1200" s="11" t="n">
        <f aca="false">L1200/(L1200+M1200)</f>
        <v>0.005</v>
      </c>
      <c r="R1200" s="6" t="n">
        <v>11</v>
      </c>
      <c r="S1200" s="11" t="n">
        <v>0</v>
      </c>
      <c r="T1200" s="11" t="n">
        <v>0.0105820105820106</v>
      </c>
      <c r="U1200" s="11" t="n">
        <v>0.88</v>
      </c>
      <c r="V1200" s="11" t="n">
        <v>0.905</v>
      </c>
    </row>
    <row r="1201" customFormat="false" ht="15" hidden="false" customHeight="false" outlineLevel="0" collapsed="false">
      <c r="A1201" s="6" t="s">
        <v>42</v>
      </c>
      <c r="B1201" s="6" t="s">
        <v>43</v>
      </c>
      <c r="C1201" s="6" t="s">
        <v>44</v>
      </c>
      <c r="D1201" s="6" t="s">
        <v>114</v>
      </c>
      <c r="E1201" s="6" t="n">
        <v>16</v>
      </c>
      <c r="F1201" s="6" t="n">
        <v>10</v>
      </c>
      <c r="G1201" s="6" t="s">
        <v>68</v>
      </c>
      <c r="H1201" s="11" t="n">
        <v>0.01</v>
      </c>
      <c r="I1201" s="6" t="n">
        <v>20</v>
      </c>
      <c r="J1201" s="6" t="n">
        <v>0</v>
      </c>
      <c r="K1201" s="6" t="n">
        <v>20</v>
      </c>
      <c r="L1201" s="6" t="n">
        <v>0</v>
      </c>
      <c r="M1201" s="6" t="n">
        <v>20</v>
      </c>
      <c r="N1201" s="11" t="n">
        <f aca="false">J1201/(J1201+K1201)</f>
        <v>0</v>
      </c>
      <c r="O1201" s="11" t="str">
        <f aca="false">IF(J1201+L1201=0,"",J1201/(J1201+L1201))</f>
        <v/>
      </c>
      <c r="P1201" s="11" t="n">
        <f aca="false">2*J1201/(2*J1201+L1201+K1201)</f>
        <v>0</v>
      </c>
      <c r="Q1201" s="11" t="n">
        <f aca="false">L1201/(L1201+M1201)</f>
        <v>0</v>
      </c>
      <c r="R1201" s="6" t="n">
        <v>0</v>
      </c>
      <c r="S1201" s="11"/>
      <c r="T1201" s="11" t="n">
        <v>0</v>
      </c>
      <c r="U1201" s="11" t="n">
        <v>0.85</v>
      </c>
      <c r="V1201" s="11" t="n">
        <v>0.85</v>
      </c>
    </row>
    <row r="1202" customFormat="false" ht="15" hidden="false" customHeight="false" outlineLevel="0" collapsed="false">
      <c r="A1202" s="6" t="s">
        <v>42</v>
      </c>
      <c r="B1202" s="6" t="s">
        <v>43</v>
      </c>
      <c r="C1202" s="6" t="s">
        <v>44</v>
      </c>
      <c r="D1202" s="6" t="s">
        <v>114</v>
      </c>
      <c r="E1202" s="6" t="n">
        <v>16</v>
      </c>
      <c r="F1202" s="6" t="n">
        <v>10</v>
      </c>
      <c r="G1202" s="6" t="s">
        <v>69</v>
      </c>
      <c r="H1202" s="11" t="n">
        <v>0.01</v>
      </c>
      <c r="I1202" s="6" t="n">
        <v>20</v>
      </c>
      <c r="J1202" s="6" t="n">
        <v>0</v>
      </c>
      <c r="K1202" s="6" t="n">
        <v>20</v>
      </c>
      <c r="L1202" s="6" t="n">
        <v>0</v>
      </c>
      <c r="M1202" s="6" t="n">
        <v>20</v>
      </c>
      <c r="N1202" s="11" t="n">
        <f aca="false">J1202/(J1202+K1202)</f>
        <v>0</v>
      </c>
      <c r="O1202" s="11" t="str">
        <f aca="false">IF(J1202+L1202=0,"",J1202/(J1202+L1202))</f>
        <v/>
      </c>
      <c r="P1202" s="11" t="n">
        <f aca="false">2*J1202/(2*J1202+L1202+K1202)</f>
        <v>0</v>
      </c>
      <c r="Q1202" s="11" t="n">
        <f aca="false">L1202/(L1202+M1202)</f>
        <v>0</v>
      </c>
      <c r="R1202" s="6" t="n">
        <v>0</v>
      </c>
      <c r="S1202" s="11"/>
      <c r="T1202" s="11" t="n">
        <v>0</v>
      </c>
      <c r="U1202" s="11" t="n">
        <v>1</v>
      </c>
      <c r="V1202" s="11" t="n">
        <v>1</v>
      </c>
    </row>
    <row r="1203" customFormat="false" ht="15" hidden="false" customHeight="false" outlineLevel="0" collapsed="false">
      <c r="A1203" s="6" t="s">
        <v>42</v>
      </c>
      <c r="B1203" s="6" t="s">
        <v>43</v>
      </c>
      <c r="C1203" s="6" t="s">
        <v>44</v>
      </c>
      <c r="D1203" s="6" t="s">
        <v>114</v>
      </c>
      <c r="E1203" s="6" t="n">
        <v>16</v>
      </c>
      <c r="F1203" s="6" t="n">
        <v>10</v>
      </c>
      <c r="G1203" s="6" t="s">
        <v>70</v>
      </c>
      <c r="H1203" s="11" t="n">
        <v>0.01</v>
      </c>
      <c r="I1203" s="6" t="n">
        <v>20</v>
      </c>
      <c r="J1203" s="6" t="n">
        <v>0</v>
      </c>
      <c r="K1203" s="6" t="n">
        <v>20</v>
      </c>
      <c r="L1203" s="6" t="n">
        <v>0</v>
      </c>
      <c r="M1203" s="6" t="n">
        <v>20</v>
      </c>
      <c r="N1203" s="11" t="n">
        <f aca="false">J1203/(J1203+K1203)</f>
        <v>0</v>
      </c>
      <c r="O1203" s="11" t="str">
        <f aca="false">IF(J1203+L1203=0,"",J1203/(J1203+L1203))</f>
        <v/>
      </c>
      <c r="P1203" s="11" t="n">
        <f aca="false">2*J1203/(2*J1203+L1203+K1203)</f>
        <v>0</v>
      </c>
      <c r="Q1203" s="11" t="n">
        <f aca="false">L1203/(L1203+M1203)</f>
        <v>0</v>
      </c>
      <c r="R1203" s="6" t="n">
        <v>0</v>
      </c>
      <c r="S1203" s="11"/>
      <c r="T1203" s="11" t="n">
        <v>0</v>
      </c>
      <c r="U1203" s="11" t="n">
        <v>0.9</v>
      </c>
      <c r="V1203" s="11" t="n">
        <v>0.9</v>
      </c>
    </row>
    <row r="1204" customFormat="false" ht="15" hidden="false" customHeight="false" outlineLevel="0" collapsed="false">
      <c r="A1204" s="6" t="s">
        <v>42</v>
      </c>
      <c r="B1204" s="6" t="s">
        <v>43</v>
      </c>
      <c r="C1204" s="6" t="s">
        <v>44</v>
      </c>
      <c r="D1204" s="6" t="s">
        <v>114</v>
      </c>
      <c r="E1204" s="6" t="n">
        <v>16</v>
      </c>
      <c r="F1204" s="6" t="n">
        <v>10</v>
      </c>
      <c r="G1204" s="6" t="s">
        <v>71</v>
      </c>
      <c r="H1204" s="11" t="n">
        <v>0.01</v>
      </c>
      <c r="I1204" s="6" t="n">
        <v>20</v>
      </c>
      <c r="J1204" s="6" t="n">
        <v>0</v>
      </c>
      <c r="K1204" s="6" t="n">
        <v>20</v>
      </c>
      <c r="L1204" s="6" t="n">
        <v>0</v>
      </c>
      <c r="M1204" s="6" t="n">
        <v>20</v>
      </c>
      <c r="N1204" s="11" t="n">
        <f aca="false">J1204/(J1204+K1204)</f>
        <v>0</v>
      </c>
      <c r="O1204" s="11" t="str">
        <f aca="false">IF(J1204+L1204=0,"",J1204/(J1204+L1204))</f>
        <v/>
      </c>
      <c r="P1204" s="11" t="n">
        <f aca="false">2*J1204/(2*J1204+L1204+K1204)</f>
        <v>0</v>
      </c>
      <c r="Q1204" s="11" t="n">
        <f aca="false">L1204/(L1204+M1204)</f>
        <v>0</v>
      </c>
      <c r="R1204" s="6" t="n">
        <v>0</v>
      </c>
      <c r="S1204" s="11"/>
      <c r="T1204" s="11" t="n">
        <v>0</v>
      </c>
      <c r="U1204" s="11" t="n">
        <v>0.8</v>
      </c>
      <c r="V1204" s="11" t="n">
        <v>0.8</v>
      </c>
    </row>
    <row r="1205" customFormat="false" ht="15" hidden="false" customHeight="false" outlineLevel="0" collapsed="false">
      <c r="A1205" s="6" t="s">
        <v>42</v>
      </c>
      <c r="B1205" s="6" t="s">
        <v>43</v>
      </c>
      <c r="C1205" s="6" t="s">
        <v>44</v>
      </c>
      <c r="D1205" s="6" t="s">
        <v>114</v>
      </c>
      <c r="E1205" s="6" t="n">
        <v>16</v>
      </c>
      <c r="F1205" s="6" t="n">
        <v>10</v>
      </c>
      <c r="G1205" s="6" t="s">
        <v>72</v>
      </c>
      <c r="H1205" s="11" t="n">
        <v>0.01</v>
      </c>
      <c r="I1205" s="6" t="n">
        <v>20</v>
      </c>
      <c r="J1205" s="6" t="n">
        <v>0</v>
      </c>
      <c r="K1205" s="6" t="n">
        <v>20</v>
      </c>
      <c r="L1205" s="6" t="n">
        <v>0</v>
      </c>
      <c r="M1205" s="6" t="n">
        <v>20</v>
      </c>
      <c r="N1205" s="11" t="n">
        <f aca="false">J1205/(J1205+K1205)</f>
        <v>0</v>
      </c>
      <c r="O1205" s="11" t="str">
        <f aca="false">IF(J1205+L1205=0,"",J1205/(J1205+L1205))</f>
        <v/>
      </c>
      <c r="P1205" s="11" t="n">
        <f aca="false">2*J1205/(2*J1205+L1205+K1205)</f>
        <v>0</v>
      </c>
      <c r="Q1205" s="11" t="n">
        <f aca="false">L1205/(L1205+M1205)</f>
        <v>0</v>
      </c>
      <c r="R1205" s="6" t="n">
        <v>0</v>
      </c>
      <c r="S1205" s="11"/>
      <c r="T1205" s="11" t="n">
        <v>0</v>
      </c>
      <c r="U1205" s="11" t="n">
        <v>0.9</v>
      </c>
      <c r="V1205" s="11" t="n">
        <v>0.9</v>
      </c>
    </row>
    <row r="1206" customFormat="false" ht="15" hidden="false" customHeight="false" outlineLevel="0" collapsed="false">
      <c r="A1206" s="6" t="s">
        <v>42</v>
      </c>
      <c r="B1206" s="6" t="s">
        <v>43</v>
      </c>
      <c r="C1206" s="6" t="s">
        <v>44</v>
      </c>
      <c r="D1206" s="6" t="s">
        <v>114</v>
      </c>
      <c r="E1206" s="6" t="n">
        <v>16</v>
      </c>
      <c r="F1206" s="6" t="n">
        <v>10</v>
      </c>
      <c r="G1206" s="6" t="s">
        <v>73</v>
      </c>
      <c r="H1206" s="11" t="n">
        <v>0.01</v>
      </c>
      <c r="I1206" s="6" t="n">
        <v>20</v>
      </c>
      <c r="J1206" s="6" t="n">
        <v>0</v>
      </c>
      <c r="K1206" s="6" t="n">
        <v>20</v>
      </c>
      <c r="L1206" s="6" t="n">
        <v>0</v>
      </c>
      <c r="M1206" s="6" t="n">
        <v>20</v>
      </c>
      <c r="N1206" s="11" t="n">
        <f aca="false">J1206/(J1206+K1206)</f>
        <v>0</v>
      </c>
      <c r="O1206" s="11" t="str">
        <f aca="false">IF(J1206+L1206=0,"",J1206/(J1206+L1206))</f>
        <v/>
      </c>
      <c r="P1206" s="11" t="n">
        <f aca="false">2*J1206/(2*J1206+L1206+K1206)</f>
        <v>0</v>
      </c>
      <c r="Q1206" s="11" t="n">
        <f aca="false">L1206/(L1206+M1206)</f>
        <v>0</v>
      </c>
      <c r="R1206" s="6" t="n">
        <v>1</v>
      </c>
      <c r="S1206" s="11" t="n">
        <v>0</v>
      </c>
      <c r="T1206" s="11" t="n">
        <v>0</v>
      </c>
      <c r="U1206" s="11" t="n">
        <v>0.65</v>
      </c>
      <c r="V1206" s="11" t="n">
        <v>0.65</v>
      </c>
    </row>
    <row r="1207" customFormat="false" ht="15" hidden="false" customHeight="false" outlineLevel="0" collapsed="false">
      <c r="A1207" s="6" t="s">
        <v>42</v>
      </c>
      <c r="B1207" s="6" t="s">
        <v>43</v>
      </c>
      <c r="C1207" s="6" t="s">
        <v>44</v>
      </c>
      <c r="D1207" s="6" t="s">
        <v>114</v>
      </c>
      <c r="E1207" s="6" t="n">
        <v>16</v>
      </c>
      <c r="F1207" s="6" t="n">
        <v>10</v>
      </c>
      <c r="G1207" s="6" t="s">
        <v>74</v>
      </c>
      <c r="H1207" s="11" t="n">
        <v>0.01</v>
      </c>
      <c r="I1207" s="6" t="n">
        <v>20</v>
      </c>
      <c r="J1207" s="6" t="n">
        <v>0</v>
      </c>
      <c r="K1207" s="6" t="n">
        <v>20</v>
      </c>
      <c r="L1207" s="6" t="n">
        <v>0</v>
      </c>
      <c r="M1207" s="6" t="n">
        <v>20</v>
      </c>
      <c r="N1207" s="11" t="n">
        <f aca="false">J1207/(J1207+K1207)</f>
        <v>0</v>
      </c>
      <c r="O1207" s="11" t="str">
        <f aca="false">IF(J1207+L1207=0,"",J1207/(J1207+L1207))</f>
        <v/>
      </c>
      <c r="P1207" s="11" t="n">
        <f aca="false">2*J1207/(2*J1207+L1207+K1207)</f>
        <v>0</v>
      </c>
      <c r="Q1207" s="11" t="n">
        <f aca="false">L1207/(L1207+M1207)</f>
        <v>0</v>
      </c>
      <c r="R1207" s="6" t="n">
        <v>1</v>
      </c>
      <c r="S1207" s="11" t="n">
        <v>0</v>
      </c>
      <c r="T1207" s="11" t="n">
        <v>0</v>
      </c>
      <c r="U1207" s="11" t="n">
        <v>0.85</v>
      </c>
      <c r="V1207" s="11" t="n">
        <v>0.9</v>
      </c>
    </row>
    <row r="1208" customFormat="false" ht="15" hidden="false" customHeight="false" outlineLevel="0" collapsed="false">
      <c r="A1208" s="6" t="s">
        <v>42</v>
      </c>
      <c r="B1208" s="6" t="s">
        <v>43</v>
      </c>
      <c r="C1208" s="6" t="s">
        <v>44</v>
      </c>
      <c r="D1208" s="6" t="s">
        <v>114</v>
      </c>
      <c r="E1208" s="6" t="n">
        <v>16</v>
      </c>
      <c r="F1208" s="6" t="n">
        <v>10</v>
      </c>
      <c r="G1208" s="6" t="s">
        <v>75</v>
      </c>
      <c r="H1208" s="11" t="n">
        <v>0.01</v>
      </c>
      <c r="I1208" s="6" t="n">
        <v>20</v>
      </c>
      <c r="J1208" s="6" t="n">
        <v>0</v>
      </c>
      <c r="K1208" s="6" t="n">
        <v>20</v>
      </c>
      <c r="L1208" s="6" t="n">
        <v>0</v>
      </c>
      <c r="M1208" s="6" t="n">
        <v>20</v>
      </c>
      <c r="N1208" s="11" t="n">
        <f aca="false">J1208/(J1208+K1208)</f>
        <v>0</v>
      </c>
      <c r="O1208" s="11" t="str">
        <f aca="false">IF(J1208+L1208=0,"",J1208/(J1208+L1208))</f>
        <v/>
      </c>
      <c r="P1208" s="11" t="n">
        <f aca="false">2*J1208/(2*J1208+L1208+K1208)</f>
        <v>0</v>
      </c>
      <c r="Q1208" s="11" t="n">
        <f aca="false">L1208/(L1208+M1208)</f>
        <v>0</v>
      </c>
      <c r="R1208" s="6" t="n">
        <v>0</v>
      </c>
      <c r="S1208" s="11"/>
      <c r="T1208" s="11" t="n">
        <v>0</v>
      </c>
      <c r="U1208" s="11" t="n">
        <v>0.9</v>
      </c>
      <c r="V1208" s="11" t="n">
        <v>0.9</v>
      </c>
    </row>
    <row r="1209" customFormat="false" ht="15" hidden="false" customHeight="false" outlineLevel="0" collapsed="false">
      <c r="A1209" s="6" t="s">
        <v>42</v>
      </c>
      <c r="B1209" s="6" t="s">
        <v>43</v>
      </c>
      <c r="C1209" s="6" t="s">
        <v>44</v>
      </c>
      <c r="D1209" s="6" t="s">
        <v>114</v>
      </c>
      <c r="E1209" s="6" t="n">
        <v>16</v>
      </c>
      <c r="F1209" s="6" t="n">
        <v>10</v>
      </c>
      <c r="G1209" s="6" t="s">
        <v>76</v>
      </c>
      <c r="H1209" s="11" t="n">
        <v>0.01</v>
      </c>
      <c r="I1209" s="6" t="n">
        <v>20</v>
      </c>
      <c r="J1209" s="6" t="n">
        <v>0</v>
      </c>
      <c r="K1209" s="6" t="n">
        <v>20</v>
      </c>
      <c r="L1209" s="6" t="n">
        <v>0</v>
      </c>
      <c r="M1209" s="6" t="n">
        <v>20</v>
      </c>
      <c r="N1209" s="11" t="n">
        <f aca="false">J1209/(J1209+K1209)</f>
        <v>0</v>
      </c>
      <c r="O1209" s="11" t="str">
        <f aca="false">IF(J1209+L1209=0,"",J1209/(J1209+L1209))</f>
        <v/>
      </c>
      <c r="P1209" s="11" t="n">
        <f aca="false">2*J1209/(2*J1209+L1209+K1209)</f>
        <v>0</v>
      </c>
      <c r="Q1209" s="11" t="n">
        <f aca="false">L1209/(L1209+M1209)</f>
        <v>0</v>
      </c>
      <c r="R1209" s="6" t="n">
        <v>0</v>
      </c>
      <c r="S1209" s="11"/>
      <c r="T1209" s="11" t="n">
        <v>0</v>
      </c>
      <c r="U1209" s="11" t="n">
        <v>0.95</v>
      </c>
      <c r="V1209" s="11" t="n">
        <v>0.95</v>
      </c>
    </row>
    <row r="1210" customFormat="false" ht="15" hidden="false" customHeight="false" outlineLevel="0" collapsed="false">
      <c r="A1210" s="6" t="s">
        <v>42</v>
      </c>
      <c r="B1210" s="6" t="s">
        <v>43</v>
      </c>
      <c r="C1210" s="6" t="s">
        <v>44</v>
      </c>
      <c r="D1210" s="6" t="s">
        <v>114</v>
      </c>
      <c r="E1210" s="6" t="n">
        <v>16</v>
      </c>
      <c r="F1210" s="6" t="n">
        <v>10</v>
      </c>
      <c r="G1210" s="6" t="s">
        <v>77</v>
      </c>
      <c r="H1210" s="11" t="n">
        <v>0.01</v>
      </c>
      <c r="I1210" s="6" t="n">
        <v>20</v>
      </c>
      <c r="J1210" s="6" t="n">
        <v>1</v>
      </c>
      <c r="K1210" s="6" t="n">
        <v>19</v>
      </c>
      <c r="L1210" s="6" t="n">
        <v>1</v>
      </c>
      <c r="M1210" s="6" t="n">
        <v>19</v>
      </c>
      <c r="N1210" s="11" t="n">
        <f aca="false">J1210/(J1210+K1210)</f>
        <v>0.05</v>
      </c>
      <c r="O1210" s="11" t="n">
        <f aca="false">IF(J1210+L1210=0,"",J1210/(J1210+L1210))</f>
        <v>0.5</v>
      </c>
      <c r="P1210" s="11" t="n">
        <f aca="false">2*J1210/(2*J1210+L1210+K1210)</f>
        <v>0.0909090909090909</v>
      </c>
      <c r="Q1210" s="11" t="n">
        <f aca="false">L1210/(L1210+M1210)</f>
        <v>0.05</v>
      </c>
      <c r="R1210" s="6" t="n">
        <v>0</v>
      </c>
      <c r="S1210" s="11"/>
      <c r="T1210" s="11" t="n">
        <v>0.05</v>
      </c>
      <c r="U1210" s="11" t="n">
        <v>1</v>
      </c>
      <c r="V1210" s="11" t="n">
        <v>1</v>
      </c>
    </row>
    <row r="1211" customFormat="false" ht="15" hidden="false" customHeight="false" outlineLevel="0" collapsed="false">
      <c r="A1211" s="6" t="s">
        <v>42</v>
      </c>
      <c r="B1211" s="6" t="s">
        <v>43</v>
      </c>
      <c r="C1211" s="6" t="s">
        <v>44</v>
      </c>
      <c r="D1211" s="6" t="s">
        <v>114</v>
      </c>
      <c r="E1211" s="6" t="n">
        <v>16</v>
      </c>
      <c r="F1211" s="6" t="n">
        <v>10</v>
      </c>
      <c r="G1211" s="6" t="s">
        <v>78</v>
      </c>
      <c r="H1211" s="11" t="n">
        <v>0.01</v>
      </c>
      <c r="I1211" s="6" t="n">
        <v>200</v>
      </c>
      <c r="J1211" s="6" t="n">
        <v>1</v>
      </c>
      <c r="K1211" s="6" t="n">
        <v>199</v>
      </c>
      <c r="L1211" s="6" t="n">
        <v>1</v>
      </c>
      <c r="M1211" s="6" t="n">
        <v>199</v>
      </c>
      <c r="N1211" s="11" t="n">
        <f aca="false">J1211/(J1211+K1211)</f>
        <v>0.005</v>
      </c>
      <c r="O1211" s="11" t="n">
        <f aca="false">IF(J1211+L1211=0,"",J1211/(J1211+L1211))</f>
        <v>0.5</v>
      </c>
      <c r="P1211" s="11" t="n">
        <f aca="false">2*J1211/(2*J1211+L1211+K1211)</f>
        <v>0.0099009900990099</v>
      </c>
      <c r="Q1211" s="11" t="n">
        <f aca="false">L1211/(L1211+M1211)</f>
        <v>0.005</v>
      </c>
      <c r="R1211" s="6" t="n">
        <v>2</v>
      </c>
      <c r="S1211" s="11" t="n">
        <v>0</v>
      </c>
      <c r="T1211" s="11" t="n">
        <v>0.00505050505050505</v>
      </c>
      <c r="U1211" s="11" t="n">
        <v>0.88</v>
      </c>
      <c r="V1211" s="11" t="n">
        <v>0.885</v>
      </c>
    </row>
    <row r="1212" customFormat="false" ht="15" hidden="false" customHeight="false" outlineLevel="0" collapsed="false">
      <c r="A1212" s="6" t="s">
        <v>46</v>
      </c>
      <c r="B1212" s="6" t="s">
        <v>43</v>
      </c>
      <c r="C1212" s="6" t="s">
        <v>44</v>
      </c>
      <c r="D1212" s="6" t="s">
        <v>115</v>
      </c>
      <c r="E1212" s="6" t="n">
        <v>1</v>
      </c>
      <c r="F1212" s="6" t="n">
        <v>1</v>
      </c>
      <c r="G1212" s="6" t="s">
        <v>68</v>
      </c>
      <c r="H1212" s="11" t="n">
        <v>0.01</v>
      </c>
      <c r="I1212" s="6" t="n">
        <v>20</v>
      </c>
      <c r="J1212" s="6" t="n">
        <v>0</v>
      </c>
      <c r="K1212" s="6" t="n">
        <v>20</v>
      </c>
      <c r="L1212" s="6" t="n">
        <v>0</v>
      </c>
      <c r="M1212" s="6" t="n">
        <v>20</v>
      </c>
      <c r="N1212" s="11" t="n">
        <f aca="false">J1212/(J1212+K1212)</f>
        <v>0</v>
      </c>
      <c r="O1212" s="11" t="str">
        <f aca="false">IF(J1212+L1212=0,"",J1212/(J1212+L1212))</f>
        <v/>
      </c>
      <c r="P1212" s="11" t="n">
        <f aca="false">2*J1212/(2*J1212+L1212+K1212)</f>
        <v>0</v>
      </c>
      <c r="Q1212" s="11" t="n">
        <f aca="false">L1212/(L1212+M1212)</f>
        <v>0</v>
      </c>
      <c r="R1212" s="6" t="n">
        <v>0</v>
      </c>
      <c r="S1212" s="11"/>
      <c r="T1212" s="11" t="n">
        <v>0</v>
      </c>
      <c r="U1212" s="11" t="n">
        <v>0.85</v>
      </c>
      <c r="V1212" s="11" t="n">
        <v>0.85</v>
      </c>
    </row>
    <row r="1213" customFormat="false" ht="15" hidden="false" customHeight="false" outlineLevel="0" collapsed="false">
      <c r="A1213" s="6" t="s">
        <v>46</v>
      </c>
      <c r="B1213" s="6" t="s">
        <v>43</v>
      </c>
      <c r="C1213" s="6" t="s">
        <v>44</v>
      </c>
      <c r="D1213" s="6" t="s">
        <v>115</v>
      </c>
      <c r="E1213" s="6" t="n">
        <v>1</v>
      </c>
      <c r="F1213" s="6" t="n">
        <v>1</v>
      </c>
      <c r="G1213" s="6" t="s">
        <v>69</v>
      </c>
      <c r="H1213" s="11" t="n">
        <v>0.01</v>
      </c>
      <c r="I1213" s="6" t="n">
        <v>20</v>
      </c>
      <c r="J1213" s="6" t="n">
        <v>0</v>
      </c>
      <c r="K1213" s="6" t="n">
        <v>20</v>
      </c>
      <c r="L1213" s="6" t="n">
        <v>0</v>
      </c>
      <c r="M1213" s="6" t="n">
        <v>20</v>
      </c>
      <c r="N1213" s="11" t="n">
        <f aca="false">J1213/(J1213+K1213)</f>
        <v>0</v>
      </c>
      <c r="O1213" s="11" t="str">
        <f aca="false">IF(J1213+L1213=0,"",J1213/(J1213+L1213))</f>
        <v/>
      </c>
      <c r="P1213" s="11" t="n">
        <f aca="false">2*J1213/(2*J1213+L1213+K1213)</f>
        <v>0</v>
      </c>
      <c r="Q1213" s="11" t="n">
        <f aca="false">L1213/(L1213+M1213)</f>
        <v>0</v>
      </c>
      <c r="R1213" s="6" t="n">
        <v>0</v>
      </c>
      <c r="S1213" s="11"/>
      <c r="T1213" s="11" t="n">
        <v>0</v>
      </c>
      <c r="U1213" s="11" t="n">
        <v>1</v>
      </c>
      <c r="V1213" s="11" t="n">
        <v>1</v>
      </c>
    </row>
    <row r="1214" customFormat="false" ht="15" hidden="false" customHeight="false" outlineLevel="0" collapsed="false">
      <c r="A1214" s="6" t="s">
        <v>46</v>
      </c>
      <c r="B1214" s="6" t="s">
        <v>43</v>
      </c>
      <c r="C1214" s="6" t="s">
        <v>44</v>
      </c>
      <c r="D1214" s="6" t="s">
        <v>115</v>
      </c>
      <c r="E1214" s="6" t="n">
        <v>1</v>
      </c>
      <c r="F1214" s="6" t="n">
        <v>1</v>
      </c>
      <c r="G1214" s="6" t="s">
        <v>70</v>
      </c>
      <c r="H1214" s="11" t="n">
        <v>0.01</v>
      </c>
      <c r="I1214" s="6" t="n">
        <v>20</v>
      </c>
      <c r="J1214" s="6" t="n">
        <v>0</v>
      </c>
      <c r="K1214" s="6" t="n">
        <v>20</v>
      </c>
      <c r="L1214" s="6" t="n">
        <v>0</v>
      </c>
      <c r="M1214" s="6" t="n">
        <v>20</v>
      </c>
      <c r="N1214" s="11" t="n">
        <f aca="false">J1214/(J1214+K1214)</f>
        <v>0</v>
      </c>
      <c r="O1214" s="11" t="str">
        <f aca="false">IF(J1214+L1214=0,"",J1214/(J1214+L1214))</f>
        <v/>
      </c>
      <c r="P1214" s="11" t="n">
        <f aca="false">2*J1214/(2*J1214+L1214+K1214)</f>
        <v>0</v>
      </c>
      <c r="Q1214" s="11" t="n">
        <f aca="false">L1214/(L1214+M1214)</f>
        <v>0</v>
      </c>
      <c r="R1214" s="6" t="n">
        <v>0</v>
      </c>
      <c r="S1214" s="11"/>
      <c r="T1214" s="11" t="n">
        <v>0</v>
      </c>
      <c r="U1214" s="11" t="n">
        <v>0.9</v>
      </c>
      <c r="V1214" s="11" t="n">
        <v>0.9</v>
      </c>
    </row>
    <row r="1215" customFormat="false" ht="15" hidden="false" customHeight="false" outlineLevel="0" collapsed="false">
      <c r="A1215" s="6" t="s">
        <v>46</v>
      </c>
      <c r="B1215" s="6" t="s">
        <v>43</v>
      </c>
      <c r="C1215" s="6" t="s">
        <v>44</v>
      </c>
      <c r="D1215" s="6" t="s">
        <v>115</v>
      </c>
      <c r="E1215" s="6" t="n">
        <v>1</v>
      </c>
      <c r="F1215" s="6" t="n">
        <v>1</v>
      </c>
      <c r="G1215" s="6" t="s">
        <v>71</v>
      </c>
      <c r="H1215" s="11" t="n">
        <v>0.01</v>
      </c>
      <c r="I1215" s="6" t="n">
        <v>20</v>
      </c>
      <c r="J1215" s="6" t="n">
        <v>0</v>
      </c>
      <c r="K1215" s="6" t="n">
        <v>20</v>
      </c>
      <c r="L1215" s="6" t="n">
        <v>0</v>
      </c>
      <c r="M1215" s="6" t="n">
        <v>20</v>
      </c>
      <c r="N1215" s="11" t="n">
        <f aca="false">J1215/(J1215+K1215)</f>
        <v>0</v>
      </c>
      <c r="O1215" s="11" t="str">
        <f aca="false">IF(J1215+L1215=0,"",J1215/(J1215+L1215))</f>
        <v/>
      </c>
      <c r="P1215" s="11" t="n">
        <f aca="false">2*J1215/(2*J1215+L1215+K1215)</f>
        <v>0</v>
      </c>
      <c r="Q1215" s="11" t="n">
        <f aca="false">L1215/(L1215+M1215)</f>
        <v>0</v>
      </c>
      <c r="R1215" s="6" t="n">
        <v>0</v>
      </c>
      <c r="S1215" s="11"/>
      <c r="T1215" s="11" t="n">
        <v>0</v>
      </c>
      <c r="U1215" s="11" t="n">
        <v>0.8</v>
      </c>
      <c r="V1215" s="11" t="n">
        <v>0.8</v>
      </c>
    </row>
    <row r="1216" customFormat="false" ht="15" hidden="false" customHeight="false" outlineLevel="0" collapsed="false">
      <c r="A1216" s="6" t="s">
        <v>46</v>
      </c>
      <c r="B1216" s="6" t="s">
        <v>43</v>
      </c>
      <c r="C1216" s="6" t="s">
        <v>44</v>
      </c>
      <c r="D1216" s="6" t="s">
        <v>115</v>
      </c>
      <c r="E1216" s="6" t="n">
        <v>1</v>
      </c>
      <c r="F1216" s="6" t="n">
        <v>1</v>
      </c>
      <c r="G1216" s="6" t="s">
        <v>72</v>
      </c>
      <c r="H1216" s="11" t="n">
        <v>0.01</v>
      </c>
      <c r="I1216" s="6" t="n">
        <v>20</v>
      </c>
      <c r="J1216" s="6" t="n">
        <v>0</v>
      </c>
      <c r="K1216" s="6" t="n">
        <v>20</v>
      </c>
      <c r="L1216" s="6" t="n">
        <v>0</v>
      </c>
      <c r="M1216" s="6" t="n">
        <v>20</v>
      </c>
      <c r="N1216" s="11" t="n">
        <f aca="false">J1216/(J1216+K1216)</f>
        <v>0</v>
      </c>
      <c r="O1216" s="11" t="str">
        <f aca="false">IF(J1216+L1216=0,"",J1216/(J1216+L1216))</f>
        <v/>
      </c>
      <c r="P1216" s="11" t="n">
        <f aca="false">2*J1216/(2*J1216+L1216+K1216)</f>
        <v>0</v>
      </c>
      <c r="Q1216" s="11" t="n">
        <f aca="false">L1216/(L1216+M1216)</f>
        <v>0</v>
      </c>
      <c r="R1216" s="6" t="n">
        <v>0</v>
      </c>
      <c r="S1216" s="11"/>
      <c r="T1216" s="11" t="n">
        <v>0</v>
      </c>
      <c r="U1216" s="11" t="n">
        <v>0.9</v>
      </c>
      <c r="V1216" s="11" t="n">
        <v>0.9</v>
      </c>
    </row>
    <row r="1217" customFormat="false" ht="15" hidden="false" customHeight="false" outlineLevel="0" collapsed="false">
      <c r="A1217" s="6" t="s">
        <v>46</v>
      </c>
      <c r="B1217" s="6" t="s">
        <v>43</v>
      </c>
      <c r="C1217" s="6" t="s">
        <v>44</v>
      </c>
      <c r="D1217" s="6" t="s">
        <v>115</v>
      </c>
      <c r="E1217" s="6" t="n">
        <v>1</v>
      </c>
      <c r="F1217" s="6" t="n">
        <v>1</v>
      </c>
      <c r="G1217" s="6" t="s">
        <v>73</v>
      </c>
      <c r="H1217" s="11" t="n">
        <v>0.01</v>
      </c>
      <c r="I1217" s="6" t="n">
        <v>20</v>
      </c>
      <c r="J1217" s="6" t="n">
        <v>0</v>
      </c>
      <c r="K1217" s="6" t="n">
        <v>20</v>
      </c>
      <c r="L1217" s="6" t="n">
        <v>0</v>
      </c>
      <c r="M1217" s="6" t="n">
        <v>20</v>
      </c>
      <c r="N1217" s="11" t="n">
        <f aca="false">J1217/(J1217+K1217)</f>
        <v>0</v>
      </c>
      <c r="O1217" s="11" t="str">
        <f aca="false">IF(J1217+L1217=0,"",J1217/(J1217+L1217))</f>
        <v/>
      </c>
      <c r="P1217" s="11" t="n">
        <f aca="false">2*J1217/(2*J1217+L1217+K1217)</f>
        <v>0</v>
      </c>
      <c r="Q1217" s="11" t="n">
        <f aca="false">L1217/(L1217+M1217)</f>
        <v>0</v>
      </c>
      <c r="R1217" s="6" t="n">
        <v>0</v>
      </c>
      <c r="S1217" s="11"/>
      <c r="T1217" s="11" t="n">
        <v>0</v>
      </c>
      <c r="U1217" s="11" t="n">
        <v>0.65</v>
      </c>
      <c r="V1217" s="11" t="n">
        <v>0.65</v>
      </c>
    </row>
    <row r="1218" customFormat="false" ht="15" hidden="false" customHeight="false" outlineLevel="0" collapsed="false">
      <c r="A1218" s="6" t="s">
        <v>46</v>
      </c>
      <c r="B1218" s="6" t="s">
        <v>43</v>
      </c>
      <c r="C1218" s="6" t="s">
        <v>44</v>
      </c>
      <c r="D1218" s="6" t="s">
        <v>115</v>
      </c>
      <c r="E1218" s="6" t="n">
        <v>1</v>
      </c>
      <c r="F1218" s="6" t="n">
        <v>1</v>
      </c>
      <c r="G1218" s="6" t="s">
        <v>74</v>
      </c>
      <c r="H1218" s="11" t="n">
        <v>0.01</v>
      </c>
      <c r="I1218" s="6" t="n">
        <v>20</v>
      </c>
      <c r="J1218" s="6" t="n">
        <v>0</v>
      </c>
      <c r="K1218" s="6" t="n">
        <v>20</v>
      </c>
      <c r="L1218" s="6" t="n">
        <v>0</v>
      </c>
      <c r="M1218" s="6" t="n">
        <v>20</v>
      </c>
      <c r="N1218" s="11" t="n">
        <f aca="false">J1218/(J1218+K1218)</f>
        <v>0</v>
      </c>
      <c r="O1218" s="11" t="str">
        <f aca="false">IF(J1218+L1218=0,"",J1218/(J1218+L1218))</f>
        <v/>
      </c>
      <c r="P1218" s="11" t="n">
        <f aca="false">2*J1218/(2*J1218+L1218+K1218)</f>
        <v>0</v>
      </c>
      <c r="Q1218" s="11" t="n">
        <f aca="false">L1218/(L1218+M1218)</f>
        <v>0</v>
      </c>
      <c r="R1218" s="6" t="n">
        <v>0</v>
      </c>
      <c r="S1218" s="11"/>
      <c r="T1218" s="11" t="n">
        <v>0</v>
      </c>
      <c r="U1218" s="11" t="n">
        <v>0.85</v>
      </c>
      <c r="V1218" s="11" t="n">
        <v>0.85</v>
      </c>
    </row>
    <row r="1219" customFormat="false" ht="15" hidden="false" customHeight="false" outlineLevel="0" collapsed="false">
      <c r="A1219" s="6" t="s">
        <v>46</v>
      </c>
      <c r="B1219" s="6" t="s">
        <v>43</v>
      </c>
      <c r="C1219" s="6" t="s">
        <v>44</v>
      </c>
      <c r="D1219" s="6" t="s">
        <v>115</v>
      </c>
      <c r="E1219" s="6" t="n">
        <v>1</v>
      </c>
      <c r="F1219" s="6" t="n">
        <v>1</v>
      </c>
      <c r="G1219" s="6" t="s">
        <v>75</v>
      </c>
      <c r="H1219" s="11" t="n">
        <v>0.01</v>
      </c>
      <c r="I1219" s="6" t="n">
        <v>20</v>
      </c>
      <c r="J1219" s="6" t="n">
        <v>0</v>
      </c>
      <c r="K1219" s="6" t="n">
        <v>20</v>
      </c>
      <c r="L1219" s="6" t="n">
        <v>0</v>
      </c>
      <c r="M1219" s="6" t="n">
        <v>20</v>
      </c>
      <c r="N1219" s="11" t="n">
        <f aca="false">J1219/(J1219+K1219)</f>
        <v>0</v>
      </c>
      <c r="O1219" s="11" t="str">
        <f aca="false">IF(J1219+L1219=0,"",J1219/(J1219+L1219))</f>
        <v/>
      </c>
      <c r="P1219" s="11" t="n">
        <f aca="false">2*J1219/(2*J1219+L1219+K1219)</f>
        <v>0</v>
      </c>
      <c r="Q1219" s="11" t="n">
        <f aca="false">L1219/(L1219+M1219)</f>
        <v>0</v>
      </c>
      <c r="R1219" s="6" t="n">
        <v>0</v>
      </c>
      <c r="S1219" s="11"/>
      <c r="T1219" s="11" t="n">
        <v>0</v>
      </c>
      <c r="U1219" s="11" t="n">
        <v>0.9</v>
      </c>
      <c r="V1219" s="11" t="n">
        <v>0.9</v>
      </c>
    </row>
    <row r="1220" customFormat="false" ht="15" hidden="false" customHeight="false" outlineLevel="0" collapsed="false">
      <c r="A1220" s="6" t="s">
        <v>46</v>
      </c>
      <c r="B1220" s="6" t="s">
        <v>43</v>
      </c>
      <c r="C1220" s="6" t="s">
        <v>44</v>
      </c>
      <c r="D1220" s="6" t="s">
        <v>115</v>
      </c>
      <c r="E1220" s="6" t="n">
        <v>1</v>
      </c>
      <c r="F1220" s="6" t="n">
        <v>1</v>
      </c>
      <c r="G1220" s="6" t="s">
        <v>76</v>
      </c>
      <c r="H1220" s="11" t="n">
        <v>0.01</v>
      </c>
      <c r="I1220" s="6" t="n">
        <v>20</v>
      </c>
      <c r="J1220" s="6" t="n">
        <v>0</v>
      </c>
      <c r="K1220" s="6" t="n">
        <v>20</v>
      </c>
      <c r="L1220" s="6" t="n">
        <v>0</v>
      </c>
      <c r="M1220" s="6" t="n">
        <v>20</v>
      </c>
      <c r="N1220" s="11" t="n">
        <f aca="false">J1220/(J1220+K1220)</f>
        <v>0</v>
      </c>
      <c r="O1220" s="11" t="str">
        <f aca="false">IF(J1220+L1220=0,"",J1220/(J1220+L1220))</f>
        <v/>
      </c>
      <c r="P1220" s="11" t="n">
        <f aca="false">2*J1220/(2*J1220+L1220+K1220)</f>
        <v>0</v>
      </c>
      <c r="Q1220" s="11" t="n">
        <f aca="false">L1220/(L1220+M1220)</f>
        <v>0</v>
      </c>
      <c r="R1220" s="6" t="n">
        <v>0</v>
      </c>
      <c r="S1220" s="11"/>
      <c r="T1220" s="11" t="n">
        <v>0</v>
      </c>
      <c r="U1220" s="11" t="n">
        <v>0.95</v>
      </c>
      <c r="V1220" s="11" t="n">
        <v>0.95</v>
      </c>
    </row>
    <row r="1221" customFormat="false" ht="15" hidden="false" customHeight="false" outlineLevel="0" collapsed="false">
      <c r="A1221" s="6" t="s">
        <v>46</v>
      </c>
      <c r="B1221" s="6" t="s">
        <v>43</v>
      </c>
      <c r="C1221" s="6" t="s">
        <v>44</v>
      </c>
      <c r="D1221" s="6" t="s">
        <v>115</v>
      </c>
      <c r="E1221" s="6" t="n">
        <v>1</v>
      </c>
      <c r="F1221" s="6" t="n">
        <v>1</v>
      </c>
      <c r="G1221" s="6" t="s">
        <v>77</v>
      </c>
      <c r="H1221" s="11" t="n">
        <v>0.01</v>
      </c>
      <c r="I1221" s="6" t="n">
        <v>20</v>
      </c>
      <c r="J1221" s="6" t="n">
        <v>1</v>
      </c>
      <c r="K1221" s="6" t="n">
        <v>19</v>
      </c>
      <c r="L1221" s="6" t="n">
        <v>1</v>
      </c>
      <c r="M1221" s="6" t="n">
        <v>19</v>
      </c>
      <c r="N1221" s="11" t="n">
        <f aca="false">J1221/(J1221+K1221)</f>
        <v>0.05</v>
      </c>
      <c r="O1221" s="11" t="n">
        <f aca="false">IF(J1221+L1221=0,"",J1221/(J1221+L1221))</f>
        <v>0.5</v>
      </c>
      <c r="P1221" s="11" t="n">
        <f aca="false">2*J1221/(2*J1221+L1221+K1221)</f>
        <v>0.0909090909090909</v>
      </c>
      <c r="Q1221" s="11" t="n">
        <f aca="false">L1221/(L1221+M1221)</f>
        <v>0.05</v>
      </c>
      <c r="R1221" s="6" t="n">
        <v>0</v>
      </c>
      <c r="S1221" s="11"/>
      <c r="T1221" s="11" t="n">
        <v>0.05</v>
      </c>
      <c r="U1221" s="11" t="n">
        <v>1</v>
      </c>
      <c r="V1221" s="11" t="n">
        <v>1</v>
      </c>
    </row>
    <row r="1222" customFormat="false" ht="15" hidden="false" customHeight="false" outlineLevel="0" collapsed="false">
      <c r="A1222" s="6" t="s">
        <v>46</v>
      </c>
      <c r="B1222" s="6" t="s">
        <v>43</v>
      </c>
      <c r="C1222" s="6" t="s">
        <v>44</v>
      </c>
      <c r="D1222" s="6" t="s">
        <v>115</v>
      </c>
      <c r="E1222" s="6" t="n">
        <v>1</v>
      </c>
      <c r="F1222" s="6" t="n">
        <v>1</v>
      </c>
      <c r="G1222" s="6" t="s">
        <v>78</v>
      </c>
      <c r="H1222" s="11" t="n">
        <v>0.01</v>
      </c>
      <c r="I1222" s="6" t="n">
        <v>200</v>
      </c>
      <c r="J1222" s="6" t="n">
        <v>1</v>
      </c>
      <c r="K1222" s="6" t="n">
        <v>199</v>
      </c>
      <c r="L1222" s="6" t="n">
        <v>1</v>
      </c>
      <c r="M1222" s="6" t="n">
        <v>199</v>
      </c>
      <c r="N1222" s="11" t="n">
        <f aca="false">J1222/(J1222+K1222)</f>
        <v>0.005</v>
      </c>
      <c r="O1222" s="11" t="n">
        <f aca="false">IF(J1222+L1222=0,"",J1222/(J1222+L1222))</f>
        <v>0.5</v>
      </c>
      <c r="P1222" s="11" t="n">
        <f aca="false">2*J1222/(2*J1222+L1222+K1222)</f>
        <v>0.0099009900990099</v>
      </c>
      <c r="Q1222" s="11" t="n">
        <f aca="false">L1222/(L1222+M1222)</f>
        <v>0.005</v>
      </c>
      <c r="R1222" s="6" t="n">
        <v>0</v>
      </c>
      <c r="S1222" s="11"/>
      <c r="T1222" s="11" t="n">
        <v>0.005</v>
      </c>
      <c r="U1222" s="11" t="n">
        <v>0.88</v>
      </c>
      <c r="V1222" s="11" t="n">
        <v>0.88</v>
      </c>
    </row>
    <row r="1223" customFormat="false" ht="15" hidden="false" customHeight="false" outlineLevel="0" collapsed="false">
      <c r="A1223" s="6" t="s">
        <v>46</v>
      </c>
      <c r="B1223" s="6" t="s">
        <v>43</v>
      </c>
      <c r="C1223" s="6" t="s">
        <v>44</v>
      </c>
      <c r="D1223" s="6" t="s">
        <v>115</v>
      </c>
      <c r="E1223" s="6" t="n">
        <v>1</v>
      </c>
      <c r="F1223" s="6" t="n">
        <v>2</v>
      </c>
      <c r="G1223" s="6" t="s">
        <v>68</v>
      </c>
      <c r="H1223" s="11" t="n">
        <v>0.01</v>
      </c>
      <c r="I1223" s="6" t="n">
        <v>20</v>
      </c>
      <c r="J1223" s="6" t="n">
        <v>0</v>
      </c>
      <c r="K1223" s="6" t="n">
        <v>20</v>
      </c>
      <c r="L1223" s="6" t="n">
        <v>0</v>
      </c>
      <c r="M1223" s="6" t="n">
        <v>20</v>
      </c>
      <c r="N1223" s="11" t="n">
        <f aca="false">J1223/(J1223+K1223)</f>
        <v>0</v>
      </c>
      <c r="O1223" s="11" t="str">
        <f aca="false">IF(J1223+L1223=0,"",J1223/(J1223+L1223))</f>
        <v/>
      </c>
      <c r="P1223" s="11" t="n">
        <f aca="false">2*J1223/(2*J1223+L1223+K1223)</f>
        <v>0</v>
      </c>
      <c r="Q1223" s="11" t="n">
        <f aca="false">L1223/(L1223+M1223)</f>
        <v>0</v>
      </c>
      <c r="R1223" s="6" t="n">
        <v>0</v>
      </c>
      <c r="S1223" s="11"/>
      <c r="T1223" s="11" t="n">
        <v>0</v>
      </c>
      <c r="U1223" s="11" t="n">
        <v>0.85</v>
      </c>
      <c r="V1223" s="11" t="n">
        <v>0.85</v>
      </c>
    </row>
    <row r="1224" customFormat="false" ht="15" hidden="false" customHeight="false" outlineLevel="0" collapsed="false">
      <c r="A1224" s="6" t="s">
        <v>46</v>
      </c>
      <c r="B1224" s="6" t="s">
        <v>43</v>
      </c>
      <c r="C1224" s="6" t="s">
        <v>44</v>
      </c>
      <c r="D1224" s="6" t="s">
        <v>115</v>
      </c>
      <c r="E1224" s="6" t="n">
        <v>1</v>
      </c>
      <c r="F1224" s="6" t="n">
        <v>2</v>
      </c>
      <c r="G1224" s="6" t="s">
        <v>69</v>
      </c>
      <c r="H1224" s="11" t="n">
        <v>0.01</v>
      </c>
      <c r="I1224" s="6" t="n">
        <v>20</v>
      </c>
      <c r="J1224" s="6" t="n">
        <v>0</v>
      </c>
      <c r="K1224" s="6" t="n">
        <v>20</v>
      </c>
      <c r="L1224" s="6" t="n">
        <v>0</v>
      </c>
      <c r="M1224" s="6" t="n">
        <v>20</v>
      </c>
      <c r="N1224" s="11" t="n">
        <f aca="false">J1224/(J1224+K1224)</f>
        <v>0</v>
      </c>
      <c r="O1224" s="11" t="str">
        <f aca="false">IF(J1224+L1224=0,"",J1224/(J1224+L1224))</f>
        <v/>
      </c>
      <c r="P1224" s="11" t="n">
        <f aca="false">2*J1224/(2*J1224+L1224+K1224)</f>
        <v>0</v>
      </c>
      <c r="Q1224" s="11" t="n">
        <f aca="false">L1224/(L1224+M1224)</f>
        <v>0</v>
      </c>
      <c r="R1224" s="6" t="n">
        <v>0</v>
      </c>
      <c r="S1224" s="11"/>
      <c r="T1224" s="11" t="n">
        <v>0</v>
      </c>
      <c r="U1224" s="11" t="n">
        <v>1</v>
      </c>
      <c r="V1224" s="11" t="n">
        <v>1</v>
      </c>
    </row>
    <row r="1225" customFormat="false" ht="15" hidden="false" customHeight="false" outlineLevel="0" collapsed="false">
      <c r="A1225" s="6" t="s">
        <v>46</v>
      </c>
      <c r="B1225" s="6" t="s">
        <v>43</v>
      </c>
      <c r="C1225" s="6" t="s">
        <v>44</v>
      </c>
      <c r="D1225" s="6" t="s">
        <v>115</v>
      </c>
      <c r="E1225" s="6" t="n">
        <v>1</v>
      </c>
      <c r="F1225" s="6" t="n">
        <v>2</v>
      </c>
      <c r="G1225" s="6" t="s">
        <v>70</v>
      </c>
      <c r="H1225" s="11" t="n">
        <v>0.01</v>
      </c>
      <c r="I1225" s="6" t="n">
        <v>20</v>
      </c>
      <c r="J1225" s="6" t="n">
        <v>0</v>
      </c>
      <c r="K1225" s="6" t="n">
        <v>20</v>
      </c>
      <c r="L1225" s="6" t="n">
        <v>0</v>
      </c>
      <c r="M1225" s="6" t="n">
        <v>20</v>
      </c>
      <c r="N1225" s="11" t="n">
        <f aca="false">J1225/(J1225+K1225)</f>
        <v>0</v>
      </c>
      <c r="O1225" s="11" t="str">
        <f aca="false">IF(J1225+L1225=0,"",J1225/(J1225+L1225))</f>
        <v/>
      </c>
      <c r="P1225" s="11" t="n">
        <f aca="false">2*J1225/(2*J1225+L1225+K1225)</f>
        <v>0</v>
      </c>
      <c r="Q1225" s="11" t="n">
        <f aca="false">L1225/(L1225+M1225)</f>
        <v>0</v>
      </c>
      <c r="R1225" s="6" t="n">
        <v>0</v>
      </c>
      <c r="S1225" s="11"/>
      <c r="T1225" s="11" t="n">
        <v>0</v>
      </c>
      <c r="U1225" s="11" t="n">
        <v>0.9</v>
      </c>
      <c r="V1225" s="11" t="n">
        <v>0.9</v>
      </c>
    </row>
    <row r="1226" customFormat="false" ht="15" hidden="false" customHeight="false" outlineLevel="0" collapsed="false">
      <c r="A1226" s="6" t="s">
        <v>46</v>
      </c>
      <c r="B1226" s="6" t="s">
        <v>43</v>
      </c>
      <c r="C1226" s="6" t="s">
        <v>44</v>
      </c>
      <c r="D1226" s="6" t="s">
        <v>115</v>
      </c>
      <c r="E1226" s="6" t="n">
        <v>1</v>
      </c>
      <c r="F1226" s="6" t="n">
        <v>2</v>
      </c>
      <c r="G1226" s="6" t="s">
        <v>71</v>
      </c>
      <c r="H1226" s="11" t="n">
        <v>0.01</v>
      </c>
      <c r="I1226" s="6" t="n">
        <v>20</v>
      </c>
      <c r="J1226" s="6" t="n">
        <v>0</v>
      </c>
      <c r="K1226" s="6" t="n">
        <v>20</v>
      </c>
      <c r="L1226" s="6" t="n">
        <v>0</v>
      </c>
      <c r="M1226" s="6" t="n">
        <v>20</v>
      </c>
      <c r="N1226" s="11" t="n">
        <f aca="false">J1226/(J1226+K1226)</f>
        <v>0</v>
      </c>
      <c r="O1226" s="11" t="str">
        <f aca="false">IF(J1226+L1226=0,"",J1226/(J1226+L1226))</f>
        <v/>
      </c>
      <c r="P1226" s="11" t="n">
        <f aca="false">2*J1226/(2*J1226+L1226+K1226)</f>
        <v>0</v>
      </c>
      <c r="Q1226" s="11" t="n">
        <f aca="false">L1226/(L1226+M1226)</f>
        <v>0</v>
      </c>
      <c r="R1226" s="6" t="n">
        <v>0</v>
      </c>
      <c r="S1226" s="11"/>
      <c r="T1226" s="11" t="n">
        <v>0</v>
      </c>
      <c r="U1226" s="11" t="n">
        <v>0.8</v>
      </c>
      <c r="V1226" s="11" t="n">
        <v>0.8</v>
      </c>
    </row>
    <row r="1227" customFormat="false" ht="15" hidden="false" customHeight="false" outlineLevel="0" collapsed="false">
      <c r="A1227" s="6" t="s">
        <v>46</v>
      </c>
      <c r="B1227" s="6" t="s">
        <v>43</v>
      </c>
      <c r="C1227" s="6" t="s">
        <v>44</v>
      </c>
      <c r="D1227" s="6" t="s">
        <v>115</v>
      </c>
      <c r="E1227" s="6" t="n">
        <v>1</v>
      </c>
      <c r="F1227" s="6" t="n">
        <v>2</v>
      </c>
      <c r="G1227" s="6" t="s">
        <v>72</v>
      </c>
      <c r="H1227" s="11" t="n">
        <v>0.01</v>
      </c>
      <c r="I1227" s="6" t="n">
        <v>20</v>
      </c>
      <c r="J1227" s="6" t="n">
        <v>0</v>
      </c>
      <c r="K1227" s="6" t="n">
        <v>20</v>
      </c>
      <c r="L1227" s="6" t="n">
        <v>0</v>
      </c>
      <c r="M1227" s="6" t="n">
        <v>20</v>
      </c>
      <c r="N1227" s="11" t="n">
        <f aca="false">J1227/(J1227+K1227)</f>
        <v>0</v>
      </c>
      <c r="O1227" s="11" t="str">
        <f aca="false">IF(J1227+L1227=0,"",J1227/(J1227+L1227))</f>
        <v/>
      </c>
      <c r="P1227" s="11" t="n">
        <f aca="false">2*J1227/(2*J1227+L1227+K1227)</f>
        <v>0</v>
      </c>
      <c r="Q1227" s="11" t="n">
        <f aca="false">L1227/(L1227+M1227)</f>
        <v>0</v>
      </c>
      <c r="R1227" s="6" t="n">
        <v>0</v>
      </c>
      <c r="S1227" s="11"/>
      <c r="T1227" s="11" t="n">
        <v>0</v>
      </c>
      <c r="U1227" s="11" t="n">
        <v>0.9</v>
      </c>
      <c r="V1227" s="11" t="n">
        <v>0.9</v>
      </c>
    </row>
    <row r="1228" customFormat="false" ht="15" hidden="false" customHeight="false" outlineLevel="0" collapsed="false">
      <c r="A1228" s="6" t="s">
        <v>46</v>
      </c>
      <c r="B1228" s="6" t="s">
        <v>43</v>
      </c>
      <c r="C1228" s="6" t="s">
        <v>44</v>
      </c>
      <c r="D1228" s="6" t="s">
        <v>115</v>
      </c>
      <c r="E1228" s="6" t="n">
        <v>1</v>
      </c>
      <c r="F1228" s="6" t="n">
        <v>2</v>
      </c>
      <c r="G1228" s="6" t="s">
        <v>73</v>
      </c>
      <c r="H1228" s="11" t="n">
        <v>0.01</v>
      </c>
      <c r="I1228" s="6" t="n">
        <v>20</v>
      </c>
      <c r="J1228" s="6" t="n">
        <v>0</v>
      </c>
      <c r="K1228" s="6" t="n">
        <v>20</v>
      </c>
      <c r="L1228" s="6" t="n">
        <v>0</v>
      </c>
      <c r="M1228" s="6" t="n">
        <v>20</v>
      </c>
      <c r="N1228" s="11" t="n">
        <f aca="false">J1228/(J1228+K1228)</f>
        <v>0</v>
      </c>
      <c r="O1228" s="11" t="str">
        <f aca="false">IF(J1228+L1228=0,"",J1228/(J1228+L1228))</f>
        <v/>
      </c>
      <c r="P1228" s="11" t="n">
        <f aca="false">2*J1228/(2*J1228+L1228+K1228)</f>
        <v>0</v>
      </c>
      <c r="Q1228" s="11" t="n">
        <f aca="false">L1228/(L1228+M1228)</f>
        <v>0</v>
      </c>
      <c r="R1228" s="6" t="n">
        <v>0</v>
      </c>
      <c r="S1228" s="11"/>
      <c r="T1228" s="11" t="n">
        <v>0</v>
      </c>
      <c r="U1228" s="11" t="n">
        <v>0.65</v>
      </c>
      <c r="V1228" s="11" t="n">
        <v>0.65</v>
      </c>
    </row>
    <row r="1229" customFormat="false" ht="15" hidden="false" customHeight="false" outlineLevel="0" collapsed="false">
      <c r="A1229" s="6" t="s">
        <v>46</v>
      </c>
      <c r="B1229" s="6" t="s">
        <v>43</v>
      </c>
      <c r="C1229" s="6" t="s">
        <v>44</v>
      </c>
      <c r="D1229" s="6" t="s">
        <v>115</v>
      </c>
      <c r="E1229" s="6" t="n">
        <v>1</v>
      </c>
      <c r="F1229" s="6" t="n">
        <v>2</v>
      </c>
      <c r="G1229" s="6" t="s">
        <v>74</v>
      </c>
      <c r="H1229" s="11" t="n">
        <v>0.01</v>
      </c>
      <c r="I1229" s="6" t="n">
        <v>20</v>
      </c>
      <c r="J1229" s="6" t="n">
        <v>0</v>
      </c>
      <c r="K1229" s="6" t="n">
        <v>20</v>
      </c>
      <c r="L1229" s="6" t="n">
        <v>0</v>
      </c>
      <c r="M1229" s="6" t="n">
        <v>20</v>
      </c>
      <c r="N1229" s="11" t="n">
        <f aca="false">J1229/(J1229+K1229)</f>
        <v>0</v>
      </c>
      <c r="O1229" s="11" t="str">
        <f aca="false">IF(J1229+L1229=0,"",J1229/(J1229+L1229))</f>
        <v/>
      </c>
      <c r="P1229" s="11" t="n">
        <f aca="false">2*J1229/(2*J1229+L1229+K1229)</f>
        <v>0</v>
      </c>
      <c r="Q1229" s="11" t="n">
        <f aca="false">L1229/(L1229+M1229)</f>
        <v>0</v>
      </c>
      <c r="R1229" s="6" t="n">
        <v>0</v>
      </c>
      <c r="S1229" s="11"/>
      <c r="T1229" s="11" t="n">
        <v>0</v>
      </c>
      <c r="U1229" s="11" t="n">
        <v>0.85</v>
      </c>
      <c r="V1229" s="11" t="n">
        <v>0.85</v>
      </c>
    </row>
    <row r="1230" customFormat="false" ht="15" hidden="false" customHeight="false" outlineLevel="0" collapsed="false">
      <c r="A1230" s="6" t="s">
        <v>46</v>
      </c>
      <c r="B1230" s="6" t="s">
        <v>43</v>
      </c>
      <c r="C1230" s="6" t="s">
        <v>44</v>
      </c>
      <c r="D1230" s="6" t="s">
        <v>115</v>
      </c>
      <c r="E1230" s="6" t="n">
        <v>1</v>
      </c>
      <c r="F1230" s="6" t="n">
        <v>2</v>
      </c>
      <c r="G1230" s="6" t="s">
        <v>75</v>
      </c>
      <c r="H1230" s="11" t="n">
        <v>0.01</v>
      </c>
      <c r="I1230" s="6" t="n">
        <v>20</v>
      </c>
      <c r="J1230" s="6" t="n">
        <v>0</v>
      </c>
      <c r="K1230" s="6" t="n">
        <v>20</v>
      </c>
      <c r="L1230" s="6" t="n">
        <v>0</v>
      </c>
      <c r="M1230" s="6" t="n">
        <v>20</v>
      </c>
      <c r="N1230" s="11" t="n">
        <f aca="false">J1230/(J1230+K1230)</f>
        <v>0</v>
      </c>
      <c r="O1230" s="11" t="str">
        <f aca="false">IF(J1230+L1230=0,"",J1230/(J1230+L1230))</f>
        <v/>
      </c>
      <c r="P1230" s="11" t="n">
        <f aca="false">2*J1230/(2*J1230+L1230+K1230)</f>
        <v>0</v>
      </c>
      <c r="Q1230" s="11" t="n">
        <f aca="false">L1230/(L1230+M1230)</f>
        <v>0</v>
      </c>
      <c r="R1230" s="6" t="n">
        <v>0</v>
      </c>
      <c r="S1230" s="11"/>
      <c r="T1230" s="11" t="n">
        <v>0</v>
      </c>
      <c r="U1230" s="11" t="n">
        <v>0.9</v>
      </c>
      <c r="V1230" s="11" t="n">
        <v>0.9</v>
      </c>
    </row>
    <row r="1231" customFormat="false" ht="15" hidden="false" customHeight="false" outlineLevel="0" collapsed="false">
      <c r="A1231" s="6" t="s">
        <v>46</v>
      </c>
      <c r="B1231" s="6" t="s">
        <v>43</v>
      </c>
      <c r="C1231" s="6" t="s">
        <v>44</v>
      </c>
      <c r="D1231" s="6" t="s">
        <v>115</v>
      </c>
      <c r="E1231" s="6" t="n">
        <v>1</v>
      </c>
      <c r="F1231" s="6" t="n">
        <v>2</v>
      </c>
      <c r="G1231" s="6" t="s">
        <v>76</v>
      </c>
      <c r="H1231" s="11" t="n">
        <v>0.01</v>
      </c>
      <c r="I1231" s="6" t="n">
        <v>20</v>
      </c>
      <c r="J1231" s="6" t="n">
        <v>0</v>
      </c>
      <c r="K1231" s="6" t="n">
        <v>20</v>
      </c>
      <c r="L1231" s="6" t="n">
        <v>0</v>
      </c>
      <c r="M1231" s="6" t="n">
        <v>20</v>
      </c>
      <c r="N1231" s="11" t="n">
        <f aca="false">J1231/(J1231+K1231)</f>
        <v>0</v>
      </c>
      <c r="O1231" s="11" t="str">
        <f aca="false">IF(J1231+L1231=0,"",J1231/(J1231+L1231))</f>
        <v/>
      </c>
      <c r="P1231" s="11" t="n">
        <f aca="false">2*J1231/(2*J1231+L1231+K1231)</f>
        <v>0</v>
      </c>
      <c r="Q1231" s="11" t="n">
        <f aca="false">L1231/(L1231+M1231)</f>
        <v>0</v>
      </c>
      <c r="R1231" s="6" t="n">
        <v>0</v>
      </c>
      <c r="S1231" s="11"/>
      <c r="T1231" s="11" t="n">
        <v>0</v>
      </c>
      <c r="U1231" s="11" t="n">
        <v>0.95</v>
      </c>
      <c r="V1231" s="11" t="n">
        <v>0.95</v>
      </c>
    </row>
    <row r="1232" customFormat="false" ht="15" hidden="false" customHeight="false" outlineLevel="0" collapsed="false">
      <c r="A1232" s="6" t="s">
        <v>46</v>
      </c>
      <c r="B1232" s="6" t="s">
        <v>43</v>
      </c>
      <c r="C1232" s="6" t="s">
        <v>44</v>
      </c>
      <c r="D1232" s="6" t="s">
        <v>115</v>
      </c>
      <c r="E1232" s="6" t="n">
        <v>1</v>
      </c>
      <c r="F1232" s="6" t="n">
        <v>2</v>
      </c>
      <c r="G1232" s="6" t="s">
        <v>77</v>
      </c>
      <c r="H1232" s="11" t="n">
        <v>0.01</v>
      </c>
      <c r="I1232" s="6" t="n">
        <v>20</v>
      </c>
      <c r="J1232" s="6" t="n">
        <v>1</v>
      </c>
      <c r="K1232" s="6" t="n">
        <v>19</v>
      </c>
      <c r="L1232" s="6" t="n">
        <v>1</v>
      </c>
      <c r="M1232" s="6" t="n">
        <v>19</v>
      </c>
      <c r="N1232" s="11" t="n">
        <f aca="false">J1232/(J1232+K1232)</f>
        <v>0.05</v>
      </c>
      <c r="O1232" s="11" t="n">
        <f aca="false">IF(J1232+L1232=0,"",J1232/(J1232+L1232))</f>
        <v>0.5</v>
      </c>
      <c r="P1232" s="11" t="n">
        <f aca="false">2*J1232/(2*J1232+L1232+K1232)</f>
        <v>0.0909090909090909</v>
      </c>
      <c r="Q1232" s="11" t="n">
        <f aca="false">L1232/(L1232+M1232)</f>
        <v>0.05</v>
      </c>
      <c r="R1232" s="6" t="n">
        <v>0</v>
      </c>
      <c r="S1232" s="11"/>
      <c r="T1232" s="11" t="n">
        <v>0.05</v>
      </c>
      <c r="U1232" s="11" t="n">
        <v>1</v>
      </c>
      <c r="V1232" s="11" t="n">
        <v>1</v>
      </c>
    </row>
    <row r="1233" customFormat="false" ht="15" hidden="false" customHeight="false" outlineLevel="0" collapsed="false">
      <c r="A1233" s="6" t="s">
        <v>46</v>
      </c>
      <c r="B1233" s="6" t="s">
        <v>43</v>
      </c>
      <c r="C1233" s="6" t="s">
        <v>44</v>
      </c>
      <c r="D1233" s="6" t="s">
        <v>115</v>
      </c>
      <c r="E1233" s="6" t="n">
        <v>1</v>
      </c>
      <c r="F1233" s="6" t="n">
        <v>2</v>
      </c>
      <c r="G1233" s="6" t="s">
        <v>78</v>
      </c>
      <c r="H1233" s="11" t="n">
        <v>0.01</v>
      </c>
      <c r="I1233" s="6" t="n">
        <v>200</v>
      </c>
      <c r="J1233" s="6" t="n">
        <v>1</v>
      </c>
      <c r="K1233" s="6" t="n">
        <v>199</v>
      </c>
      <c r="L1233" s="6" t="n">
        <v>1</v>
      </c>
      <c r="M1233" s="6" t="n">
        <v>199</v>
      </c>
      <c r="N1233" s="11" t="n">
        <f aca="false">J1233/(J1233+K1233)</f>
        <v>0.005</v>
      </c>
      <c r="O1233" s="11" t="n">
        <f aca="false">IF(J1233+L1233=0,"",J1233/(J1233+L1233))</f>
        <v>0.5</v>
      </c>
      <c r="P1233" s="11" t="n">
        <f aca="false">2*J1233/(2*J1233+L1233+K1233)</f>
        <v>0.0099009900990099</v>
      </c>
      <c r="Q1233" s="11" t="n">
        <f aca="false">L1233/(L1233+M1233)</f>
        <v>0.005</v>
      </c>
      <c r="R1233" s="6" t="n">
        <v>0</v>
      </c>
      <c r="S1233" s="11"/>
      <c r="T1233" s="11" t="n">
        <v>0.005</v>
      </c>
      <c r="U1233" s="11" t="n">
        <v>0.88</v>
      </c>
      <c r="V1233" s="11" t="n">
        <v>0.88</v>
      </c>
    </row>
    <row r="1234" customFormat="false" ht="15" hidden="false" customHeight="false" outlineLevel="0" collapsed="false">
      <c r="A1234" s="6" t="s">
        <v>46</v>
      </c>
      <c r="B1234" s="6" t="s">
        <v>43</v>
      </c>
      <c r="C1234" s="6" t="s">
        <v>44</v>
      </c>
      <c r="D1234" s="6" t="s">
        <v>115</v>
      </c>
      <c r="E1234" s="6" t="n">
        <v>1</v>
      </c>
      <c r="F1234" s="6" t="n">
        <v>3</v>
      </c>
      <c r="G1234" s="6" t="s">
        <v>68</v>
      </c>
      <c r="H1234" s="11" t="n">
        <v>0.01</v>
      </c>
      <c r="I1234" s="6" t="n">
        <v>20</v>
      </c>
      <c r="J1234" s="6" t="n">
        <v>0</v>
      </c>
      <c r="K1234" s="6" t="n">
        <v>20</v>
      </c>
      <c r="L1234" s="6" t="n">
        <v>0</v>
      </c>
      <c r="M1234" s="6" t="n">
        <v>20</v>
      </c>
      <c r="N1234" s="11" t="n">
        <f aca="false">J1234/(J1234+K1234)</f>
        <v>0</v>
      </c>
      <c r="O1234" s="11" t="str">
        <f aca="false">IF(J1234+L1234=0,"",J1234/(J1234+L1234))</f>
        <v/>
      </c>
      <c r="P1234" s="11" t="n">
        <f aca="false">2*J1234/(2*J1234+L1234+K1234)</f>
        <v>0</v>
      </c>
      <c r="Q1234" s="11" t="n">
        <f aca="false">L1234/(L1234+M1234)</f>
        <v>0</v>
      </c>
      <c r="R1234" s="6" t="n">
        <v>0</v>
      </c>
      <c r="S1234" s="11"/>
      <c r="T1234" s="11" t="n">
        <v>0</v>
      </c>
      <c r="U1234" s="11" t="n">
        <v>0.85</v>
      </c>
      <c r="V1234" s="11" t="n">
        <v>0.85</v>
      </c>
    </row>
    <row r="1235" customFormat="false" ht="15" hidden="false" customHeight="false" outlineLevel="0" collapsed="false">
      <c r="A1235" s="6" t="s">
        <v>46</v>
      </c>
      <c r="B1235" s="6" t="s">
        <v>43</v>
      </c>
      <c r="C1235" s="6" t="s">
        <v>44</v>
      </c>
      <c r="D1235" s="6" t="s">
        <v>115</v>
      </c>
      <c r="E1235" s="6" t="n">
        <v>1</v>
      </c>
      <c r="F1235" s="6" t="n">
        <v>3</v>
      </c>
      <c r="G1235" s="6" t="s">
        <v>69</v>
      </c>
      <c r="H1235" s="11" t="n">
        <v>0.01</v>
      </c>
      <c r="I1235" s="6" t="n">
        <v>20</v>
      </c>
      <c r="J1235" s="6" t="n">
        <v>0</v>
      </c>
      <c r="K1235" s="6" t="n">
        <v>20</v>
      </c>
      <c r="L1235" s="6" t="n">
        <v>0</v>
      </c>
      <c r="M1235" s="6" t="n">
        <v>20</v>
      </c>
      <c r="N1235" s="11" t="n">
        <f aca="false">J1235/(J1235+K1235)</f>
        <v>0</v>
      </c>
      <c r="O1235" s="11" t="str">
        <f aca="false">IF(J1235+L1235=0,"",J1235/(J1235+L1235))</f>
        <v/>
      </c>
      <c r="P1235" s="11" t="n">
        <f aca="false">2*J1235/(2*J1235+L1235+K1235)</f>
        <v>0</v>
      </c>
      <c r="Q1235" s="11" t="n">
        <f aca="false">L1235/(L1235+M1235)</f>
        <v>0</v>
      </c>
      <c r="R1235" s="6" t="n">
        <v>0</v>
      </c>
      <c r="S1235" s="11"/>
      <c r="T1235" s="11" t="n">
        <v>0</v>
      </c>
      <c r="U1235" s="11" t="n">
        <v>1</v>
      </c>
      <c r="V1235" s="11" t="n">
        <v>1</v>
      </c>
    </row>
    <row r="1236" customFormat="false" ht="15" hidden="false" customHeight="false" outlineLevel="0" collapsed="false">
      <c r="A1236" s="6" t="s">
        <v>46</v>
      </c>
      <c r="B1236" s="6" t="s">
        <v>43</v>
      </c>
      <c r="C1236" s="6" t="s">
        <v>44</v>
      </c>
      <c r="D1236" s="6" t="s">
        <v>115</v>
      </c>
      <c r="E1236" s="6" t="n">
        <v>1</v>
      </c>
      <c r="F1236" s="6" t="n">
        <v>3</v>
      </c>
      <c r="G1236" s="6" t="s">
        <v>70</v>
      </c>
      <c r="H1236" s="11" t="n">
        <v>0.01</v>
      </c>
      <c r="I1236" s="6" t="n">
        <v>20</v>
      </c>
      <c r="J1236" s="6" t="n">
        <v>0</v>
      </c>
      <c r="K1236" s="6" t="n">
        <v>20</v>
      </c>
      <c r="L1236" s="6" t="n">
        <v>0</v>
      </c>
      <c r="M1236" s="6" t="n">
        <v>20</v>
      </c>
      <c r="N1236" s="11" t="n">
        <f aca="false">J1236/(J1236+K1236)</f>
        <v>0</v>
      </c>
      <c r="O1236" s="11" t="str">
        <f aca="false">IF(J1236+L1236=0,"",J1236/(J1236+L1236))</f>
        <v/>
      </c>
      <c r="P1236" s="11" t="n">
        <f aca="false">2*J1236/(2*J1236+L1236+K1236)</f>
        <v>0</v>
      </c>
      <c r="Q1236" s="11" t="n">
        <f aca="false">L1236/(L1236+M1236)</f>
        <v>0</v>
      </c>
      <c r="R1236" s="6" t="n">
        <v>0</v>
      </c>
      <c r="S1236" s="11"/>
      <c r="T1236" s="11" t="n">
        <v>0</v>
      </c>
      <c r="U1236" s="11" t="n">
        <v>0.9</v>
      </c>
      <c r="V1236" s="11" t="n">
        <v>0.9</v>
      </c>
    </row>
    <row r="1237" customFormat="false" ht="15" hidden="false" customHeight="false" outlineLevel="0" collapsed="false">
      <c r="A1237" s="6" t="s">
        <v>46</v>
      </c>
      <c r="B1237" s="6" t="s">
        <v>43</v>
      </c>
      <c r="C1237" s="6" t="s">
        <v>44</v>
      </c>
      <c r="D1237" s="6" t="s">
        <v>115</v>
      </c>
      <c r="E1237" s="6" t="n">
        <v>1</v>
      </c>
      <c r="F1237" s="6" t="n">
        <v>3</v>
      </c>
      <c r="G1237" s="6" t="s">
        <v>71</v>
      </c>
      <c r="H1237" s="11" t="n">
        <v>0.01</v>
      </c>
      <c r="I1237" s="6" t="n">
        <v>20</v>
      </c>
      <c r="J1237" s="6" t="n">
        <v>0</v>
      </c>
      <c r="K1237" s="6" t="n">
        <v>20</v>
      </c>
      <c r="L1237" s="6" t="n">
        <v>0</v>
      </c>
      <c r="M1237" s="6" t="n">
        <v>20</v>
      </c>
      <c r="N1237" s="11" t="n">
        <f aca="false">J1237/(J1237+K1237)</f>
        <v>0</v>
      </c>
      <c r="O1237" s="11" t="str">
        <f aca="false">IF(J1237+L1237=0,"",J1237/(J1237+L1237))</f>
        <v/>
      </c>
      <c r="P1237" s="11" t="n">
        <f aca="false">2*J1237/(2*J1237+L1237+K1237)</f>
        <v>0</v>
      </c>
      <c r="Q1237" s="11" t="n">
        <f aca="false">L1237/(L1237+M1237)</f>
        <v>0</v>
      </c>
      <c r="R1237" s="6" t="n">
        <v>0</v>
      </c>
      <c r="S1237" s="11"/>
      <c r="T1237" s="11" t="n">
        <v>0</v>
      </c>
      <c r="U1237" s="11" t="n">
        <v>0.8</v>
      </c>
      <c r="V1237" s="11" t="n">
        <v>0.8</v>
      </c>
    </row>
    <row r="1238" customFormat="false" ht="15" hidden="false" customHeight="false" outlineLevel="0" collapsed="false">
      <c r="A1238" s="6" t="s">
        <v>46</v>
      </c>
      <c r="B1238" s="6" t="s">
        <v>43</v>
      </c>
      <c r="C1238" s="6" t="s">
        <v>44</v>
      </c>
      <c r="D1238" s="6" t="s">
        <v>115</v>
      </c>
      <c r="E1238" s="6" t="n">
        <v>1</v>
      </c>
      <c r="F1238" s="6" t="n">
        <v>3</v>
      </c>
      <c r="G1238" s="6" t="s">
        <v>72</v>
      </c>
      <c r="H1238" s="11" t="n">
        <v>0.01</v>
      </c>
      <c r="I1238" s="6" t="n">
        <v>20</v>
      </c>
      <c r="J1238" s="6" t="n">
        <v>0</v>
      </c>
      <c r="K1238" s="6" t="n">
        <v>20</v>
      </c>
      <c r="L1238" s="6" t="n">
        <v>0</v>
      </c>
      <c r="M1238" s="6" t="n">
        <v>20</v>
      </c>
      <c r="N1238" s="11" t="n">
        <f aca="false">J1238/(J1238+K1238)</f>
        <v>0</v>
      </c>
      <c r="O1238" s="11" t="str">
        <f aca="false">IF(J1238+L1238=0,"",J1238/(J1238+L1238))</f>
        <v/>
      </c>
      <c r="P1238" s="11" t="n">
        <f aca="false">2*J1238/(2*J1238+L1238+K1238)</f>
        <v>0</v>
      </c>
      <c r="Q1238" s="11" t="n">
        <f aca="false">L1238/(L1238+M1238)</f>
        <v>0</v>
      </c>
      <c r="R1238" s="6" t="n">
        <v>0</v>
      </c>
      <c r="S1238" s="11"/>
      <c r="T1238" s="11" t="n">
        <v>0</v>
      </c>
      <c r="U1238" s="11" t="n">
        <v>0.9</v>
      </c>
      <c r="V1238" s="11" t="n">
        <v>0.9</v>
      </c>
    </row>
    <row r="1239" customFormat="false" ht="15" hidden="false" customHeight="false" outlineLevel="0" collapsed="false">
      <c r="A1239" s="6" t="s">
        <v>46</v>
      </c>
      <c r="B1239" s="6" t="s">
        <v>43</v>
      </c>
      <c r="C1239" s="6" t="s">
        <v>44</v>
      </c>
      <c r="D1239" s="6" t="s">
        <v>115</v>
      </c>
      <c r="E1239" s="6" t="n">
        <v>1</v>
      </c>
      <c r="F1239" s="6" t="n">
        <v>3</v>
      </c>
      <c r="G1239" s="6" t="s">
        <v>73</v>
      </c>
      <c r="H1239" s="11" t="n">
        <v>0.01</v>
      </c>
      <c r="I1239" s="6" t="n">
        <v>20</v>
      </c>
      <c r="J1239" s="6" t="n">
        <v>0</v>
      </c>
      <c r="K1239" s="6" t="n">
        <v>20</v>
      </c>
      <c r="L1239" s="6" t="n">
        <v>0</v>
      </c>
      <c r="M1239" s="6" t="n">
        <v>20</v>
      </c>
      <c r="N1239" s="11" t="n">
        <f aca="false">J1239/(J1239+K1239)</f>
        <v>0</v>
      </c>
      <c r="O1239" s="11" t="str">
        <f aca="false">IF(J1239+L1239=0,"",J1239/(J1239+L1239))</f>
        <v/>
      </c>
      <c r="P1239" s="11" t="n">
        <f aca="false">2*J1239/(2*J1239+L1239+K1239)</f>
        <v>0</v>
      </c>
      <c r="Q1239" s="11" t="n">
        <f aca="false">L1239/(L1239+M1239)</f>
        <v>0</v>
      </c>
      <c r="R1239" s="6" t="n">
        <v>0</v>
      </c>
      <c r="S1239" s="11"/>
      <c r="T1239" s="11" t="n">
        <v>0</v>
      </c>
      <c r="U1239" s="11" t="n">
        <v>0.65</v>
      </c>
      <c r="V1239" s="11" t="n">
        <v>0.65</v>
      </c>
    </row>
    <row r="1240" customFormat="false" ht="15" hidden="false" customHeight="false" outlineLevel="0" collapsed="false">
      <c r="A1240" s="6" t="s">
        <v>46</v>
      </c>
      <c r="B1240" s="6" t="s">
        <v>43</v>
      </c>
      <c r="C1240" s="6" t="s">
        <v>44</v>
      </c>
      <c r="D1240" s="6" t="s">
        <v>115</v>
      </c>
      <c r="E1240" s="6" t="n">
        <v>1</v>
      </c>
      <c r="F1240" s="6" t="n">
        <v>3</v>
      </c>
      <c r="G1240" s="6" t="s">
        <v>74</v>
      </c>
      <c r="H1240" s="11" t="n">
        <v>0.01</v>
      </c>
      <c r="I1240" s="6" t="n">
        <v>20</v>
      </c>
      <c r="J1240" s="6" t="n">
        <v>0</v>
      </c>
      <c r="K1240" s="6" t="n">
        <v>20</v>
      </c>
      <c r="L1240" s="6" t="n">
        <v>0</v>
      </c>
      <c r="M1240" s="6" t="n">
        <v>20</v>
      </c>
      <c r="N1240" s="11" t="n">
        <f aca="false">J1240/(J1240+K1240)</f>
        <v>0</v>
      </c>
      <c r="O1240" s="11" t="str">
        <f aca="false">IF(J1240+L1240=0,"",J1240/(J1240+L1240))</f>
        <v/>
      </c>
      <c r="P1240" s="11" t="n">
        <f aca="false">2*J1240/(2*J1240+L1240+K1240)</f>
        <v>0</v>
      </c>
      <c r="Q1240" s="11" t="n">
        <f aca="false">L1240/(L1240+M1240)</f>
        <v>0</v>
      </c>
      <c r="R1240" s="6" t="n">
        <v>2</v>
      </c>
      <c r="S1240" s="11" t="n">
        <v>0</v>
      </c>
      <c r="T1240" s="11" t="n">
        <v>0</v>
      </c>
      <c r="U1240" s="11" t="n">
        <v>0.85</v>
      </c>
      <c r="V1240" s="11" t="n">
        <v>0.9</v>
      </c>
    </row>
    <row r="1241" customFormat="false" ht="15" hidden="false" customHeight="false" outlineLevel="0" collapsed="false">
      <c r="A1241" s="6" t="s">
        <v>46</v>
      </c>
      <c r="B1241" s="6" t="s">
        <v>43</v>
      </c>
      <c r="C1241" s="6" t="s">
        <v>44</v>
      </c>
      <c r="D1241" s="6" t="s">
        <v>115</v>
      </c>
      <c r="E1241" s="6" t="n">
        <v>1</v>
      </c>
      <c r="F1241" s="6" t="n">
        <v>3</v>
      </c>
      <c r="G1241" s="6" t="s">
        <v>75</v>
      </c>
      <c r="H1241" s="11" t="n">
        <v>0.01</v>
      </c>
      <c r="I1241" s="6" t="n">
        <v>20</v>
      </c>
      <c r="J1241" s="6" t="n">
        <v>0</v>
      </c>
      <c r="K1241" s="6" t="n">
        <v>20</v>
      </c>
      <c r="L1241" s="6" t="n">
        <v>0</v>
      </c>
      <c r="M1241" s="6" t="n">
        <v>20</v>
      </c>
      <c r="N1241" s="11" t="n">
        <f aca="false">J1241/(J1241+K1241)</f>
        <v>0</v>
      </c>
      <c r="O1241" s="11" t="str">
        <f aca="false">IF(J1241+L1241=0,"",J1241/(J1241+L1241))</f>
        <v/>
      </c>
      <c r="P1241" s="11" t="n">
        <f aca="false">2*J1241/(2*J1241+L1241+K1241)</f>
        <v>0</v>
      </c>
      <c r="Q1241" s="11" t="n">
        <f aca="false">L1241/(L1241+M1241)</f>
        <v>0</v>
      </c>
      <c r="R1241" s="6" t="n">
        <v>0</v>
      </c>
      <c r="S1241" s="11"/>
      <c r="T1241" s="11" t="n">
        <v>0</v>
      </c>
      <c r="U1241" s="11" t="n">
        <v>0.9</v>
      </c>
      <c r="V1241" s="11" t="n">
        <v>0.9</v>
      </c>
    </row>
    <row r="1242" customFormat="false" ht="15" hidden="false" customHeight="false" outlineLevel="0" collapsed="false">
      <c r="A1242" s="6" t="s">
        <v>46</v>
      </c>
      <c r="B1242" s="6" t="s">
        <v>43</v>
      </c>
      <c r="C1242" s="6" t="s">
        <v>44</v>
      </c>
      <c r="D1242" s="6" t="s">
        <v>115</v>
      </c>
      <c r="E1242" s="6" t="n">
        <v>1</v>
      </c>
      <c r="F1242" s="6" t="n">
        <v>3</v>
      </c>
      <c r="G1242" s="6" t="s">
        <v>76</v>
      </c>
      <c r="H1242" s="11" t="n">
        <v>0.01</v>
      </c>
      <c r="I1242" s="6" t="n">
        <v>20</v>
      </c>
      <c r="J1242" s="6" t="n">
        <v>0</v>
      </c>
      <c r="K1242" s="6" t="n">
        <v>20</v>
      </c>
      <c r="L1242" s="6" t="n">
        <v>0</v>
      </c>
      <c r="M1242" s="6" t="n">
        <v>20</v>
      </c>
      <c r="N1242" s="11" t="n">
        <f aca="false">J1242/(J1242+K1242)</f>
        <v>0</v>
      </c>
      <c r="O1242" s="11" t="str">
        <f aca="false">IF(J1242+L1242=0,"",J1242/(J1242+L1242))</f>
        <v/>
      </c>
      <c r="P1242" s="11" t="n">
        <f aca="false">2*J1242/(2*J1242+L1242+K1242)</f>
        <v>0</v>
      </c>
      <c r="Q1242" s="11" t="n">
        <f aca="false">L1242/(L1242+M1242)</f>
        <v>0</v>
      </c>
      <c r="R1242" s="6" t="n">
        <v>0</v>
      </c>
      <c r="S1242" s="11"/>
      <c r="T1242" s="11" t="n">
        <v>0</v>
      </c>
      <c r="U1242" s="11" t="n">
        <v>0.95</v>
      </c>
      <c r="V1242" s="11" t="n">
        <v>0.95</v>
      </c>
    </row>
    <row r="1243" customFormat="false" ht="15" hidden="false" customHeight="false" outlineLevel="0" collapsed="false">
      <c r="A1243" s="6" t="s">
        <v>46</v>
      </c>
      <c r="B1243" s="6" t="s">
        <v>43</v>
      </c>
      <c r="C1243" s="6" t="s">
        <v>44</v>
      </c>
      <c r="D1243" s="6" t="s">
        <v>115</v>
      </c>
      <c r="E1243" s="6" t="n">
        <v>1</v>
      </c>
      <c r="F1243" s="6" t="n">
        <v>3</v>
      </c>
      <c r="G1243" s="6" t="s">
        <v>77</v>
      </c>
      <c r="H1243" s="11" t="n">
        <v>0.01</v>
      </c>
      <c r="I1243" s="6" t="n">
        <v>20</v>
      </c>
      <c r="J1243" s="6" t="n">
        <v>1</v>
      </c>
      <c r="K1243" s="6" t="n">
        <v>19</v>
      </c>
      <c r="L1243" s="6" t="n">
        <v>1</v>
      </c>
      <c r="M1243" s="6" t="n">
        <v>19</v>
      </c>
      <c r="N1243" s="11" t="n">
        <f aca="false">J1243/(J1243+K1243)</f>
        <v>0.05</v>
      </c>
      <c r="O1243" s="11" t="n">
        <f aca="false">IF(J1243+L1243=0,"",J1243/(J1243+L1243))</f>
        <v>0.5</v>
      </c>
      <c r="P1243" s="11" t="n">
        <f aca="false">2*J1243/(2*J1243+L1243+K1243)</f>
        <v>0.0909090909090909</v>
      </c>
      <c r="Q1243" s="11" t="n">
        <f aca="false">L1243/(L1243+M1243)</f>
        <v>0.05</v>
      </c>
      <c r="R1243" s="6" t="n">
        <v>0</v>
      </c>
      <c r="S1243" s="11"/>
      <c r="T1243" s="11" t="n">
        <v>0.05</v>
      </c>
      <c r="U1243" s="11" t="n">
        <v>1</v>
      </c>
      <c r="V1243" s="11" t="n">
        <v>1</v>
      </c>
    </row>
    <row r="1244" customFormat="false" ht="15" hidden="false" customHeight="false" outlineLevel="0" collapsed="false">
      <c r="A1244" s="6" t="s">
        <v>46</v>
      </c>
      <c r="B1244" s="6" t="s">
        <v>43</v>
      </c>
      <c r="C1244" s="6" t="s">
        <v>44</v>
      </c>
      <c r="D1244" s="6" t="s">
        <v>115</v>
      </c>
      <c r="E1244" s="6" t="n">
        <v>1</v>
      </c>
      <c r="F1244" s="6" t="n">
        <v>3</v>
      </c>
      <c r="G1244" s="6" t="s">
        <v>78</v>
      </c>
      <c r="H1244" s="11" t="n">
        <v>0.01</v>
      </c>
      <c r="I1244" s="6" t="n">
        <v>200</v>
      </c>
      <c r="J1244" s="6" t="n">
        <v>1</v>
      </c>
      <c r="K1244" s="6" t="n">
        <v>199</v>
      </c>
      <c r="L1244" s="6" t="n">
        <v>1</v>
      </c>
      <c r="M1244" s="6" t="n">
        <v>199</v>
      </c>
      <c r="N1244" s="11" t="n">
        <f aca="false">J1244/(J1244+K1244)</f>
        <v>0.005</v>
      </c>
      <c r="O1244" s="11" t="n">
        <f aca="false">IF(J1244+L1244=0,"",J1244/(J1244+L1244))</f>
        <v>0.5</v>
      </c>
      <c r="P1244" s="11" t="n">
        <f aca="false">2*J1244/(2*J1244+L1244+K1244)</f>
        <v>0.0099009900990099</v>
      </c>
      <c r="Q1244" s="11" t="n">
        <f aca="false">L1244/(L1244+M1244)</f>
        <v>0.005</v>
      </c>
      <c r="R1244" s="6" t="n">
        <v>2</v>
      </c>
      <c r="S1244" s="11" t="n">
        <v>0</v>
      </c>
      <c r="T1244" s="11" t="n">
        <v>0.00505050505050505</v>
      </c>
      <c r="U1244" s="11" t="n">
        <v>0.88</v>
      </c>
      <c r="V1244" s="11" t="n">
        <v>0.885</v>
      </c>
    </row>
    <row r="1245" customFormat="false" ht="15" hidden="false" customHeight="false" outlineLevel="0" collapsed="false">
      <c r="A1245" s="6" t="s">
        <v>46</v>
      </c>
      <c r="B1245" s="6" t="s">
        <v>43</v>
      </c>
      <c r="C1245" s="6" t="s">
        <v>44</v>
      </c>
      <c r="D1245" s="6" t="s">
        <v>115</v>
      </c>
      <c r="E1245" s="6" t="n">
        <v>1</v>
      </c>
      <c r="F1245" s="6" t="n">
        <v>4</v>
      </c>
      <c r="G1245" s="6" t="s">
        <v>68</v>
      </c>
      <c r="H1245" s="11" t="n">
        <v>0.01</v>
      </c>
      <c r="I1245" s="6" t="n">
        <v>20</v>
      </c>
      <c r="J1245" s="6" t="n">
        <v>20</v>
      </c>
      <c r="K1245" s="6" t="n">
        <v>0</v>
      </c>
      <c r="L1245" s="6" t="n">
        <v>0</v>
      </c>
      <c r="M1245" s="6" t="n">
        <v>20</v>
      </c>
      <c r="N1245" s="11" t="n">
        <f aca="false">J1245/(J1245+K1245)</f>
        <v>1</v>
      </c>
      <c r="O1245" s="11" t="n">
        <f aca="false">IF(J1245+L1245=0,"",J1245/(J1245+L1245))</f>
        <v>1</v>
      </c>
      <c r="P1245" s="11" t="n">
        <f aca="false">2*J1245/(2*J1245+L1245+K1245)</f>
        <v>1</v>
      </c>
      <c r="Q1245" s="11" t="n">
        <f aca="false">L1245/(L1245+M1245)</f>
        <v>0</v>
      </c>
      <c r="R1245" s="6" t="n">
        <v>20</v>
      </c>
      <c r="S1245" s="11" t="n">
        <v>1</v>
      </c>
      <c r="T1245" s="11"/>
      <c r="U1245" s="11" t="n">
        <v>0.85</v>
      </c>
      <c r="V1245" s="11" t="n">
        <v>0</v>
      </c>
    </row>
    <row r="1246" customFormat="false" ht="15" hidden="false" customHeight="false" outlineLevel="0" collapsed="false">
      <c r="A1246" s="6" t="s">
        <v>46</v>
      </c>
      <c r="B1246" s="6" t="s">
        <v>43</v>
      </c>
      <c r="C1246" s="6" t="s">
        <v>44</v>
      </c>
      <c r="D1246" s="6" t="s">
        <v>115</v>
      </c>
      <c r="E1246" s="6" t="n">
        <v>1</v>
      </c>
      <c r="F1246" s="6" t="n">
        <v>4</v>
      </c>
      <c r="G1246" s="6" t="s">
        <v>69</v>
      </c>
      <c r="H1246" s="11" t="n">
        <v>0.01</v>
      </c>
      <c r="I1246" s="6" t="n">
        <v>20</v>
      </c>
      <c r="J1246" s="6" t="n">
        <v>20</v>
      </c>
      <c r="K1246" s="6" t="n">
        <v>0</v>
      </c>
      <c r="L1246" s="6" t="n">
        <v>0</v>
      </c>
      <c r="M1246" s="6" t="n">
        <v>20</v>
      </c>
      <c r="N1246" s="11" t="n">
        <f aca="false">J1246/(J1246+K1246)</f>
        <v>1</v>
      </c>
      <c r="O1246" s="11" t="n">
        <f aca="false">IF(J1246+L1246=0,"",J1246/(J1246+L1246))</f>
        <v>1</v>
      </c>
      <c r="P1246" s="11" t="n">
        <f aca="false">2*J1246/(2*J1246+L1246+K1246)</f>
        <v>1</v>
      </c>
      <c r="Q1246" s="11" t="n">
        <f aca="false">L1246/(L1246+M1246)</f>
        <v>0</v>
      </c>
      <c r="R1246" s="6" t="n">
        <v>20</v>
      </c>
      <c r="S1246" s="11" t="n">
        <v>1</v>
      </c>
      <c r="T1246" s="11"/>
      <c r="U1246" s="11" t="n">
        <v>1</v>
      </c>
      <c r="V1246" s="11" t="n">
        <v>0</v>
      </c>
    </row>
    <row r="1247" customFormat="false" ht="15" hidden="false" customHeight="false" outlineLevel="0" collapsed="false">
      <c r="A1247" s="6" t="s">
        <v>46</v>
      </c>
      <c r="B1247" s="6" t="s">
        <v>43</v>
      </c>
      <c r="C1247" s="6" t="s">
        <v>44</v>
      </c>
      <c r="D1247" s="6" t="s">
        <v>115</v>
      </c>
      <c r="E1247" s="6" t="n">
        <v>1</v>
      </c>
      <c r="F1247" s="6" t="n">
        <v>4</v>
      </c>
      <c r="G1247" s="6" t="s">
        <v>70</v>
      </c>
      <c r="H1247" s="11" t="n">
        <v>0.01</v>
      </c>
      <c r="I1247" s="6" t="n">
        <v>20</v>
      </c>
      <c r="J1247" s="6" t="n">
        <v>20</v>
      </c>
      <c r="K1247" s="6" t="n">
        <v>0</v>
      </c>
      <c r="L1247" s="6" t="n">
        <v>0</v>
      </c>
      <c r="M1247" s="6" t="n">
        <v>20</v>
      </c>
      <c r="N1247" s="11" t="n">
        <f aca="false">J1247/(J1247+K1247)</f>
        <v>1</v>
      </c>
      <c r="O1247" s="11" t="n">
        <f aca="false">IF(J1247+L1247=0,"",J1247/(J1247+L1247))</f>
        <v>1</v>
      </c>
      <c r="P1247" s="11" t="n">
        <f aca="false">2*J1247/(2*J1247+L1247+K1247)</f>
        <v>1</v>
      </c>
      <c r="Q1247" s="11" t="n">
        <f aca="false">L1247/(L1247+M1247)</f>
        <v>0</v>
      </c>
      <c r="R1247" s="6" t="n">
        <v>6</v>
      </c>
      <c r="S1247" s="11" t="n">
        <v>1</v>
      </c>
      <c r="T1247" s="11" t="n">
        <v>1</v>
      </c>
      <c r="U1247" s="11" t="n">
        <v>0.9</v>
      </c>
      <c r="V1247" s="11" t="n">
        <v>0.8</v>
      </c>
    </row>
    <row r="1248" customFormat="false" ht="15" hidden="false" customHeight="false" outlineLevel="0" collapsed="false">
      <c r="A1248" s="6" t="s">
        <v>46</v>
      </c>
      <c r="B1248" s="6" t="s">
        <v>43</v>
      </c>
      <c r="C1248" s="6" t="s">
        <v>44</v>
      </c>
      <c r="D1248" s="6" t="s">
        <v>115</v>
      </c>
      <c r="E1248" s="6" t="n">
        <v>1</v>
      </c>
      <c r="F1248" s="6" t="n">
        <v>4</v>
      </c>
      <c r="G1248" s="6" t="s">
        <v>71</v>
      </c>
      <c r="H1248" s="11" t="n">
        <v>0.01</v>
      </c>
      <c r="I1248" s="6" t="n">
        <v>20</v>
      </c>
      <c r="J1248" s="6" t="n">
        <v>20</v>
      </c>
      <c r="K1248" s="6" t="n">
        <v>0</v>
      </c>
      <c r="L1248" s="6" t="n">
        <v>0</v>
      </c>
      <c r="M1248" s="6" t="n">
        <v>20</v>
      </c>
      <c r="N1248" s="11" t="n">
        <f aca="false">J1248/(J1248+K1248)</f>
        <v>1</v>
      </c>
      <c r="O1248" s="11" t="n">
        <f aca="false">IF(J1248+L1248=0,"",J1248/(J1248+L1248))</f>
        <v>1</v>
      </c>
      <c r="P1248" s="11" t="n">
        <f aca="false">2*J1248/(2*J1248+L1248+K1248)</f>
        <v>1</v>
      </c>
      <c r="Q1248" s="11" t="n">
        <f aca="false">L1248/(L1248+M1248)</f>
        <v>0</v>
      </c>
      <c r="R1248" s="6" t="n">
        <v>18</v>
      </c>
      <c r="S1248" s="11" t="n">
        <v>1</v>
      </c>
      <c r="T1248" s="11" t="n">
        <v>1</v>
      </c>
      <c r="U1248" s="11" t="n">
        <v>0.8</v>
      </c>
      <c r="V1248" s="11" t="n">
        <v>0</v>
      </c>
    </row>
    <row r="1249" customFormat="false" ht="15" hidden="false" customHeight="false" outlineLevel="0" collapsed="false">
      <c r="A1249" s="6" t="s">
        <v>46</v>
      </c>
      <c r="B1249" s="6" t="s">
        <v>43</v>
      </c>
      <c r="C1249" s="6" t="s">
        <v>44</v>
      </c>
      <c r="D1249" s="6" t="s">
        <v>115</v>
      </c>
      <c r="E1249" s="6" t="n">
        <v>1</v>
      </c>
      <c r="F1249" s="6" t="n">
        <v>4</v>
      </c>
      <c r="G1249" s="6" t="s">
        <v>72</v>
      </c>
      <c r="H1249" s="11" t="n">
        <v>0.01</v>
      </c>
      <c r="I1249" s="6" t="n">
        <v>20</v>
      </c>
      <c r="J1249" s="6" t="n">
        <v>20</v>
      </c>
      <c r="K1249" s="6" t="n">
        <v>0</v>
      </c>
      <c r="L1249" s="6" t="n">
        <v>0</v>
      </c>
      <c r="M1249" s="6" t="n">
        <v>20</v>
      </c>
      <c r="N1249" s="11" t="n">
        <f aca="false">J1249/(J1249+K1249)</f>
        <v>1</v>
      </c>
      <c r="O1249" s="11" t="n">
        <f aca="false">IF(J1249+L1249=0,"",J1249/(J1249+L1249))</f>
        <v>1</v>
      </c>
      <c r="P1249" s="11" t="n">
        <f aca="false">2*J1249/(2*J1249+L1249+K1249)</f>
        <v>1</v>
      </c>
      <c r="Q1249" s="11" t="n">
        <f aca="false">L1249/(L1249+M1249)</f>
        <v>0</v>
      </c>
      <c r="R1249" s="6" t="n">
        <v>19</v>
      </c>
      <c r="S1249" s="11" t="n">
        <v>1</v>
      </c>
      <c r="T1249" s="11" t="n">
        <v>1</v>
      </c>
      <c r="U1249" s="11" t="n">
        <v>0.9</v>
      </c>
      <c r="V1249" s="11" t="n">
        <v>0</v>
      </c>
    </row>
    <row r="1250" customFormat="false" ht="15" hidden="false" customHeight="false" outlineLevel="0" collapsed="false">
      <c r="A1250" s="6" t="s">
        <v>46</v>
      </c>
      <c r="B1250" s="6" t="s">
        <v>43</v>
      </c>
      <c r="C1250" s="6" t="s">
        <v>44</v>
      </c>
      <c r="D1250" s="6" t="s">
        <v>115</v>
      </c>
      <c r="E1250" s="6" t="n">
        <v>1</v>
      </c>
      <c r="F1250" s="6" t="n">
        <v>4</v>
      </c>
      <c r="G1250" s="6" t="s">
        <v>73</v>
      </c>
      <c r="H1250" s="11" t="n">
        <v>0.01</v>
      </c>
      <c r="I1250" s="6" t="n">
        <v>20</v>
      </c>
      <c r="J1250" s="6" t="n">
        <v>20</v>
      </c>
      <c r="K1250" s="6" t="n">
        <v>0</v>
      </c>
      <c r="L1250" s="6" t="n">
        <v>0</v>
      </c>
      <c r="M1250" s="6" t="n">
        <v>20</v>
      </c>
      <c r="N1250" s="11" t="n">
        <f aca="false">J1250/(J1250+K1250)</f>
        <v>1</v>
      </c>
      <c r="O1250" s="11" t="n">
        <f aca="false">IF(J1250+L1250=0,"",J1250/(J1250+L1250))</f>
        <v>1</v>
      </c>
      <c r="P1250" s="11" t="n">
        <f aca="false">2*J1250/(2*J1250+L1250+K1250)</f>
        <v>1</v>
      </c>
      <c r="Q1250" s="11" t="n">
        <f aca="false">L1250/(L1250+M1250)</f>
        <v>0</v>
      </c>
      <c r="R1250" s="6" t="n">
        <v>19</v>
      </c>
      <c r="S1250" s="11" t="n">
        <v>1</v>
      </c>
      <c r="T1250" s="11" t="n">
        <v>1</v>
      </c>
      <c r="U1250" s="11" t="n">
        <v>0.65</v>
      </c>
      <c r="V1250" s="11" t="n">
        <v>0</v>
      </c>
    </row>
    <row r="1251" customFormat="false" ht="15" hidden="false" customHeight="false" outlineLevel="0" collapsed="false">
      <c r="A1251" s="6" t="s">
        <v>46</v>
      </c>
      <c r="B1251" s="6" t="s">
        <v>43</v>
      </c>
      <c r="C1251" s="6" t="s">
        <v>44</v>
      </c>
      <c r="D1251" s="6" t="s">
        <v>115</v>
      </c>
      <c r="E1251" s="6" t="n">
        <v>1</v>
      </c>
      <c r="F1251" s="6" t="n">
        <v>4</v>
      </c>
      <c r="G1251" s="6" t="s">
        <v>74</v>
      </c>
      <c r="H1251" s="11" t="n">
        <v>0.01</v>
      </c>
      <c r="I1251" s="6" t="n">
        <v>20</v>
      </c>
      <c r="J1251" s="6" t="n">
        <v>20</v>
      </c>
      <c r="K1251" s="6" t="n">
        <v>0</v>
      </c>
      <c r="L1251" s="6" t="n">
        <v>0</v>
      </c>
      <c r="M1251" s="6" t="n">
        <v>20</v>
      </c>
      <c r="N1251" s="11" t="n">
        <f aca="false">J1251/(J1251+K1251)</f>
        <v>1</v>
      </c>
      <c r="O1251" s="11" t="n">
        <f aca="false">IF(J1251+L1251=0,"",J1251/(J1251+L1251))</f>
        <v>1</v>
      </c>
      <c r="P1251" s="11" t="n">
        <f aca="false">2*J1251/(2*J1251+L1251+K1251)</f>
        <v>1</v>
      </c>
      <c r="Q1251" s="11" t="n">
        <f aca="false">L1251/(L1251+M1251)</f>
        <v>0</v>
      </c>
      <c r="R1251" s="6" t="n">
        <v>18</v>
      </c>
      <c r="S1251" s="11" t="n">
        <v>1</v>
      </c>
      <c r="T1251" s="11" t="n">
        <v>1</v>
      </c>
      <c r="U1251" s="11" t="n">
        <v>0.85</v>
      </c>
      <c r="V1251" s="11" t="n">
        <v>0</v>
      </c>
    </row>
    <row r="1252" customFormat="false" ht="15" hidden="false" customHeight="false" outlineLevel="0" collapsed="false">
      <c r="A1252" s="6" t="s">
        <v>46</v>
      </c>
      <c r="B1252" s="6" t="s">
        <v>43</v>
      </c>
      <c r="C1252" s="6" t="s">
        <v>44</v>
      </c>
      <c r="D1252" s="6" t="s">
        <v>115</v>
      </c>
      <c r="E1252" s="6" t="n">
        <v>1</v>
      </c>
      <c r="F1252" s="6" t="n">
        <v>4</v>
      </c>
      <c r="G1252" s="6" t="s">
        <v>75</v>
      </c>
      <c r="H1252" s="11" t="n">
        <v>0.01</v>
      </c>
      <c r="I1252" s="6" t="n">
        <v>20</v>
      </c>
      <c r="J1252" s="6" t="n">
        <v>20</v>
      </c>
      <c r="K1252" s="6" t="n">
        <v>0</v>
      </c>
      <c r="L1252" s="6" t="n">
        <v>0</v>
      </c>
      <c r="M1252" s="6" t="n">
        <v>20</v>
      </c>
      <c r="N1252" s="11" t="n">
        <f aca="false">J1252/(J1252+K1252)</f>
        <v>1</v>
      </c>
      <c r="O1252" s="11" t="n">
        <f aca="false">IF(J1252+L1252=0,"",J1252/(J1252+L1252))</f>
        <v>1</v>
      </c>
      <c r="P1252" s="11" t="n">
        <f aca="false">2*J1252/(2*J1252+L1252+K1252)</f>
        <v>1</v>
      </c>
      <c r="Q1252" s="11" t="n">
        <f aca="false">L1252/(L1252+M1252)</f>
        <v>0</v>
      </c>
      <c r="R1252" s="6" t="n">
        <v>20</v>
      </c>
      <c r="S1252" s="11" t="n">
        <v>1</v>
      </c>
      <c r="T1252" s="11"/>
      <c r="U1252" s="11" t="n">
        <v>0.9</v>
      </c>
      <c r="V1252" s="11" t="n">
        <v>0</v>
      </c>
    </row>
    <row r="1253" customFormat="false" ht="15" hidden="false" customHeight="false" outlineLevel="0" collapsed="false">
      <c r="A1253" s="6" t="s">
        <v>46</v>
      </c>
      <c r="B1253" s="6" t="s">
        <v>43</v>
      </c>
      <c r="C1253" s="6" t="s">
        <v>44</v>
      </c>
      <c r="D1253" s="6" t="s">
        <v>115</v>
      </c>
      <c r="E1253" s="6" t="n">
        <v>1</v>
      </c>
      <c r="F1253" s="6" t="n">
        <v>4</v>
      </c>
      <c r="G1253" s="6" t="s">
        <v>76</v>
      </c>
      <c r="H1253" s="11" t="n">
        <v>0.01</v>
      </c>
      <c r="I1253" s="6" t="n">
        <v>20</v>
      </c>
      <c r="J1253" s="6" t="n">
        <v>20</v>
      </c>
      <c r="K1253" s="6" t="n">
        <v>0</v>
      </c>
      <c r="L1253" s="6" t="n">
        <v>0</v>
      </c>
      <c r="M1253" s="6" t="n">
        <v>20</v>
      </c>
      <c r="N1253" s="11" t="n">
        <f aca="false">J1253/(J1253+K1253)</f>
        <v>1</v>
      </c>
      <c r="O1253" s="11" t="n">
        <f aca="false">IF(J1253+L1253=0,"",J1253/(J1253+L1253))</f>
        <v>1</v>
      </c>
      <c r="P1253" s="11" t="n">
        <f aca="false">2*J1253/(2*J1253+L1253+K1253)</f>
        <v>1</v>
      </c>
      <c r="Q1253" s="11" t="n">
        <f aca="false">L1253/(L1253+M1253)</f>
        <v>0</v>
      </c>
      <c r="R1253" s="6" t="n">
        <v>14</v>
      </c>
      <c r="S1253" s="11" t="n">
        <v>1</v>
      </c>
      <c r="T1253" s="11" t="n">
        <v>1</v>
      </c>
      <c r="U1253" s="11" t="n">
        <v>0.95</v>
      </c>
      <c r="V1253" s="11" t="n">
        <v>0.3</v>
      </c>
    </row>
    <row r="1254" customFormat="false" ht="15" hidden="false" customHeight="false" outlineLevel="0" collapsed="false">
      <c r="A1254" s="6" t="s">
        <v>46</v>
      </c>
      <c r="B1254" s="6" t="s">
        <v>43</v>
      </c>
      <c r="C1254" s="6" t="s">
        <v>44</v>
      </c>
      <c r="D1254" s="6" t="s">
        <v>115</v>
      </c>
      <c r="E1254" s="6" t="n">
        <v>1</v>
      </c>
      <c r="F1254" s="6" t="n">
        <v>4</v>
      </c>
      <c r="G1254" s="6" t="s">
        <v>77</v>
      </c>
      <c r="H1254" s="11" t="n">
        <v>0.01</v>
      </c>
      <c r="I1254" s="6" t="n">
        <v>20</v>
      </c>
      <c r="J1254" s="6" t="n">
        <v>20</v>
      </c>
      <c r="K1254" s="6" t="n">
        <v>0</v>
      </c>
      <c r="L1254" s="6" t="n">
        <v>1</v>
      </c>
      <c r="M1254" s="6" t="n">
        <v>19</v>
      </c>
      <c r="N1254" s="11" t="n">
        <f aca="false">J1254/(J1254+K1254)</f>
        <v>1</v>
      </c>
      <c r="O1254" s="11" t="n">
        <f aca="false">IF(J1254+L1254=0,"",J1254/(J1254+L1254))</f>
        <v>0.952380952380952</v>
      </c>
      <c r="P1254" s="11" t="n">
        <f aca="false">2*J1254/(2*J1254+L1254+K1254)</f>
        <v>0.975609756097561</v>
      </c>
      <c r="Q1254" s="11" t="n">
        <f aca="false">L1254/(L1254+M1254)</f>
        <v>0.05</v>
      </c>
      <c r="R1254" s="6" t="n">
        <v>20</v>
      </c>
      <c r="S1254" s="11" t="n">
        <v>1</v>
      </c>
      <c r="T1254" s="11"/>
      <c r="U1254" s="11" t="n">
        <v>1</v>
      </c>
      <c r="V1254" s="11" t="n">
        <v>0</v>
      </c>
    </row>
    <row r="1255" customFormat="false" ht="15" hidden="false" customHeight="false" outlineLevel="0" collapsed="false">
      <c r="A1255" s="6" t="s">
        <v>46</v>
      </c>
      <c r="B1255" s="6" t="s">
        <v>43</v>
      </c>
      <c r="C1255" s="6" t="s">
        <v>44</v>
      </c>
      <c r="D1255" s="6" t="s">
        <v>115</v>
      </c>
      <c r="E1255" s="6" t="n">
        <v>1</v>
      </c>
      <c r="F1255" s="6" t="n">
        <v>4</v>
      </c>
      <c r="G1255" s="6" t="s">
        <v>78</v>
      </c>
      <c r="H1255" s="11" t="n">
        <v>0.01</v>
      </c>
      <c r="I1255" s="6" t="n">
        <v>200</v>
      </c>
      <c r="J1255" s="6" t="n">
        <v>200</v>
      </c>
      <c r="K1255" s="6" t="n">
        <v>0</v>
      </c>
      <c r="L1255" s="6" t="n">
        <v>1</v>
      </c>
      <c r="M1255" s="6" t="n">
        <v>199</v>
      </c>
      <c r="N1255" s="11" t="n">
        <f aca="false">J1255/(J1255+K1255)</f>
        <v>1</v>
      </c>
      <c r="O1255" s="11" t="n">
        <f aca="false">IF(J1255+L1255=0,"",J1255/(J1255+L1255))</f>
        <v>0.995024875621891</v>
      </c>
      <c r="P1255" s="11" t="n">
        <f aca="false">2*J1255/(2*J1255+L1255+K1255)</f>
        <v>0.997506234413965</v>
      </c>
      <c r="Q1255" s="11" t="n">
        <f aca="false">L1255/(L1255+M1255)</f>
        <v>0.005</v>
      </c>
      <c r="R1255" s="6" t="n">
        <v>174</v>
      </c>
      <c r="S1255" s="11" t="n">
        <v>1</v>
      </c>
      <c r="T1255" s="11" t="n">
        <v>1</v>
      </c>
      <c r="U1255" s="11" t="n">
        <v>0.88</v>
      </c>
      <c r="V1255" s="11" t="n">
        <v>0.11</v>
      </c>
    </row>
    <row r="1256" customFormat="false" ht="15" hidden="false" customHeight="false" outlineLevel="0" collapsed="false">
      <c r="A1256" s="6" t="s">
        <v>46</v>
      </c>
      <c r="B1256" s="6" t="s">
        <v>43</v>
      </c>
      <c r="C1256" s="6" t="s">
        <v>44</v>
      </c>
      <c r="D1256" s="6" t="s">
        <v>115</v>
      </c>
      <c r="E1256" s="6" t="n">
        <v>1</v>
      </c>
      <c r="F1256" s="6" t="n">
        <v>5</v>
      </c>
      <c r="G1256" s="6" t="s">
        <v>68</v>
      </c>
      <c r="H1256" s="11" t="n">
        <v>0.01</v>
      </c>
      <c r="I1256" s="6" t="n">
        <v>20</v>
      </c>
      <c r="J1256" s="6" t="n">
        <v>0</v>
      </c>
      <c r="K1256" s="6" t="n">
        <v>20</v>
      </c>
      <c r="L1256" s="6" t="n">
        <v>0</v>
      </c>
      <c r="M1256" s="6" t="n">
        <v>20</v>
      </c>
      <c r="N1256" s="11" t="n">
        <f aca="false">J1256/(J1256+K1256)</f>
        <v>0</v>
      </c>
      <c r="O1256" s="11" t="str">
        <f aca="false">IF(J1256+L1256=0,"",J1256/(J1256+L1256))</f>
        <v/>
      </c>
      <c r="P1256" s="11" t="n">
        <f aca="false">2*J1256/(2*J1256+L1256+K1256)</f>
        <v>0</v>
      </c>
      <c r="Q1256" s="11" t="n">
        <f aca="false">L1256/(L1256+M1256)</f>
        <v>0</v>
      </c>
      <c r="R1256" s="6" t="n">
        <v>0</v>
      </c>
      <c r="S1256" s="11"/>
      <c r="T1256" s="11" t="n">
        <v>0</v>
      </c>
      <c r="U1256" s="11" t="n">
        <v>0.85</v>
      </c>
      <c r="V1256" s="11" t="n">
        <v>0.85</v>
      </c>
    </row>
    <row r="1257" customFormat="false" ht="15" hidden="false" customHeight="false" outlineLevel="0" collapsed="false">
      <c r="A1257" s="6" t="s">
        <v>46</v>
      </c>
      <c r="B1257" s="6" t="s">
        <v>43</v>
      </c>
      <c r="C1257" s="6" t="s">
        <v>44</v>
      </c>
      <c r="D1257" s="6" t="s">
        <v>115</v>
      </c>
      <c r="E1257" s="6" t="n">
        <v>1</v>
      </c>
      <c r="F1257" s="6" t="n">
        <v>5</v>
      </c>
      <c r="G1257" s="6" t="s">
        <v>69</v>
      </c>
      <c r="H1257" s="11" t="n">
        <v>0.01</v>
      </c>
      <c r="I1257" s="6" t="n">
        <v>20</v>
      </c>
      <c r="J1257" s="6" t="n">
        <v>0</v>
      </c>
      <c r="K1257" s="6" t="n">
        <v>20</v>
      </c>
      <c r="L1257" s="6" t="n">
        <v>0</v>
      </c>
      <c r="M1257" s="6" t="n">
        <v>20</v>
      </c>
      <c r="N1257" s="11" t="n">
        <f aca="false">J1257/(J1257+K1257)</f>
        <v>0</v>
      </c>
      <c r="O1257" s="11" t="str">
        <f aca="false">IF(J1257+L1257=0,"",J1257/(J1257+L1257))</f>
        <v/>
      </c>
      <c r="P1257" s="11" t="n">
        <f aca="false">2*J1257/(2*J1257+L1257+K1257)</f>
        <v>0</v>
      </c>
      <c r="Q1257" s="11" t="n">
        <f aca="false">L1257/(L1257+M1257)</f>
        <v>0</v>
      </c>
      <c r="R1257" s="6" t="n">
        <v>0</v>
      </c>
      <c r="S1257" s="11"/>
      <c r="T1257" s="11" t="n">
        <v>0</v>
      </c>
      <c r="U1257" s="11" t="n">
        <v>1</v>
      </c>
      <c r="V1257" s="11" t="n">
        <v>1</v>
      </c>
    </row>
    <row r="1258" customFormat="false" ht="15" hidden="false" customHeight="false" outlineLevel="0" collapsed="false">
      <c r="A1258" s="6" t="s">
        <v>46</v>
      </c>
      <c r="B1258" s="6" t="s">
        <v>43</v>
      </c>
      <c r="C1258" s="6" t="s">
        <v>44</v>
      </c>
      <c r="D1258" s="6" t="s">
        <v>115</v>
      </c>
      <c r="E1258" s="6" t="n">
        <v>1</v>
      </c>
      <c r="F1258" s="6" t="n">
        <v>5</v>
      </c>
      <c r="G1258" s="6" t="s">
        <v>70</v>
      </c>
      <c r="H1258" s="11" t="n">
        <v>0.01</v>
      </c>
      <c r="I1258" s="6" t="n">
        <v>20</v>
      </c>
      <c r="J1258" s="6" t="n">
        <v>0</v>
      </c>
      <c r="K1258" s="6" t="n">
        <v>20</v>
      </c>
      <c r="L1258" s="6" t="n">
        <v>0</v>
      </c>
      <c r="M1258" s="6" t="n">
        <v>20</v>
      </c>
      <c r="N1258" s="11" t="n">
        <f aca="false">J1258/(J1258+K1258)</f>
        <v>0</v>
      </c>
      <c r="O1258" s="11" t="str">
        <f aca="false">IF(J1258+L1258=0,"",J1258/(J1258+L1258))</f>
        <v/>
      </c>
      <c r="P1258" s="11" t="n">
        <f aca="false">2*J1258/(2*J1258+L1258+K1258)</f>
        <v>0</v>
      </c>
      <c r="Q1258" s="11" t="n">
        <f aca="false">L1258/(L1258+M1258)</f>
        <v>0</v>
      </c>
      <c r="R1258" s="6" t="n">
        <v>0</v>
      </c>
      <c r="S1258" s="11"/>
      <c r="T1258" s="11" t="n">
        <v>0</v>
      </c>
      <c r="U1258" s="11" t="n">
        <v>0.9</v>
      </c>
      <c r="V1258" s="11" t="n">
        <v>0.9</v>
      </c>
    </row>
    <row r="1259" customFormat="false" ht="15" hidden="false" customHeight="false" outlineLevel="0" collapsed="false">
      <c r="A1259" s="6" t="s">
        <v>46</v>
      </c>
      <c r="B1259" s="6" t="s">
        <v>43</v>
      </c>
      <c r="C1259" s="6" t="s">
        <v>44</v>
      </c>
      <c r="D1259" s="6" t="s">
        <v>115</v>
      </c>
      <c r="E1259" s="6" t="n">
        <v>1</v>
      </c>
      <c r="F1259" s="6" t="n">
        <v>5</v>
      </c>
      <c r="G1259" s="6" t="s">
        <v>71</v>
      </c>
      <c r="H1259" s="11" t="n">
        <v>0.01</v>
      </c>
      <c r="I1259" s="6" t="n">
        <v>20</v>
      </c>
      <c r="J1259" s="6" t="n">
        <v>0</v>
      </c>
      <c r="K1259" s="6" t="n">
        <v>20</v>
      </c>
      <c r="L1259" s="6" t="n">
        <v>0</v>
      </c>
      <c r="M1259" s="6" t="n">
        <v>20</v>
      </c>
      <c r="N1259" s="11" t="n">
        <f aca="false">J1259/(J1259+K1259)</f>
        <v>0</v>
      </c>
      <c r="O1259" s="11" t="str">
        <f aca="false">IF(J1259+L1259=0,"",J1259/(J1259+L1259))</f>
        <v/>
      </c>
      <c r="P1259" s="11" t="n">
        <f aca="false">2*J1259/(2*J1259+L1259+K1259)</f>
        <v>0</v>
      </c>
      <c r="Q1259" s="11" t="n">
        <f aca="false">L1259/(L1259+M1259)</f>
        <v>0</v>
      </c>
      <c r="R1259" s="6" t="n">
        <v>0</v>
      </c>
      <c r="S1259" s="11"/>
      <c r="T1259" s="11" t="n">
        <v>0</v>
      </c>
      <c r="U1259" s="11" t="n">
        <v>0.8</v>
      </c>
      <c r="V1259" s="11" t="n">
        <v>0.8</v>
      </c>
    </row>
    <row r="1260" customFormat="false" ht="15" hidden="false" customHeight="false" outlineLevel="0" collapsed="false">
      <c r="A1260" s="6" t="s">
        <v>46</v>
      </c>
      <c r="B1260" s="6" t="s">
        <v>43</v>
      </c>
      <c r="C1260" s="6" t="s">
        <v>44</v>
      </c>
      <c r="D1260" s="6" t="s">
        <v>115</v>
      </c>
      <c r="E1260" s="6" t="n">
        <v>1</v>
      </c>
      <c r="F1260" s="6" t="n">
        <v>5</v>
      </c>
      <c r="G1260" s="6" t="s">
        <v>72</v>
      </c>
      <c r="H1260" s="11" t="n">
        <v>0.01</v>
      </c>
      <c r="I1260" s="6" t="n">
        <v>20</v>
      </c>
      <c r="J1260" s="6" t="n">
        <v>0</v>
      </c>
      <c r="K1260" s="6" t="n">
        <v>20</v>
      </c>
      <c r="L1260" s="6" t="n">
        <v>0</v>
      </c>
      <c r="M1260" s="6" t="n">
        <v>20</v>
      </c>
      <c r="N1260" s="11" t="n">
        <f aca="false">J1260/(J1260+K1260)</f>
        <v>0</v>
      </c>
      <c r="O1260" s="11" t="str">
        <f aca="false">IF(J1260+L1260=0,"",J1260/(J1260+L1260))</f>
        <v/>
      </c>
      <c r="P1260" s="11" t="n">
        <f aca="false">2*J1260/(2*J1260+L1260+K1260)</f>
        <v>0</v>
      </c>
      <c r="Q1260" s="11" t="n">
        <f aca="false">L1260/(L1260+M1260)</f>
        <v>0</v>
      </c>
      <c r="R1260" s="6" t="n">
        <v>0</v>
      </c>
      <c r="S1260" s="11"/>
      <c r="T1260" s="11" t="n">
        <v>0</v>
      </c>
      <c r="U1260" s="11" t="n">
        <v>0.9</v>
      </c>
      <c r="V1260" s="11" t="n">
        <v>0.9</v>
      </c>
    </row>
    <row r="1261" customFormat="false" ht="15" hidden="false" customHeight="false" outlineLevel="0" collapsed="false">
      <c r="A1261" s="6" t="s">
        <v>46</v>
      </c>
      <c r="B1261" s="6" t="s">
        <v>43</v>
      </c>
      <c r="C1261" s="6" t="s">
        <v>44</v>
      </c>
      <c r="D1261" s="6" t="s">
        <v>115</v>
      </c>
      <c r="E1261" s="6" t="n">
        <v>1</v>
      </c>
      <c r="F1261" s="6" t="n">
        <v>5</v>
      </c>
      <c r="G1261" s="6" t="s">
        <v>73</v>
      </c>
      <c r="H1261" s="11" t="n">
        <v>0.01</v>
      </c>
      <c r="I1261" s="6" t="n">
        <v>20</v>
      </c>
      <c r="J1261" s="6" t="n">
        <v>0</v>
      </c>
      <c r="K1261" s="6" t="n">
        <v>20</v>
      </c>
      <c r="L1261" s="6" t="n">
        <v>0</v>
      </c>
      <c r="M1261" s="6" t="n">
        <v>20</v>
      </c>
      <c r="N1261" s="11" t="n">
        <f aca="false">J1261/(J1261+K1261)</f>
        <v>0</v>
      </c>
      <c r="O1261" s="11" t="str">
        <f aca="false">IF(J1261+L1261=0,"",J1261/(J1261+L1261))</f>
        <v/>
      </c>
      <c r="P1261" s="11" t="n">
        <f aca="false">2*J1261/(2*J1261+L1261+K1261)</f>
        <v>0</v>
      </c>
      <c r="Q1261" s="11" t="n">
        <f aca="false">L1261/(L1261+M1261)</f>
        <v>0</v>
      </c>
      <c r="R1261" s="6" t="n">
        <v>0</v>
      </c>
      <c r="S1261" s="11"/>
      <c r="T1261" s="11" t="n">
        <v>0</v>
      </c>
      <c r="U1261" s="11" t="n">
        <v>0.65</v>
      </c>
      <c r="V1261" s="11" t="n">
        <v>0.65</v>
      </c>
    </row>
    <row r="1262" customFormat="false" ht="15" hidden="false" customHeight="false" outlineLevel="0" collapsed="false">
      <c r="A1262" s="6" t="s">
        <v>46</v>
      </c>
      <c r="B1262" s="6" t="s">
        <v>43</v>
      </c>
      <c r="C1262" s="6" t="s">
        <v>44</v>
      </c>
      <c r="D1262" s="6" t="s">
        <v>115</v>
      </c>
      <c r="E1262" s="6" t="n">
        <v>1</v>
      </c>
      <c r="F1262" s="6" t="n">
        <v>5</v>
      </c>
      <c r="G1262" s="6" t="s">
        <v>74</v>
      </c>
      <c r="H1262" s="11" t="n">
        <v>0.01</v>
      </c>
      <c r="I1262" s="6" t="n">
        <v>20</v>
      </c>
      <c r="J1262" s="6" t="n">
        <v>0</v>
      </c>
      <c r="K1262" s="6" t="n">
        <v>20</v>
      </c>
      <c r="L1262" s="6" t="n">
        <v>0</v>
      </c>
      <c r="M1262" s="6" t="n">
        <v>20</v>
      </c>
      <c r="N1262" s="11" t="n">
        <f aca="false">J1262/(J1262+K1262)</f>
        <v>0</v>
      </c>
      <c r="O1262" s="11" t="str">
        <f aca="false">IF(J1262+L1262=0,"",J1262/(J1262+L1262))</f>
        <v/>
      </c>
      <c r="P1262" s="11" t="n">
        <f aca="false">2*J1262/(2*J1262+L1262+K1262)</f>
        <v>0</v>
      </c>
      <c r="Q1262" s="11" t="n">
        <f aca="false">L1262/(L1262+M1262)</f>
        <v>0</v>
      </c>
      <c r="R1262" s="6" t="n">
        <v>3</v>
      </c>
      <c r="S1262" s="11" t="n">
        <v>0</v>
      </c>
      <c r="T1262" s="11" t="n">
        <v>0</v>
      </c>
      <c r="U1262" s="11" t="n">
        <v>0.85</v>
      </c>
      <c r="V1262" s="11" t="n">
        <v>0.85</v>
      </c>
    </row>
    <row r="1263" customFormat="false" ht="15" hidden="false" customHeight="false" outlineLevel="0" collapsed="false">
      <c r="A1263" s="6" t="s">
        <v>46</v>
      </c>
      <c r="B1263" s="6" t="s">
        <v>43</v>
      </c>
      <c r="C1263" s="6" t="s">
        <v>44</v>
      </c>
      <c r="D1263" s="6" t="s">
        <v>115</v>
      </c>
      <c r="E1263" s="6" t="n">
        <v>1</v>
      </c>
      <c r="F1263" s="6" t="n">
        <v>5</v>
      </c>
      <c r="G1263" s="6" t="s">
        <v>75</v>
      </c>
      <c r="H1263" s="11" t="n">
        <v>0.01</v>
      </c>
      <c r="I1263" s="6" t="n">
        <v>20</v>
      </c>
      <c r="J1263" s="6" t="n">
        <v>0</v>
      </c>
      <c r="K1263" s="6" t="n">
        <v>20</v>
      </c>
      <c r="L1263" s="6" t="n">
        <v>0</v>
      </c>
      <c r="M1263" s="6" t="n">
        <v>20</v>
      </c>
      <c r="N1263" s="11" t="n">
        <f aca="false">J1263/(J1263+K1263)</f>
        <v>0</v>
      </c>
      <c r="O1263" s="11" t="str">
        <f aca="false">IF(J1263+L1263=0,"",J1263/(J1263+L1263))</f>
        <v/>
      </c>
      <c r="P1263" s="11" t="n">
        <f aca="false">2*J1263/(2*J1263+L1263+K1263)</f>
        <v>0</v>
      </c>
      <c r="Q1263" s="11" t="n">
        <f aca="false">L1263/(L1263+M1263)</f>
        <v>0</v>
      </c>
      <c r="R1263" s="6" t="n">
        <v>2</v>
      </c>
      <c r="S1263" s="11" t="n">
        <v>0</v>
      </c>
      <c r="T1263" s="11" t="n">
        <v>0</v>
      </c>
      <c r="U1263" s="11" t="n">
        <v>0.9</v>
      </c>
      <c r="V1263" s="11" t="n">
        <v>0.95</v>
      </c>
    </row>
    <row r="1264" customFormat="false" ht="15" hidden="false" customHeight="false" outlineLevel="0" collapsed="false">
      <c r="A1264" s="6" t="s">
        <v>46</v>
      </c>
      <c r="B1264" s="6" t="s">
        <v>43</v>
      </c>
      <c r="C1264" s="6" t="s">
        <v>44</v>
      </c>
      <c r="D1264" s="6" t="s">
        <v>115</v>
      </c>
      <c r="E1264" s="6" t="n">
        <v>1</v>
      </c>
      <c r="F1264" s="6" t="n">
        <v>5</v>
      </c>
      <c r="G1264" s="6" t="s">
        <v>76</v>
      </c>
      <c r="H1264" s="11" t="n">
        <v>0.01</v>
      </c>
      <c r="I1264" s="6" t="n">
        <v>20</v>
      </c>
      <c r="J1264" s="6" t="n">
        <v>0</v>
      </c>
      <c r="K1264" s="6" t="n">
        <v>20</v>
      </c>
      <c r="L1264" s="6" t="n">
        <v>0</v>
      </c>
      <c r="M1264" s="6" t="n">
        <v>20</v>
      </c>
      <c r="N1264" s="11" t="n">
        <f aca="false">J1264/(J1264+K1264)</f>
        <v>0</v>
      </c>
      <c r="O1264" s="11" t="str">
        <f aca="false">IF(J1264+L1264=0,"",J1264/(J1264+L1264))</f>
        <v/>
      </c>
      <c r="P1264" s="11" t="n">
        <f aca="false">2*J1264/(2*J1264+L1264+K1264)</f>
        <v>0</v>
      </c>
      <c r="Q1264" s="11" t="n">
        <f aca="false">L1264/(L1264+M1264)</f>
        <v>0</v>
      </c>
      <c r="R1264" s="6" t="n">
        <v>0</v>
      </c>
      <c r="S1264" s="11"/>
      <c r="T1264" s="11" t="n">
        <v>0</v>
      </c>
      <c r="U1264" s="11" t="n">
        <v>0.95</v>
      </c>
      <c r="V1264" s="11" t="n">
        <v>0.95</v>
      </c>
    </row>
    <row r="1265" customFormat="false" ht="15" hidden="false" customHeight="false" outlineLevel="0" collapsed="false">
      <c r="A1265" s="6" t="s">
        <v>46</v>
      </c>
      <c r="B1265" s="6" t="s">
        <v>43</v>
      </c>
      <c r="C1265" s="6" t="s">
        <v>44</v>
      </c>
      <c r="D1265" s="6" t="s">
        <v>115</v>
      </c>
      <c r="E1265" s="6" t="n">
        <v>1</v>
      </c>
      <c r="F1265" s="6" t="n">
        <v>5</v>
      </c>
      <c r="G1265" s="6" t="s">
        <v>77</v>
      </c>
      <c r="H1265" s="11" t="n">
        <v>0.01</v>
      </c>
      <c r="I1265" s="6" t="n">
        <v>20</v>
      </c>
      <c r="J1265" s="6" t="n">
        <v>1</v>
      </c>
      <c r="K1265" s="6" t="n">
        <v>19</v>
      </c>
      <c r="L1265" s="6" t="n">
        <v>1</v>
      </c>
      <c r="M1265" s="6" t="n">
        <v>19</v>
      </c>
      <c r="N1265" s="11" t="n">
        <f aca="false">J1265/(J1265+K1265)</f>
        <v>0.05</v>
      </c>
      <c r="O1265" s="11" t="n">
        <f aca="false">IF(J1265+L1265=0,"",J1265/(J1265+L1265))</f>
        <v>0.5</v>
      </c>
      <c r="P1265" s="11" t="n">
        <f aca="false">2*J1265/(2*J1265+L1265+K1265)</f>
        <v>0.0909090909090909</v>
      </c>
      <c r="Q1265" s="11" t="n">
        <f aca="false">L1265/(L1265+M1265)</f>
        <v>0.05</v>
      </c>
      <c r="R1265" s="6" t="n">
        <v>0</v>
      </c>
      <c r="S1265" s="11"/>
      <c r="T1265" s="11" t="n">
        <v>0.05</v>
      </c>
      <c r="U1265" s="11" t="n">
        <v>1</v>
      </c>
      <c r="V1265" s="11" t="n">
        <v>1</v>
      </c>
    </row>
    <row r="1266" customFormat="false" ht="15" hidden="false" customHeight="false" outlineLevel="0" collapsed="false">
      <c r="A1266" s="6" t="s">
        <v>46</v>
      </c>
      <c r="B1266" s="6" t="s">
        <v>43</v>
      </c>
      <c r="C1266" s="6" t="s">
        <v>44</v>
      </c>
      <c r="D1266" s="6" t="s">
        <v>115</v>
      </c>
      <c r="E1266" s="6" t="n">
        <v>1</v>
      </c>
      <c r="F1266" s="6" t="n">
        <v>5</v>
      </c>
      <c r="G1266" s="6" t="s">
        <v>78</v>
      </c>
      <c r="H1266" s="11" t="n">
        <v>0.01</v>
      </c>
      <c r="I1266" s="6" t="n">
        <v>200</v>
      </c>
      <c r="J1266" s="6" t="n">
        <v>1</v>
      </c>
      <c r="K1266" s="6" t="n">
        <v>199</v>
      </c>
      <c r="L1266" s="6" t="n">
        <v>1</v>
      </c>
      <c r="M1266" s="6" t="n">
        <v>199</v>
      </c>
      <c r="N1266" s="11" t="n">
        <f aca="false">J1266/(J1266+K1266)</f>
        <v>0.005</v>
      </c>
      <c r="O1266" s="11" t="n">
        <f aca="false">IF(J1266+L1266=0,"",J1266/(J1266+L1266))</f>
        <v>0.5</v>
      </c>
      <c r="P1266" s="11" t="n">
        <f aca="false">2*J1266/(2*J1266+L1266+K1266)</f>
        <v>0.0099009900990099</v>
      </c>
      <c r="Q1266" s="11" t="n">
        <f aca="false">L1266/(L1266+M1266)</f>
        <v>0.005</v>
      </c>
      <c r="R1266" s="6" t="n">
        <v>5</v>
      </c>
      <c r="S1266" s="11" t="n">
        <v>0</v>
      </c>
      <c r="T1266" s="11" t="n">
        <v>0.00512820512820513</v>
      </c>
      <c r="U1266" s="11" t="n">
        <v>0.88</v>
      </c>
      <c r="V1266" s="11" t="n">
        <v>0.885</v>
      </c>
    </row>
    <row r="1267" customFormat="false" ht="15" hidden="false" customHeight="false" outlineLevel="0" collapsed="false">
      <c r="A1267" s="6" t="s">
        <v>46</v>
      </c>
      <c r="B1267" s="6" t="s">
        <v>43</v>
      </c>
      <c r="C1267" s="6" t="s">
        <v>44</v>
      </c>
      <c r="D1267" s="6" t="s">
        <v>115</v>
      </c>
      <c r="E1267" s="6" t="n">
        <v>1</v>
      </c>
      <c r="F1267" s="6" t="n">
        <v>6</v>
      </c>
      <c r="G1267" s="6" t="s">
        <v>68</v>
      </c>
      <c r="H1267" s="11" t="n">
        <v>0.01</v>
      </c>
      <c r="I1267" s="6" t="n">
        <v>20</v>
      </c>
      <c r="J1267" s="6" t="n">
        <v>20</v>
      </c>
      <c r="K1267" s="6" t="n">
        <v>0</v>
      </c>
      <c r="L1267" s="6" t="n">
        <v>0</v>
      </c>
      <c r="M1267" s="6" t="n">
        <v>20</v>
      </c>
      <c r="N1267" s="11" t="n">
        <f aca="false">J1267/(J1267+K1267)</f>
        <v>1</v>
      </c>
      <c r="O1267" s="11" t="n">
        <f aca="false">IF(J1267+L1267=0,"",J1267/(J1267+L1267))</f>
        <v>1</v>
      </c>
      <c r="P1267" s="11" t="n">
        <f aca="false">2*J1267/(2*J1267+L1267+K1267)</f>
        <v>1</v>
      </c>
      <c r="Q1267" s="11" t="n">
        <f aca="false">L1267/(L1267+M1267)</f>
        <v>0</v>
      </c>
      <c r="R1267" s="6" t="n">
        <v>20</v>
      </c>
      <c r="S1267" s="11" t="n">
        <v>1</v>
      </c>
      <c r="T1267" s="11"/>
      <c r="U1267" s="11" t="n">
        <v>0.85</v>
      </c>
      <c r="V1267" s="11" t="n">
        <v>0</v>
      </c>
    </row>
    <row r="1268" customFormat="false" ht="15" hidden="false" customHeight="false" outlineLevel="0" collapsed="false">
      <c r="A1268" s="6" t="s">
        <v>46</v>
      </c>
      <c r="B1268" s="6" t="s">
        <v>43</v>
      </c>
      <c r="C1268" s="6" t="s">
        <v>44</v>
      </c>
      <c r="D1268" s="6" t="s">
        <v>115</v>
      </c>
      <c r="E1268" s="6" t="n">
        <v>1</v>
      </c>
      <c r="F1268" s="6" t="n">
        <v>6</v>
      </c>
      <c r="G1268" s="6" t="s">
        <v>69</v>
      </c>
      <c r="H1268" s="11" t="n">
        <v>0.01</v>
      </c>
      <c r="I1268" s="6" t="n">
        <v>20</v>
      </c>
      <c r="J1268" s="6" t="n">
        <v>20</v>
      </c>
      <c r="K1268" s="6" t="n">
        <v>0</v>
      </c>
      <c r="L1268" s="6" t="n">
        <v>0</v>
      </c>
      <c r="M1268" s="6" t="n">
        <v>20</v>
      </c>
      <c r="N1268" s="11" t="n">
        <f aca="false">J1268/(J1268+K1268)</f>
        <v>1</v>
      </c>
      <c r="O1268" s="11" t="n">
        <f aca="false">IF(J1268+L1268=0,"",J1268/(J1268+L1268))</f>
        <v>1</v>
      </c>
      <c r="P1268" s="11" t="n">
        <f aca="false">2*J1268/(2*J1268+L1268+K1268)</f>
        <v>1</v>
      </c>
      <c r="Q1268" s="11" t="n">
        <f aca="false">L1268/(L1268+M1268)</f>
        <v>0</v>
      </c>
      <c r="R1268" s="6" t="n">
        <v>20</v>
      </c>
      <c r="S1268" s="11" t="n">
        <v>1</v>
      </c>
      <c r="T1268" s="11"/>
      <c r="U1268" s="11" t="n">
        <v>1</v>
      </c>
      <c r="V1268" s="11" t="n">
        <v>0</v>
      </c>
    </row>
    <row r="1269" customFormat="false" ht="15" hidden="false" customHeight="false" outlineLevel="0" collapsed="false">
      <c r="A1269" s="6" t="s">
        <v>46</v>
      </c>
      <c r="B1269" s="6" t="s">
        <v>43</v>
      </c>
      <c r="C1269" s="6" t="s">
        <v>44</v>
      </c>
      <c r="D1269" s="6" t="s">
        <v>115</v>
      </c>
      <c r="E1269" s="6" t="n">
        <v>1</v>
      </c>
      <c r="F1269" s="6" t="n">
        <v>6</v>
      </c>
      <c r="G1269" s="6" t="s">
        <v>70</v>
      </c>
      <c r="H1269" s="11" t="n">
        <v>0.01</v>
      </c>
      <c r="I1269" s="6" t="n">
        <v>20</v>
      </c>
      <c r="J1269" s="6" t="n">
        <v>20</v>
      </c>
      <c r="K1269" s="6" t="n">
        <v>0</v>
      </c>
      <c r="L1269" s="6" t="n">
        <v>0</v>
      </c>
      <c r="M1269" s="6" t="n">
        <v>20</v>
      </c>
      <c r="N1269" s="11" t="n">
        <f aca="false">J1269/(J1269+K1269)</f>
        <v>1</v>
      </c>
      <c r="O1269" s="11" t="n">
        <f aca="false">IF(J1269+L1269=0,"",J1269/(J1269+L1269))</f>
        <v>1</v>
      </c>
      <c r="P1269" s="11" t="n">
        <f aca="false">2*J1269/(2*J1269+L1269+K1269)</f>
        <v>1</v>
      </c>
      <c r="Q1269" s="11" t="n">
        <f aca="false">L1269/(L1269+M1269)</f>
        <v>0</v>
      </c>
      <c r="R1269" s="6" t="n">
        <v>13</v>
      </c>
      <c r="S1269" s="11" t="n">
        <v>1</v>
      </c>
      <c r="T1269" s="11" t="n">
        <v>1</v>
      </c>
      <c r="U1269" s="11" t="n">
        <v>0.9</v>
      </c>
      <c r="V1269" s="11" t="n">
        <v>0.4</v>
      </c>
    </row>
    <row r="1270" customFormat="false" ht="15" hidden="false" customHeight="false" outlineLevel="0" collapsed="false">
      <c r="A1270" s="6" t="s">
        <v>46</v>
      </c>
      <c r="B1270" s="6" t="s">
        <v>43</v>
      </c>
      <c r="C1270" s="6" t="s">
        <v>44</v>
      </c>
      <c r="D1270" s="6" t="s">
        <v>115</v>
      </c>
      <c r="E1270" s="6" t="n">
        <v>1</v>
      </c>
      <c r="F1270" s="6" t="n">
        <v>6</v>
      </c>
      <c r="G1270" s="6" t="s">
        <v>71</v>
      </c>
      <c r="H1270" s="11" t="n">
        <v>0.01</v>
      </c>
      <c r="I1270" s="6" t="n">
        <v>20</v>
      </c>
      <c r="J1270" s="6" t="n">
        <v>20</v>
      </c>
      <c r="K1270" s="6" t="n">
        <v>0</v>
      </c>
      <c r="L1270" s="6" t="n">
        <v>0</v>
      </c>
      <c r="M1270" s="6" t="n">
        <v>20</v>
      </c>
      <c r="N1270" s="11" t="n">
        <f aca="false">J1270/(J1270+K1270)</f>
        <v>1</v>
      </c>
      <c r="O1270" s="11" t="n">
        <f aca="false">IF(J1270+L1270=0,"",J1270/(J1270+L1270))</f>
        <v>1</v>
      </c>
      <c r="P1270" s="11" t="n">
        <f aca="false">2*J1270/(2*J1270+L1270+K1270)</f>
        <v>1</v>
      </c>
      <c r="Q1270" s="11" t="n">
        <f aca="false">L1270/(L1270+M1270)</f>
        <v>0</v>
      </c>
      <c r="R1270" s="6" t="n">
        <v>18</v>
      </c>
      <c r="S1270" s="11" t="n">
        <v>1</v>
      </c>
      <c r="T1270" s="11" t="n">
        <v>1</v>
      </c>
      <c r="U1270" s="11" t="n">
        <v>0.8</v>
      </c>
      <c r="V1270" s="11" t="n">
        <v>0</v>
      </c>
    </row>
    <row r="1271" customFormat="false" ht="15" hidden="false" customHeight="false" outlineLevel="0" collapsed="false">
      <c r="A1271" s="6" t="s">
        <v>46</v>
      </c>
      <c r="B1271" s="6" t="s">
        <v>43</v>
      </c>
      <c r="C1271" s="6" t="s">
        <v>44</v>
      </c>
      <c r="D1271" s="6" t="s">
        <v>115</v>
      </c>
      <c r="E1271" s="6" t="n">
        <v>1</v>
      </c>
      <c r="F1271" s="6" t="n">
        <v>6</v>
      </c>
      <c r="G1271" s="6" t="s">
        <v>72</v>
      </c>
      <c r="H1271" s="11" t="n">
        <v>0.01</v>
      </c>
      <c r="I1271" s="6" t="n">
        <v>20</v>
      </c>
      <c r="J1271" s="6" t="n">
        <v>20</v>
      </c>
      <c r="K1271" s="6" t="n">
        <v>0</v>
      </c>
      <c r="L1271" s="6" t="n">
        <v>0</v>
      </c>
      <c r="M1271" s="6" t="n">
        <v>20</v>
      </c>
      <c r="N1271" s="11" t="n">
        <f aca="false">J1271/(J1271+K1271)</f>
        <v>1</v>
      </c>
      <c r="O1271" s="11" t="n">
        <f aca="false">IF(J1271+L1271=0,"",J1271/(J1271+L1271))</f>
        <v>1</v>
      </c>
      <c r="P1271" s="11" t="n">
        <f aca="false">2*J1271/(2*J1271+L1271+K1271)</f>
        <v>1</v>
      </c>
      <c r="Q1271" s="11" t="n">
        <f aca="false">L1271/(L1271+M1271)</f>
        <v>0</v>
      </c>
      <c r="R1271" s="6" t="n">
        <v>19</v>
      </c>
      <c r="S1271" s="11" t="n">
        <v>1</v>
      </c>
      <c r="T1271" s="11" t="n">
        <v>1</v>
      </c>
      <c r="U1271" s="11" t="n">
        <v>0.9</v>
      </c>
      <c r="V1271" s="11" t="n">
        <v>0</v>
      </c>
    </row>
    <row r="1272" customFormat="false" ht="15" hidden="false" customHeight="false" outlineLevel="0" collapsed="false">
      <c r="A1272" s="6" t="s">
        <v>46</v>
      </c>
      <c r="B1272" s="6" t="s">
        <v>43</v>
      </c>
      <c r="C1272" s="6" t="s">
        <v>44</v>
      </c>
      <c r="D1272" s="6" t="s">
        <v>115</v>
      </c>
      <c r="E1272" s="6" t="n">
        <v>1</v>
      </c>
      <c r="F1272" s="6" t="n">
        <v>6</v>
      </c>
      <c r="G1272" s="6" t="s">
        <v>73</v>
      </c>
      <c r="H1272" s="11" t="n">
        <v>0.01</v>
      </c>
      <c r="I1272" s="6" t="n">
        <v>20</v>
      </c>
      <c r="J1272" s="6" t="n">
        <v>20</v>
      </c>
      <c r="K1272" s="6" t="n">
        <v>0</v>
      </c>
      <c r="L1272" s="6" t="n">
        <v>0</v>
      </c>
      <c r="M1272" s="6" t="n">
        <v>20</v>
      </c>
      <c r="N1272" s="11" t="n">
        <f aca="false">J1272/(J1272+K1272)</f>
        <v>1</v>
      </c>
      <c r="O1272" s="11" t="n">
        <f aca="false">IF(J1272+L1272=0,"",J1272/(J1272+L1272))</f>
        <v>1</v>
      </c>
      <c r="P1272" s="11" t="n">
        <f aca="false">2*J1272/(2*J1272+L1272+K1272)</f>
        <v>1</v>
      </c>
      <c r="Q1272" s="11" t="n">
        <f aca="false">L1272/(L1272+M1272)</f>
        <v>0</v>
      </c>
      <c r="R1272" s="6" t="n">
        <v>20</v>
      </c>
      <c r="S1272" s="11" t="n">
        <v>1</v>
      </c>
      <c r="T1272" s="11"/>
      <c r="U1272" s="11" t="n">
        <v>0.65</v>
      </c>
      <c r="V1272" s="11" t="n">
        <v>0</v>
      </c>
    </row>
    <row r="1273" customFormat="false" ht="15" hidden="false" customHeight="false" outlineLevel="0" collapsed="false">
      <c r="A1273" s="6" t="s">
        <v>46</v>
      </c>
      <c r="B1273" s="6" t="s">
        <v>43</v>
      </c>
      <c r="C1273" s="6" t="s">
        <v>44</v>
      </c>
      <c r="D1273" s="6" t="s">
        <v>115</v>
      </c>
      <c r="E1273" s="6" t="n">
        <v>1</v>
      </c>
      <c r="F1273" s="6" t="n">
        <v>6</v>
      </c>
      <c r="G1273" s="6" t="s">
        <v>74</v>
      </c>
      <c r="H1273" s="11" t="n">
        <v>0.01</v>
      </c>
      <c r="I1273" s="6" t="n">
        <v>20</v>
      </c>
      <c r="J1273" s="6" t="n">
        <v>20</v>
      </c>
      <c r="K1273" s="6" t="n">
        <v>0</v>
      </c>
      <c r="L1273" s="6" t="n">
        <v>0</v>
      </c>
      <c r="M1273" s="6" t="n">
        <v>20</v>
      </c>
      <c r="N1273" s="11" t="n">
        <f aca="false">J1273/(J1273+K1273)</f>
        <v>1</v>
      </c>
      <c r="O1273" s="11" t="n">
        <f aca="false">IF(J1273+L1273=0,"",J1273/(J1273+L1273))</f>
        <v>1</v>
      </c>
      <c r="P1273" s="11" t="n">
        <f aca="false">2*J1273/(2*J1273+L1273+K1273)</f>
        <v>1</v>
      </c>
      <c r="Q1273" s="11" t="n">
        <f aca="false">L1273/(L1273+M1273)</f>
        <v>0</v>
      </c>
      <c r="R1273" s="6" t="n">
        <v>18</v>
      </c>
      <c r="S1273" s="11" t="n">
        <v>1</v>
      </c>
      <c r="T1273" s="11" t="n">
        <v>1</v>
      </c>
      <c r="U1273" s="11" t="n">
        <v>0.85</v>
      </c>
      <c r="V1273" s="11" t="n">
        <v>0</v>
      </c>
    </row>
    <row r="1274" customFormat="false" ht="15" hidden="false" customHeight="false" outlineLevel="0" collapsed="false">
      <c r="A1274" s="6" t="s">
        <v>46</v>
      </c>
      <c r="B1274" s="6" t="s">
        <v>43</v>
      </c>
      <c r="C1274" s="6" t="s">
        <v>44</v>
      </c>
      <c r="D1274" s="6" t="s">
        <v>115</v>
      </c>
      <c r="E1274" s="6" t="n">
        <v>1</v>
      </c>
      <c r="F1274" s="6" t="n">
        <v>6</v>
      </c>
      <c r="G1274" s="6" t="s">
        <v>75</v>
      </c>
      <c r="H1274" s="11" t="n">
        <v>0.01</v>
      </c>
      <c r="I1274" s="6" t="n">
        <v>20</v>
      </c>
      <c r="J1274" s="6" t="n">
        <v>20</v>
      </c>
      <c r="K1274" s="6" t="n">
        <v>0</v>
      </c>
      <c r="L1274" s="6" t="n">
        <v>0</v>
      </c>
      <c r="M1274" s="6" t="n">
        <v>20</v>
      </c>
      <c r="N1274" s="11" t="n">
        <f aca="false">J1274/(J1274+K1274)</f>
        <v>1</v>
      </c>
      <c r="O1274" s="11" t="n">
        <f aca="false">IF(J1274+L1274=0,"",J1274/(J1274+L1274))</f>
        <v>1</v>
      </c>
      <c r="P1274" s="11" t="n">
        <f aca="false">2*J1274/(2*J1274+L1274+K1274)</f>
        <v>1</v>
      </c>
      <c r="Q1274" s="11" t="n">
        <f aca="false">L1274/(L1274+M1274)</f>
        <v>0</v>
      </c>
      <c r="R1274" s="6" t="n">
        <v>20</v>
      </c>
      <c r="S1274" s="11" t="n">
        <v>1</v>
      </c>
      <c r="T1274" s="11"/>
      <c r="U1274" s="11" t="n">
        <v>0.9</v>
      </c>
      <c r="V1274" s="11" t="n">
        <v>0</v>
      </c>
    </row>
    <row r="1275" customFormat="false" ht="15" hidden="false" customHeight="false" outlineLevel="0" collapsed="false">
      <c r="A1275" s="6" t="s">
        <v>46</v>
      </c>
      <c r="B1275" s="6" t="s">
        <v>43</v>
      </c>
      <c r="C1275" s="6" t="s">
        <v>44</v>
      </c>
      <c r="D1275" s="6" t="s">
        <v>115</v>
      </c>
      <c r="E1275" s="6" t="n">
        <v>1</v>
      </c>
      <c r="F1275" s="6" t="n">
        <v>6</v>
      </c>
      <c r="G1275" s="6" t="s">
        <v>76</v>
      </c>
      <c r="H1275" s="11" t="n">
        <v>0.01</v>
      </c>
      <c r="I1275" s="6" t="n">
        <v>20</v>
      </c>
      <c r="J1275" s="6" t="n">
        <v>20</v>
      </c>
      <c r="K1275" s="6" t="n">
        <v>0</v>
      </c>
      <c r="L1275" s="6" t="n">
        <v>0</v>
      </c>
      <c r="M1275" s="6" t="n">
        <v>20</v>
      </c>
      <c r="N1275" s="11" t="n">
        <f aca="false">J1275/(J1275+K1275)</f>
        <v>1</v>
      </c>
      <c r="O1275" s="11" t="n">
        <f aca="false">IF(J1275+L1275=0,"",J1275/(J1275+L1275))</f>
        <v>1</v>
      </c>
      <c r="P1275" s="11" t="n">
        <f aca="false">2*J1275/(2*J1275+L1275+K1275)</f>
        <v>1</v>
      </c>
      <c r="Q1275" s="11" t="n">
        <f aca="false">L1275/(L1275+M1275)</f>
        <v>0</v>
      </c>
      <c r="R1275" s="6" t="n">
        <v>14</v>
      </c>
      <c r="S1275" s="11" t="n">
        <v>1</v>
      </c>
      <c r="T1275" s="11" t="n">
        <v>1</v>
      </c>
      <c r="U1275" s="11" t="n">
        <v>0.95</v>
      </c>
      <c r="V1275" s="11" t="n">
        <v>0.3</v>
      </c>
    </row>
    <row r="1276" customFormat="false" ht="15" hidden="false" customHeight="false" outlineLevel="0" collapsed="false">
      <c r="A1276" s="6" t="s">
        <v>46</v>
      </c>
      <c r="B1276" s="6" t="s">
        <v>43</v>
      </c>
      <c r="C1276" s="6" t="s">
        <v>44</v>
      </c>
      <c r="D1276" s="6" t="s">
        <v>115</v>
      </c>
      <c r="E1276" s="6" t="n">
        <v>1</v>
      </c>
      <c r="F1276" s="6" t="n">
        <v>6</v>
      </c>
      <c r="G1276" s="6" t="s">
        <v>77</v>
      </c>
      <c r="H1276" s="11" t="n">
        <v>0.01</v>
      </c>
      <c r="I1276" s="6" t="n">
        <v>20</v>
      </c>
      <c r="J1276" s="6" t="n">
        <v>20</v>
      </c>
      <c r="K1276" s="6" t="n">
        <v>0</v>
      </c>
      <c r="L1276" s="6" t="n">
        <v>1</v>
      </c>
      <c r="M1276" s="6" t="n">
        <v>19</v>
      </c>
      <c r="N1276" s="11" t="n">
        <f aca="false">J1276/(J1276+K1276)</f>
        <v>1</v>
      </c>
      <c r="O1276" s="11" t="n">
        <f aca="false">IF(J1276+L1276=0,"",J1276/(J1276+L1276))</f>
        <v>0.952380952380952</v>
      </c>
      <c r="P1276" s="11" t="n">
        <f aca="false">2*J1276/(2*J1276+L1276+K1276)</f>
        <v>0.975609756097561</v>
      </c>
      <c r="Q1276" s="11" t="n">
        <f aca="false">L1276/(L1276+M1276)</f>
        <v>0.05</v>
      </c>
      <c r="R1276" s="6" t="n">
        <v>20</v>
      </c>
      <c r="S1276" s="11" t="n">
        <v>1</v>
      </c>
      <c r="T1276" s="11"/>
      <c r="U1276" s="11" t="n">
        <v>1</v>
      </c>
      <c r="V1276" s="11" t="n">
        <v>0</v>
      </c>
    </row>
    <row r="1277" customFormat="false" ht="15" hidden="false" customHeight="false" outlineLevel="0" collapsed="false">
      <c r="A1277" s="6" t="s">
        <v>46</v>
      </c>
      <c r="B1277" s="6" t="s">
        <v>43</v>
      </c>
      <c r="C1277" s="6" t="s">
        <v>44</v>
      </c>
      <c r="D1277" s="6" t="s">
        <v>115</v>
      </c>
      <c r="E1277" s="6" t="n">
        <v>1</v>
      </c>
      <c r="F1277" s="6" t="n">
        <v>6</v>
      </c>
      <c r="G1277" s="6" t="s">
        <v>78</v>
      </c>
      <c r="H1277" s="11" t="n">
        <v>0.01</v>
      </c>
      <c r="I1277" s="6" t="n">
        <v>200</v>
      </c>
      <c r="J1277" s="6" t="n">
        <v>200</v>
      </c>
      <c r="K1277" s="6" t="n">
        <v>0</v>
      </c>
      <c r="L1277" s="6" t="n">
        <v>1</v>
      </c>
      <c r="M1277" s="6" t="n">
        <v>199</v>
      </c>
      <c r="N1277" s="11" t="n">
        <f aca="false">J1277/(J1277+K1277)</f>
        <v>1</v>
      </c>
      <c r="O1277" s="11" t="n">
        <f aca="false">IF(J1277+L1277=0,"",J1277/(J1277+L1277))</f>
        <v>0.995024875621891</v>
      </c>
      <c r="P1277" s="11" t="n">
        <f aca="false">2*J1277/(2*J1277+L1277+K1277)</f>
        <v>0.997506234413965</v>
      </c>
      <c r="Q1277" s="11" t="n">
        <f aca="false">L1277/(L1277+M1277)</f>
        <v>0.005</v>
      </c>
      <c r="R1277" s="6" t="n">
        <v>182</v>
      </c>
      <c r="S1277" s="11" t="n">
        <v>1</v>
      </c>
      <c r="T1277" s="11" t="n">
        <v>1</v>
      </c>
      <c r="U1277" s="11" t="n">
        <v>0.88</v>
      </c>
      <c r="V1277" s="11" t="n">
        <v>0.07</v>
      </c>
    </row>
    <row r="1278" customFormat="false" ht="15" hidden="false" customHeight="false" outlineLevel="0" collapsed="false">
      <c r="A1278" s="6" t="s">
        <v>46</v>
      </c>
      <c r="B1278" s="6" t="s">
        <v>43</v>
      </c>
      <c r="C1278" s="6" t="s">
        <v>44</v>
      </c>
      <c r="D1278" s="6" t="s">
        <v>115</v>
      </c>
      <c r="E1278" s="6" t="n">
        <v>1</v>
      </c>
      <c r="F1278" s="6" t="n">
        <v>7</v>
      </c>
      <c r="G1278" s="6" t="s">
        <v>68</v>
      </c>
      <c r="H1278" s="11" t="n">
        <v>0.01</v>
      </c>
      <c r="I1278" s="6" t="n">
        <v>20</v>
      </c>
      <c r="J1278" s="6" t="n">
        <v>0</v>
      </c>
      <c r="K1278" s="6" t="n">
        <v>20</v>
      </c>
      <c r="L1278" s="6" t="n">
        <v>0</v>
      </c>
      <c r="M1278" s="6" t="n">
        <v>20</v>
      </c>
      <c r="N1278" s="11" t="n">
        <f aca="false">J1278/(J1278+K1278)</f>
        <v>0</v>
      </c>
      <c r="O1278" s="11" t="str">
        <f aca="false">IF(J1278+L1278=0,"",J1278/(J1278+L1278))</f>
        <v/>
      </c>
      <c r="P1278" s="11" t="n">
        <f aca="false">2*J1278/(2*J1278+L1278+K1278)</f>
        <v>0</v>
      </c>
      <c r="Q1278" s="11" t="n">
        <f aca="false">L1278/(L1278+M1278)</f>
        <v>0</v>
      </c>
      <c r="R1278" s="6" t="n">
        <v>0</v>
      </c>
      <c r="S1278" s="11"/>
      <c r="T1278" s="11" t="n">
        <v>0</v>
      </c>
      <c r="U1278" s="11" t="n">
        <v>0.85</v>
      </c>
      <c r="V1278" s="11" t="n">
        <v>0.85</v>
      </c>
    </row>
    <row r="1279" customFormat="false" ht="15" hidden="false" customHeight="false" outlineLevel="0" collapsed="false">
      <c r="A1279" s="6" t="s">
        <v>46</v>
      </c>
      <c r="B1279" s="6" t="s">
        <v>43</v>
      </c>
      <c r="C1279" s="6" t="s">
        <v>44</v>
      </c>
      <c r="D1279" s="6" t="s">
        <v>115</v>
      </c>
      <c r="E1279" s="6" t="n">
        <v>1</v>
      </c>
      <c r="F1279" s="6" t="n">
        <v>7</v>
      </c>
      <c r="G1279" s="6" t="s">
        <v>69</v>
      </c>
      <c r="H1279" s="11" t="n">
        <v>0.01</v>
      </c>
      <c r="I1279" s="6" t="n">
        <v>20</v>
      </c>
      <c r="J1279" s="6" t="n">
        <v>0</v>
      </c>
      <c r="K1279" s="6" t="n">
        <v>20</v>
      </c>
      <c r="L1279" s="6" t="n">
        <v>0</v>
      </c>
      <c r="M1279" s="6" t="n">
        <v>20</v>
      </c>
      <c r="N1279" s="11" t="n">
        <f aca="false">J1279/(J1279+K1279)</f>
        <v>0</v>
      </c>
      <c r="O1279" s="11" t="str">
        <f aca="false">IF(J1279+L1279=0,"",J1279/(J1279+L1279))</f>
        <v/>
      </c>
      <c r="P1279" s="11" t="n">
        <f aca="false">2*J1279/(2*J1279+L1279+K1279)</f>
        <v>0</v>
      </c>
      <c r="Q1279" s="11" t="n">
        <f aca="false">L1279/(L1279+M1279)</f>
        <v>0</v>
      </c>
      <c r="R1279" s="6" t="n">
        <v>0</v>
      </c>
      <c r="S1279" s="11"/>
      <c r="T1279" s="11" t="n">
        <v>0</v>
      </c>
      <c r="U1279" s="11" t="n">
        <v>1</v>
      </c>
      <c r="V1279" s="11" t="n">
        <v>1</v>
      </c>
    </row>
    <row r="1280" customFormat="false" ht="15" hidden="false" customHeight="false" outlineLevel="0" collapsed="false">
      <c r="A1280" s="6" t="s">
        <v>46</v>
      </c>
      <c r="B1280" s="6" t="s">
        <v>43</v>
      </c>
      <c r="C1280" s="6" t="s">
        <v>44</v>
      </c>
      <c r="D1280" s="6" t="s">
        <v>115</v>
      </c>
      <c r="E1280" s="6" t="n">
        <v>1</v>
      </c>
      <c r="F1280" s="6" t="n">
        <v>7</v>
      </c>
      <c r="G1280" s="6" t="s">
        <v>70</v>
      </c>
      <c r="H1280" s="11" t="n">
        <v>0.01</v>
      </c>
      <c r="I1280" s="6" t="n">
        <v>20</v>
      </c>
      <c r="J1280" s="6" t="n">
        <v>0</v>
      </c>
      <c r="K1280" s="6" t="n">
        <v>20</v>
      </c>
      <c r="L1280" s="6" t="n">
        <v>0</v>
      </c>
      <c r="M1280" s="6" t="n">
        <v>20</v>
      </c>
      <c r="N1280" s="11" t="n">
        <f aca="false">J1280/(J1280+K1280)</f>
        <v>0</v>
      </c>
      <c r="O1280" s="11" t="str">
        <f aca="false">IF(J1280+L1280=0,"",J1280/(J1280+L1280))</f>
        <v/>
      </c>
      <c r="P1280" s="11" t="n">
        <f aca="false">2*J1280/(2*J1280+L1280+K1280)</f>
        <v>0</v>
      </c>
      <c r="Q1280" s="11" t="n">
        <f aca="false">L1280/(L1280+M1280)</f>
        <v>0</v>
      </c>
      <c r="R1280" s="6" t="n">
        <v>0</v>
      </c>
      <c r="S1280" s="11"/>
      <c r="T1280" s="11" t="n">
        <v>0</v>
      </c>
      <c r="U1280" s="11" t="n">
        <v>0.9</v>
      </c>
      <c r="V1280" s="11" t="n">
        <v>0.9</v>
      </c>
    </row>
    <row r="1281" customFormat="false" ht="15" hidden="false" customHeight="false" outlineLevel="0" collapsed="false">
      <c r="A1281" s="6" t="s">
        <v>46</v>
      </c>
      <c r="B1281" s="6" t="s">
        <v>43</v>
      </c>
      <c r="C1281" s="6" t="s">
        <v>44</v>
      </c>
      <c r="D1281" s="6" t="s">
        <v>115</v>
      </c>
      <c r="E1281" s="6" t="n">
        <v>1</v>
      </c>
      <c r="F1281" s="6" t="n">
        <v>7</v>
      </c>
      <c r="G1281" s="6" t="s">
        <v>71</v>
      </c>
      <c r="H1281" s="11" t="n">
        <v>0.01</v>
      </c>
      <c r="I1281" s="6" t="n">
        <v>20</v>
      </c>
      <c r="J1281" s="6" t="n">
        <v>0</v>
      </c>
      <c r="K1281" s="6" t="n">
        <v>20</v>
      </c>
      <c r="L1281" s="6" t="n">
        <v>0</v>
      </c>
      <c r="M1281" s="6" t="n">
        <v>20</v>
      </c>
      <c r="N1281" s="11" t="n">
        <f aca="false">J1281/(J1281+K1281)</f>
        <v>0</v>
      </c>
      <c r="O1281" s="11" t="str">
        <f aca="false">IF(J1281+L1281=0,"",J1281/(J1281+L1281))</f>
        <v/>
      </c>
      <c r="P1281" s="11" t="n">
        <f aca="false">2*J1281/(2*J1281+L1281+K1281)</f>
        <v>0</v>
      </c>
      <c r="Q1281" s="11" t="n">
        <f aca="false">L1281/(L1281+M1281)</f>
        <v>0</v>
      </c>
      <c r="R1281" s="6" t="n">
        <v>0</v>
      </c>
      <c r="S1281" s="11"/>
      <c r="T1281" s="11" t="n">
        <v>0</v>
      </c>
      <c r="U1281" s="11" t="n">
        <v>0.8</v>
      </c>
      <c r="V1281" s="11" t="n">
        <v>0.8</v>
      </c>
    </row>
    <row r="1282" customFormat="false" ht="15" hidden="false" customHeight="false" outlineLevel="0" collapsed="false">
      <c r="A1282" s="6" t="s">
        <v>46</v>
      </c>
      <c r="B1282" s="6" t="s">
        <v>43</v>
      </c>
      <c r="C1282" s="6" t="s">
        <v>44</v>
      </c>
      <c r="D1282" s="6" t="s">
        <v>115</v>
      </c>
      <c r="E1282" s="6" t="n">
        <v>1</v>
      </c>
      <c r="F1282" s="6" t="n">
        <v>7</v>
      </c>
      <c r="G1282" s="6" t="s">
        <v>72</v>
      </c>
      <c r="H1282" s="11" t="n">
        <v>0.01</v>
      </c>
      <c r="I1282" s="6" t="n">
        <v>20</v>
      </c>
      <c r="J1282" s="6" t="n">
        <v>0</v>
      </c>
      <c r="K1282" s="6" t="n">
        <v>20</v>
      </c>
      <c r="L1282" s="6" t="n">
        <v>0</v>
      </c>
      <c r="M1282" s="6" t="n">
        <v>20</v>
      </c>
      <c r="N1282" s="11" t="n">
        <f aca="false">J1282/(J1282+K1282)</f>
        <v>0</v>
      </c>
      <c r="O1282" s="11" t="str">
        <f aca="false">IF(J1282+L1282=0,"",J1282/(J1282+L1282))</f>
        <v/>
      </c>
      <c r="P1282" s="11" t="n">
        <f aca="false">2*J1282/(2*J1282+L1282+K1282)</f>
        <v>0</v>
      </c>
      <c r="Q1282" s="11" t="n">
        <f aca="false">L1282/(L1282+M1282)</f>
        <v>0</v>
      </c>
      <c r="R1282" s="6" t="n">
        <v>0</v>
      </c>
      <c r="S1282" s="11"/>
      <c r="T1282" s="11" t="n">
        <v>0</v>
      </c>
      <c r="U1282" s="11" t="n">
        <v>0.9</v>
      </c>
      <c r="V1282" s="11" t="n">
        <v>0.9</v>
      </c>
    </row>
    <row r="1283" customFormat="false" ht="15" hidden="false" customHeight="false" outlineLevel="0" collapsed="false">
      <c r="A1283" s="6" t="s">
        <v>46</v>
      </c>
      <c r="B1283" s="6" t="s">
        <v>43</v>
      </c>
      <c r="C1283" s="6" t="s">
        <v>44</v>
      </c>
      <c r="D1283" s="6" t="s">
        <v>115</v>
      </c>
      <c r="E1283" s="6" t="n">
        <v>1</v>
      </c>
      <c r="F1283" s="6" t="n">
        <v>7</v>
      </c>
      <c r="G1283" s="6" t="s">
        <v>73</v>
      </c>
      <c r="H1283" s="11" t="n">
        <v>0.01</v>
      </c>
      <c r="I1283" s="6" t="n">
        <v>20</v>
      </c>
      <c r="J1283" s="6" t="n">
        <v>0</v>
      </c>
      <c r="K1283" s="6" t="n">
        <v>20</v>
      </c>
      <c r="L1283" s="6" t="n">
        <v>0</v>
      </c>
      <c r="M1283" s="6" t="n">
        <v>20</v>
      </c>
      <c r="N1283" s="11" t="n">
        <f aca="false">J1283/(J1283+K1283)</f>
        <v>0</v>
      </c>
      <c r="O1283" s="11" t="str">
        <f aca="false">IF(J1283+L1283=0,"",J1283/(J1283+L1283))</f>
        <v/>
      </c>
      <c r="P1283" s="11" t="n">
        <f aca="false">2*J1283/(2*J1283+L1283+K1283)</f>
        <v>0</v>
      </c>
      <c r="Q1283" s="11" t="n">
        <f aca="false">L1283/(L1283+M1283)</f>
        <v>0</v>
      </c>
      <c r="R1283" s="6" t="n">
        <v>0</v>
      </c>
      <c r="S1283" s="11"/>
      <c r="T1283" s="11" t="n">
        <v>0</v>
      </c>
      <c r="U1283" s="11" t="n">
        <v>0.65</v>
      </c>
      <c r="V1283" s="11" t="n">
        <v>0.65</v>
      </c>
    </row>
    <row r="1284" customFormat="false" ht="15" hidden="false" customHeight="false" outlineLevel="0" collapsed="false">
      <c r="A1284" s="6" t="s">
        <v>46</v>
      </c>
      <c r="B1284" s="6" t="s">
        <v>43</v>
      </c>
      <c r="C1284" s="6" t="s">
        <v>44</v>
      </c>
      <c r="D1284" s="6" t="s">
        <v>115</v>
      </c>
      <c r="E1284" s="6" t="n">
        <v>1</v>
      </c>
      <c r="F1284" s="6" t="n">
        <v>7</v>
      </c>
      <c r="G1284" s="6" t="s">
        <v>74</v>
      </c>
      <c r="H1284" s="11" t="n">
        <v>0.01</v>
      </c>
      <c r="I1284" s="6" t="n">
        <v>20</v>
      </c>
      <c r="J1284" s="6" t="n">
        <v>0</v>
      </c>
      <c r="K1284" s="6" t="n">
        <v>20</v>
      </c>
      <c r="L1284" s="6" t="n">
        <v>0</v>
      </c>
      <c r="M1284" s="6" t="n">
        <v>20</v>
      </c>
      <c r="N1284" s="11" t="n">
        <f aca="false">J1284/(J1284+K1284)</f>
        <v>0</v>
      </c>
      <c r="O1284" s="11" t="str">
        <f aca="false">IF(J1284+L1284=0,"",J1284/(J1284+L1284))</f>
        <v/>
      </c>
      <c r="P1284" s="11" t="n">
        <f aca="false">2*J1284/(2*J1284+L1284+K1284)</f>
        <v>0</v>
      </c>
      <c r="Q1284" s="11" t="n">
        <f aca="false">L1284/(L1284+M1284)</f>
        <v>0</v>
      </c>
      <c r="R1284" s="6" t="n">
        <v>0</v>
      </c>
      <c r="S1284" s="11"/>
      <c r="T1284" s="11" t="n">
        <v>0</v>
      </c>
      <c r="U1284" s="11" t="n">
        <v>0.85</v>
      </c>
      <c r="V1284" s="11" t="n">
        <v>0.85</v>
      </c>
    </row>
    <row r="1285" customFormat="false" ht="15" hidden="false" customHeight="false" outlineLevel="0" collapsed="false">
      <c r="A1285" s="6" t="s">
        <v>46</v>
      </c>
      <c r="B1285" s="6" t="s">
        <v>43</v>
      </c>
      <c r="C1285" s="6" t="s">
        <v>44</v>
      </c>
      <c r="D1285" s="6" t="s">
        <v>115</v>
      </c>
      <c r="E1285" s="6" t="n">
        <v>1</v>
      </c>
      <c r="F1285" s="6" t="n">
        <v>7</v>
      </c>
      <c r="G1285" s="6" t="s">
        <v>75</v>
      </c>
      <c r="H1285" s="11" t="n">
        <v>0.01</v>
      </c>
      <c r="I1285" s="6" t="n">
        <v>20</v>
      </c>
      <c r="J1285" s="6" t="n">
        <v>0</v>
      </c>
      <c r="K1285" s="6" t="n">
        <v>20</v>
      </c>
      <c r="L1285" s="6" t="n">
        <v>0</v>
      </c>
      <c r="M1285" s="6" t="n">
        <v>20</v>
      </c>
      <c r="N1285" s="11" t="n">
        <f aca="false">J1285/(J1285+K1285)</f>
        <v>0</v>
      </c>
      <c r="O1285" s="11" t="str">
        <f aca="false">IF(J1285+L1285=0,"",J1285/(J1285+L1285))</f>
        <v/>
      </c>
      <c r="P1285" s="11" t="n">
        <f aca="false">2*J1285/(2*J1285+L1285+K1285)</f>
        <v>0</v>
      </c>
      <c r="Q1285" s="11" t="n">
        <f aca="false">L1285/(L1285+M1285)</f>
        <v>0</v>
      </c>
      <c r="R1285" s="6" t="n">
        <v>0</v>
      </c>
      <c r="S1285" s="11"/>
      <c r="T1285" s="11" t="n">
        <v>0</v>
      </c>
      <c r="U1285" s="11" t="n">
        <v>0.9</v>
      </c>
      <c r="V1285" s="11" t="n">
        <v>0.9</v>
      </c>
    </row>
    <row r="1286" customFormat="false" ht="15" hidden="false" customHeight="false" outlineLevel="0" collapsed="false">
      <c r="A1286" s="6" t="s">
        <v>46</v>
      </c>
      <c r="B1286" s="6" t="s">
        <v>43</v>
      </c>
      <c r="C1286" s="6" t="s">
        <v>44</v>
      </c>
      <c r="D1286" s="6" t="s">
        <v>115</v>
      </c>
      <c r="E1286" s="6" t="n">
        <v>1</v>
      </c>
      <c r="F1286" s="6" t="n">
        <v>7</v>
      </c>
      <c r="G1286" s="6" t="s">
        <v>76</v>
      </c>
      <c r="H1286" s="11" t="n">
        <v>0.01</v>
      </c>
      <c r="I1286" s="6" t="n">
        <v>20</v>
      </c>
      <c r="J1286" s="6" t="n">
        <v>0</v>
      </c>
      <c r="K1286" s="6" t="n">
        <v>20</v>
      </c>
      <c r="L1286" s="6" t="n">
        <v>0</v>
      </c>
      <c r="M1286" s="6" t="n">
        <v>20</v>
      </c>
      <c r="N1286" s="11" t="n">
        <f aca="false">J1286/(J1286+K1286)</f>
        <v>0</v>
      </c>
      <c r="O1286" s="11" t="str">
        <f aca="false">IF(J1286+L1286=0,"",J1286/(J1286+L1286))</f>
        <v/>
      </c>
      <c r="P1286" s="11" t="n">
        <f aca="false">2*J1286/(2*J1286+L1286+K1286)</f>
        <v>0</v>
      </c>
      <c r="Q1286" s="11" t="n">
        <f aca="false">L1286/(L1286+M1286)</f>
        <v>0</v>
      </c>
      <c r="R1286" s="6" t="n">
        <v>0</v>
      </c>
      <c r="S1286" s="11"/>
      <c r="T1286" s="11" t="n">
        <v>0</v>
      </c>
      <c r="U1286" s="11" t="n">
        <v>0.95</v>
      </c>
      <c r="V1286" s="11" t="n">
        <v>0.95</v>
      </c>
    </row>
    <row r="1287" customFormat="false" ht="15" hidden="false" customHeight="false" outlineLevel="0" collapsed="false">
      <c r="A1287" s="6" t="s">
        <v>46</v>
      </c>
      <c r="B1287" s="6" t="s">
        <v>43</v>
      </c>
      <c r="C1287" s="6" t="s">
        <v>44</v>
      </c>
      <c r="D1287" s="6" t="s">
        <v>115</v>
      </c>
      <c r="E1287" s="6" t="n">
        <v>1</v>
      </c>
      <c r="F1287" s="6" t="n">
        <v>7</v>
      </c>
      <c r="G1287" s="6" t="s">
        <v>77</v>
      </c>
      <c r="H1287" s="11" t="n">
        <v>0.01</v>
      </c>
      <c r="I1287" s="6" t="n">
        <v>20</v>
      </c>
      <c r="J1287" s="6" t="n">
        <v>1</v>
      </c>
      <c r="K1287" s="6" t="n">
        <v>19</v>
      </c>
      <c r="L1287" s="6" t="n">
        <v>1</v>
      </c>
      <c r="M1287" s="6" t="n">
        <v>19</v>
      </c>
      <c r="N1287" s="11" t="n">
        <f aca="false">J1287/(J1287+K1287)</f>
        <v>0.05</v>
      </c>
      <c r="O1287" s="11" t="n">
        <f aca="false">IF(J1287+L1287=0,"",J1287/(J1287+L1287))</f>
        <v>0.5</v>
      </c>
      <c r="P1287" s="11" t="n">
        <f aca="false">2*J1287/(2*J1287+L1287+K1287)</f>
        <v>0.0909090909090909</v>
      </c>
      <c r="Q1287" s="11" t="n">
        <f aca="false">L1287/(L1287+M1287)</f>
        <v>0.05</v>
      </c>
      <c r="R1287" s="6" t="n">
        <v>0</v>
      </c>
      <c r="S1287" s="11"/>
      <c r="T1287" s="11" t="n">
        <v>0.05</v>
      </c>
      <c r="U1287" s="11" t="n">
        <v>1</v>
      </c>
      <c r="V1287" s="11" t="n">
        <v>1</v>
      </c>
    </row>
    <row r="1288" customFormat="false" ht="15" hidden="false" customHeight="false" outlineLevel="0" collapsed="false">
      <c r="A1288" s="6" t="s">
        <v>46</v>
      </c>
      <c r="B1288" s="6" t="s">
        <v>43</v>
      </c>
      <c r="C1288" s="6" t="s">
        <v>44</v>
      </c>
      <c r="D1288" s="6" t="s">
        <v>115</v>
      </c>
      <c r="E1288" s="6" t="n">
        <v>1</v>
      </c>
      <c r="F1288" s="6" t="n">
        <v>7</v>
      </c>
      <c r="G1288" s="6" t="s">
        <v>78</v>
      </c>
      <c r="H1288" s="11" t="n">
        <v>0.01</v>
      </c>
      <c r="I1288" s="6" t="n">
        <v>200</v>
      </c>
      <c r="J1288" s="6" t="n">
        <v>1</v>
      </c>
      <c r="K1288" s="6" t="n">
        <v>199</v>
      </c>
      <c r="L1288" s="6" t="n">
        <v>1</v>
      </c>
      <c r="M1288" s="6" t="n">
        <v>199</v>
      </c>
      <c r="N1288" s="11" t="n">
        <f aca="false">J1288/(J1288+K1288)</f>
        <v>0.005</v>
      </c>
      <c r="O1288" s="11" t="n">
        <f aca="false">IF(J1288+L1288=0,"",J1288/(J1288+L1288))</f>
        <v>0.5</v>
      </c>
      <c r="P1288" s="11" t="n">
        <f aca="false">2*J1288/(2*J1288+L1288+K1288)</f>
        <v>0.0099009900990099</v>
      </c>
      <c r="Q1288" s="11" t="n">
        <f aca="false">L1288/(L1288+M1288)</f>
        <v>0.005</v>
      </c>
      <c r="R1288" s="6" t="n">
        <v>0</v>
      </c>
      <c r="S1288" s="11"/>
      <c r="T1288" s="11" t="n">
        <v>0.005</v>
      </c>
      <c r="U1288" s="11" t="n">
        <v>0.88</v>
      </c>
      <c r="V1288" s="11" t="n">
        <v>0.88</v>
      </c>
    </row>
    <row r="1289" customFormat="false" ht="15" hidden="false" customHeight="false" outlineLevel="0" collapsed="false">
      <c r="A1289" s="6" t="s">
        <v>46</v>
      </c>
      <c r="B1289" s="6" t="s">
        <v>43</v>
      </c>
      <c r="C1289" s="6" t="s">
        <v>44</v>
      </c>
      <c r="D1289" s="6" t="s">
        <v>115</v>
      </c>
      <c r="E1289" s="6" t="n">
        <v>1</v>
      </c>
      <c r="F1289" s="6" t="n">
        <v>8</v>
      </c>
      <c r="G1289" s="6" t="s">
        <v>68</v>
      </c>
      <c r="H1289" s="11" t="n">
        <v>0.01</v>
      </c>
      <c r="I1289" s="6" t="n">
        <v>20</v>
      </c>
      <c r="J1289" s="6" t="n">
        <v>0</v>
      </c>
      <c r="K1289" s="6" t="n">
        <v>20</v>
      </c>
      <c r="L1289" s="6" t="n">
        <v>0</v>
      </c>
      <c r="M1289" s="6" t="n">
        <v>20</v>
      </c>
      <c r="N1289" s="11" t="n">
        <f aca="false">J1289/(J1289+K1289)</f>
        <v>0</v>
      </c>
      <c r="O1289" s="11" t="str">
        <f aca="false">IF(J1289+L1289=0,"",J1289/(J1289+L1289))</f>
        <v/>
      </c>
      <c r="P1289" s="11" t="n">
        <f aca="false">2*J1289/(2*J1289+L1289+K1289)</f>
        <v>0</v>
      </c>
      <c r="Q1289" s="11" t="n">
        <f aca="false">L1289/(L1289+M1289)</f>
        <v>0</v>
      </c>
      <c r="R1289" s="6" t="n">
        <v>0</v>
      </c>
      <c r="S1289" s="11"/>
      <c r="T1289" s="11" t="n">
        <v>0</v>
      </c>
      <c r="U1289" s="11" t="n">
        <v>0.85</v>
      </c>
      <c r="V1289" s="11" t="n">
        <v>0.85</v>
      </c>
    </row>
    <row r="1290" customFormat="false" ht="15" hidden="false" customHeight="false" outlineLevel="0" collapsed="false">
      <c r="A1290" s="6" t="s">
        <v>46</v>
      </c>
      <c r="B1290" s="6" t="s">
        <v>43</v>
      </c>
      <c r="C1290" s="6" t="s">
        <v>44</v>
      </c>
      <c r="D1290" s="6" t="s">
        <v>115</v>
      </c>
      <c r="E1290" s="6" t="n">
        <v>1</v>
      </c>
      <c r="F1290" s="6" t="n">
        <v>8</v>
      </c>
      <c r="G1290" s="6" t="s">
        <v>69</v>
      </c>
      <c r="H1290" s="11" t="n">
        <v>0.01</v>
      </c>
      <c r="I1290" s="6" t="n">
        <v>20</v>
      </c>
      <c r="J1290" s="6" t="n">
        <v>0</v>
      </c>
      <c r="K1290" s="6" t="n">
        <v>20</v>
      </c>
      <c r="L1290" s="6" t="n">
        <v>0</v>
      </c>
      <c r="M1290" s="6" t="n">
        <v>20</v>
      </c>
      <c r="N1290" s="11" t="n">
        <f aca="false">J1290/(J1290+K1290)</f>
        <v>0</v>
      </c>
      <c r="O1290" s="11" t="str">
        <f aca="false">IF(J1290+L1290=0,"",J1290/(J1290+L1290))</f>
        <v/>
      </c>
      <c r="P1290" s="11" t="n">
        <f aca="false">2*J1290/(2*J1290+L1290+K1290)</f>
        <v>0</v>
      </c>
      <c r="Q1290" s="11" t="n">
        <f aca="false">L1290/(L1290+M1290)</f>
        <v>0</v>
      </c>
      <c r="R1290" s="6" t="n">
        <v>0</v>
      </c>
      <c r="S1290" s="11"/>
      <c r="T1290" s="11" t="n">
        <v>0</v>
      </c>
      <c r="U1290" s="11" t="n">
        <v>1</v>
      </c>
      <c r="V1290" s="11" t="n">
        <v>1</v>
      </c>
    </row>
    <row r="1291" customFormat="false" ht="15" hidden="false" customHeight="false" outlineLevel="0" collapsed="false">
      <c r="A1291" s="6" t="s">
        <v>46</v>
      </c>
      <c r="B1291" s="6" t="s">
        <v>43</v>
      </c>
      <c r="C1291" s="6" t="s">
        <v>44</v>
      </c>
      <c r="D1291" s="6" t="s">
        <v>115</v>
      </c>
      <c r="E1291" s="6" t="n">
        <v>1</v>
      </c>
      <c r="F1291" s="6" t="n">
        <v>8</v>
      </c>
      <c r="G1291" s="6" t="s">
        <v>70</v>
      </c>
      <c r="H1291" s="11" t="n">
        <v>0.01</v>
      </c>
      <c r="I1291" s="6" t="n">
        <v>20</v>
      </c>
      <c r="J1291" s="6" t="n">
        <v>0</v>
      </c>
      <c r="K1291" s="6" t="n">
        <v>20</v>
      </c>
      <c r="L1291" s="6" t="n">
        <v>0</v>
      </c>
      <c r="M1291" s="6" t="n">
        <v>20</v>
      </c>
      <c r="N1291" s="11" t="n">
        <f aca="false">J1291/(J1291+K1291)</f>
        <v>0</v>
      </c>
      <c r="O1291" s="11" t="str">
        <f aca="false">IF(J1291+L1291=0,"",J1291/(J1291+L1291))</f>
        <v/>
      </c>
      <c r="P1291" s="11" t="n">
        <f aca="false">2*J1291/(2*J1291+L1291+K1291)</f>
        <v>0</v>
      </c>
      <c r="Q1291" s="11" t="n">
        <f aca="false">L1291/(L1291+M1291)</f>
        <v>0</v>
      </c>
      <c r="R1291" s="6" t="n">
        <v>0</v>
      </c>
      <c r="S1291" s="11"/>
      <c r="T1291" s="11" t="n">
        <v>0</v>
      </c>
      <c r="U1291" s="11" t="n">
        <v>0.9</v>
      </c>
      <c r="V1291" s="11" t="n">
        <v>0.9</v>
      </c>
    </row>
    <row r="1292" customFormat="false" ht="15" hidden="false" customHeight="false" outlineLevel="0" collapsed="false">
      <c r="A1292" s="6" t="s">
        <v>46</v>
      </c>
      <c r="B1292" s="6" t="s">
        <v>43</v>
      </c>
      <c r="C1292" s="6" t="s">
        <v>44</v>
      </c>
      <c r="D1292" s="6" t="s">
        <v>115</v>
      </c>
      <c r="E1292" s="6" t="n">
        <v>1</v>
      </c>
      <c r="F1292" s="6" t="n">
        <v>8</v>
      </c>
      <c r="G1292" s="6" t="s">
        <v>71</v>
      </c>
      <c r="H1292" s="11" t="n">
        <v>0.01</v>
      </c>
      <c r="I1292" s="6" t="n">
        <v>20</v>
      </c>
      <c r="J1292" s="6" t="n">
        <v>0</v>
      </c>
      <c r="K1292" s="6" t="n">
        <v>20</v>
      </c>
      <c r="L1292" s="6" t="n">
        <v>0</v>
      </c>
      <c r="M1292" s="6" t="n">
        <v>20</v>
      </c>
      <c r="N1292" s="11" t="n">
        <f aca="false">J1292/(J1292+K1292)</f>
        <v>0</v>
      </c>
      <c r="O1292" s="11" t="str">
        <f aca="false">IF(J1292+L1292=0,"",J1292/(J1292+L1292))</f>
        <v/>
      </c>
      <c r="P1292" s="11" t="n">
        <f aca="false">2*J1292/(2*J1292+L1292+K1292)</f>
        <v>0</v>
      </c>
      <c r="Q1292" s="11" t="n">
        <f aca="false">L1292/(L1292+M1292)</f>
        <v>0</v>
      </c>
      <c r="R1292" s="6" t="n">
        <v>0</v>
      </c>
      <c r="S1292" s="11"/>
      <c r="T1292" s="11" t="n">
        <v>0</v>
      </c>
      <c r="U1292" s="11" t="n">
        <v>0.8</v>
      </c>
      <c r="V1292" s="11" t="n">
        <v>0.8</v>
      </c>
    </row>
    <row r="1293" customFormat="false" ht="15" hidden="false" customHeight="false" outlineLevel="0" collapsed="false">
      <c r="A1293" s="6" t="s">
        <v>46</v>
      </c>
      <c r="B1293" s="6" t="s">
        <v>43</v>
      </c>
      <c r="C1293" s="6" t="s">
        <v>44</v>
      </c>
      <c r="D1293" s="6" t="s">
        <v>115</v>
      </c>
      <c r="E1293" s="6" t="n">
        <v>1</v>
      </c>
      <c r="F1293" s="6" t="n">
        <v>8</v>
      </c>
      <c r="G1293" s="6" t="s">
        <v>72</v>
      </c>
      <c r="H1293" s="11" t="n">
        <v>0.01</v>
      </c>
      <c r="I1293" s="6" t="n">
        <v>20</v>
      </c>
      <c r="J1293" s="6" t="n">
        <v>0</v>
      </c>
      <c r="K1293" s="6" t="n">
        <v>20</v>
      </c>
      <c r="L1293" s="6" t="n">
        <v>0</v>
      </c>
      <c r="M1293" s="6" t="n">
        <v>20</v>
      </c>
      <c r="N1293" s="11" t="n">
        <f aca="false">J1293/(J1293+K1293)</f>
        <v>0</v>
      </c>
      <c r="O1293" s="11" t="str">
        <f aca="false">IF(J1293+L1293=0,"",J1293/(J1293+L1293))</f>
        <v/>
      </c>
      <c r="P1293" s="11" t="n">
        <f aca="false">2*J1293/(2*J1293+L1293+K1293)</f>
        <v>0</v>
      </c>
      <c r="Q1293" s="11" t="n">
        <f aca="false">L1293/(L1293+M1293)</f>
        <v>0</v>
      </c>
      <c r="R1293" s="6" t="n">
        <v>0</v>
      </c>
      <c r="S1293" s="11"/>
      <c r="T1293" s="11" t="n">
        <v>0</v>
      </c>
      <c r="U1293" s="11" t="n">
        <v>0.9</v>
      </c>
      <c r="V1293" s="11" t="n">
        <v>0.9</v>
      </c>
    </row>
    <row r="1294" customFormat="false" ht="15" hidden="false" customHeight="false" outlineLevel="0" collapsed="false">
      <c r="A1294" s="6" t="s">
        <v>46</v>
      </c>
      <c r="B1294" s="6" t="s">
        <v>43</v>
      </c>
      <c r="C1294" s="6" t="s">
        <v>44</v>
      </c>
      <c r="D1294" s="6" t="s">
        <v>115</v>
      </c>
      <c r="E1294" s="6" t="n">
        <v>1</v>
      </c>
      <c r="F1294" s="6" t="n">
        <v>8</v>
      </c>
      <c r="G1294" s="6" t="s">
        <v>73</v>
      </c>
      <c r="H1294" s="11" t="n">
        <v>0.01</v>
      </c>
      <c r="I1294" s="6" t="n">
        <v>20</v>
      </c>
      <c r="J1294" s="6" t="n">
        <v>0</v>
      </c>
      <c r="K1294" s="6" t="n">
        <v>20</v>
      </c>
      <c r="L1294" s="6" t="n">
        <v>0</v>
      </c>
      <c r="M1294" s="6" t="n">
        <v>20</v>
      </c>
      <c r="N1294" s="11" t="n">
        <f aca="false">J1294/(J1294+K1294)</f>
        <v>0</v>
      </c>
      <c r="O1294" s="11" t="str">
        <f aca="false">IF(J1294+L1294=0,"",J1294/(J1294+L1294))</f>
        <v/>
      </c>
      <c r="P1294" s="11" t="n">
        <f aca="false">2*J1294/(2*J1294+L1294+K1294)</f>
        <v>0</v>
      </c>
      <c r="Q1294" s="11" t="n">
        <f aca="false">L1294/(L1294+M1294)</f>
        <v>0</v>
      </c>
      <c r="R1294" s="6" t="n">
        <v>1</v>
      </c>
      <c r="S1294" s="11" t="n">
        <v>0</v>
      </c>
      <c r="T1294" s="11" t="n">
        <v>0</v>
      </c>
      <c r="U1294" s="11" t="n">
        <v>0.65</v>
      </c>
      <c r="V1294" s="11" t="n">
        <v>0.65</v>
      </c>
    </row>
    <row r="1295" customFormat="false" ht="15" hidden="false" customHeight="false" outlineLevel="0" collapsed="false">
      <c r="A1295" s="6" t="s">
        <v>46</v>
      </c>
      <c r="B1295" s="6" t="s">
        <v>43</v>
      </c>
      <c r="C1295" s="6" t="s">
        <v>44</v>
      </c>
      <c r="D1295" s="6" t="s">
        <v>115</v>
      </c>
      <c r="E1295" s="6" t="n">
        <v>1</v>
      </c>
      <c r="F1295" s="6" t="n">
        <v>8</v>
      </c>
      <c r="G1295" s="6" t="s">
        <v>74</v>
      </c>
      <c r="H1295" s="11" t="n">
        <v>0.01</v>
      </c>
      <c r="I1295" s="6" t="n">
        <v>20</v>
      </c>
      <c r="J1295" s="6" t="n">
        <v>0</v>
      </c>
      <c r="K1295" s="6" t="n">
        <v>20</v>
      </c>
      <c r="L1295" s="6" t="n">
        <v>0</v>
      </c>
      <c r="M1295" s="6" t="n">
        <v>20</v>
      </c>
      <c r="N1295" s="11" t="n">
        <f aca="false">J1295/(J1295+K1295)</f>
        <v>0</v>
      </c>
      <c r="O1295" s="11" t="str">
        <f aca="false">IF(J1295+L1295=0,"",J1295/(J1295+L1295))</f>
        <v/>
      </c>
      <c r="P1295" s="11" t="n">
        <f aca="false">2*J1295/(2*J1295+L1295+K1295)</f>
        <v>0</v>
      </c>
      <c r="Q1295" s="11" t="n">
        <f aca="false">L1295/(L1295+M1295)</f>
        <v>0</v>
      </c>
      <c r="R1295" s="6" t="n">
        <v>1</v>
      </c>
      <c r="S1295" s="11" t="n">
        <v>0</v>
      </c>
      <c r="T1295" s="11" t="n">
        <v>0</v>
      </c>
      <c r="U1295" s="11" t="n">
        <v>0.85</v>
      </c>
      <c r="V1295" s="11" t="n">
        <v>0.85</v>
      </c>
    </row>
    <row r="1296" customFormat="false" ht="15" hidden="false" customHeight="false" outlineLevel="0" collapsed="false">
      <c r="A1296" s="6" t="s">
        <v>46</v>
      </c>
      <c r="B1296" s="6" t="s">
        <v>43</v>
      </c>
      <c r="C1296" s="6" t="s">
        <v>44</v>
      </c>
      <c r="D1296" s="6" t="s">
        <v>115</v>
      </c>
      <c r="E1296" s="6" t="n">
        <v>1</v>
      </c>
      <c r="F1296" s="6" t="n">
        <v>8</v>
      </c>
      <c r="G1296" s="6" t="s">
        <v>75</v>
      </c>
      <c r="H1296" s="11" t="n">
        <v>0.01</v>
      </c>
      <c r="I1296" s="6" t="n">
        <v>20</v>
      </c>
      <c r="J1296" s="6" t="n">
        <v>0</v>
      </c>
      <c r="K1296" s="6" t="n">
        <v>20</v>
      </c>
      <c r="L1296" s="6" t="n">
        <v>0</v>
      </c>
      <c r="M1296" s="6" t="n">
        <v>20</v>
      </c>
      <c r="N1296" s="11" t="n">
        <f aca="false">J1296/(J1296+K1296)</f>
        <v>0</v>
      </c>
      <c r="O1296" s="11" t="str">
        <f aca="false">IF(J1296+L1296=0,"",J1296/(J1296+L1296))</f>
        <v/>
      </c>
      <c r="P1296" s="11" t="n">
        <f aca="false">2*J1296/(2*J1296+L1296+K1296)</f>
        <v>0</v>
      </c>
      <c r="Q1296" s="11" t="n">
        <f aca="false">L1296/(L1296+M1296)</f>
        <v>0</v>
      </c>
      <c r="R1296" s="6" t="n">
        <v>0</v>
      </c>
      <c r="S1296" s="11"/>
      <c r="T1296" s="11" t="n">
        <v>0</v>
      </c>
      <c r="U1296" s="11" t="n">
        <v>0.9</v>
      </c>
      <c r="V1296" s="11" t="n">
        <v>0.9</v>
      </c>
    </row>
    <row r="1297" customFormat="false" ht="15" hidden="false" customHeight="false" outlineLevel="0" collapsed="false">
      <c r="A1297" s="6" t="s">
        <v>46</v>
      </c>
      <c r="B1297" s="6" t="s">
        <v>43</v>
      </c>
      <c r="C1297" s="6" t="s">
        <v>44</v>
      </c>
      <c r="D1297" s="6" t="s">
        <v>115</v>
      </c>
      <c r="E1297" s="6" t="n">
        <v>1</v>
      </c>
      <c r="F1297" s="6" t="n">
        <v>8</v>
      </c>
      <c r="G1297" s="6" t="s">
        <v>76</v>
      </c>
      <c r="H1297" s="11" t="n">
        <v>0.01</v>
      </c>
      <c r="I1297" s="6" t="n">
        <v>20</v>
      </c>
      <c r="J1297" s="6" t="n">
        <v>0</v>
      </c>
      <c r="K1297" s="6" t="n">
        <v>20</v>
      </c>
      <c r="L1297" s="6" t="n">
        <v>0</v>
      </c>
      <c r="M1297" s="6" t="n">
        <v>20</v>
      </c>
      <c r="N1297" s="11" t="n">
        <f aca="false">J1297/(J1297+K1297)</f>
        <v>0</v>
      </c>
      <c r="O1297" s="11" t="str">
        <f aca="false">IF(J1297+L1297=0,"",J1297/(J1297+L1297))</f>
        <v/>
      </c>
      <c r="P1297" s="11" t="n">
        <f aca="false">2*J1297/(2*J1297+L1297+K1297)</f>
        <v>0</v>
      </c>
      <c r="Q1297" s="11" t="n">
        <f aca="false">L1297/(L1297+M1297)</f>
        <v>0</v>
      </c>
      <c r="R1297" s="6" t="n">
        <v>0</v>
      </c>
      <c r="S1297" s="11"/>
      <c r="T1297" s="11" t="n">
        <v>0</v>
      </c>
      <c r="U1297" s="11" t="n">
        <v>0.95</v>
      </c>
      <c r="V1297" s="11" t="n">
        <v>0.95</v>
      </c>
    </row>
    <row r="1298" customFormat="false" ht="15" hidden="false" customHeight="false" outlineLevel="0" collapsed="false">
      <c r="A1298" s="6" t="s">
        <v>46</v>
      </c>
      <c r="B1298" s="6" t="s">
        <v>43</v>
      </c>
      <c r="C1298" s="6" t="s">
        <v>44</v>
      </c>
      <c r="D1298" s="6" t="s">
        <v>115</v>
      </c>
      <c r="E1298" s="6" t="n">
        <v>1</v>
      </c>
      <c r="F1298" s="6" t="n">
        <v>8</v>
      </c>
      <c r="G1298" s="6" t="s">
        <v>77</v>
      </c>
      <c r="H1298" s="11" t="n">
        <v>0.01</v>
      </c>
      <c r="I1298" s="6" t="n">
        <v>20</v>
      </c>
      <c r="J1298" s="6" t="n">
        <v>1</v>
      </c>
      <c r="K1298" s="6" t="n">
        <v>19</v>
      </c>
      <c r="L1298" s="6" t="n">
        <v>1</v>
      </c>
      <c r="M1298" s="6" t="n">
        <v>19</v>
      </c>
      <c r="N1298" s="11" t="n">
        <f aca="false">J1298/(J1298+K1298)</f>
        <v>0.05</v>
      </c>
      <c r="O1298" s="11" t="n">
        <f aca="false">IF(J1298+L1298=0,"",J1298/(J1298+L1298))</f>
        <v>0.5</v>
      </c>
      <c r="P1298" s="11" t="n">
        <f aca="false">2*J1298/(2*J1298+L1298+K1298)</f>
        <v>0.0909090909090909</v>
      </c>
      <c r="Q1298" s="11" t="n">
        <f aca="false">L1298/(L1298+M1298)</f>
        <v>0.05</v>
      </c>
      <c r="R1298" s="6" t="n">
        <v>0</v>
      </c>
      <c r="S1298" s="11"/>
      <c r="T1298" s="11" t="n">
        <v>0.05</v>
      </c>
      <c r="U1298" s="11" t="n">
        <v>1</v>
      </c>
      <c r="V1298" s="11" t="n">
        <v>1</v>
      </c>
    </row>
    <row r="1299" customFormat="false" ht="15" hidden="false" customHeight="false" outlineLevel="0" collapsed="false">
      <c r="A1299" s="6" t="s">
        <v>46</v>
      </c>
      <c r="B1299" s="6" t="s">
        <v>43</v>
      </c>
      <c r="C1299" s="6" t="s">
        <v>44</v>
      </c>
      <c r="D1299" s="6" t="s">
        <v>115</v>
      </c>
      <c r="E1299" s="6" t="n">
        <v>1</v>
      </c>
      <c r="F1299" s="6" t="n">
        <v>8</v>
      </c>
      <c r="G1299" s="6" t="s">
        <v>78</v>
      </c>
      <c r="H1299" s="11" t="n">
        <v>0.01</v>
      </c>
      <c r="I1299" s="6" t="n">
        <v>200</v>
      </c>
      <c r="J1299" s="6" t="n">
        <v>1</v>
      </c>
      <c r="K1299" s="6" t="n">
        <v>199</v>
      </c>
      <c r="L1299" s="6" t="n">
        <v>1</v>
      </c>
      <c r="M1299" s="6" t="n">
        <v>199</v>
      </c>
      <c r="N1299" s="11" t="n">
        <f aca="false">J1299/(J1299+K1299)</f>
        <v>0.005</v>
      </c>
      <c r="O1299" s="11" t="n">
        <f aca="false">IF(J1299+L1299=0,"",J1299/(J1299+L1299))</f>
        <v>0.5</v>
      </c>
      <c r="P1299" s="11" t="n">
        <f aca="false">2*J1299/(2*J1299+L1299+K1299)</f>
        <v>0.0099009900990099</v>
      </c>
      <c r="Q1299" s="11" t="n">
        <f aca="false">L1299/(L1299+M1299)</f>
        <v>0.005</v>
      </c>
      <c r="R1299" s="6" t="n">
        <v>2</v>
      </c>
      <c r="S1299" s="11" t="n">
        <v>0</v>
      </c>
      <c r="T1299" s="11" t="n">
        <v>0.00505050505050505</v>
      </c>
      <c r="U1299" s="11" t="n">
        <v>0.88</v>
      </c>
      <c r="V1299" s="11" t="n">
        <v>0.88</v>
      </c>
    </row>
    <row r="1300" customFormat="false" ht="15" hidden="false" customHeight="false" outlineLevel="0" collapsed="false">
      <c r="A1300" s="6" t="s">
        <v>46</v>
      </c>
      <c r="B1300" s="6" t="s">
        <v>43</v>
      </c>
      <c r="C1300" s="6" t="s">
        <v>44</v>
      </c>
      <c r="D1300" s="6" t="s">
        <v>115</v>
      </c>
      <c r="E1300" s="6" t="n">
        <v>1</v>
      </c>
      <c r="F1300" s="6" t="n">
        <v>9</v>
      </c>
      <c r="G1300" s="6" t="s">
        <v>68</v>
      </c>
      <c r="H1300" s="11" t="n">
        <v>0.01</v>
      </c>
      <c r="I1300" s="6" t="n">
        <v>20</v>
      </c>
      <c r="J1300" s="6" t="n">
        <v>0</v>
      </c>
      <c r="K1300" s="6" t="n">
        <v>20</v>
      </c>
      <c r="L1300" s="6" t="n">
        <v>0</v>
      </c>
      <c r="M1300" s="6" t="n">
        <v>20</v>
      </c>
      <c r="N1300" s="11" t="n">
        <f aca="false">J1300/(J1300+K1300)</f>
        <v>0</v>
      </c>
      <c r="O1300" s="11" t="str">
        <f aca="false">IF(J1300+L1300=0,"",J1300/(J1300+L1300))</f>
        <v/>
      </c>
      <c r="P1300" s="11" t="n">
        <f aca="false">2*J1300/(2*J1300+L1300+K1300)</f>
        <v>0</v>
      </c>
      <c r="Q1300" s="11" t="n">
        <f aca="false">L1300/(L1300+M1300)</f>
        <v>0</v>
      </c>
      <c r="R1300" s="6" t="n">
        <v>0</v>
      </c>
      <c r="S1300" s="11"/>
      <c r="T1300" s="11" t="n">
        <v>0</v>
      </c>
      <c r="U1300" s="11" t="n">
        <v>0.85</v>
      </c>
      <c r="V1300" s="11" t="n">
        <v>0.85</v>
      </c>
    </row>
    <row r="1301" customFormat="false" ht="15" hidden="false" customHeight="false" outlineLevel="0" collapsed="false">
      <c r="A1301" s="6" t="s">
        <v>46</v>
      </c>
      <c r="B1301" s="6" t="s">
        <v>43</v>
      </c>
      <c r="C1301" s="6" t="s">
        <v>44</v>
      </c>
      <c r="D1301" s="6" t="s">
        <v>115</v>
      </c>
      <c r="E1301" s="6" t="n">
        <v>1</v>
      </c>
      <c r="F1301" s="6" t="n">
        <v>9</v>
      </c>
      <c r="G1301" s="6" t="s">
        <v>69</v>
      </c>
      <c r="H1301" s="11" t="n">
        <v>0.01</v>
      </c>
      <c r="I1301" s="6" t="n">
        <v>20</v>
      </c>
      <c r="J1301" s="6" t="n">
        <v>0</v>
      </c>
      <c r="K1301" s="6" t="n">
        <v>20</v>
      </c>
      <c r="L1301" s="6" t="n">
        <v>0</v>
      </c>
      <c r="M1301" s="6" t="n">
        <v>20</v>
      </c>
      <c r="N1301" s="11" t="n">
        <f aca="false">J1301/(J1301+K1301)</f>
        <v>0</v>
      </c>
      <c r="O1301" s="11" t="str">
        <f aca="false">IF(J1301+L1301=0,"",J1301/(J1301+L1301))</f>
        <v/>
      </c>
      <c r="P1301" s="11" t="n">
        <f aca="false">2*J1301/(2*J1301+L1301+K1301)</f>
        <v>0</v>
      </c>
      <c r="Q1301" s="11" t="n">
        <f aca="false">L1301/(L1301+M1301)</f>
        <v>0</v>
      </c>
      <c r="R1301" s="6" t="n">
        <v>0</v>
      </c>
      <c r="S1301" s="11"/>
      <c r="T1301" s="11" t="n">
        <v>0</v>
      </c>
      <c r="U1301" s="11" t="n">
        <v>1</v>
      </c>
      <c r="V1301" s="11" t="n">
        <v>1</v>
      </c>
    </row>
    <row r="1302" customFormat="false" ht="15" hidden="false" customHeight="false" outlineLevel="0" collapsed="false">
      <c r="A1302" s="6" t="s">
        <v>46</v>
      </c>
      <c r="B1302" s="6" t="s">
        <v>43</v>
      </c>
      <c r="C1302" s="6" t="s">
        <v>44</v>
      </c>
      <c r="D1302" s="6" t="s">
        <v>115</v>
      </c>
      <c r="E1302" s="6" t="n">
        <v>1</v>
      </c>
      <c r="F1302" s="6" t="n">
        <v>9</v>
      </c>
      <c r="G1302" s="6" t="s">
        <v>70</v>
      </c>
      <c r="H1302" s="11" t="n">
        <v>0.01</v>
      </c>
      <c r="I1302" s="6" t="n">
        <v>20</v>
      </c>
      <c r="J1302" s="6" t="n">
        <v>0</v>
      </c>
      <c r="K1302" s="6" t="n">
        <v>20</v>
      </c>
      <c r="L1302" s="6" t="n">
        <v>0</v>
      </c>
      <c r="M1302" s="6" t="n">
        <v>20</v>
      </c>
      <c r="N1302" s="11" t="n">
        <f aca="false">J1302/(J1302+K1302)</f>
        <v>0</v>
      </c>
      <c r="O1302" s="11" t="str">
        <f aca="false">IF(J1302+L1302=0,"",J1302/(J1302+L1302))</f>
        <v/>
      </c>
      <c r="P1302" s="11" t="n">
        <f aca="false">2*J1302/(2*J1302+L1302+K1302)</f>
        <v>0</v>
      </c>
      <c r="Q1302" s="11" t="n">
        <f aca="false">L1302/(L1302+M1302)</f>
        <v>0</v>
      </c>
      <c r="R1302" s="6" t="n">
        <v>0</v>
      </c>
      <c r="S1302" s="11"/>
      <c r="T1302" s="11" t="n">
        <v>0</v>
      </c>
      <c r="U1302" s="11" t="n">
        <v>0.9</v>
      </c>
      <c r="V1302" s="11" t="n">
        <v>0.9</v>
      </c>
    </row>
    <row r="1303" customFormat="false" ht="15" hidden="false" customHeight="false" outlineLevel="0" collapsed="false">
      <c r="A1303" s="6" t="s">
        <v>46</v>
      </c>
      <c r="B1303" s="6" t="s">
        <v>43</v>
      </c>
      <c r="C1303" s="6" t="s">
        <v>44</v>
      </c>
      <c r="D1303" s="6" t="s">
        <v>115</v>
      </c>
      <c r="E1303" s="6" t="n">
        <v>1</v>
      </c>
      <c r="F1303" s="6" t="n">
        <v>9</v>
      </c>
      <c r="G1303" s="6" t="s">
        <v>71</v>
      </c>
      <c r="H1303" s="11" t="n">
        <v>0.01</v>
      </c>
      <c r="I1303" s="6" t="n">
        <v>20</v>
      </c>
      <c r="J1303" s="6" t="n">
        <v>0</v>
      </c>
      <c r="K1303" s="6" t="n">
        <v>20</v>
      </c>
      <c r="L1303" s="6" t="n">
        <v>0</v>
      </c>
      <c r="M1303" s="6" t="n">
        <v>20</v>
      </c>
      <c r="N1303" s="11" t="n">
        <f aca="false">J1303/(J1303+K1303)</f>
        <v>0</v>
      </c>
      <c r="O1303" s="11" t="str">
        <f aca="false">IF(J1303+L1303=0,"",J1303/(J1303+L1303))</f>
        <v/>
      </c>
      <c r="P1303" s="11" t="n">
        <f aca="false">2*J1303/(2*J1303+L1303+K1303)</f>
        <v>0</v>
      </c>
      <c r="Q1303" s="11" t="n">
        <f aca="false">L1303/(L1303+M1303)</f>
        <v>0</v>
      </c>
      <c r="R1303" s="6" t="n">
        <v>0</v>
      </c>
      <c r="S1303" s="11"/>
      <c r="T1303" s="11" t="n">
        <v>0</v>
      </c>
      <c r="U1303" s="11" t="n">
        <v>0.8</v>
      </c>
      <c r="V1303" s="11" t="n">
        <v>0.8</v>
      </c>
    </row>
    <row r="1304" customFormat="false" ht="15" hidden="false" customHeight="false" outlineLevel="0" collapsed="false">
      <c r="A1304" s="6" t="s">
        <v>46</v>
      </c>
      <c r="B1304" s="6" t="s">
        <v>43</v>
      </c>
      <c r="C1304" s="6" t="s">
        <v>44</v>
      </c>
      <c r="D1304" s="6" t="s">
        <v>115</v>
      </c>
      <c r="E1304" s="6" t="n">
        <v>1</v>
      </c>
      <c r="F1304" s="6" t="n">
        <v>9</v>
      </c>
      <c r="G1304" s="6" t="s">
        <v>72</v>
      </c>
      <c r="H1304" s="11" t="n">
        <v>0.01</v>
      </c>
      <c r="I1304" s="6" t="n">
        <v>20</v>
      </c>
      <c r="J1304" s="6" t="n">
        <v>0</v>
      </c>
      <c r="K1304" s="6" t="n">
        <v>20</v>
      </c>
      <c r="L1304" s="6" t="n">
        <v>0</v>
      </c>
      <c r="M1304" s="6" t="n">
        <v>20</v>
      </c>
      <c r="N1304" s="11" t="n">
        <f aca="false">J1304/(J1304+K1304)</f>
        <v>0</v>
      </c>
      <c r="O1304" s="11" t="str">
        <f aca="false">IF(J1304+L1304=0,"",J1304/(J1304+L1304))</f>
        <v/>
      </c>
      <c r="P1304" s="11" t="n">
        <f aca="false">2*J1304/(2*J1304+L1304+K1304)</f>
        <v>0</v>
      </c>
      <c r="Q1304" s="11" t="n">
        <f aca="false">L1304/(L1304+M1304)</f>
        <v>0</v>
      </c>
      <c r="R1304" s="6" t="n">
        <v>0</v>
      </c>
      <c r="S1304" s="11"/>
      <c r="T1304" s="11" t="n">
        <v>0</v>
      </c>
      <c r="U1304" s="11" t="n">
        <v>0.9</v>
      </c>
      <c r="V1304" s="11" t="n">
        <v>0.9</v>
      </c>
    </row>
    <row r="1305" customFormat="false" ht="15" hidden="false" customHeight="false" outlineLevel="0" collapsed="false">
      <c r="A1305" s="6" t="s">
        <v>46</v>
      </c>
      <c r="B1305" s="6" t="s">
        <v>43</v>
      </c>
      <c r="C1305" s="6" t="s">
        <v>44</v>
      </c>
      <c r="D1305" s="6" t="s">
        <v>115</v>
      </c>
      <c r="E1305" s="6" t="n">
        <v>1</v>
      </c>
      <c r="F1305" s="6" t="n">
        <v>9</v>
      </c>
      <c r="G1305" s="6" t="s">
        <v>73</v>
      </c>
      <c r="H1305" s="11" t="n">
        <v>0.01</v>
      </c>
      <c r="I1305" s="6" t="n">
        <v>20</v>
      </c>
      <c r="J1305" s="6" t="n">
        <v>0</v>
      </c>
      <c r="K1305" s="6" t="n">
        <v>20</v>
      </c>
      <c r="L1305" s="6" t="n">
        <v>0</v>
      </c>
      <c r="M1305" s="6" t="n">
        <v>20</v>
      </c>
      <c r="N1305" s="11" t="n">
        <f aca="false">J1305/(J1305+K1305)</f>
        <v>0</v>
      </c>
      <c r="O1305" s="11" t="str">
        <f aca="false">IF(J1305+L1305=0,"",J1305/(J1305+L1305))</f>
        <v/>
      </c>
      <c r="P1305" s="11" t="n">
        <f aca="false">2*J1305/(2*J1305+L1305+K1305)</f>
        <v>0</v>
      </c>
      <c r="Q1305" s="11" t="n">
        <f aca="false">L1305/(L1305+M1305)</f>
        <v>0</v>
      </c>
      <c r="R1305" s="6" t="n">
        <v>0</v>
      </c>
      <c r="S1305" s="11"/>
      <c r="T1305" s="11" t="n">
        <v>0</v>
      </c>
      <c r="U1305" s="11" t="n">
        <v>0.65</v>
      </c>
      <c r="V1305" s="11" t="n">
        <v>0.65</v>
      </c>
    </row>
    <row r="1306" customFormat="false" ht="15" hidden="false" customHeight="false" outlineLevel="0" collapsed="false">
      <c r="A1306" s="6" t="s">
        <v>46</v>
      </c>
      <c r="B1306" s="6" t="s">
        <v>43</v>
      </c>
      <c r="C1306" s="6" t="s">
        <v>44</v>
      </c>
      <c r="D1306" s="6" t="s">
        <v>115</v>
      </c>
      <c r="E1306" s="6" t="n">
        <v>1</v>
      </c>
      <c r="F1306" s="6" t="n">
        <v>9</v>
      </c>
      <c r="G1306" s="6" t="s">
        <v>74</v>
      </c>
      <c r="H1306" s="11" t="n">
        <v>0.01</v>
      </c>
      <c r="I1306" s="6" t="n">
        <v>20</v>
      </c>
      <c r="J1306" s="6" t="n">
        <v>0</v>
      </c>
      <c r="K1306" s="6" t="n">
        <v>20</v>
      </c>
      <c r="L1306" s="6" t="n">
        <v>0</v>
      </c>
      <c r="M1306" s="6" t="n">
        <v>20</v>
      </c>
      <c r="N1306" s="11" t="n">
        <f aca="false">J1306/(J1306+K1306)</f>
        <v>0</v>
      </c>
      <c r="O1306" s="11" t="str">
        <f aca="false">IF(J1306+L1306=0,"",J1306/(J1306+L1306))</f>
        <v/>
      </c>
      <c r="P1306" s="11" t="n">
        <f aca="false">2*J1306/(2*J1306+L1306+K1306)</f>
        <v>0</v>
      </c>
      <c r="Q1306" s="11" t="n">
        <f aca="false">L1306/(L1306+M1306)</f>
        <v>0</v>
      </c>
      <c r="R1306" s="6" t="n">
        <v>0</v>
      </c>
      <c r="S1306" s="11"/>
      <c r="T1306" s="11" t="n">
        <v>0</v>
      </c>
      <c r="U1306" s="11" t="n">
        <v>0.85</v>
      </c>
      <c r="V1306" s="11" t="n">
        <v>0.85</v>
      </c>
    </row>
    <row r="1307" customFormat="false" ht="15" hidden="false" customHeight="false" outlineLevel="0" collapsed="false">
      <c r="A1307" s="6" t="s">
        <v>46</v>
      </c>
      <c r="B1307" s="6" t="s">
        <v>43</v>
      </c>
      <c r="C1307" s="6" t="s">
        <v>44</v>
      </c>
      <c r="D1307" s="6" t="s">
        <v>115</v>
      </c>
      <c r="E1307" s="6" t="n">
        <v>1</v>
      </c>
      <c r="F1307" s="6" t="n">
        <v>9</v>
      </c>
      <c r="G1307" s="6" t="s">
        <v>75</v>
      </c>
      <c r="H1307" s="11" t="n">
        <v>0.01</v>
      </c>
      <c r="I1307" s="6" t="n">
        <v>20</v>
      </c>
      <c r="J1307" s="6" t="n">
        <v>0</v>
      </c>
      <c r="K1307" s="6" t="n">
        <v>20</v>
      </c>
      <c r="L1307" s="6" t="n">
        <v>0</v>
      </c>
      <c r="M1307" s="6" t="n">
        <v>20</v>
      </c>
      <c r="N1307" s="11" t="n">
        <f aca="false">J1307/(J1307+K1307)</f>
        <v>0</v>
      </c>
      <c r="O1307" s="11" t="str">
        <f aca="false">IF(J1307+L1307=0,"",J1307/(J1307+L1307))</f>
        <v/>
      </c>
      <c r="P1307" s="11" t="n">
        <f aca="false">2*J1307/(2*J1307+L1307+K1307)</f>
        <v>0</v>
      </c>
      <c r="Q1307" s="11" t="n">
        <f aca="false">L1307/(L1307+M1307)</f>
        <v>0</v>
      </c>
      <c r="R1307" s="6" t="n">
        <v>0</v>
      </c>
      <c r="S1307" s="11"/>
      <c r="T1307" s="11" t="n">
        <v>0</v>
      </c>
      <c r="U1307" s="11" t="n">
        <v>0.9</v>
      </c>
      <c r="V1307" s="11" t="n">
        <v>0.9</v>
      </c>
    </row>
    <row r="1308" customFormat="false" ht="15" hidden="false" customHeight="false" outlineLevel="0" collapsed="false">
      <c r="A1308" s="6" t="s">
        <v>46</v>
      </c>
      <c r="B1308" s="6" t="s">
        <v>43</v>
      </c>
      <c r="C1308" s="6" t="s">
        <v>44</v>
      </c>
      <c r="D1308" s="6" t="s">
        <v>115</v>
      </c>
      <c r="E1308" s="6" t="n">
        <v>1</v>
      </c>
      <c r="F1308" s="6" t="n">
        <v>9</v>
      </c>
      <c r="G1308" s="6" t="s">
        <v>76</v>
      </c>
      <c r="H1308" s="11" t="n">
        <v>0.01</v>
      </c>
      <c r="I1308" s="6" t="n">
        <v>20</v>
      </c>
      <c r="J1308" s="6" t="n">
        <v>0</v>
      </c>
      <c r="K1308" s="6" t="n">
        <v>20</v>
      </c>
      <c r="L1308" s="6" t="n">
        <v>0</v>
      </c>
      <c r="M1308" s="6" t="n">
        <v>20</v>
      </c>
      <c r="N1308" s="11" t="n">
        <f aca="false">J1308/(J1308+K1308)</f>
        <v>0</v>
      </c>
      <c r="O1308" s="11" t="str">
        <f aca="false">IF(J1308+L1308=0,"",J1308/(J1308+L1308))</f>
        <v/>
      </c>
      <c r="P1308" s="11" t="n">
        <f aca="false">2*J1308/(2*J1308+L1308+K1308)</f>
        <v>0</v>
      </c>
      <c r="Q1308" s="11" t="n">
        <f aca="false">L1308/(L1308+M1308)</f>
        <v>0</v>
      </c>
      <c r="R1308" s="6" t="n">
        <v>0</v>
      </c>
      <c r="S1308" s="11"/>
      <c r="T1308" s="11" t="n">
        <v>0</v>
      </c>
      <c r="U1308" s="11" t="n">
        <v>0.95</v>
      </c>
      <c r="V1308" s="11" t="n">
        <v>0.95</v>
      </c>
    </row>
    <row r="1309" customFormat="false" ht="15" hidden="false" customHeight="false" outlineLevel="0" collapsed="false">
      <c r="A1309" s="6" t="s">
        <v>46</v>
      </c>
      <c r="B1309" s="6" t="s">
        <v>43</v>
      </c>
      <c r="C1309" s="6" t="s">
        <v>44</v>
      </c>
      <c r="D1309" s="6" t="s">
        <v>115</v>
      </c>
      <c r="E1309" s="6" t="n">
        <v>1</v>
      </c>
      <c r="F1309" s="6" t="n">
        <v>9</v>
      </c>
      <c r="G1309" s="6" t="s">
        <v>77</v>
      </c>
      <c r="H1309" s="11" t="n">
        <v>0.01</v>
      </c>
      <c r="I1309" s="6" t="n">
        <v>20</v>
      </c>
      <c r="J1309" s="6" t="n">
        <v>1</v>
      </c>
      <c r="K1309" s="6" t="n">
        <v>19</v>
      </c>
      <c r="L1309" s="6" t="n">
        <v>1</v>
      </c>
      <c r="M1309" s="6" t="n">
        <v>19</v>
      </c>
      <c r="N1309" s="11" t="n">
        <f aca="false">J1309/(J1309+K1309)</f>
        <v>0.05</v>
      </c>
      <c r="O1309" s="11" t="n">
        <f aca="false">IF(J1309+L1309=0,"",J1309/(J1309+L1309))</f>
        <v>0.5</v>
      </c>
      <c r="P1309" s="11" t="n">
        <f aca="false">2*J1309/(2*J1309+L1309+K1309)</f>
        <v>0.0909090909090909</v>
      </c>
      <c r="Q1309" s="11" t="n">
        <f aca="false">L1309/(L1309+M1309)</f>
        <v>0.05</v>
      </c>
      <c r="R1309" s="6" t="n">
        <v>0</v>
      </c>
      <c r="S1309" s="11"/>
      <c r="T1309" s="11" t="n">
        <v>0.05</v>
      </c>
      <c r="U1309" s="11" t="n">
        <v>1</v>
      </c>
      <c r="V1309" s="11" t="n">
        <v>1</v>
      </c>
    </row>
    <row r="1310" customFormat="false" ht="15" hidden="false" customHeight="false" outlineLevel="0" collapsed="false">
      <c r="A1310" s="6" t="s">
        <v>46</v>
      </c>
      <c r="B1310" s="6" t="s">
        <v>43</v>
      </c>
      <c r="C1310" s="6" t="s">
        <v>44</v>
      </c>
      <c r="D1310" s="6" t="s">
        <v>115</v>
      </c>
      <c r="E1310" s="6" t="n">
        <v>1</v>
      </c>
      <c r="F1310" s="6" t="n">
        <v>9</v>
      </c>
      <c r="G1310" s="6" t="s">
        <v>78</v>
      </c>
      <c r="H1310" s="11" t="n">
        <v>0.01</v>
      </c>
      <c r="I1310" s="6" t="n">
        <v>200</v>
      </c>
      <c r="J1310" s="6" t="n">
        <v>1</v>
      </c>
      <c r="K1310" s="6" t="n">
        <v>199</v>
      </c>
      <c r="L1310" s="6" t="n">
        <v>1</v>
      </c>
      <c r="M1310" s="6" t="n">
        <v>199</v>
      </c>
      <c r="N1310" s="11" t="n">
        <f aca="false">J1310/(J1310+K1310)</f>
        <v>0.005</v>
      </c>
      <c r="O1310" s="11" t="n">
        <f aca="false">IF(J1310+L1310=0,"",J1310/(J1310+L1310))</f>
        <v>0.5</v>
      </c>
      <c r="P1310" s="11" t="n">
        <f aca="false">2*J1310/(2*J1310+L1310+K1310)</f>
        <v>0.0099009900990099</v>
      </c>
      <c r="Q1310" s="11" t="n">
        <f aca="false">L1310/(L1310+M1310)</f>
        <v>0.005</v>
      </c>
      <c r="R1310" s="6" t="n">
        <v>0</v>
      </c>
      <c r="S1310" s="11"/>
      <c r="T1310" s="11" t="n">
        <v>0.005</v>
      </c>
      <c r="U1310" s="11" t="n">
        <v>0.88</v>
      </c>
      <c r="V1310" s="11" t="n">
        <v>0.88</v>
      </c>
    </row>
    <row r="1311" customFormat="false" ht="15" hidden="false" customHeight="false" outlineLevel="0" collapsed="false">
      <c r="A1311" s="6" t="s">
        <v>46</v>
      </c>
      <c r="B1311" s="6" t="s">
        <v>43</v>
      </c>
      <c r="C1311" s="6" t="s">
        <v>44</v>
      </c>
      <c r="D1311" s="6" t="s">
        <v>115</v>
      </c>
      <c r="E1311" s="6" t="n">
        <v>1</v>
      </c>
      <c r="F1311" s="6" t="n">
        <v>10</v>
      </c>
      <c r="G1311" s="6" t="s">
        <v>68</v>
      </c>
      <c r="H1311" s="11" t="n">
        <v>0.01</v>
      </c>
      <c r="I1311" s="6" t="n">
        <v>20</v>
      </c>
      <c r="J1311" s="6" t="n">
        <v>0</v>
      </c>
      <c r="K1311" s="6" t="n">
        <v>20</v>
      </c>
      <c r="L1311" s="6" t="n">
        <v>0</v>
      </c>
      <c r="M1311" s="6" t="n">
        <v>20</v>
      </c>
      <c r="N1311" s="11" t="n">
        <f aca="false">J1311/(J1311+K1311)</f>
        <v>0</v>
      </c>
      <c r="O1311" s="11" t="str">
        <f aca="false">IF(J1311+L1311=0,"",J1311/(J1311+L1311))</f>
        <v/>
      </c>
      <c r="P1311" s="11" t="n">
        <f aca="false">2*J1311/(2*J1311+L1311+K1311)</f>
        <v>0</v>
      </c>
      <c r="Q1311" s="11" t="n">
        <f aca="false">L1311/(L1311+M1311)</f>
        <v>0</v>
      </c>
      <c r="R1311" s="6" t="n">
        <v>0</v>
      </c>
      <c r="S1311" s="11"/>
      <c r="T1311" s="11" t="n">
        <v>0</v>
      </c>
      <c r="U1311" s="11" t="n">
        <v>0.85</v>
      </c>
      <c r="V1311" s="11" t="n">
        <v>0.85</v>
      </c>
    </row>
    <row r="1312" customFormat="false" ht="15" hidden="false" customHeight="false" outlineLevel="0" collapsed="false">
      <c r="A1312" s="6" t="s">
        <v>46</v>
      </c>
      <c r="B1312" s="6" t="s">
        <v>43</v>
      </c>
      <c r="C1312" s="6" t="s">
        <v>44</v>
      </c>
      <c r="D1312" s="6" t="s">
        <v>115</v>
      </c>
      <c r="E1312" s="6" t="n">
        <v>1</v>
      </c>
      <c r="F1312" s="6" t="n">
        <v>10</v>
      </c>
      <c r="G1312" s="6" t="s">
        <v>69</v>
      </c>
      <c r="H1312" s="11" t="n">
        <v>0.01</v>
      </c>
      <c r="I1312" s="6" t="n">
        <v>20</v>
      </c>
      <c r="J1312" s="6" t="n">
        <v>0</v>
      </c>
      <c r="K1312" s="6" t="n">
        <v>20</v>
      </c>
      <c r="L1312" s="6" t="n">
        <v>0</v>
      </c>
      <c r="M1312" s="6" t="n">
        <v>20</v>
      </c>
      <c r="N1312" s="11" t="n">
        <f aca="false">J1312/(J1312+K1312)</f>
        <v>0</v>
      </c>
      <c r="O1312" s="11" t="str">
        <f aca="false">IF(J1312+L1312=0,"",J1312/(J1312+L1312))</f>
        <v/>
      </c>
      <c r="P1312" s="11" t="n">
        <f aca="false">2*J1312/(2*J1312+L1312+K1312)</f>
        <v>0</v>
      </c>
      <c r="Q1312" s="11" t="n">
        <f aca="false">L1312/(L1312+M1312)</f>
        <v>0</v>
      </c>
      <c r="R1312" s="6" t="n">
        <v>0</v>
      </c>
      <c r="S1312" s="11"/>
      <c r="T1312" s="11" t="n">
        <v>0</v>
      </c>
      <c r="U1312" s="11" t="n">
        <v>1</v>
      </c>
      <c r="V1312" s="11" t="n">
        <v>1</v>
      </c>
    </row>
    <row r="1313" customFormat="false" ht="15" hidden="false" customHeight="false" outlineLevel="0" collapsed="false">
      <c r="A1313" s="6" t="s">
        <v>46</v>
      </c>
      <c r="B1313" s="6" t="s">
        <v>43</v>
      </c>
      <c r="C1313" s="6" t="s">
        <v>44</v>
      </c>
      <c r="D1313" s="6" t="s">
        <v>115</v>
      </c>
      <c r="E1313" s="6" t="n">
        <v>1</v>
      </c>
      <c r="F1313" s="6" t="n">
        <v>10</v>
      </c>
      <c r="G1313" s="6" t="s">
        <v>70</v>
      </c>
      <c r="H1313" s="11" t="n">
        <v>0.01</v>
      </c>
      <c r="I1313" s="6" t="n">
        <v>20</v>
      </c>
      <c r="J1313" s="6" t="n">
        <v>0</v>
      </c>
      <c r="K1313" s="6" t="n">
        <v>20</v>
      </c>
      <c r="L1313" s="6" t="n">
        <v>0</v>
      </c>
      <c r="M1313" s="6" t="n">
        <v>20</v>
      </c>
      <c r="N1313" s="11" t="n">
        <f aca="false">J1313/(J1313+K1313)</f>
        <v>0</v>
      </c>
      <c r="O1313" s="11" t="str">
        <f aca="false">IF(J1313+L1313=0,"",J1313/(J1313+L1313))</f>
        <v/>
      </c>
      <c r="P1313" s="11" t="n">
        <f aca="false">2*J1313/(2*J1313+L1313+K1313)</f>
        <v>0</v>
      </c>
      <c r="Q1313" s="11" t="n">
        <f aca="false">L1313/(L1313+M1313)</f>
        <v>0</v>
      </c>
      <c r="R1313" s="6" t="n">
        <v>0</v>
      </c>
      <c r="S1313" s="11"/>
      <c r="T1313" s="11" t="n">
        <v>0</v>
      </c>
      <c r="U1313" s="11" t="n">
        <v>0.9</v>
      </c>
      <c r="V1313" s="11" t="n">
        <v>0.9</v>
      </c>
    </row>
    <row r="1314" customFormat="false" ht="15" hidden="false" customHeight="false" outlineLevel="0" collapsed="false">
      <c r="A1314" s="6" t="s">
        <v>46</v>
      </c>
      <c r="B1314" s="6" t="s">
        <v>43</v>
      </c>
      <c r="C1314" s="6" t="s">
        <v>44</v>
      </c>
      <c r="D1314" s="6" t="s">
        <v>115</v>
      </c>
      <c r="E1314" s="6" t="n">
        <v>1</v>
      </c>
      <c r="F1314" s="6" t="n">
        <v>10</v>
      </c>
      <c r="G1314" s="6" t="s">
        <v>71</v>
      </c>
      <c r="H1314" s="11" t="n">
        <v>0.01</v>
      </c>
      <c r="I1314" s="6" t="n">
        <v>20</v>
      </c>
      <c r="J1314" s="6" t="n">
        <v>0</v>
      </c>
      <c r="K1314" s="6" t="n">
        <v>20</v>
      </c>
      <c r="L1314" s="6" t="n">
        <v>0</v>
      </c>
      <c r="M1314" s="6" t="n">
        <v>20</v>
      </c>
      <c r="N1314" s="11" t="n">
        <f aca="false">J1314/(J1314+K1314)</f>
        <v>0</v>
      </c>
      <c r="O1314" s="11" t="str">
        <f aca="false">IF(J1314+L1314=0,"",J1314/(J1314+L1314))</f>
        <v/>
      </c>
      <c r="P1314" s="11" t="n">
        <f aca="false">2*J1314/(2*J1314+L1314+K1314)</f>
        <v>0</v>
      </c>
      <c r="Q1314" s="11" t="n">
        <f aca="false">L1314/(L1314+M1314)</f>
        <v>0</v>
      </c>
      <c r="R1314" s="6" t="n">
        <v>0</v>
      </c>
      <c r="S1314" s="11"/>
      <c r="T1314" s="11" t="n">
        <v>0</v>
      </c>
      <c r="U1314" s="11" t="n">
        <v>0.8</v>
      </c>
      <c r="V1314" s="11" t="n">
        <v>0.8</v>
      </c>
    </row>
    <row r="1315" customFormat="false" ht="15" hidden="false" customHeight="false" outlineLevel="0" collapsed="false">
      <c r="A1315" s="6" t="s">
        <v>46</v>
      </c>
      <c r="B1315" s="6" t="s">
        <v>43</v>
      </c>
      <c r="C1315" s="6" t="s">
        <v>44</v>
      </c>
      <c r="D1315" s="6" t="s">
        <v>115</v>
      </c>
      <c r="E1315" s="6" t="n">
        <v>1</v>
      </c>
      <c r="F1315" s="6" t="n">
        <v>10</v>
      </c>
      <c r="G1315" s="6" t="s">
        <v>72</v>
      </c>
      <c r="H1315" s="11" t="n">
        <v>0.01</v>
      </c>
      <c r="I1315" s="6" t="n">
        <v>20</v>
      </c>
      <c r="J1315" s="6" t="n">
        <v>0</v>
      </c>
      <c r="K1315" s="6" t="n">
        <v>20</v>
      </c>
      <c r="L1315" s="6" t="n">
        <v>0</v>
      </c>
      <c r="M1315" s="6" t="n">
        <v>20</v>
      </c>
      <c r="N1315" s="11" t="n">
        <f aca="false">J1315/(J1315+K1315)</f>
        <v>0</v>
      </c>
      <c r="O1315" s="11" t="str">
        <f aca="false">IF(J1315+L1315=0,"",J1315/(J1315+L1315))</f>
        <v/>
      </c>
      <c r="P1315" s="11" t="n">
        <f aca="false">2*J1315/(2*J1315+L1315+K1315)</f>
        <v>0</v>
      </c>
      <c r="Q1315" s="11" t="n">
        <f aca="false">L1315/(L1315+M1315)</f>
        <v>0</v>
      </c>
      <c r="R1315" s="6" t="n">
        <v>0</v>
      </c>
      <c r="S1315" s="11"/>
      <c r="T1315" s="11" t="n">
        <v>0</v>
      </c>
      <c r="U1315" s="11" t="n">
        <v>0.9</v>
      </c>
      <c r="V1315" s="11" t="n">
        <v>0.9</v>
      </c>
    </row>
    <row r="1316" customFormat="false" ht="15" hidden="false" customHeight="false" outlineLevel="0" collapsed="false">
      <c r="A1316" s="6" t="s">
        <v>46</v>
      </c>
      <c r="B1316" s="6" t="s">
        <v>43</v>
      </c>
      <c r="C1316" s="6" t="s">
        <v>44</v>
      </c>
      <c r="D1316" s="6" t="s">
        <v>115</v>
      </c>
      <c r="E1316" s="6" t="n">
        <v>1</v>
      </c>
      <c r="F1316" s="6" t="n">
        <v>10</v>
      </c>
      <c r="G1316" s="6" t="s">
        <v>73</v>
      </c>
      <c r="H1316" s="11" t="n">
        <v>0.01</v>
      </c>
      <c r="I1316" s="6" t="n">
        <v>20</v>
      </c>
      <c r="J1316" s="6" t="n">
        <v>0</v>
      </c>
      <c r="K1316" s="6" t="n">
        <v>20</v>
      </c>
      <c r="L1316" s="6" t="n">
        <v>0</v>
      </c>
      <c r="M1316" s="6" t="n">
        <v>20</v>
      </c>
      <c r="N1316" s="11" t="n">
        <f aca="false">J1316/(J1316+K1316)</f>
        <v>0</v>
      </c>
      <c r="O1316" s="11" t="str">
        <f aca="false">IF(J1316+L1316=0,"",J1316/(J1316+L1316))</f>
        <v/>
      </c>
      <c r="P1316" s="11" t="n">
        <f aca="false">2*J1316/(2*J1316+L1316+K1316)</f>
        <v>0</v>
      </c>
      <c r="Q1316" s="11" t="n">
        <f aca="false">L1316/(L1316+M1316)</f>
        <v>0</v>
      </c>
      <c r="R1316" s="6" t="n">
        <v>0</v>
      </c>
      <c r="S1316" s="11"/>
      <c r="T1316" s="11" t="n">
        <v>0</v>
      </c>
      <c r="U1316" s="11" t="n">
        <v>0.65</v>
      </c>
      <c r="V1316" s="11" t="n">
        <v>0.65</v>
      </c>
    </row>
    <row r="1317" customFormat="false" ht="15" hidden="false" customHeight="false" outlineLevel="0" collapsed="false">
      <c r="A1317" s="6" t="s">
        <v>46</v>
      </c>
      <c r="B1317" s="6" t="s">
        <v>43</v>
      </c>
      <c r="C1317" s="6" t="s">
        <v>44</v>
      </c>
      <c r="D1317" s="6" t="s">
        <v>115</v>
      </c>
      <c r="E1317" s="6" t="n">
        <v>1</v>
      </c>
      <c r="F1317" s="6" t="n">
        <v>10</v>
      </c>
      <c r="G1317" s="6" t="s">
        <v>74</v>
      </c>
      <c r="H1317" s="11" t="n">
        <v>0.01</v>
      </c>
      <c r="I1317" s="6" t="n">
        <v>20</v>
      </c>
      <c r="J1317" s="6" t="n">
        <v>0</v>
      </c>
      <c r="K1317" s="6" t="n">
        <v>20</v>
      </c>
      <c r="L1317" s="6" t="n">
        <v>0</v>
      </c>
      <c r="M1317" s="6" t="n">
        <v>20</v>
      </c>
      <c r="N1317" s="11" t="n">
        <f aca="false">J1317/(J1317+K1317)</f>
        <v>0</v>
      </c>
      <c r="O1317" s="11" t="str">
        <f aca="false">IF(J1317+L1317=0,"",J1317/(J1317+L1317))</f>
        <v/>
      </c>
      <c r="P1317" s="11" t="n">
        <f aca="false">2*J1317/(2*J1317+L1317+K1317)</f>
        <v>0</v>
      </c>
      <c r="Q1317" s="11" t="n">
        <f aca="false">L1317/(L1317+M1317)</f>
        <v>0</v>
      </c>
      <c r="R1317" s="6" t="n">
        <v>0</v>
      </c>
      <c r="S1317" s="11"/>
      <c r="T1317" s="11" t="n">
        <v>0</v>
      </c>
      <c r="U1317" s="11" t="n">
        <v>0.85</v>
      </c>
      <c r="V1317" s="11" t="n">
        <v>0.85</v>
      </c>
    </row>
    <row r="1318" customFormat="false" ht="15" hidden="false" customHeight="false" outlineLevel="0" collapsed="false">
      <c r="A1318" s="6" t="s">
        <v>46</v>
      </c>
      <c r="B1318" s="6" t="s">
        <v>43</v>
      </c>
      <c r="C1318" s="6" t="s">
        <v>44</v>
      </c>
      <c r="D1318" s="6" t="s">
        <v>115</v>
      </c>
      <c r="E1318" s="6" t="n">
        <v>1</v>
      </c>
      <c r="F1318" s="6" t="n">
        <v>10</v>
      </c>
      <c r="G1318" s="6" t="s">
        <v>75</v>
      </c>
      <c r="H1318" s="11" t="n">
        <v>0.01</v>
      </c>
      <c r="I1318" s="6" t="n">
        <v>20</v>
      </c>
      <c r="J1318" s="6" t="n">
        <v>0</v>
      </c>
      <c r="K1318" s="6" t="n">
        <v>20</v>
      </c>
      <c r="L1318" s="6" t="n">
        <v>0</v>
      </c>
      <c r="M1318" s="6" t="n">
        <v>20</v>
      </c>
      <c r="N1318" s="11" t="n">
        <f aca="false">J1318/(J1318+K1318)</f>
        <v>0</v>
      </c>
      <c r="O1318" s="11" t="str">
        <f aca="false">IF(J1318+L1318=0,"",J1318/(J1318+L1318))</f>
        <v/>
      </c>
      <c r="P1318" s="11" t="n">
        <f aca="false">2*J1318/(2*J1318+L1318+K1318)</f>
        <v>0</v>
      </c>
      <c r="Q1318" s="11" t="n">
        <f aca="false">L1318/(L1318+M1318)</f>
        <v>0</v>
      </c>
      <c r="R1318" s="6" t="n">
        <v>0</v>
      </c>
      <c r="S1318" s="11"/>
      <c r="T1318" s="11" t="n">
        <v>0</v>
      </c>
      <c r="U1318" s="11" t="n">
        <v>0.9</v>
      </c>
      <c r="V1318" s="11" t="n">
        <v>0.9</v>
      </c>
    </row>
    <row r="1319" customFormat="false" ht="15" hidden="false" customHeight="false" outlineLevel="0" collapsed="false">
      <c r="A1319" s="6" t="s">
        <v>46</v>
      </c>
      <c r="B1319" s="6" t="s">
        <v>43</v>
      </c>
      <c r="C1319" s="6" t="s">
        <v>44</v>
      </c>
      <c r="D1319" s="6" t="s">
        <v>115</v>
      </c>
      <c r="E1319" s="6" t="n">
        <v>1</v>
      </c>
      <c r="F1319" s="6" t="n">
        <v>10</v>
      </c>
      <c r="G1319" s="6" t="s">
        <v>76</v>
      </c>
      <c r="H1319" s="11" t="n">
        <v>0.01</v>
      </c>
      <c r="I1319" s="6" t="n">
        <v>20</v>
      </c>
      <c r="J1319" s="6" t="n">
        <v>0</v>
      </c>
      <c r="K1319" s="6" t="n">
        <v>20</v>
      </c>
      <c r="L1319" s="6" t="n">
        <v>0</v>
      </c>
      <c r="M1319" s="6" t="n">
        <v>20</v>
      </c>
      <c r="N1319" s="11" t="n">
        <f aca="false">J1319/(J1319+K1319)</f>
        <v>0</v>
      </c>
      <c r="O1319" s="11" t="str">
        <f aca="false">IF(J1319+L1319=0,"",J1319/(J1319+L1319))</f>
        <v/>
      </c>
      <c r="P1319" s="11" t="n">
        <f aca="false">2*J1319/(2*J1319+L1319+K1319)</f>
        <v>0</v>
      </c>
      <c r="Q1319" s="11" t="n">
        <f aca="false">L1319/(L1319+M1319)</f>
        <v>0</v>
      </c>
      <c r="R1319" s="6" t="n">
        <v>0</v>
      </c>
      <c r="S1319" s="11"/>
      <c r="T1319" s="11" t="n">
        <v>0</v>
      </c>
      <c r="U1319" s="11" t="n">
        <v>0.95</v>
      </c>
      <c r="V1319" s="11" t="n">
        <v>0.95</v>
      </c>
    </row>
    <row r="1320" customFormat="false" ht="15" hidden="false" customHeight="false" outlineLevel="0" collapsed="false">
      <c r="A1320" s="6" t="s">
        <v>46</v>
      </c>
      <c r="B1320" s="6" t="s">
        <v>43</v>
      </c>
      <c r="C1320" s="6" t="s">
        <v>44</v>
      </c>
      <c r="D1320" s="6" t="s">
        <v>115</v>
      </c>
      <c r="E1320" s="6" t="n">
        <v>1</v>
      </c>
      <c r="F1320" s="6" t="n">
        <v>10</v>
      </c>
      <c r="G1320" s="6" t="s">
        <v>77</v>
      </c>
      <c r="H1320" s="11" t="n">
        <v>0.01</v>
      </c>
      <c r="I1320" s="6" t="n">
        <v>20</v>
      </c>
      <c r="J1320" s="6" t="n">
        <v>1</v>
      </c>
      <c r="K1320" s="6" t="n">
        <v>19</v>
      </c>
      <c r="L1320" s="6" t="n">
        <v>1</v>
      </c>
      <c r="M1320" s="6" t="n">
        <v>19</v>
      </c>
      <c r="N1320" s="11" t="n">
        <f aca="false">J1320/(J1320+K1320)</f>
        <v>0.05</v>
      </c>
      <c r="O1320" s="11" t="n">
        <f aca="false">IF(J1320+L1320=0,"",J1320/(J1320+L1320))</f>
        <v>0.5</v>
      </c>
      <c r="P1320" s="11" t="n">
        <f aca="false">2*J1320/(2*J1320+L1320+K1320)</f>
        <v>0.0909090909090909</v>
      </c>
      <c r="Q1320" s="11" t="n">
        <f aca="false">L1320/(L1320+M1320)</f>
        <v>0.05</v>
      </c>
      <c r="R1320" s="6" t="n">
        <v>0</v>
      </c>
      <c r="S1320" s="11"/>
      <c r="T1320" s="11" t="n">
        <v>0.05</v>
      </c>
      <c r="U1320" s="11" t="n">
        <v>1</v>
      </c>
      <c r="V1320" s="11" t="n">
        <v>1</v>
      </c>
    </row>
    <row r="1321" customFormat="false" ht="15" hidden="false" customHeight="false" outlineLevel="0" collapsed="false">
      <c r="A1321" s="6" t="s">
        <v>46</v>
      </c>
      <c r="B1321" s="6" t="s">
        <v>43</v>
      </c>
      <c r="C1321" s="6" t="s">
        <v>44</v>
      </c>
      <c r="D1321" s="6" t="s">
        <v>115</v>
      </c>
      <c r="E1321" s="6" t="n">
        <v>1</v>
      </c>
      <c r="F1321" s="6" t="n">
        <v>10</v>
      </c>
      <c r="G1321" s="6" t="s">
        <v>78</v>
      </c>
      <c r="H1321" s="11" t="n">
        <v>0.01</v>
      </c>
      <c r="I1321" s="6" t="n">
        <v>200</v>
      </c>
      <c r="J1321" s="6" t="n">
        <v>1</v>
      </c>
      <c r="K1321" s="6" t="n">
        <v>199</v>
      </c>
      <c r="L1321" s="6" t="n">
        <v>1</v>
      </c>
      <c r="M1321" s="6" t="n">
        <v>199</v>
      </c>
      <c r="N1321" s="11" t="n">
        <f aca="false">J1321/(J1321+K1321)</f>
        <v>0.005</v>
      </c>
      <c r="O1321" s="11" t="n">
        <f aca="false">IF(J1321+L1321=0,"",J1321/(J1321+L1321))</f>
        <v>0.5</v>
      </c>
      <c r="P1321" s="11" t="n">
        <f aca="false">2*J1321/(2*J1321+L1321+K1321)</f>
        <v>0.0099009900990099</v>
      </c>
      <c r="Q1321" s="11" t="n">
        <f aca="false">L1321/(L1321+M1321)</f>
        <v>0.005</v>
      </c>
      <c r="R1321" s="6" t="n">
        <v>0</v>
      </c>
      <c r="S1321" s="11"/>
      <c r="T1321" s="11" t="n">
        <v>0.005</v>
      </c>
      <c r="U1321" s="11" t="n">
        <v>0.88</v>
      </c>
      <c r="V1321" s="11" t="n">
        <v>0.88</v>
      </c>
    </row>
    <row r="1322" customFormat="false" ht="15" hidden="false" customHeight="false" outlineLevel="0" collapsed="false">
      <c r="A1322" s="6" t="s">
        <v>48</v>
      </c>
      <c r="B1322" s="6" t="s">
        <v>43</v>
      </c>
      <c r="C1322" s="6" t="s">
        <v>49</v>
      </c>
      <c r="D1322" s="6" t="s">
        <v>115</v>
      </c>
      <c r="E1322" s="6" t="n">
        <v>4</v>
      </c>
      <c r="F1322" s="6" t="n">
        <v>1</v>
      </c>
      <c r="G1322" s="6" t="s">
        <v>68</v>
      </c>
      <c r="H1322" s="11" t="n">
        <v>0.01</v>
      </c>
      <c r="I1322" s="6" t="n">
        <v>20</v>
      </c>
      <c r="J1322" s="6" t="n">
        <v>20</v>
      </c>
      <c r="K1322" s="6" t="n">
        <v>0</v>
      </c>
      <c r="L1322" s="6" t="n">
        <v>0</v>
      </c>
      <c r="M1322" s="6" t="n">
        <v>20</v>
      </c>
      <c r="N1322" s="11" t="n">
        <f aca="false">J1322/(J1322+K1322)</f>
        <v>1</v>
      </c>
      <c r="O1322" s="11" t="n">
        <f aca="false">IF(J1322+L1322=0,"",J1322/(J1322+L1322))</f>
        <v>1</v>
      </c>
      <c r="P1322" s="11" t="n">
        <f aca="false">2*J1322/(2*J1322+L1322+K1322)</f>
        <v>1</v>
      </c>
      <c r="Q1322" s="11" t="n">
        <f aca="false">L1322/(L1322+M1322)</f>
        <v>0</v>
      </c>
      <c r="R1322" s="6" t="n">
        <v>20</v>
      </c>
      <c r="S1322" s="11" t="n">
        <v>1</v>
      </c>
      <c r="T1322" s="11"/>
      <c r="U1322" s="11" t="n">
        <v>0.85</v>
      </c>
      <c r="V1322" s="11" t="n">
        <v>0</v>
      </c>
    </row>
    <row r="1323" customFormat="false" ht="15" hidden="false" customHeight="false" outlineLevel="0" collapsed="false">
      <c r="A1323" s="6" t="s">
        <v>48</v>
      </c>
      <c r="B1323" s="6" t="s">
        <v>43</v>
      </c>
      <c r="C1323" s="6" t="s">
        <v>49</v>
      </c>
      <c r="D1323" s="6" t="s">
        <v>115</v>
      </c>
      <c r="E1323" s="6" t="n">
        <v>4</v>
      </c>
      <c r="F1323" s="6" t="n">
        <v>1</v>
      </c>
      <c r="G1323" s="6" t="s">
        <v>69</v>
      </c>
      <c r="H1323" s="11" t="n">
        <v>0.01</v>
      </c>
      <c r="I1323" s="6" t="n">
        <v>20</v>
      </c>
      <c r="J1323" s="6" t="n">
        <v>20</v>
      </c>
      <c r="K1323" s="6" t="n">
        <v>0</v>
      </c>
      <c r="L1323" s="6" t="n">
        <v>0</v>
      </c>
      <c r="M1323" s="6" t="n">
        <v>20</v>
      </c>
      <c r="N1323" s="11" t="n">
        <f aca="false">J1323/(J1323+K1323)</f>
        <v>1</v>
      </c>
      <c r="O1323" s="11" t="n">
        <f aca="false">IF(J1323+L1323=0,"",J1323/(J1323+L1323))</f>
        <v>1</v>
      </c>
      <c r="P1323" s="11" t="n">
        <f aca="false">2*J1323/(2*J1323+L1323+K1323)</f>
        <v>1</v>
      </c>
      <c r="Q1323" s="11" t="n">
        <f aca="false">L1323/(L1323+M1323)</f>
        <v>0</v>
      </c>
      <c r="R1323" s="6" t="n">
        <v>20</v>
      </c>
      <c r="S1323" s="11" t="n">
        <v>1</v>
      </c>
      <c r="T1323" s="11"/>
      <c r="U1323" s="11" t="n">
        <v>1</v>
      </c>
      <c r="V1323" s="11" t="n">
        <v>0</v>
      </c>
    </row>
    <row r="1324" customFormat="false" ht="15" hidden="false" customHeight="false" outlineLevel="0" collapsed="false">
      <c r="A1324" s="6" t="s">
        <v>48</v>
      </c>
      <c r="B1324" s="6" t="s">
        <v>43</v>
      </c>
      <c r="C1324" s="6" t="s">
        <v>49</v>
      </c>
      <c r="D1324" s="6" t="s">
        <v>115</v>
      </c>
      <c r="E1324" s="6" t="n">
        <v>4</v>
      </c>
      <c r="F1324" s="6" t="n">
        <v>1</v>
      </c>
      <c r="G1324" s="6" t="s">
        <v>70</v>
      </c>
      <c r="H1324" s="11" t="n">
        <v>0.01</v>
      </c>
      <c r="I1324" s="6" t="n">
        <v>20</v>
      </c>
      <c r="J1324" s="6" t="n">
        <v>20</v>
      </c>
      <c r="K1324" s="6" t="n">
        <v>0</v>
      </c>
      <c r="L1324" s="6" t="n">
        <v>0</v>
      </c>
      <c r="M1324" s="6" t="n">
        <v>20</v>
      </c>
      <c r="N1324" s="11" t="n">
        <f aca="false">J1324/(J1324+K1324)</f>
        <v>1</v>
      </c>
      <c r="O1324" s="11" t="n">
        <f aca="false">IF(J1324+L1324=0,"",J1324/(J1324+L1324))</f>
        <v>1</v>
      </c>
      <c r="P1324" s="11" t="n">
        <f aca="false">2*J1324/(2*J1324+L1324+K1324)</f>
        <v>1</v>
      </c>
      <c r="Q1324" s="11" t="n">
        <f aca="false">L1324/(L1324+M1324)</f>
        <v>0</v>
      </c>
      <c r="R1324" s="6" t="n">
        <v>20</v>
      </c>
      <c r="S1324" s="11" t="n">
        <v>1</v>
      </c>
      <c r="T1324" s="11"/>
      <c r="U1324" s="11" t="n">
        <v>0.9</v>
      </c>
      <c r="V1324" s="11" t="n">
        <v>0</v>
      </c>
    </row>
    <row r="1325" customFormat="false" ht="15" hidden="false" customHeight="false" outlineLevel="0" collapsed="false">
      <c r="A1325" s="6" t="s">
        <v>48</v>
      </c>
      <c r="B1325" s="6" t="s">
        <v>43</v>
      </c>
      <c r="C1325" s="6" t="s">
        <v>49</v>
      </c>
      <c r="D1325" s="6" t="s">
        <v>115</v>
      </c>
      <c r="E1325" s="6" t="n">
        <v>4</v>
      </c>
      <c r="F1325" s="6" t="n">
        <v>1</v>
      </c>
      <c r="G1325" s="6" t="s">
        <v>71</v>
      </c>
      <c r="H1325" s="11" t="n">
        <v>0.01</v>
      </c>
      <c r="I1325" s="6" t="n">
        <v>20</v>
      </c>
      <c r="J1325" s="6" t="n">
        <v>20</v>
      </c>
      <c r="K1325" s="6" t="n">
        <v>0</v>
      </c>
      <c r="L1325" s="6" t="n">
        <v>0</v>
      </c>
      <c r="M1325" s="6" t="n">
        <v>20</v>
      </c>
      <c r="N1325" s="11" t="n">
        <f aca="false">J1325/(J1325+K1325)</f>
        <v>1</v>
      </c>
      <c r="O1325" s="11" t="n">
        <f aca="false">IF(J1325+L1325=0,"",J1325/(J1325+L1325))</f>
        <v>1</v>
      </c>
      <c r="P1325" s="11" t="n">
        <f aca="false">2*J1325/(2*J1325+L1325+K1325)</f>
        <v>1</v>
      </c>
      <c r="Q1325" s="11" t="n">
        <f aca="false">L1325/(L1325+M1325)</f>
        <v>0</v>
      </c>
      <c r="R1325" s="6" t="n">
        <v>4</v>
      </c>
      <c r="S1325" s="11" t="n">
        <v>1</v>
      </c>
      <c r="T1325" s="11" t="n">
        <v>1</v>
      </c>
      <c r="U1325" s="11" t="n">
        <v>0.8</v>
      </c>
      <c r="V1325" s="11" t="n">
        <v>1</v>
      </c>
    </row>
    <row r="1326" customFormat="false" ht="15" hidden="false" customHeight="false" outlineLevel="0" collapsed="false">
      <c r="A1326" s="6" t="s">
        <v>48</v>
      </c>
      <c r="B1326" s="6" t="s">
        <v>43</v>
      </c>
      <c r="C1326" s="6" t="s">
        <v>49</v>
      </c>
      <c r="D1326" s="6" t="s">
        <v>115</v>
      </c>
      <c r="E1326" s="6" t="n">
        <v>4</v>
      </c>
      <c r="F1326" s="6" t="n">
        <v>1</v>
      </c>
      <c r="G1326" s="6" t="s">
        <v>72</v>
      </c>
      <c r="H1326" s="11" t="n">
        <v>0.01</v>
      </c>
      <c r="I1326" s="6" t="n">
        <v>20</v>
      </c>
      <c r="J1326" s="6" t="n">
        <v>20</v>
      </c>
      <c r="K1326" s="6" t="n">
        <v>0</v>
      </c>
      <c r="L1326" s="6" t="n">
        <v>0</v>
      </c>
      <c r="M1326" s="6" t="n">
        <v>20</v>
      </c>
      <c r="N1326" s="11" t="n">
        <f aca="false">J1326/(J1326+K1326)</f>
        <v>1</v>
      </c>
      <c r="O1326" s="11" t="n">
        <f aca="false">IF(J1326+L1326=0,"",J1326/(J1326+L1326))</f>
        <v>1</v>
      </c>
      <c r="P1326" s="11" t="n">
        <f aca="false">2*J1326/(2*J1326+L1326+K1326)</f>
        <v>1</v>
      </c>
      <c r="Q1326" s="11" t="n">
        <f aca="false">L1326/(L1326+M1326)</f>
        <v>0</v>
      </c>
      <c r="R1326" s="6" t="n">
        <v>20</v>
      </c>
      <c r="S1326" s="11" t="n">
        <v>1</v>
      </c>
      <c r="T1326" s="11"/>
      <c r="U1326" s="11" t="n">
        <v>0.9</v>
      </c>
      <c r="V1326" s="11" t="n">
        <v>0</v>
      </c>
    </row>
    <row r="1327" customFormat="false" ht="15" hidden="false" customHeight="false" outlineLevel="0" collapsed="false">
      <c r="A1327" s="6" t="s">
        <v>48</v>
      </c>
      <c r="B1327" s="6" t="s">
        <v>43</v>
      </c>
      <c r="C1327" s="6" t="s">
        <v>49</v>
      </c>
      <c r="D1327" s="6" t="s">
        <v>115</v>
      </c>
      <c r="E1327" s="6" t="n">
        <v>4</v>
      </c>
      <c r="F1327" s="6" t="n">
        <v>1</v>
      </c>
      <c r="G1327" s="6" t="s">
        <v>73</v>
      </c>
      <c r="H1327" s="11" t="n">
        <v>0.01</v>
      </c>
      <c r="I1327" s="6" t="n">
        <v>20</v>
      </c>
      <c r="J1327" s="6" t="n">
        <v>20</v>
      </c>
      <c r="K1327" s="6" t="n">
        <v>0</v>
      </c>
      <c r="L1327" s="6" t="n">
        <v>0</v>
      </c>
      <c r="M1327" s="6" t="n">
        <v>20</v>
      </c>
      <c r="N1327" s="11" t="n">
        <f aca="false">J1327/(J1327+K1327)</f>
        <v>1</v>
      </c>
      <c r="O1327" s="11" t="n">
        <f aca="false">IF(J1327+L1327=0,"",J1327/(J1327+L1327))</f>
        <v>1</v>
      </c>
      <c r="P1327" s="11" t="n">
        <f aca="false">2*J1327/(2*J1327+L1327+K1327)</f>
        <v>1</v>
      </c>
      <c r="Q1327" s="11" t="n">
        <f aca="false">L1327/(L1327+M1327)</f>
        <v>0</v>
      </c>
      <c r="R1327" s="6" t="n">
        <v>17</v>
      </c>
      <c r="S1327" s="11" t="n">
        <v>1</v>
      </c>
      <c r="T1327" s="11" t="n">
        <v>1</v>
      </c>
      <c r="U1327" s="11" t="n">
        <v>0.65</v>
      </c>
      <c r="V1327" s="11" t="n">
        <v>0</v>
      </c>
    </row>
    <row r="1328" customFormat="false" ht="15" hidden="false" customHeight="false" outlineLevel="0" collapsed="false">
      <c r="A1328" s="6" t="s">
        <v>48</v>
      </c>
      <c r="B1328" s="6" t="s">
        <v>43</v>
      </c>
      <c r="C1328" s="6" t="s">
        <v>49</v>
      </c>
      <c r="D1328" s="6" t="s">
        <v>115</v>
      </c>
      <c r="E1328" s="6" t="n">
        <v>4</v>
      </c>
      <c r="F1328" s="6" t="n">
        <v>1</v>
      </c>
      <c r="G1328" s="6" t="s">
        <v>74</v>
      </c>
      <c r="H1328" s="11" t="n">
        <v>0.01</v>
      </c>
      <c r="I1328" s="6" t="n">
        <v>20</v>
      </c>
      <c r="J1328" s="6" t="n">
        <v>20</v>
      </c>
      <c r="K1328" s="6" t="n">
        <v>0</v>
      </c>
      <c r="L1328" s="6" t="n">
        <v>0</v>
      </c>
      <c r="M1328" s="6" t="n">
        <v>20</v>
      </c>
      <c r="N1328" s="11" t="n">
        <f aca="false">J1328/(J1328+K1328)</f>
        <v>1</v>
      </c>
      <c r="O1328" s="11" t="n">
        <f aca="false">IF(J1328+L1328=0,"",J1328/(J1328+L1328))</f>
        <v>1</v>
      </c>
      <c r="P1328" s="11" t="n">
        <f aca="false">2*J1328/(2*J1328+L1328+K1328)</f>
        <v>1</v>
      </c>
      <c r="Q1328" s="11" t="n">
        <f aca="false">L1328/(L1328+M1328)</f>
        <v>0</v>
      </c>
      <c r="R1328" s="6" t="n">
        <v>20</v>
      </c>
      <c r="S1328" s="11" t="n">
        <v>1</v>
      </c>
      <c r="T1328" s="11"/>
      <c r="U1328" s="11" t="n">
        <v>0.85</v>
      </c>
      <c r="V1328" s="11" t="n">
        <v>0</v>
      </c>
    </row>
    <row r="1329" customFormat="false" ht="15" hidden="false" customHeight="false" outlineLevel="0" collapsed="false">
      <c r="A1329" s="6" t="s">
        <v>48</v>
      </c>
      <c r="B1329" s="6" t="s">
        <v>43</v>
      </c>
      <c r="C1329" s="6" t="s">
        <v>49</v>
      </c>
      <c r="D1329" s="6" t="s">
        <v>115</v>
      </c>
      <c r="E1329" s="6" t="n">
        <v>4</v>
      </c>
      <c r="F1329" s="6" t="n">
        <v>1</v>
      </c>
      <c r="G1329" s="6" t="s">
        <v>75</v>
      </c>
      <c r="H1329" s="11" t="n">
        <v>0.01</v>
      </c>
      <c r="I1329" s="6" t="n">
        <v>20</v>
      </c>
      <c r="J1329" s="6" t="n">
        <v>20</v>
      </c>
      <c r="K1329" s="6" t="n">
        <v>0</v>
      </c>
      <c r="L1329" s="6" t="n">
        <v>0</v>
      </c>
      <c r="M1329" s="6" t="n">
        <v>20</v>
      </c>
      <c r="N1329" s="11" t="n">
        <f aca="false">J1329/(J1329+K1329)</f>
        <v>1</v>
      </c>
      <c r="O1329" s="11" t="n">
        <f aca="false">IF(J1329+L1329=0,"",J1329/(J1329+L1329))</f>
        <v>1</v>
      </c>
      <c r="P1329" s="11" t="n">
        <f aca="false">2*J1329/(2*J1329+L1329+K1329)</f>
        <v>1</v>
      </c>
      <c r="Q1329" s="11" t="n">
        <f aca="false">L1329/(L1329+M1329)</f>
        <v>0</v>
      </c>
      <c r="R1329" s="6" t="n">
        <v>20</v>
      </c>
      <c r="S1329" s="11" t="n">
        <v>1</v>
      </c>
      <c r="T1329" s="11"/>
      <c r="U1329" s="11" t="n">
        <v>0.9</v>
      </c>
      <c r="V1329" s="11" t="n">
        <v>0</v>
      </c>
    </row>
    <row r="1330" customFormat="false" ht="15" hidden="false" customHeight="false" outlineLevel="0" collapsed="false">
      <c r="A1330" s="6" t="s">
        <v>48</v>
      </c>
      <c r="B1330" s="6" t="s">
        <v>43</v>
      </c>
      <c r="C1330" s="6" t="s">
        <v>49</v>
      </c>
      <c r="D1330" s="6" t="s">
        <v>115</v>
      </c>
      <c r="E1330" s="6" t="n">
        <v>4</v>
      </c>
      <c r="F1330" s="6" t="n">
        <v>1</v>
      </c>
      <c r="G1330" s="6" t="s">
        <v>76</v>
      </c>
      <c r="H1330" s="11" t="n">
        <v>0.01</v>
      </c>
      <c r="I1330" s="6" t="n">
        <v>20</v>
      </c>
      <c r="J1330" s="6" t="n">
        <v>20</v>
      </c>
      <c r="K1330" s="6" t="n">
        <v>0</v>
      </c>
      <c r="L1330" s="6" t="n">
        <v>0</v>
      </c>
      <c r="M1330" s="6" t="n">
        <v>20</v>
      </c>
      <c r="N1330" s="11" t="n">
        <f aca="false">J1330/(J1330+K1330)</f>
        <v>1</v>
      </c>
      <c r="O1330" s="11" t="n">
        <f aca="false">IF(J1330+L1330=0,"",J1330/(J1330+L1330))</f>
        <v>1</v>
      </c>
      <c r="P1330" s="11" t="n">
        <f aca="false">2*J1330/(2*J1330+L1330+K1330)</f>
        <v>1</v>
      </c>
      <c r="Q1330" s="11" t="n">
        <f aca="false">L1330/(L1330+M1330)</f>
        <v>0</v>
      </c>
      <c r="R1330" s="6" t="n">
        <v>20</v>
      </c>
      <c r="S1330" s="11" t="n">
        <v>1</v>
      </c>
      <c r="T1330" s="11"/>
      <c r="U1330" s="11" t="n">
        <v>0.95</v>
      </c>
      <c r="V1330" s="11" t="n">
        <v>0</v>
      </c>
    </row>
    <row r="1331" customFormat="false" ht="15" hidden="false" customHeight="false" outlineLevel="0" collapsed="false">
      <c r="A1331" s="6" t="s">
        <v>48</v>
      </c>
      <c r="B1331" s="6" t="s">
        <v>43</v>
      </c>
      <c r="C1331" s="6" t="s">
        <v>49</v>
      </c>
      <c r="D1331" s="6" t="s">
        <v>115</v>
      </c>
      <c r="E1331" s="6" t="n">
        <v>4</v>
      </c>
      <c r="F1331" s="6" t="n">
        <v>1</v>
      </c>
      <c r="G1331" s="6" t="s">
        <v>77</v>
      </c>
      <c r="H1331" s="11" t="n">
        <v>0.01</v>
      </c>
      <c r="I1331" s="6" t="n">
        <v>20</v>
      </c>
      <c r="J1331" s="6" t="n">
        <v>20</v>
      </c>
      <c r="K1331" s="6" t="n">
        <v>0</v>
      </c>
      <c r="L1331" s="6" t="n">
        <v>1</v>
      </c>
      <c r="M1331" s="6" t="n">
        <v>19</v>
      </c>
      <c r="N1331" s="11" t="n">
        <f aca="false">J1331/(J1331+K1331)</f>
        <v>1</v>
      </c>
      <c r="O1331" s="11" t="n">
        <f aca="false">IF(J1331+L1331=0,"",J1331/(J1331+L1331))</f>
        <v>0.952380952380952</v>
      </c>
      <c r="P1331" s="11" t="n">
        <f aca="false">2*J1331/(2*J1331+L1331+K1331)</f>
        <v>0.975609756097561</v>
      </c>
      <c r="Q1331" s="11" t="n">
        <f aca="false">L1331/(L1331+M1331)</f>
        <v>0.05</v>
      </c>
      <c r="R1331" s="6" t="n">
        <v>20</v>
      </c>
      <c r="S1331" s="11" t="n">
        <v>1</v>
      </c>
      <c r="T1331" s="11"/>
      <c r="U1331" s="11" t="n">
        <v>1</v>
      </c>
      <c r="V1331" s="11" t="n">
        <v>0</v>
      </c>
    </row>
    <row r="1332" customFormat="false" ht="15" hidden="false" customHeight="false" outlineLevel="0" collapsed="false">
      <c r="A1332" s="6" t="s">
        <v>48</v>
      </c>
      <c r="B1332" s="6" t="s">
        <v>43</v>
      </c>
      <c r="C1332" s="6" t="s">
        <v>49</v>
      </c>
      <c r="D1332" s="6" t="s">
        <v>115</v>
      </c>
      <c r="E1332" s="6" t="n">
        <v>4</v>
      </c>
      <c r="F1332" s="6" t="n">
        <v>1</v>
      </c>
      <c r="G1332" s="6" t="s">
        <v>78</v>
      </c>
      <c r="H1332" s="11" t="n">
        <v>0.01</v>
      </c>
      <c r="I1332" s="6" t="n">
        <v>200</v>
      </c>
      <c r="J1332" s="6" t="n">
        <v>200</v>
      </c>
      <c r="K1332" s="6" t="n">
        <v>0</v>
      </c>
      <c r="L1332" s="6" t="n">
        <v>1</v>
      </c>
      <c r="M1332" s="6" t="n">
        <v>199</v>
      </c>
      <c r="N1332" s="11" t="n">
        <f aca="false">J1332/(J1332+K1332)</f>
        <v>1</v>
      </c>
      <c r="O1332" s="11" t="n">
        <f aca="false">IF(J1332+L1332=0,"",J1332/(J1332+L1332))</f>
        <v>0.995024875621891</v>
      </c>
      <c r="P1332" s="11" t="n">
        <f aca="false">2*J1332/(2*J1332+L1332+K1332)</f>
        <v>0.997506234413965</v>
      </c>
      <c r="Q1332" s="11" t="n">
        <f aca="false">L1332/(L1332+M1332)</f>
        <v>0.005</v>
      </c>
      <c r="R1332" s="6" t="n">
        <v>181</v>
      </c>
      <c r="S1332" s="11" t="n">
        <v>1</v>
      </c>
      <c r="T1332" s="11" t="n">
        <v>1</v>
      </c>
      <c r="U1332" s="11" t="n">
        <v>0.88</v>
      </c>
      <c r="V1332" s="11" t="n">
        <v>0.1</v>
      </c>
    </row>
    <row r="1333" customFormat="false" ht="15" hidden="false" customHeight="false" outlineLevel="0" collapsed="false">
      <c r="A1333" s="6" t="s">
        <v>48</v>
      </c>
      <c r="B1333" s="6" t="s">
        <v>43</v>
      </c>
      <c r="C1333" s="6" t="s">
        <v>49</v>
      </c>
      <c r="D1333" s="6" t="s">
        <v>115</v>
      </c>
      <c r="E1333" s="6" t="n">
        <v>4</v>
      </c>
      <c r="F1333" s="6" t="n">
        <v>2</v>
      </c>
      <c r="G1333" s="6" t="s">
        <v>68</v>
      </c>
      <c r="H1333" s="11" t="n">
        <v>0.01</v>
      </c>
      <c r="I1333" s="6" t="n">
        <v>20</v>
      </c>
      <c r="J1333" s="6" t="n">
        <v>0</v>
      </c>
      <c r="K1333" s="6" t="n">
        <v>20</v>
      </c>
      <c r="L1333" s="6" t="n">
        <v>0</v>
      </c>
      <c r="M1333" s="6" t="n">
        <v>20</v>
      </c>
      <c r="N1333" s="11" t="n">
        <f aca="false">J1333/(J1333+K1333)</f>
        <v>0</v>
      </c>
      <c r="O1333" s="11" t="str">
        <f aca="false">IF(J1333+L1333=0,"",J1333/(J1333+L1333))</f>
        <v/>
      </c>
      <c r="P1333" s="11" t="n">
        <f aca="false">2*J1333/(2*J1333+L1333+K1333)</f>
        <v>0</v>
      </c>
      <c r="Q1333" s="11" t="n">
        <f aca="false">L1333/(L1333+M1333)</f>
        <v>0</v>
      </c>
      <c r="R1333" s="6" t="n">
        <v>0</v>
      </c>
      <c r="S1333" s="11"/>
      <c r="T1333" s="11" t="n">
        <v>0</v>
      </c>
      <c r="U1333" s="11" t="n">
        <v>0.85</v>
      </c>
      <c r="V1333" s="11" t="n">
        <v>0.85</v>
      </c>
    </row>
    <row r="1334" customFormat="false" ht="15" hidden="false" customHeight="false" outlineLevel="0" collapsed="false">
      <c r="A1334" s="6" t="s">
        <v>48</v>
      </c>
      <c r="B1334" s="6" t="s">
        <v>43</v>
      </c>
      <c r="C1334" s="6" t="s">
        <v>49</v>
      </c>
      <c r="D1334" s="6" t="s">
        <v>115</v>
      </c>
      <c r="E1334" s="6" t="n">
        <v>4</v>
      </c>
      <c r="F1334" s="6" t="n">
        <v>2</v>
      </c>
      <c r="G1334" s="6" t="s">
        <v>69</v>
      </c>
      <c r="H1334" s="11" t="n">
        <v>0.01</v>
      </c>
      <c r="I1334" s="6" t="n">
        <v>20</v>
      </c>
      <c r="J1334" s="6" t="n">
        <v>0</v>
      </c>
      <c r="K1334" s="6" t="n">
        <v>20</v>
      </c>
      <c r="L1334" s="6" t="n">
        <v>0</v>
      </c>
      <c r="M1334" s="6" t="n">
        <v>20</v>
      </c>
      <c r="N1334" s="11" t="n">
        <f aca="false">J1334/(J1334+K1334)</f>
        <v>0</v>
      </c>
      <c r="O1334" s="11" t="str">
        <f aca="false">IF(J1334+L1334=0,"",J1334/(J1334+L1334))</f>
        <v/>
      </c>
      <c r="P1334" s="11" t="n">
        <f aca="false">2*J1334/(2*J1334+L1334+K1334)</f>
        <v>0</v>
      </c>
      <c r="Q1334" s="11" t="n">
        <f aca="false">L1334/(L1334+M1334)</f>
        <v>0</v>
      </c>
      <c r="R1334" s="6" t="n">
        <v>0</v>
      </c>
      <c r="S1334" s="11"/>
      <c r="T1334" s="11" t="n">
        <v>0</v>
      </c>
      <c r="U1334" s="11" t="n">
        <v>1</v>
      </c>
      <c r="V1334" s="11" t="n">
        <v>1</v>
      </c>
    </row>
    <row r="1335" customFormat="false" ht="15" hidden="false" customHeight="false" outlineLevel="0" collapsed="false">
      <c r="A1335" s="6" t="s">
        <v>48</v>
      </c>
      <c r="B1335" s="6" t="s">
        <v>43</v>
      </c>
      <c r="C1335" s="6" t="s">
        <v>49</v>
      </c>
      <c r="D1335" s="6" t="s">
        <v>115</v>
      </c>
      <c r="E1335" s="6" t="n">
        <v>4</v>
      </c>
      <c r="F1335" s="6" t="n">
        <v>2</v>
      </c>
      <c r="G1335" s="6" t="s">
        <v>70</v>
      </c>
      <c r="H1335" s="11" t="n">
        <v>0.01</v>
      </c>
      <c r="I1335" s="6" t="n">
        <v>20</v>
      </c>
      <c r="J1335" s="6" t="n">
        <v>0</v>
      </c>
      <c r="K1335" s="6" t="n">
        <v>20</v>
      </c>
      <c r="L1335" s="6" t="n">
        <v>0</v>
      </c>
      <c r="M1335" s="6" t="n">
        <v>20</v>
      </c>
      <c r="N1335" s="11" t="n">
        <f aca="false">J1335/(J1335+K1335)</f>
        <v>0</v>
      </c>
      <c r="O1335" s="11" t="str">
        <f aca="false">IF(J1335+L1335=0,"",J1335/(J1335+L1335))</f>
        <v/>
      </c>
      <c r="P1335" s="11" t="n">
        <f aca="false">2*J1335/(2*J1335+L1335+K1335)</f>
        <v>0</v>
      </c>
      <c r="Q1335" s="11" t="n">
        <f aca="false">L1335/(L1335+M1335)</f>
        <v>0</v>
      </c>
      <c r="R1335" s="6" t="n">
        <v>0</v>
      </c>
      <c r="S1335" s="11"/>
      <c r="T1335" s="11" t="n">
        <v>0</v>
      </c>
      <c r="U1335" s="11" t="n">
        <v>0.9</v>
      </c>
      <c r="V1335" s="11" t="n">
        <v>0.9</v>
      </c>
    </row>
    <row r="1336" customFormat="false" ht="15" hidden="false" customHeight="false" outlineLevel="0" collapsed="false">
      <c r="A1336" s="6" t="s">
        <v>48</v>
      </c>
      <c r="B1336" s="6" t="s">
        <v>43</v>
      </c>
      <c r="C1336" s="6" t="s">
        <v>49</v>
      </c>
      <c r="D1336" s="6" t="s">
        <v>115</v>
      </c>
      <c r="E1336" s="6" t="n">
        <v>4</v>
      </c>
      <c r="F1336" s="6" t="n">
        <v>2</v>
      </c>
      <c r="G1336" s="6" t="s">
        <v>71</v>
      </c>
      <c r="H1336" s="11" t="n">
        <v>0.01</v>
      </c>
      <c r="I1336" s="6" t="n">
        <v>20</v>
      </c>
      <c r="J1336" s="6" t="n">
        <v>0</v>
      </c>
      <c r="K1336" s="6" t="n">
        <v>20</v>
      </c>
      <c r="L1336" s="6" t="n">
        <v>0</v>
      </c>
      <c r="M1336" s="6" t="n">
        <v>20</v>
      </c>
      <c r="N1336" s="11" t="n">
        <f aca="false">J1336/(J1336+K1336)</f>
        <v>0</v>
      </c>
      <c r="O1336" s="11" t="str">
        <f aca="false">IF(J1336+L1336=0,"",J1336/(J1336+L1336))</f>
        <v/>
      </c>
      <c r="P1336" s="11" t="n">
        <f aca="false">2*J1336/(2*J1336+L1336+K1336)</f>
        <v>0</v>
      </c>
      <c r="Q1336" s="11" t="n">
        <f aca="false">L1336/(L1336+M1336)</f>
        <v>0</v>
      </c>
      <c r="R1336" s="6" t="n">
        <v>0</v>
      </c>
      <c r="S1336" s="11"/>
      <c r="T1336" s="11" t="n">
        <v>0</v>
      </c>
      <c r="U1336" s="11" t="n">
        <v>0.8</v>
      </c>
      <c r="V1336" s="11" t="n">
        <v>0.8</v>
      </c>
    </row>
    <row r="1337" customFormat="false" ht="15" hidden="false" customHeight="false" outlineLevel="0" collapsed="false">
      <c r="A1337" s="6" t="s">
        <v>48</v>
      </c>
      <c r="B1337" s="6" t="s">
        <v>43</v>
      </c>
      <c r="C1337" s="6" t="s">
        <v>49</v>
      </c>
      <c r="D1337" s="6" t="s">
        <v>115</v>
      </c>
      <c r="E1337" s="6" t="n">
        <v>4</v>
      </c>
      <c r="F1337" s="6" t="n">
        <v>2</v>
      </c>
      <c r="G1337" s="6" t="s">
        <v>72</v>
      </c>
      <c r="H1337" s="11" t="n">
        <v>0.01</v>
      </c>
      <c r="I1337" s="6" t="n">
        <v>20</v>
      </c>
      <c r="J1337" s="6" t="n">
        <v>0</v>
      </c>
      <c r="K1337" s="6" t="n">
        <v>20</v>
      </c>
      <c r="L1337" s="6" t="n">
        <v>0</v>
      </c>
      <c r="M1337" s="6" t="n">
        <v>20</v>
      </c>
      <c r="N1337" s="11" t="n">
        <f aca="false">J1337/(J1337+K1337)</f>
        <v>0</v>
      </c>
      <c r="O1337" s="11" t="str">
        <f aca="false">IF(J1337+L1337=0,"",J1337/(J1337+L1337))</f>
        <v/>
      </c>
      <c r="P1337" s="11" t="n">
        <f aca="false">2*J1337/(2*J1337+L1337+K1337)</f>
        <v>0</v>
      </c>
      <c r="Q1337" s="11" t="n">
        <f aca="false">L1337/(L1337+M1337)</f>
        <v>0</v>
      </c>
      <c r="R1337" s="6" t="n">
        <v>0</v>
      </c>
      <c r="S1337" s="11"/>
      <c r="T1337" s="11" t="n">
        <v>0</v>
      </c>
      <c r="U1337" s="11" t="n">
        <v>0.9</v>
      </c>
      <c r="V1337" s="11" t="n">
        <v>0.9</v>
      </c>
    </row>
    <row r="1338" customFormat="false" ht="15" hidden="false" customHeight="false" outlineLevel="0" collapsed="false">
      <c r="A1338" s="6" t="s">
        <v>48</v>
      </c>
      <c r="B1338" s="6" t="s">
        <v>43</v>
      </c>
      <c r="C1338" s="6" t="s">
        <v>49</v>
      </c>
      <c r="D1338" s="6" t="s">
        <v>115</v>
      </c>
      <c r="E1338" s="6" t="n">
        <v>4</v>
      </c>
      <c r="F1338" s="6" t="n">
        <v>2</v>
      </c>
      <c r="G1338" s="6" t="s">
        <v>73</v>
      </c>
      <c r="H1338" s="11" t="n">
        <v>0.01</v>
      </c>
      <c r="I1338" s="6" t="n">
        <v>20</v>
      </c>
      <c r="J1338" s="6" t="n">
        <v>0</v>
      </c>
      <c r="K1338" s="6" t="n">
        <v>20</v>
      </c>
      <c r="L1338" s="6" t="n">
        <v>0</v>
      </c>
      <c r="M1338" s="6" t="n">
        <v>20</v>
      </c>
      <c r="N1338" s="11" t="n">
        <f aca="false">J1338/(J1338+K1338)</f>
        <v>0</v>
      </c>
      <c r="O1338" s="11" t="str">
        <f aca="false">IF(J1338+L1338=0,"",J1338/(J1338+L1338))</f>
        <v/>
      </c>
      <c r="P1338" s="11" t="n">
        <f aca="false">2*J1338/(2*J1338+L1338+K1338)</f>
        <v>0</v>
      </c>
      <c r="Q1338" s="11" t="n">
        <f aca="false">L1338/(L1338+M1338)</f>
        <v>0</v>
      </c>
      <c r="R1338" s="6" t="n">
        <v>0</v>
      </c>
      <c r="S1338" s="11"/>
      <c r="T1338" s="11" t="n">
        <v>0</v>
      </c>
      <c r="U1338" s="11" t="n">
        <v>0.65</v>
      </c>
      <c r="V1338" s="11" t="n">
        <v>0.65</v>
      </c>
    </row>
    <row r="1339" customFormat="false" ht="15" hidden="false" customHeight="false" outlineLevel="0" collapsed="false">
      <c r="A1339" s="6" t="s">
        <v>48</v>
      </c>
      <c r="B1339" s="6" t="s">
        <v>43</v>
      </c>
      <c r="C1339" s="6" t="s">
        <v>49</v>
      </c>
      <c r="D1339" s="6" t="s">
        <v>115</v>
      </c>
      <c r="E1339" s="6" t="n">
        <v>4</v>
      </c>
      <c r="F1339" s="6" t="n">
        <v>2</v>
      </c>
      <c r="G1339" s="6" t="s">
        <v>74</v>
      </c>
      <c r="H1339" s="11" t="n">
        <v>0.01</v>
      </c>
      <c r="I1339" s="6" t="n">
        <v>20</v>
      </c>
      <c r="J1339" s="6" t="n">
        <v>0</v>
      </c>
      <c r="K1339" s="6" t="n">
        <v>20</v>
      </c>
      <c r="L1339" s="6" t="n">
        <v>0</v>
      </c>
      <c r="M1339" s="6" t="n">
        <v>20</v>
      </c>
      <c r="N1339" s="11" t="n">
        <f aca="false">J1339/(J1339+K1339)</f>
        <v>0</v>
      </c>
      <c r="O1339" s="11" t="str">
        <f aca="false">IF(J1339+L1339=0,"",J1339/(J1339+L1339))</f>
        <v/>
      </c>
      <c r="P1339" s="11" t="n">
        <f aca="false">2*J1339/(2*J1339+L1339+K1339)</f>
        <v>0</v>
      </c>
      <c r="Q1339" s="11" t="n">
        <f aca="false">L1339/(L1339+M1339)</f>
        <v>0</v>
      </c>
      <c r="R1339" s="6" t="n">
        <v>0</v>
      </c>
      <c r="S1339" s="11"/>
      <c r="T1339" s="11" t="n">
        <v>0</v>
      </c>
      <c r="U1339" s="11" t="n">
        <v>0.85</v>
      </c>
      <c r="V1339" s="11" t="n">
        <v>0.85</v>
      </c>
    </row>
    <row r="1340" customFormat="false" ht="15" hidden="false" customHeight="false" outlineLevel="0" collapsed="false">
      <c r="A1340" s="6" t="s">
        <v>48</v>
      </c>
      <c r="B1340" s="6" t="s">
        <v>43</v>
      </c>
      <c r="C1340" s="6" t="s">
        <v>49</v>
      </c>
      <c r="D1340" s="6" t="s">
        <v>115</v>
      </c>
      <c r="E1340" s="6" t="n">
        <v>4</v>
      </c>
      <c r="F1340" s="6" t="n">
        <v>2</v>
      </c>
      <c r="G1340" s="6" t="s">
        <v>75</v>
      </c>
      <c r="H1340" s="11" t="n">
        <v>0.01</v>
      </c>
      <c r="I1340" s="6" t="n">
        <v>20</v>
      </c>
      <c r="J1340" s="6" t="n">
        <v>0</v>
      </c>
      <c r="K1340" s="6" t="n">
        <v>20</v>
      </c>
      <c r="L1340" s="6" t="n">
        <v>0</v>
      </c>
      <c r="M1340" s="6" t="n">
        <v>20</v>
      </c>
      <c r="N1340" s="11" t="n">
        <f aca="false">J1340/(J1340+K1340)</f>
        <v>0</v>
      </c>
      <c r="O1340" s="11" t="str">
        <f aca="false">IF(J1340+L1340=0,"",J1340/(J1340+L1340))</f>
        <v/>
      </c>
      <c r="P1340" s="11" t="n">
        <f aca="false">2*J1340/(2*J1340+L1340+K1340)</f>
        <v>0</v>
      </c>
      <c r="Q1340" s="11" t="n">
        <f aca="false">L1340/(L1340+M1340)</f>
        <v>0</v>
      </c>
      <c r="R1340" s="6" t="n">
        <v>0</v>
      </c>
      <c r="S1340" s="11"/>
      <c r="T1340" s="11" t="n">
        <v>0</v>
      </c>
      <c r="U1340" s="11" t="n">
        <v>0.9</v>
      </c>
      <c r="V1340" s="11" t="n">
        <v>0.9</v>
      </c>
    </row>
    <row r="1341" customFormat="false" ht="15" hidden="false" customHeight="false" outlineLevel="0" collapsed="false">
      <c r="A1341" s="6" t="s">
        <v>48</v>
      </c>
      <c r="B1341" s="6" t="s">
        <v>43</v>
      </c>
      <c r="C1341" s="6" t="s">
        <v>49</v>
      </c>
      <c r="D1341" s="6" t="s">
        <v>115</v>
      </c>
      <c r="E1341" s="6" t="n">
        <v>4</v>
      </c>
      <c r="F1341" s="6" t="n">
        <v>2</v>
      </c>
      <c r="G1341" s="6" t="s">
        <v>76</v>
      </c>
      <c r="H1341" s="11" t="n">
        <v>0.01</v>
      </c>
      <c r="I1341" s="6" t="n">
        <v>20</v>
      </c>
      <c r="J1341" s="6" t="n">
        <v>0</v>
      </c>
      <c r="K1341" s="6" t="n">
        <v>20</v>
      </c>
      <c r="L1341" s="6" t="n">
        <v>0</v>
      </c>
      <c r="M1341" s="6" t="n">
        <v>20</v>
      </c>
      <c r="N1341" s="11" t="n">
        <f aca="false">J1341/(J1341+K1341)</f>
        <v>0</v>
      </c>
      <c r="O1341" s="11" t="str">
        <f aca="false">IF(J1341+L1341=0,"",J1341/(J1341+L1341))</f>
        <v/>
      </c>
      <c r="P1341" s="11" t="n">
        <f aca="false">2*J1341/(2*J1341+L1341+K1341)</f>
        <v>0</v>
      </c>
      <c r="Q1341" s="11" t="n">
        <f aca="false">L1341/(L1341+M1341)</f>
        <v>0</v>
      </c>
      <c r="R1341" s="6" t="n">
        <v>0</v>
      </c>
      <c r="S1341" s="11"/>
      <c r="T1341" s="11" t="n">
        <v>0</v>
      </c>
      <c r="U1341" s="11" t="n">
        <v>0.95</v>
      </c>
      <c r="V1341" s="11" t="n">
        <v>0.95</v>
      </c>
    </row>
    <row r="1342" customFormat="false" ht="15" hidden="false" customHeight="false" outlineLevel="0" collapsed="false">
      <c r="A1342" s="6" t="s">
        <v>48</v>
      </c>
      <c r="B1342" s="6" t="s">
        <v>43</v>
      </c>
      <c r="C1342" s="6" t="s">
        <v>49</v>
      </c>
      <c r="D1342" s="6" t="s">
        <v>115</v>
      </c>
      <c r="E1342" s="6" t="n">
        <v>4</v>
      </c>
      <c r="F1342" s="6" t="n">
        <v>2</v>
      </c>
      <c r="G1342" s="6" t="s">
        <v>77</v>
      </c>
      <c r="H1342" s="11" t="n">
        <v>0.01</v>
      </c>
      <c r="I1342" s="6" t="n">
        <v>20</v>
      </c>
      <c r="J1342" s="6" t="n">
        <v>1</v>
      </c>
      <c r="K1342" s="6" t="n">
        <v>19</v>
      </c>
      <c r="L1342" s="6" t="n">
        <v>1</v>
      </c>
      <c r="M1342" s="6" t="n">
        <v>19</v>
      </c>
      <c r="N1342" s="11" t="n">
        <f aca="false">J1342/(J1342+K1342)</f>
        <v>0.05</v>
      </c>
      <c r="O1342" s="11" t="n">
        <f aca="false">IF(J1342+L1342=0,"",J1342/(J1342+L1342))</f>
        <v>0.5</v>
      </c>
      <c r="P1342" s="11" t="n">
        <f aca="false">2*J1342/(2*J1342+L1342+K1342)</f>
        <v>0.0909090909090909</v>
      </c>
      <c r="Q1342" s="11" t="n">
        <f aca="false">L1342/(L1342+M1342)</f>
        <v>0.05</v>
      </c>
      <c r="R1342" s="6" t="n">
        <v>0</v>
      </c>
      <c r="S1342" s="11"/>
      <c r="T1342" s="11" t="n">
        <v>0.05</v>
      </c>
      <c r="U1342" s="11" t="n">
        <v>1</v>
      </c>
      <c r="V1342" s="11" t="n">
        <v>1</v>
      </c>
    </row>
    <row r="1343" customFormat="false" ht="15" hidden="false" customHeight="false" outlineLevel="0" collapsed="false">
      <c r="A1343" s="6" t="s">
        <v>48</v>
      </c>
      <c r="B1343" s="6" t="s">
        <v>43</v>
      </c>
      <c r="C1343" s="6" t="s">
        <v>49</v>
      </c>
      <c r="D1343" s="6" t="s">
        <v>115</v>
      </c>
      <c r="E1343" s="6" t="n">
        <v>4</v>
      </c>
      <c r="F1343" s="6" t="n">
        <v>2</v>
      </c>
      <c r="G1343" s="6" t="s">
        <v>78</v>
      </c>
      <c r="H1343" s="11" t="n">
        <v>0.01</v>
      </c>
      <c r="I1343" s="6" t="n">
        <v>200</v>
      </c>
      <c r="J1343" s="6" t="n">
        <v>1</v>
      </c>
      <c r="K1343" s="6" t="n">
        <v>199</v>
      </c>
      <c r="L1343" s="6" t="n">
        <v>1</v>
      </c>
      <c r="M1343" s="6" t="n">
        <v>199</v>
      </c>
      <c r="N1343" s="11" t="n">
        <f aca="false">J1343/(J1343+K1343)</f>
        <v>0.005</v>
      </c>
      <c r="O1343" s="11" t="n">
        <f aca="false">IF(J1343+L1343=0,"",J1343/(J1343+L1343))</f>
        <v>0.5</v>
      </c>
      <c r="P1343" s="11" t="n">
        <f aca="false">2*J1343/(2*J1343+L1343+K1343)</f>
        <v>0.0099009900990099</v>
      </c>
      <c r="Q1343" s="11" t="n">
        <f aca="false">L1343/(L1343+M1343)</f>
        <v>0.005</v>
      </c>
      <c r="R1343" s="6" t="n">
        <v>0</v>
      </c>
      <c r="S1343" s="11"/>
      <c r="T1343" s="11" t="n">
        <v>0.005</v>
      </c>
      <c r="U1343" s="11" t="n">
        <v>0.88</v>
      </c>
      <c r="V1343" s="11" t="n">
        <v>0.88</v>
      </c>
    </row>
    <row r="1344" customFormat="false" ht="15" hidden="false" customHeight="false" outlineLevel="0" collapsed="false">
      <c r="A1344" s="6" t="s">
        <v>48</v>
      </c>
      <c r="B1344" s="6" t="s">
        <v>43</v>
      </c>
      <c r="C1344" s="6" t="s">
        <v>49</v>
      </c>
      <c r="D1344" s="6" t="s">
        <v>115</v>
      </c>
      <c r="E1344" s="6" t="n">
        <v>4</v>
      </c>
      <c r="F1344" s="6" t="n">
        <v>3</v>
      </c>
      <c r="G1344" s="6" t="s">
        <v>68</v>
      </c>
      <c r="H1344" s="11" t="n">
        <v>0.01</v>
      </c>
      <c r="I1344" s="6" t="n">
        <v>20</v>
      </c>
      <c r="J1344" s="6" t="n">
        <v>20</v>
      </c>
      <c r="K1344" s="6" t="n">
        <v>0</v>
      </c>
      <c r="L1344" s="6" t="n">
        <v>0</v>
      </c>
      <c r="M1344" s="6" t="n">
        <v>20</v>
      </c>
      <c r="N1344" s="11" t="n">
        <f aca="false">J1344/(J1344+K1344)</f>
        <v>1</v>
      </c>
      <c r="O1344" s="11" t="n">
        <f aca="false">IF(J1344+L1344=0,"",J1344/(J1344+L1344))</f>
        <v>1</v>
      </c>
      <c r="P1344" s="11" t="n">
        <f aca="false">2*J1344/(2*J1344+L1344+K1344)</f>
        <v>1</v>
      </c>
      <c r="Q1344" s="11" t="n">
        <f aca="false">L1344/(L1344+M1344)</f>
        <v>0</v>
      </c>
      <c r="R1344" s="6" t="n">
        <v>17</v>
      </c>
      <c r="S1344" s="11" t="n">
        <v>1</v>
      </c>
      <c r="T1344" s="11" t="n">
        <v>1</v>
      </c>
      <c r="U1344" s="11" t="n">
        <v>0.85</v>
      </c>
      <c r="V1344" s="11" t="n">
        <v>0.1</v>
      </c>
    </row>
    <row r="1345" customFormat="false" ht="15" hidden="false" customHeight="false" outlineLevel="0" collapsed="false">
      <c r="A1345" s="6" t="s">
        <v>48</v>
      </c>
      <c r="B1345" s="6" t="s">
        <v>43</v>
      </c>
      <c r="C1345" s="6" t="s">
        <v>49</v>
      </c>
      <c r="D1345" s="6" t="s">
        <v>115</v>
      </c>
      <c r="E1345" s="6" t="n">
        <v>4</v>
      </c>
      <c r="F1345" s="6" t="n">
        <v>3</v>
      </c>
      <c r="G1345" s="6" t="s">
        <v>69</v>
      </c>
      <c r="H1345" s="11" t="n">
        <v>0.01</v>
      </c>
      <c r="I1345" s="6" t="n">
        <v>20</v>
      </c>
      <c r="J1345" s="6" t="n">
        <v>20</v>
      </c>
      <c r="K1345" s="6" t="n">
        <v>0</v>
      </c>
      <c r="L1345" s="6" t="n">
        <v>0</v>
      </c>
      <c r="M1345" s="6" t="n">
        <v>20</v>
      </c>
      <c r="N1345" s="11" t="n">
        <f aca="false">J1345/(J1345+K1345)</f>
        <v>1</v>
      </c>
      <c r="O1345" s="11" t="n">
        <f aca="false">IF(J1345+L1345=0,"",J1345/(J1345+L1345))</f>
        <v>1</v>
      </c>
      <c r="P1345" s="11" t="n">
        <f aca="false">2*J1345/(2*J1345+L1345+K1345)</f>
        <v>1</v>
      </c>
      <c r="Q1345" s="11" t="n">
        <f aca="false">L1345/(L1345+M1345)</f>
        <v>0</v>
      </c>
      <c r="R1345" s="6" t="n">
        <v>20</v>
      </c>
      <c r="S1345" s="11" t="n">
        <v>1</v>
      </c>
      <c r="T1345" s="11"/>
      <c r="U1345" s="11" t="n">
        <v>1</v>
      </c>
      <c r="V1345" s="11" t="n">
        <v>0</v>
      </c>
    </row>
    <row r="1346" customFormat="false" ht="15" hidden="false" customHeight="false" outlineLevel="0" collapsed="false">
      <c r="A1346" s="6" t="s">
        <v>48</v>
      </c>
      <c r="B1346" s="6" t="s">
        <v>43</v>
      </c>
      <c r="C1346" s="6" t="s">
        <v>49</v>
      </c>
      <c r="D1346" s="6" t="s">
        <v>115</v>
      </c>
      <c r="E1346" s="6" t="n">
        <v>4</v>
      </c>
      <c r="F1346" s="6" t="n">
        <v>3</v>
      </c>
      <c r="G1346" s="6" t="s">
        <v>70</v>
      </c>
      <c r="H1346" s="11" t="n">
        <v>0.01</v>
      </c>
      <c r="I1346" s="6" t="n">
        <v>20</v>
      </c>
      <c r="J1346" s="6" t="n">
        <v>20</v>
      </c>
      <c r="K1346" s="6" t="n">
        <v>0</v>
      </c>
      <c r="L1346" s="6" t="n">
        <v>0</v>
      </c>
      <c r="M1346" s="6" t="n">
        <v>20</v>
      </c>
      <c r="N1346" s="11" t="n">
        <f aca="false">J1346/(J1346+K1346)</f>
        <v>1</v>
      </c>
      <c r="O1346" s="11" t="n">
        <f aca="false">IF(J1346+L1346=0,"",J1346/(J1346+L1346))</f>
        <v>1</v>
      </c>
      <c r="P1346" s="11" t="n">
        <f aca="false">2*J1346/(2*J1346+L1346+K1346)</f>
        <v>1</v>
      </c>
      <c r="Q1346" s="11" t="n">
        <f aca="false">L1346/(L1346+M1346)</f>
        <v>0</v>
      </c>
      <c r="R1346" s="6" t="n">
        <v>11</v>
      </c>
      <c r="S1346" s="11" t="n">
        <v>1</v>
      </c>
      <c r="T1346" s="11" t="n">
        <v>1</v>
      </c>
      <c r="U1346" s="11" t="n">
        <v>0.9</v>
      </c>
      <c r="V1346" s="11" t="n">
        <v>0.55</v>
      </c>
    </row>
    <row r="1347" customFormat="false" ht="15" hidden="false" customHeight="false" outlineLevel="0" collapsed="false">
      <c r="A1347" s="6" t="s">
        <v>48</v>
      </c>
      <c r="B1347" s="6" t="s">
        <v>43</v>
      </c>
      <c r="C1347" s="6" t="s">
        <v>49</v>
      </c>
      <c r="D1347" s="6" t="s">
        <v>115</v>
      </c>
      <c r="E1347" s="6" t="n">
        <v>4</v>
      </c>
      <c r="F1347" s="6" t="n">
        <v>3</v>
      </c>
      <c r="G1347" s="6" t="s">
        <v>71</v>
      </c>
      <c r="H1347" s="11" t="n">
        <v>0.01</v>
      </c>
      <c r="I1347" s="6" t="n">
        <v>20</v>
      </c>
      <c r="J1347" s="6" t="n">
        <v>20</v>
      </c>
      <c r="K1347" s="6" t="n">
        <v>0</v>
      </c>
      <c r="L1347" s="6" t="n">
        <v>0</v>
      </c>
      <c r="M1347" s="6" t="n">
        <v>20</v>
      </c>
      <c r="N1347" s="11" t="n">
        <f aca="false">J1347/(J1347+K1347)</f>
        <v>1</v>
      </c>
      <c r="O1347" s="11" t="n">
        <f aca="false">IF(J1347+L1347=0,"",J1347/(J1347+L1347))</f>
        <v>1</v>
      </c>
      <c r="P1347" s="11" t="n">
        <f aca="false">2*J1347/(2*J1347+L1347+K1347)</f>
        <v>1</v>
      </c>
      <c r="Q1347" s="11" t="n">
        <f aca="false">L1347/(L1347+M1347)</f>
        <v>0</v>
      </c>
      <c r="R1347" s="6" t="n">
        <v>18</v>
      </c>
      <c r="S1347" s="11" t="n">
        <v>1</v>
      </c>
      <c r="T1347" s="11" t="n">
        <v>1</v>
      </c>
      <c r="U1347" s="11" t="n">
        <v>0.8</v>
      </c>
      <c r="V1347" s="11" t="n">
        <v>0</v>
      </c>
    </row>
    <row r="1348" customFormat="false" ht="15" hidden="false" customHeight="false" outlineLevel="0" collapsed="false">
      <c r="A1348" s="6" t="s">
        <v>48</v>
      </c>
      <c r="B1348" s="6" t="s">
        <v>43</v>
      </c>
      <c r="C1348" s="6" t="s">
        <v>49</v>
      </c>
      <c r="D1348" s="6" t="s">
        <v>115</v>
      </c>
      <c r="E1348" s="6" t="n">
        <v>4</v>
      </c>
      <c r="F1348" s="6" t="n">
        <v>3</v>
      </c>
      <c r="G1348" s="6" t="s">
        <v>72</v>
      </c>
      <c r="H1348" s="11" t="n">
        <v>0.01</v>
      </c>
      <c r="I1348" s="6" t="n">
        <v>20</v>
      </c>
      <c r="J1348" s="6" t="n">
        <v>20</v>
      </c>
      <c r="K1348" s="6" t="n">
        <v>0</v>
      </c>
      <c r="L1348" s="6" t="n">
        <v>0</v>
      </c>
      <c r="M1348" s="6" t="n">
        <v>20</v>
      </c>
      <c r="N1348" s="11" t="n">
        <f aca="false">J1348/(J1348+K1348)</f>
        <v>1</v>
      </c>
      <c r="O1348" s="11" t="n">
        <f aca="false">IF(J1348+L1348=0,"",J1348/(J1348+L1348))</f>
        <v>1</v>
      </c>
      <c r="P1348" s="11" t="n">
        <f aca="false">2*J1348/(2*J1348+L1348+K1348)</f>
        <v>1</v>
      </c>
      <c r="Q1348" s="11" t="n">
        <f aca="false">L1348/(L1348+M1348)</f>
        <v>0</v>
      </c>
      <c r="R1348" s="6" t="n">
        <v>19</v>
      </c>
      <c r="S1348" s="11" t="n">
        <v>1</v>
      </c>
      <c r="T1348" s="11" t="n">
        <v>1</v>
      </c>
      <c r="U1348" s="11" t="n">
        <v>0.9</v>
      </c>
      <c r="V1348" s="11" t="n">
        <v>0</v>
      </c>
    </row>
    <row r="1349" customFormat="false" ht="15" hidden="false" customHeight="false" outlineLevel="0" collapsed="false">
      <c r="A1349" s="6" t="s">
        <v>48</v>
      </c>
      <c r="B1349" s="6" t="s">
        <v>43</v>
      </c>
      <c r="C1349" s="6" t="s">
        <v>49</v>
      </c>
      <c r="D1349" s="6" t="s">
        <v>115</v>
      </c>
      <c r="E1349" s="6" t="n">
        <v>4</v>
      </c>
      <c r="F1349" s="6" t="n">
        <v>3</v>
      </c>
      <c r="G1349" s="6" t="s">
        <v>73</v>
      </c>
      <c r="H1349" s="11" t="n">
        <v>0.01</v>
      </c>
      <c r="I1349" s="6" t="n">
        <v>20</v>
      </c>
      <c r="J1349" s="6" t="n">
        <v>20</v>
      </c>
      <c r="K1349" s="6" t="n">
        <v>0</v>
      </c>
      <c r="L1349" s="6" t="n">
        <v>0</v>
      </c>
      <c r="M1349" s="6" t="n">
        <v>20</v>
      </c>
      <c r="N1349" s="11" t="n">
        <f aca="false">J1349/(J1349+K1349)</f>
        <v>1</v>
      </c>
      <c r="O1349" s="11" t="n">
        <f aca="false">IF(J1349+L1349=0,"",J1349/(J1349+L1349))</f>
        <v>1</v>
      </c>
      <c r="P1349" s="11" t="n">
        <f aca="false">2*J1349/(2*J1349+L1349+K1349)</f>
        <v>1</v>
      </c>
      <c r="Q1349" s="11" t="n">
        <f aca="false">L1349/(L1349+M1349)</f>
        <v>0</v>
      </c>
      <c r="R1349" s="6" t="n">
        <v>19</v>
      </c>
      <c r="S1349" s="11" t="n">
        <v>1</v>
      </c>
      <c r="T1349" s="11" t="n">
        <v>1</v>
      </c>
      <c r="U1349" s="11" t="n">
        <v>0.65</v>
      </c>
      <c r="V1349" s="11" t="n">
        <v>0</v>
      </c>
    </row>
    <row r="1350" customFormat="false" ht="15" hidden="false" customHeight="false" outlineLevel="0" collapsed="false">
      <c r="A1350" s="6" t="s">
        <v>48</v>
      </c>
      <c r="B1350" s="6" t="s">
        <v>43</v>
      </c>
      <c r="C1350" s="6" t="s">
        <v>49</v>
      </c>
      <c r="D1350" s="6" t="s">
        <v>115</v>
      </c>
      <c r="E1350" s="6" t="n">
        <v>4</v>
      </c>
      <c r="F1350" s="6" t="n">
        <v>3</v>
      </c>
      <c r="G1350" s="6" t="s">
        <v>74</v>
      </c>
      <c r="H1350" s="11" t="n">
        <v>0.01</v>
      </c>
      <c r="I1350" s="6" t="n">
        <v>20</v>
      </c>
      <c r="J1350" s="6" t="n">
        <v>20</v>
      </c>
      <c r="K1350" s="6" t="n">
        <v>0</v>
      </c>
      <c r="L1350" s="6" t="n">
        <v>0</v>
      </c>
      <c r="M1350" s="6" t="n">
        <v>20</v>
      </c>
      <c r="N1350" s="11" t="n">
        <f aca="false">J1350/(J1350+K1350)</f>
        <v>1</v>
      </c>
      <c r="O1350" s="11" t="n">
        <f aca="false">IF(J1350+L1350=0,"",J1350/(J1350+L1350))</f>
        <v>1</v>
      </c>
      <c r="P1350" s="11" t="n">
        <f aca="false">2*J1350/(2*J1350+L1350+K1350)</f>
        <v>1</v>
      </c>
      <c r="Q1350" s="11" t="n">
        <f aca="false">L1350/(L1350+M1350)</f>
        <v>0</v>
      </c>
      <c r="R1350" s="6" t="n">
        <v>19</v>
      </c>
      <c r="S1350" s="11" t="n">
        <v>1</v>
      </c>
      <c r="T1350" s="11" t="n">
        <v>1</v>
      </c>
      <c r="U1350" s="11" t="n">
        <v>0.85</v>
      </c>
      <c r="V1350" s="11" t="n">
        <v>0</v>
      </c>
    </row>
    <row r="1351" customFormat="false" ht="15" hidden="false" customHeight="false" outlineLevel="0" collapsed="false">
      <c r="A1351" s="6" t="s">
        <v>48</v>
      </c>
      <c r="B1351" s="6" t="s">
        <v>43</v>
      </c>
      <c r="C1351" s="6" t="s">
        <v>49</v>
      </c>
      <c r="D1351" s="6" t="s">
        <v>115</v>
      </c>
      <c r="E1351" s="6" t="n">
        <v>4</v>
      </c>
      <c r="F1351" s="6" t="n">
        <v>3</v>
      </c>
      <c r="G1351" s="6" t="s">
        <v>75</v>
      </c>
      <c r="H1351" s="11" t="n">
        <v>0.01</v>
      </c>
      <c r="I1351" s="6" t="n">
        <v>20</v>
      </c>
      <c r="J1351" s="6" t="n">
        <v>20</v>
      </c>
      <c r="K1351" s="6" t="n">
        <v>0</v>
      </c>
      <c r="L1351" s="6" t="n">
        <v>0</v>
      </c>
      <c r="M1351" s="6" t="n">
        <v>20</v>
      </c>
      <c r="N1351" s="11" t="n">
        <f aca="false">J1351/(J1351+K1351)</f>
        <v>1</v>
      </c>
      <c r="O1351" s="11" t="n">
        <f aca="false">IF(J1351+L1351=0,"",J1351/(J1351+L1351))</f>
        <v>1</v>
      </c>
      <c r="P1351" s="11" t="n">
        <f aca="false">2*J1351/(2*J1351+L1351+K1351)</f>
        <v>1</v>
      </c>
      <c r="Q1351" s="11" t="n">
        <f aca="false">L1351/(L1351+M1351)</f>
        <v>0</v>
      </c>
      <c r="R1351" s="6" t="n">
        <v>19</v>
      </c>
      <c r="S1351" s="11" t="n">
        <v>1</v>
      </c>
      <c r="T1351" s="11" t="n">
        <v>1</v>
      </c>
      <c r="U1351" s="11" t="n">
        <v>0.9</v>
      </c>
      <c r="V1351" s="11" t="n">
        <v>0</v>
      </c>
    </row>
    <row r="1352" customFormat="false" ht="15" hidden="false" customHeight="false" outlineLevel="0" collapsed="false">
      <c r="A1352" s="6" t="s">
        <v>48</v>
      </c>
      <c r="B1352" s="6" t="s">
        <v>43</v>
      </c>
      <c r="C1352" s="6" t="s">
        <v>49</v>
      </c>
      <c r="D1352" s="6" t="s">
        <v>115</v>
      </c>
      <c r="E1352" s="6" t="n">
        <v>4</v>
      </c>
      <c r="F1352" s="6" t="n">
        <v>3</v>
      </c>
      <c r="G1352" s="6" t="s">
        <v>76</v>
      </c>
      <c r="H1352" s="11" t="n">
        <v>0.01</v>
      </c>
      <c r="I1352" s="6" t="n">
        <v>20</v>
      </c>
      <c r="J1352" s="6" t="n">
        <v>20</v>
      </c>
      <c r="K1352" s="6" t="n">
        <v>0</v>
      </c>
      <c r="L1352" s="6" t="n">
        <v>0</v>
      </c>
      <c r="M1352" s="6" t="n">
        <v>20</v>
      </c>
      <c r="N1352" s="11" t="n">
        <f aca="false">J1352/(J1352+K1352)</f>
        <v>1</v>
      </c>
      <c r="O1352" s="11" t="n">
        <f aca="false">IF(J1352+L1352=0,"",J1352/(J1352+L1352))</f>
        <v>1</v>
      </c>
      <c r="P1352" s="11" t="n">
        <f aca="false">2*J1352/(2*J1352+L1352+K1352)</f>
        <v>1</v>
      </c>
      <c r="Q1352" s="11" t="n">
        <f aca="false">L1352/(L1352+M1352)</f>
        <v>0</v>
      </c>
      <c r="R1352" s="6" t="n">
        <v>19</v>
      </c>
      <c r="S1352" s="11" t="n">
        <v>1</v>
      </c>
      <c r="T1352" s="11" t="n">
        <v>1</v>
      </c>
      <c r="U1352" s="11" t="n">
        <v>0.95</v>
      </c>
      <c r="V1352" s="11" t="n">
        <v>0</v>
      </c>
    </row>
    <row r="1353" customFormat="false" ht="15" hidden="false" customHeight="false" outlineLevel="0" collapsed="false">
      <c r="A1353" s="6" t="s">
        <v>48</v>
      </c>
      <c r="B1353" s="6" t="s">
        <v>43</v>
      </c>
      <c r="C1353" s="6" t="s">
        <v>49</v>
      </c>
      <c r="D1353" s="6" t="s">
        <v>115</v>
      </c>
      <c r="E1353" s="6" t="n">
        <v>4</v>
      </c>
      <c r="F1353" s="6" t="n">
        <v>3</v>
      </c>
      <c r="G1353" s="6" t="s">
        <v>77</v>
      </c>
      <c r="H1353" s="11" t="n">
        <v>0.01</v>
      </c>
      <c r="I1353" s="6" t="n">
        <v>20</v>
      </c>
      <c r="J1353" s="6" t="n">
        <v>20</v>
      </c>
      <c r="K1353" s="6" t="n">
        <v>0</v>
      </c>
      <c r="L1353" s="6" t="n">
        <v>1</v>
      </c>
      <c r="M1353" s="6" t="n">
        <v>19</v>
      </c>
      <c r="N1353" s="11" t="n">
        <f aca="false">J1353/(J1353+K1353)</f>
        <v>1</v>
      </c>
      <c r="O1353" s="11" t="n">
        <f aca="false">IF(J1353+L1353=0,"",J1353/(J1353+L1353))</f>
        <v>0.952380952380952</v>
      </c>
      <c r="P1353" s="11" t="n">
        <f aca="false">2*J1353/(2*J1353+L1353+K1353)</f>
        <v>0.975609756097561</v>
      </c>
      <c r="Q1353" s="11" t="n">
        <f aca="false">L1353/(L1353+M1353)</f>
        <v>0.05</v>
      </c>
      <c r="R1353" s="6" t="n">
        <v>20</v>
      </c>
      <c r="S1353" s="11" t="n">
        <v>1</v>
      </c>
      <c r="T1353" s="11"/>
      <c r="U1353" s="11" t="n">
        <v>1</v>
      </c>
      <c r="V1353" s="11" t="n">
        <v>0</v>
      </c>
    </row>
    <row r="1354" customFormat="false" ht="15" hidden="false" customHeight="false" outlineLevel="0" collapsed="false">
      <c r="A1354" s="6" t="s">
        <v>48</v>
      </c>
      <c r="B1354" s="6" t="s">
        <v>43</v>
      </c>
      <c r="C1354" s="6" t="s">
        <v>49</v>
      </c>
      <c r="D1354" s="6" t="s">
        <v>115</v>
      </c>
      <c r="E1354" s="6" t="n">
        <v>4</v>
      </c>
      <c r="F1354" s="6" t="n">
        <v>3</v>
      </c>
      <c r="G1354" s="6" t="s">
        <v>78</v>
      </c>
      <c r="H1354" s="11" t="n">
        <v>0.01</v>
      </c>
      <c r="I1354" s="6" t="n">
        <v>200</v>
      </c>
      <c r="J1354" s="6" t="n">
        <v>200</v>
      </c>
      <c r="K1354" s="6" t="n">
        <v>0</v>
      </c>
      <c r="L1354" s="6" t="n">
        <v>1</v>
      </c>
      <c r="M1354" s="6" t="n">
        <v>199</v>
      </c>
      <c r="N1354" s="11" t="n">
        <f aca="false">J1354/(J1354+K1354)</f>
        <v>1</v>
      </c>
      <c r="O1354" s="11" t="n">
        <f aca="false">IF(J1354+L1354=0,"",J1354/(J1354+L1354))</f>
        <v>0.995024875621891</v>
      </c>
      <c r="P1354" s="11" t="n">
        <f aca="false">2*J1354/(2*J1354+L1354+K1354)</f>
        <v>0.997506234413965</v>
      </c>
      <c r="Q1354" s="11" t="n">
        <f aca="false">L1354/(L1354+M1354)</f>
        <v>0.005</v>
      </c>
      <c r="R1354" s="6" t="n">
        <v>181</v>
      </c>
      <c r="S1354" s="11" t="n">
        <v>1</v>
      </c>
      <c r="T1354" s="11" t="n">
        <v>1</v>
      </c>
      <c r="U1354" s="11" t="n">
        <v>0.88</v>
      </c>
      <c r="V1354" s="11" t="n">
        <v>0.065</v>
      </c>
    </row>
    <row r="1355" customFormat="false" ht="15" hidden="false" customHeight="false" outlineLevel="0" collapsed="false">
      <c r="A1355" s="6" t="s">
        <v>48</v>
      </c>
      <c r="B1355" s="6" t="s">
        <v>43</v>
      </c>
      <c r="C1355" s="6" t="s">
        <v>49</v>
      </c>
      <c r="D1355" s="6" t="s">
        <v>115</v>
      </c>
      <c r="E1355" s="6" t="n">
        <v>4</v>
      </c>
      <c r="F1355" s="6" t="n">
        <v>4</v>
      </c>
      <c r="G1355" s="6" t="s">
        <v>68</v>
      </c>
      <c r="H1355" s="11" t="n">
        <v>0.01</v>
      </c>
      <c r="I1355" s="6" t="n">
        <v>20</v>
      </c>
      <c r="J1355" s="6" t="n">
        <v>0</v>
      </c>
      <c r="K1355" s="6" t="n">
        <v>20</v>
      </c>
      <c r="L1355" s="6" t="n">
        <v>0</v>
      </c>
      <c r="M1355" s="6" t="n">
        <v>20</v>
      </c>
      <c r="N1355" s="11" t="n">
        <f aca="false">J1355/(J1355+K1355)</f>
        <v>0</v>
      </c>
      <c r="O1355" s="11" t="str">
        <f aca="false">IF(J1355+L1355=0,"",J1355/(J1355+L1355))</f>
        <v/>
      </c>
      <c r="P1355" s="11" t="n">
        <f aca="false">2*J1355/(2*J1355+L1355+K1355)</f>
        <v>0</v>
      </c>
      <c r="Q1355" s="11" t="n">
        <f aca="false">L1355/(L1355+M1355)</f>
        <v>0</v>
      </c>
      <c r="R1355" s="6" t="n">
        <v>0</v>
      </c>
      <c r="S1355" s="11"/>
      <c r="T1355" s="11" t="n">
        <v>0</v>
      </c>
      <c r="U1355" s="11" t="n">
        <v>0.85</v>
      </c>
      <c r="V1355" s="11" t="n">
        <v>0.85</v>
      </c>
    </row>
    <row r="1356" customFormat="false" ht="15" hidden="false" customHeight="false" outlineLevel="0" collapsed="false">
      <c r="A1356" s="6" t="s">
        <v>48</v>
      </c>
      <c r="B1356" s="6" t="s">
        <v>43</v>
      </c>
      <c r="C1356" s="6" t="s">
        <v>49</v>
      </c>
      <c r="D1356" s="6" t="s">
        <v>115</v>
      </c>
      <c r="E1356" s="6" t="n">
        <v>4</v>
      </c>
      <c r="F1356" s="6" t="n">
        <v>4</v>
      </c>
      <c r="G1356" s="6" t="s">
        <v>69</v>
      </c>
      <c r="H1356" s="11" t="n">
        <v>0.01</v>
      </c>
      <c r="I1356" s="6" t="n">
        <v>20</v>
      </c>
      <c r="J1356" s="6" t="n">
        <v>0</v>
      </c>
      <c r="K1356" s="6" t="n">
        <v>20</v>
      </c>
      <c r="L1356" s="6" t="n">
        <v>0</v>
      </c>
      <c r="M1356" s="6" t="n">
        <v>20</v>
      </c>
      <c r="N1356" s="11" t="n">
        <f aca="false">J1356/(J1356+K1356)</f>
        <v>0</v>
      </c>
      <c r="O1356" s="11" t="str">
        <f aca="false">IF(J1356+L1356=0,"",J1356/(J1356+L1356))</f>
        <v/>
      </c>
      <c r="P1356" s="11" t="n">
        <f aca="false">2*J1356/(2*J1356+L1356+K1356)</f>
        <v>0</v>
      </c>
      <c r="Q1356" s="11" t="n">
        <f aca="false">L1356/(L1356+M1356)</f>
        <v>0</v>
      </c>
      <c r="R1356" s="6" t="n">
        <v>0</v>
      </c>
      <c r="S1356" s="11"/>
      <c r="T1356" s="11" t="n">
        <v>0</v>
      </c>
      <c r="U1356" s="11" t="n">
        <v>1</v>
      </c>
      <c r="V1356" s="11" t="n">
        <v>1</v>
      </c>
    </row>
    <row r="1357" customFormat="false" ht="15" hidden="false" customHeight="false" outlineLevel="0" collapsed="false">
      <c r="A1357" s="6" t="s">
        <v>48</v>
      </c>
      <c r="B1357" s="6" t="s">
        <v>43</v>
      </c>
      <c r="C1357" s="6" t="s">
        <v>49</v>
      </c>
      <c r="D1357" s="6" t="s">
        <v>115</v>
      </c>
      <c r="E1357" s="6" t="n">
        <v>4</v>
      </c>
      <c r="F1357" s="6" t="n">
        <v>4</v>
      </c>
      <c r="G1357" s="6" t="s">
        <v>70</v>
      </c>
      <c r="H1357" s="11" t="n">
        <v>0.01</v>
      </c>
      <c r="I1357" s="6" t="n">
        <v>20</v>
      </c>
      <c r="J1357" s="6" t="n">
        <v>0</v>
      </c>
      <c r="K1357" s="6" t="n">
        <v>20</v>
      </c>
      <c r="L1357" s="6" t="n">
        <v>0</v>
      </c>
      <c r="M1357" s="6" t="n">
        <v>20</v>
      </c>
      <c r="N1357" s="11" t="n">
        <f aca="false">J1357/(J1357+K1357)</f>
        <v>0</v>
      </c>
      <c r="O1357" s="11" t="str">
        <f aca="false">IF(J1357+L1357=0,"",J1357/(J1357+L1357))</f>
        <v/>
      </c>
      <c r="P1357" s="11" t="n">
        <f aca="false">2*J1357/(2*J1357+L1357+K1357)</f>
        <v>0</v>
      </c>
      <c r="Q1357" s="11" t="n">
        <f aca="false">L1357/(L1357+M1357)</f>
        <v>0</v>
      </c>
      <c r="R1357" s="6" t="n">
        <v>0</v>
      </c>
      <c r="S1357" s="11"/>
      <c r="T1357" s="11" t="n">
        <v>0</v>
      </c>
      <c r="U1357" s="11" t="n">
        <v>0.9</v>
      </c>
      <c r="V1357" s="11" t="n">
        <v>0.9</v>
      </c>
    </row>
    <row r="1358" customFormat="false" ht="15" hidden="false" customHeight="false" outlineLevel="0" collapsed="false">
      <c r="A1358" s="6" t="s">
        <v>48</v>
      </c>
      <c r="B1358" s="6" t="s">
        <v>43</v>
      </c>
      <c r="C1358" s="6" t="s">
        <v>49</v>
      </c>
      <c r="D1358" s="6" t="s">
        <v>115</v>
      </c>
      <c r="E1358" s="6" t="n">
        <v>4</v>
      </c>
      <c r="F1358" s="6" t="n">
        <v>4</v>
      </c>
      <c r="G1358" s="6" t="s">
        <v>71</v>
      </c>
      <c r="H1358" s="11" t="n">
        <v>0.01</v>
      </c>
      <c r="I1358" s="6" t="n">
        <v>20</v>
      </c>
      <c r="J1358" s="6" t="n">
        <v>0</v>
      </c>
      <c r="K1358" s="6" t="n">
        <v>20</v>
      </c>
      <c r="L1358" s="6" t="n">
        <v>0</v>
      </c>
      <c r="M1358" s="6" t="n">
        <v>20</v>
      </c>
      <c r="N1358" s="11" t="n">
        <f aca="false">J1358/(J1358+K1358)</f>
        <v>0</v>
      </c>
      <c r="O1358" s="11" t="str">
        <f aca="false">IF(J1358+L1358=0,"",J1358/(J1358+L1358))</f>
        <v/>
      </c>
      <c r="P1358" s="11" t="n">
        <f aca="false">2*J1358/(2*J1358+L1358+K1358)</f>
        <v>0</v>
      </c>
      <c r="Q1358" s="11" t="n">
        <f aca="false">L1358/(L1358+M1358)</f>
        <v>0</v>
      </c>
      <c r="R1358" s="6" t="n">
        <v>0</v>
      </c>
      <c r="S1358" s="11"/>
      <c r="T1358" s="11" t="n">
        <v>0</v>
      </c>
      <c r="U1358" s="11" t="n">
        <v>0.8</v>
      </c>
      <c r="V1358" s="11" t="n">
        <v>0.8</v>
      </c>
    </row>
    <row r="1359" customFormat="false" ht="15" hidden="false" customHeight="false" outlineLevel="0" collapsed="false">
      <c r="A1359" s="6" t="s">
        <v>48</v>
      </c>
      <c r="B1359" s="6" t="s">
        <v>43</v>
      </c>
      <c r="C1359" s="6" t="s">
        <v>49</v>
      </c>
      <c r="D1359" s="6" t="s">
        <v>115</v>
      </c>
      <c r="E1359" s="6" t="n">
        <v>4</v>
      </c>
      <c r="F1359" s="6" t="n">
        <v>4</v>
      </c>
      <c r="G1359" s="6" t="s">
        <v>72</v>
      </c>
      <c r="H1359" s="11" t="n">
        <v>0.01</v>
      </c>
      <c r="I1359" s="6" t="n">
        <v>20</v>
      </c>
      <c r="J1359" s="6" t="n">
        <v>0</v>
      </c>
      <c r="K1359" s="6" t="n">
        <v>20</v>
      </c>
      <c r="L1359" s="6" t="n">
        <v>0</v>
      </c>
      <c r="M1359" s="6" t="n">
        <v>20</v>
      </c>
      <c r="N1359" s="11" t="n">
        <f aca="false">J1359/(J1359+K1359)</f>
        <v>0</v>
      </c>
      <c r="O1359" s="11" t="str">
        <f aca="false">IF(J1359+L1359=0,"",J1359/(J1359+L1359))</f>
        <v/>
      </c>
      <c r="P1359" s="11" t="n">
        <f aca="false">2*J1359/(2*J1359+L1359+K1359)</f>
        <v>0</v>
      </c>
      <c r="Q1359" s="11" t="n">
        <f aca="false">L1359/(L1359+M1359)</f>
        <v>0</v>
      </c>
      <c r="R1359" s="6" t="n">
        <v>1</v>
      </c>
      <c r="S1359" s="11" t="n">
        <v>0</v>
      </c>
      <c r="T1359" s="11" t="n">
        <v>0</v>
      </c>
      <c r="U1359" s="11" t="n">
        <v>0.9</v>
      </c>
      <c r="V1359" s="11" t="n">
        <v>0.9</v>
      </c>
    </row>
    <row r="1360" customFormat="false" ht="15" hidden="false" customHeight="false" outlineLevel="0" collapsed="false">
      <c r="A1360" s="6" t="s">
        <v>48</v>
      </c>
      <c r="B1360" s="6" t="s">
        <v>43</v>
      </c>
      <c r="C1360" s="6" t="s">
        <v>49</v>
      </c>
      <c r="D1360" s="6" t="s">
        <v>115</v>
      </c>
      <c r="E1360" s="6" t="n">
        <v>4</v>
      </c>
      <c r="F1360" s="6" t="n">
        <v>4</v>
      </c>
      <c r="G1360" s="6" t="s">
        <v>73</v>
      </c>
      <c r="H1360" s="11" t="n">
        <v>0.01</v>
      </c>
      <c r="I1360" s="6" t="n">
        <v>20</v>
      </c>
      <c r="J1360" s="6" t="n">
        <v>0</v>
      </c>
      <c r="K1360" s="6" t="n">
        <v>20</v>
      </c>
      <c r="L1360" s="6" t="n">
        <v>0</v>
      </c>
      <c r="M1360" s="6" t="n">
        <v>20</v>
      </c>
      <c r="N1360" s="11" t="n">
        <f aca="false">J1360/(J1360+K1360)</f>
        <v>0</v>
      </c>
      <c r="O1360" s="11" t="str">
        <f aca="false">IF(J1360+L1360=0,"",J1360/(J1360+L1360))</f>
        <v/>
      </c>
      <c r="P1360" s="11" t="n">
        <f aca="false">2*J1360/(2*J1360+L1360+K1360)</f>
        <v>0</v>
      </c>
      <c r="Q1360" s="11" t="n">
        <f aca="false">L1360/(L1360+M1360)</f>
        <v>0</v>
      </c>
      <c r="R1360" s="6" t="n">
        <v>1</v>
      </c>
      <c r="S1360" s="11" t="n">
        <v>0</v>
      </c>
      <c r="T1360" s="11" t="n">
        <v>0</v>
      </c>
      <c r="U1360" s="11" t="n">
        <v>0.65</v>
      </c>
      <c r="V1360" s="11" t="n">
        <v>0.65</v>
      </c>
    </row>
    <row r="1361" customFormat="false" ht="15" hidden="false" customHeight="false" outlineLevel="0" collapsed="false">
      <c r="A1361" s="6" t="s">
        <v>48</v>
      </c>
      <c r="B1361" s="6" t="s">
        <v>43</v>
      </c>
      <c r="C1361" s="6" t="s">
        <v>49</v>
      </c>
      <c r="D1361" s="6" t="s">
        <v>115</v>
      </c>
      <c r="E1361" s="6" t="n">
        <v>4</v>
      </c>
      <c r="F1361" s="6" t="n">
        <v>4</v>
      </c>
      <c r="G1361" s="6" t="s">
        <v>74</v>
      </c>
      <c r="H1361" s="11" t="n">
        <v>0.01</v>
      </c>
      <c r="I1361" s="6" t="n">
        <v>20</v>
      </c>
      <c r="J1361" s="6" t="n">
        <v>0</v>
      </c>
      <c r="K1361" s="6" t="n">
        <v>20</v>
      </c>
      <c r="L1361" s="6" t="n">
        <v>0</v>
      </c>
      <c r="M1361" s="6" t="n">
        <v>20</v>
      </c>
      <c r="N1361" s="11" t="n">
        <f aca="false">J1361/(J1361+K1361)</f>
        <v>0</v>
      </c>
      <c r="O1361" s="11" t="str">
        <f aca="false">IF(J1361+L1361=0,"",J1361/(J1361+L1361))</f>
        <v/>
      </c>
      <c r="P1361" s="11" t="n">
        <f aca="false">2*J1361/(2*J1361+L1361+K1361)</f>
        <v>0</v>
      </c>
      <c r="Q1361" s="11" t="n">
        <f aca="false">L1361/(L1361+M1361)</f>
        <v>0</v>
      </c>
      <c r="R1361" s="6" t="n">
        <v>1</v>
      </c>
      <c r="S1361" s="11" t="n">
        <v>0</v>
      </c>
      <c r="T1361" s="11" t="n">
        <v>0</v>
      </c>
      <c r="U1361" s="11" t="n">
        <v>0.85</v>
      </c>
      <c r="V1361" s="11" t="n">
        <v>0.9</v>
      </c>
    </row>
    <row r="1362" customFormat="false" ht="15" hidden="false" customHeight="false" outlineLevel="0" collapsed="false">
      <c r="A1362" s="6" t="s">
        <v>48</v>
      </c>
      <c r="B1362" s="6" t="s">
        <v>43</v>
      </c>
      <c r="C1362" s="6" t="s">
        <v>49</v>
      </c>
      <c r="D1362" s="6" t="s">
        <v>115</v>
      </c>
      <c r="E1362" s="6" t="n">
        <v>4</v>
      </c>
      <c r="F1362" s="6" t="n">
        <v>4</v>
      </c>
      <c r="G1362" s="6" t="s">
        <v>75</v>
      </c>
      <c r="H1362" s="11" t="n">
        <v>0.01</v>
      </c>
      <c r="I1362" s="6" t="n">
        <v>20</v>
      </c>
      <c r="J1362" s="6" t="n">
        <v>0</v>
      </c>
      <c r="K1362" s="6" t="n">
        <v>20</v>
      </c>
      <c r="L1362" s="6" t="n">
        <v>0</v>
      </c>
      <c r="M1362" s="6" t="n">
        <v>20</v>
      </c>
      <c r="N1362" s="11" t="n">
        <f aca="false">J1362/(J1362+K1362)</f>
        <v>0</v>
      </c>
      <c r="O1362" s="11" t="str">
        <f aca="false">IF(J1362+L1362=0,"",J1362/(J1362+L1362))</f>
        <v/>
      </c>
      <c r="P1362" s="11" t="n">
        <f aca="false">2*J1362/(2*J1362+L1362+K1362)</f>
        <v>0</v>
      </c>
      <c r="Q1362" s="11" t="n">
        <f aca="false">L1362/(L1362+M1362)</f>
        <v>0</v>
      </c>
      <c r="R1362" s="6" t="n">
        <v>1</v>
      </c>
      <c r="S1362" s="11" t="n">
        <v>0</v>
      </c>
      <c r="T1362" s="11" t="n">
        <v>0</v>
      </c>
      <c r="U1362" s="11" t="n">
        <v>0.9</v>
      </c>
      <c r="V1362" s="11" t="n">
        <v>0.85</v>
      </c>
    </row>
    <row r="1363" customFormat="false" ht="15" hidden="false" customHeight="false" outlineLevel="0" collapsed="false">
      <c r="A1363" s="6" t="s">
        <v>48</v>
      </c>
      <c r="B1363" s="6" t="s">
        <v>43</v>
      </c>
      <c r="C1363" s="6" t="s">
        <v>49</v>
      </c>
      <c r="D1363" s="6" t="s">
        <v>115</v>
      </c>
      <c r="E1363" s="6" t="n">
        <v>4</v>
      </c>
      <c r="F1363" s="6" t="n">
        <v>4</v>
      </c>
      <c r="G1363" s="6" t="s">
        <v>76</v>
      </c>
      <c r="H1363" s="11" t="n">
        <v>0.01</v>
      </c>
      <c r="I1363" s="6" t="n">
        <v>20</v>
      </c>
      <c r="J1363" s="6" t="n">
        <v>0</v>
      </c>
      <c r="K1363" s="6" t="n">
        <v>20</v>
      </c>
      <c r="L1363" s="6" t="n">
        <v>0</v>
      </c>
      <c r="M1363" s="6" t="n">
        <v>20</v>
      </c>
      <c r="N1363" s="11" t="n">
        <f aca="false">J1363/(J1363+K1363)</f>
        <v>0</v>
      </c>
      <c r="O1363" s="11" t="str">
        <f aca="false">IF(J1363+L1363=0,"",J1363/(J1363+L1363))</f>
        <v/>
      </c>
      <c r="P1363" s="11" t="n">
        <f aca="false">2*J1363/(2*J1363+L1363+K1363)</f>
        <v>0</v>
      </c>
      <c r="Q1363" s="11" t="n">
        <f aca="false">L1363/(L1363+M1363)</f>
        <v>0</v>
      </c>
      <c r="R1363" s="6" t="n">
        <v>0</v>
      </c>
      <c r="S1363" s="11"/>
      <c r="T1363" s="11" t="n">
        <v>0</v>
      </c>
      <c r="U1363" s="11" t="n">
        <v>0.95</v>
      </c>
      <c r="V1363" s="11" t="n">
        <v>0.95</v>
      </c>
    </row>
    <row r="1364" customFormat="false" ht="15" hidden="false" customHeight="false" outlineLevel="0" collapsed="false">
      <c r="A1364" s="6" t="s">
        <v>48</v>
      </c>
      <c r="B1364" s="6" t="s">
        <v>43</v>
      </c>
      <c r="C1364" s="6" t="s">
        <v>49</v>
      </c>
      <c r="D1364" s="6" t="s">
        <v>115</v>
      </c>
      <c r="E1364" s="6" t="n">
        <v>4</v>
      </c>
      <c r="F1364" s="6" t="n">
        <v>4</v>
      </c>
      <c r="G1364" s="6" t="s">
        <v>77</v>
      </c>
      <c r="H1364" s="11" t="n">
        <v>0.01</v>
      </c>
      <c r="I1364" s="6" t="n">
        <v>20</v>
      </c>
      <c r="J1364" s="6" t="n">
        <v>1</v>
      </c>
      <c r="K1364" s="6" t="n">
        <v>19</v>
      </c>
      <c r="L1364" s="6" t="n">
        <v>1</v>
      </c>
      <c r="M1364" s="6" t="n">
        <v>19</v>
      </c>
      <c r="N1364" s="11" t="n">
        <f aca="false">J1364/(J1364+K1364)</f>
        <v>0.05</v>
      </c>
      <c r="O1364" s="11" t="n">
        <f aca="false">IF(J1364+L1364=0,"",J1364/(J1364+L1364))</f>
        <v>0.5</v>
      </c>
      <c r="P1364" s="11" t="n">
        <f aca="false">2*J1364/(2*J1364+L1364+K1364)</f>
        <v>0.0909090909090909</v>
      </c>
      <c r="Q1364" s="11" t="n">
        <f aca="false">L1364/(L1364+M1364)</f>
        <v>0.05</v>
      </c>
      <c r="R1364" s="6" t="n">
        <v>0</v>
      </c>
      <c r="S1364" s="11"/>
      <c r="T1364" s="11" t="n">
        <v>0.05</v>
      </c>
      <c r="U1364" s="11" t="n">
        <v>1</v>
      </c>
      <c r="V1364" s="11" t="n">
        <v>1</v>
      </c>
    </row>
    <row r="1365" customFormat="false" ht="15" hidden="false" customHeight="false" outlineLevel="0" collapsed="false">
      <c r="A1365" s="6" t="s">
        <v>48</v>
      </c>
      <c r="B1365" s="6" t="s">
        <v>43</v>
      </c>
      <c r="C1365" s="6" t="s">
        <v>49</v>
      </c>
      <c r="D1365" s="6" t="s">
        <v>115</v>
      </c>
      <c r="E1365" s="6" t="n">
        <v>4</v>
      </c>
      <c r="F1365" s="6" t="n">
        <v>4</v>
      </c>
      <c r="G1365" s="6" t="s">
        <v>78</v>
      </c>
      <c r="H1365" s="11" t="n">
        <v>0.01</v>
      </c>
      <c r="I1365" s="6" t="n">
        <v>200</v>
      </c>
      <c r="J1365" s="6" t="n">
        <v>1</v>
      </c>
      <c r="K1365" s="6" t="n">
        <v>199</v>
      </c>
      <c r="L1365" s="6" t="n">
        <v>1</v>
      </c>
      <c r="M1365" s="6" t="n">
        <v>199</v>
      </c>
      <c r="N1365" s="11" t="n">
        <f aca="false">J1365/(J1365+K1365)</f>
        <v>0.005</v>
      </c>
      <c r="O1365" s="11" t="n">
        <f aca="false">IF(J1365+L1365=0,"",J1365/(J1365+L1365))</f>
        <v>0.5</v>
      </c>
      <c r="P1365" s="11" t="n">
        <f aca="false">2*J1365/(2*J1365+L1365+K1365)</f>
        <v>0.0099009900990099</v>
      </c>
      <c r="Q1365" s="11" t="n">
        <f aca="false">L1365/(L1365+M1365)</f>
        <v>0.005</v>
      </c>
      <c r="R1365" s="6" t="n">
        <v>4</v>
      </c>
      <c r="S1365" s="11" t="n">
        <v>0</v>
      </c>
      <c r="T1365" s="11" t="n">
        <v>0.00510204081632653</v>
      </c>
      <c r="U1365" s="11" t="n">
        <v>0.88</v>
      </c>
      <c r="V1365" s="11" t="n">
        <v>0.88</v>
      </c>
    </row>
    <row r="1366" customFormat="false" ht="15" hidden="false" customHeight="false" outlineLevel="0" collapsed="false">
      <c r="A1366" s="6" t="s">
        <v>48</v>
      </c>
      <c r="B1366" s="6" t="s">
        <v>43</v>
      </c>
      <c r="C1366" s="6" t="s">
        <v>49</v>
      </c>
      <c r="D1366" s="6" t="s">
        <v>115</v>
      </c>
      <c r="E1366" s="6" t="n">
        <v>4</v>
      </c>
      <c r="F1366" s="6" t="n">
        <v>5</v>
      </c>
      <c r="G1366" s="6" t="s">
        <v>68</v>
      </c>
      <c r="H1366" s="11" t="n">
        <v>0.01</v>
      </c>
      <c r="I1366" s="6" t="n">
        <v>20</v>
      </c>
      <c r="J1366" s="6" t="n">
        <v>0</v>
      </c>
      <c r="K1366" s="6" t="n">
        <v>20</v>
      </c>
      <c r="L1366" s="6" t="n">
        <v>0</v>
      </c>
      <c r="M1366" s="6" t="n">
        <v>20</v>
      </c>
      <c r="N1366" s="11" t="n">
        <f aca="false">J1366/(J1366+K1366)</f>
        <v>0</v>
      </c>
      <c r="O1366" s="11" t="str">
        <f aca="false">IF(J1366+L1366=0,"",J1366/(J1366+L1366))</f>
        <v/>
      </c>
      <c r="P1366" s="11" t="n">
        <f aca="false">2*J1366/(2*J1366+L1366+K1366)</f>
        <v>0</v>
      </c>
      <c r="Q1366" s="11" t="n">
        <f aca="false">L1366/(L1366+M1366)</f>
        <v>0</v>
      </c>
      <c r="R1366" s="6" t="n">
        <v>0</v>
      </c>
      <c r="S1366" s="11"/>
      <c r="T1366" s="11" t="n">
        <v>0</v>
      </c>
      <c r="U1366" s="11" t="n">
        <v>0.85</v>
      </c>
      <c r="V1366" s="11" t="n">
        <v>0.85</v>
      </c>
    </row>
    <row r="1367" customFormat="false" ht="15" hidden="false" customHeight="false" outlineLevel="0" collapsed="false">
      <c r="A1367" s="6" t="s">
        <v>48</v>
      </c>
      <c r="B1367" s="6" t="s">
        <v>43</v>
      </c>
      <c r="C1367" s="6" t="s">
        <v>49</v>
      </c>
      <c r="D1367" s="6" t="s">
        <v>115</v>
      </c>
      <c r="E1367" s="6" t="n">
        <v>4</v>
      </c>
      <c r="F1367" s="6" t="n">
        <v>5</v>
      </c>
      <c r="G1367" s="6" t="s">
        <v>69</v>
      </c>
      <c r="H1367" s="11" t="n">
        <v>0.01</v>
      </c>
      <c r="I1367" s="6" t="n">
        <v>20</v>
      </c>
      <c r="J1367" s="6" t="n">
        <v>0</v>
      </c>
      <c r="K1367" s="6" t="n">
        <v>20</v>
      </c>
      <c r="L1367" s="6" t="n">
        <v>0</v>
      </c>
      <c r="M1367" s="6" t="n">
        <v>20</v>
      </c>
      <c r="N1367" s="11" t="n">
        <f aca="false">J1367/(J1367+K1367)</f>
        <v>0</v>
      </c>
      <c r="O1367" s="11" t="str">
        <f aca="false">IF(J1367+L1367=0,"",J1367/(J1367+L1367))</f>
        <v/>
      </c>
      <c r="P1367" s="11" t="n">
        <f aca="false">2*J1367/(2*J1367+L1367+K1367)</f>
        <v>0</v>
      </c>
      <c r="Q1367" s="11" t="n">
        <f aca="false">L1367/(L1367+M1367)</f>
        <v>0</v>
      </c>
      <c r="R1367" s="6" t="n">
        <v>0</v>
      </c>
      <c r="S1367" s="11"/>
      <c r="T1367" s="11" t="n">
        <v>0</v>
      </c>
      <c r="U1367" s="11" t="n">
        <v>1</v>
      </c>
      <c r="V1367" s="11" t="n">
        <v>1</v>
      </c>
    </row>
    <row r="1368" customFormat="false" ht="15" hidden="false" customHeight="false" outlineLevel="0" collapsed="false">
      <c r="A1368" s="6" t="s">
        <v>48</v>
      </c>
      <c r="B1368" s="6" t="s">
        <v>43</v>
      </c>
      <c r="C1368" s="6" t="s">
        <v>49</v>
      </c>
      <c r="D1368" s="6" t="s">
        <v>115</v>
      </c>
      <c r="E1368" s="6" t="n">
        <v>4</v>
      </c>
      <c r="F1368" s="6" t="n">
        <v>5</v>
      </c>
      <c r="G1368" s="6" t="s">
        <v>70</v>
      </c>
      <c r="H1368" s="11" t="n">
        <v>0.01</v>
      </c>
      <c r="I1368" s="6" t="n">
        <v>20</v>
      </c>
      <c r="J1368" s="6" t="n">
        <v>0</v>
      </c>
      <c r="K1368" s="6" t="n">
        <v>20</v>
      </c>
      <c r="L1368" s="6" t="n">
        <v>0</v>
      </c>
      <c r="M1368" s="6" t="n">
        <v>20</v>
      </c>
      <c r="N1368" s="11" t="n">
        <f aca="false">J1368/(J1368+K1368)</f>
        <v>0</v>
      </c>
      <c r="O1368" s="11" t="str">
        <f aca="false">IF(J1368+L1368=0,"",J1368/(J1368+L1368))</f>
        <v/>
      </c>
      <c r="P1368" s="11" t="n">
        <f aca="false">2*J1368/(2*J1368+L1368+K1368)</f>
        <v>0</v>
      </c>
      <c r="Q1368" s="11" t="n">
        <f aca="false">L1368/(L1368+M1368)</f>
        <v>0</v>
      </c>
      <c r="R1368" s="6" t="n">
        <v>0</v>
      </c>
      <c r="S1368" s="11"/>
      <c r="T1368" s="11" t="n">
        <v>0</v>
      </c>
      <c r="U1368" s="11" t="n">
        <v>0.9</v>
      </c>
      <c r="V1368" s="11" t="n">
        <v>0.9</v>
      </c>
    </row>
    <row r="1369" customFormat="false" ht="15" hidden="false" customHeight="false" outlineLevel="0" collapsed="false">
      <c r="A1369" s="6" t="s">
        <v>48</v>
      </c>
      <c r="B1369" s="6" t="s">
        <v>43</v>
      </c>
      <c r="C1369" s="6" t="s">
        <v>49</v>
      </c>
      <c r="D1369" s="6" t="s">
        <v>115</v>
      </c>
      <c r="E1369" s="6" t="n">
        <v>4</v>
      </c>
      <c r="F1369" s="6" t="n">
        <v>5</v>
      </c>
      <c r="G1369" s="6" t="s">
        <v>71</v>
      </c>
      <c r="H1369" s="11" t="n">
        <v>0.01</v>
      </c>
      <c r="I1369" s="6" t="n">
        <v>20</v>
      </c>
      <c r="J1369" s="6" t="n">
        <v>0</v>
      </c>
      <c r="K1369" s="6" t="n">
        <v>20</v>
      </c>
      <c r="L1369" s="6" t="n">
        <v>0</v>
      </c>
      <c r="M1369" s="6" t="n">
        <v>20</v>
      </c>
      <c r="N1369" s="11" t="n">
        <f aca="false">J1369/(J1369+K1369)</f>
        <v>0</v>
      </c>
      <c r="O1369" s="11" t="str">
        <f aca="false">IF(J1369+L1369=0,"",J1369/(J1369+L1369))</f>
        <v/>
      </c>
      <c r="P1369" s="11" t="n">
        <f aca="false">2*J1369/(2*J1369+L1369+K1369)</f>
        <v>0</v>
      </c>
      <c r="Q1369" s="11" t="n">
        <f aca="false">L1369/(L1369+M1369)</f>
        <v>0</v>
      </c>
      <c r="R1369" s="6" t="n">
        <v>0</v>
      </c>
      <c r="S1369" s="11"/>
      <c r="T1369" s="11" t="n">
        <v>0</v>
      </c>
      <c r="U1369" s="11" t="n">
        <v>0.8</v>
      </c>
      <c r="V1369" s="11" t="n">
        <v>0.8</v>
      </c>
    </row>
    <row r="1370" customFormat="false" ht="15" hidden="false" customHeight="false" outlineLevel="0" collapsed="false">
      <c r="A1370" s="6" t="s">
        <v>48</v>
      </c>
      <c r="B1370" s="6" t="s">
        <v>43</v>
      </c>
      <c r="C1370" s="6" t="s">
        <v>49</v>
      </c>
      <c r="D1370" s="6" t="s">
        <v>115</v>
      </c>
      <c r="E1370" s="6" t="n">
        <v>4</v>
      </c>
      <c r="F1370" s="6" t="n">
        <v>5</v>
      </c>
      <c r="G1370" s="6" t="s">
        <v>72</v>
      </c>
      <c r="H1370" s="11" t="n">
        <v>0.01</v>
      </c>
      <c r="I1370" s="6" t="n">
        <v>20</v>
      </c>
      <c r="J1370" s="6" t="n">
        <v>0</v>
      </c>
      <c r="K1370" s="6" t="n">
        <v>20</v>
      </c>
      <c r="L1370" s="6" t="n">
        <v>0</v>
      </c>
      <c r="M1370" s="6" t="n">
        <v>20</v>
      </c>
      <c r="N1370" s="11" t="n">
        <f aca="false">J1370/(J1370+K1370)</f>
        <v>0</v>
      </c>
      <c r="O1370" s="11" t="str">
        <f aca="false">IF(J1370+L1370=0,"",J1370/(J1370+L1370))</f>
        <v/>
      </c>
      <c r="P1370" s="11" t="n">
        <f aca="false">2*J1370/(2*J1370+L1370+K1370)</f>
        <v>0</v>
      </c>
      <c r="Q1370" s="11" t="n">
        <f aca="false">L1370/(L1370+M1370)</f>
        <v>0</v>
      </c>
      <c r="R1370" s="6" t="n">
        <v>1</v>
      </c>
      <c r="S1370" s="11" t="n">
        <v>0</v>
      </c>
      <c r="T1370" s="11" t="n">
        <v>0</v>
      </c>
      <c r="U1370" s="11" t="n">
        <v>0.9</v>
      </c>
      <c r="V1370" s="11" t="n">
        <v>0.9</v>
      </c>
    </row>
    <row r="1371" customFormat="false" ht="15" hidden="false" customHeight="false" outlineLevel="0" collapsed="false">
      <c r="A1371" s="6" t="s">
        <v>48</v>
      </c>
      <c r="B1371" s="6" t="s">
        <v>43</v>
      </c>
      <c r="C1371" s="6" t="s">
        <v>49</v>
      </c>
      <c r="D1371" s="6" t="s">
        <v>115</v>
      </c>
      <c r="E1371" s="6" t="n">
        <v>4</v>
      </c>
      <c r="F1371" s="6" t="n">
        <v>5</v>
      </c>
      <c r="G1371" s="6" t="s">
        <v>73</v>
      </c>
      <c r="H1371" s="11" t="n">
        <v>0.01</v>
      </c>
      <c r="I1371" s="6" t="n">
        <v>20</v>
      </c>
      <c r="J1371" s="6" t="n">
        <v>0</v>
      </c>
      <c r="K1371" s="6" t="n">
        <v>20</v>
      </c>
      <c r="L1371" s="6" t="n">
        <v>0</v>
      </c>
      <c r="M1371" s="6" t="n">
        <v>20</v>
      </c>
      <c r="N1371" s="11" t="n">
        <f aca="false">J1371/(J1371+K1371)</f>
        <v>0</v>
      </c>
      <c r="O1371" s="11" t="str">
        <f aca="false">IF(J1371+L1371=0,"",J1371/(J1371+L1371))</f>
        <v/>
      </c>
      <c r="P1371" s="11" t="n">
        <f aca="false">2*J1371/(2*J1371+L1371+K1371)</f>
        <v>0</v>
      </c>
      <c r="Q1371" s="11" t="n">
        <f aca="false">L1371/(L1371+M1371)</f>
        <v>0</v>
      </c>
      <c r="R1371" s="6" t="n">
        <v>1</v>
      </c>
      <c r="S1371" s="11" t="n">
        <v>0</v>
      </c>
      <c r="T1371" s="11" t="n">
        <v>0</v>
      </c>
      <c r="U1371" s="11" t="n">
        <v>0.65</v>
      </c>
      <c r="V1371" s="11" t="n">
        <v>0.65</v>
      </c>
    </row>
    <row r="1372" customFormat="false" ht="15" hidden="false" customHeight="false" outlineLevel="0" collapsed="false">
      <c r="A1372" s="6" t="s">
        <v>48</v>
      </c>
      <c r="B1372" s="6" t="s">
        <v>43</v>
      </c>
      <c r="C1372" s="6" t="s">
        <v>49</v>
      </c>
      <c r="D1372" s="6" t="s">
        <v>115</v>
      </c>
      <c r="E1372" s="6" t="n">
        <v>4</v>
      </c>
      <c r="F1372" s="6" t="n">
        <v>5</v>
      </c>
      <c r="G1372" s="6" t="s">
        <v>74</v>
      </c>
      <c r="H1372" s="11" t="n">
        <v>0.01</v>
      </c>
      <c r="I1372" s="6" t="n">
        <v>20</v>
      </c>
      <c r="J1372" s="6" t="n">
        <v>0</v>
      </c>
      <c r="K1372" s="6" t="n">
        <v>20</v>
      </c>
      <c r="L1372" s="6" t="n">
        <v>0</v>
      </c>
      <c r="M1372" s="6" t="n">
        <v>20</v>
      </c>
      <c r="N1372" s="11" t="n">
        <f aca="false">J1372/(J1372+K1372)</f>
        <v>0</v>
      </c>
      <c r="O1372" s="11" t="str">
        <f aca="false">IF(J1372+L1372=0,"",J1372/(J1372+L1372))</f>
        <v/>
      </c>
      <c r="P1372" s="11" t="n">
        <f aca="false">2*J1372/(2*J1372+L1372+K1372)</f>
        <v>0</v>
      </c>
      <c r="Q1372" s="11" t="n">
        <f aca="false">L1372/(L1372+M1372)</f>
        <v>0</v>
      </c>
      <c r="R1372" s="6" t="n">
        <v>1</v>
      </c>
      <c r="S1372" s="11" t="n">
        <v>0</v>
      </c>
      <c r="T1372" s="11" t="n">
        <v>0</v>
      </c>
      <c r="U1372" s="11" t="n">
        <v>0.85</v>
      </c>
      <c r="V1372" s="11" t="n">
        <v>0.8</v>
      </c>
    </row>
    <row r="1373" customFormat="false" ht="15" hidden="false" customHeight="false" outlineLevel="0" collapsed="false">
      <c r="A1373" s="6" t="s">
        <v>48</v>
      </c>
      <c r="B1373" s="6" t="s">
        <v>43</v>
      </c>
      <c r="C1373" s="6" t="s">
        <v>49</v>
      </c>
      <c r="D1373" s="6" t="s">
        <v>115</v>
      </c>
      <c r="E1373" s="6" t="n">
        <v>4</v>
      </c>
      <c r="F1373" s="6" t="n">
        <v>5</v>
      </c>
      <c r="G1373" s="6" t="s">
        <v>75</v>
      </c>
      <c r="H1373" s="11" t="n">
        <v>0.01</v>
      </c>
      <c r="I1373" s="6" t="n">
        <v>20</v>
      </c>
      <c r="J1373" s="6" t="n">
        <v>0</v>
      </c>
      <c r="K1373" s="6" t="n">
        <v>20</v>
      </c>
      <c r="L1373" s="6" t="n">
        <v>0</v>
      </c>
      <c r="M1373" s="6" t="n">
        <v>20</v>
      </c>
      <c r="N1373" s="11" t="n">
        <f aca="false">J1373/(J1373+K1373)</f>
        <v>0</v>
      </c>
      <c r="O1373" s="11" t="str">
        <f aca="false">IF(J1373+L1373=0,"",J1373/(J1373+L1373))</f>
        <v/>
      </c>
      <c r="P1373" s="11" t="n">
        <f aca="false">2*J1373/(2*J1373+L1373+K1373)</f>
        <v>0</v>
      </c>
      <c r="Q1373" s="11" t="n">
        <f aca="false">L1373/(L1373+M1373)</f>
        <v>0</v>
      </c>
      <c r="R1373" s="6" t="n">
        <v>0</v>
      </c>
      <c r="S1373" s="11"/>
      <c r="T1373" s="11" t="n">
        <v>0</v>
      </c>
      <c r="U1373" s="11" t="n">
        <v>0.9</v>
      </c>
      <c r="V1373" s="11" t="n">
        <v>0.9</v>
      </c>
    </row>
    <row r="1374" customFormat="false" ht="15" hidden="false" customHeight="false" outlineLevel="0" collapsed="false">
      <c r="A1374" s="6" t="s">
        <v>48</v>
      </c>
      <c r="B1374" s="6" t="s">
        <v>43</v>
      </c>
      <c r="C1374" s="6" t="s">
        <v>49</v>
      </c>
      <c r="D1374" s="6" t="s">
        <v>115</v>
      </c>
      <c r="E1374" s="6" t="n">
        <v>4</v>
      </c>
      <c r="F1374" s="6" t="n">
        <v>5</v>
      </c>
      <c r="G1374" s="6" t="s">
        <v>76</v>
      </c>
      <c r="H1374" s="11" t="n">
        <v>0.01</v>
      </c>
      <c r="I1374" s="6" t="n">
        <v>20</v>
      </c>
      <c r="J1374" s="6" t="n">
        <v>0</v>
      </c>
      <c r="K1374" s="6" t="n">
        <v>20</v>
      </c>
      <c r="L1374" s="6" t="n">
        <v>0</v>
      </c>
      <c r="M1374" s="6" t="n">
        <v>20</v>
      </c>
      <c r="N1374" s="11" t="n">
        <f aca="false">J1374/(J1374+K1374)</f>
        <v>0</v>
      </c>
      <c r="O1374" s="11" t="str">
        <f aca="false">IF(J1374+L1374=0,"",J1374/(J1374+L1374))</f>
        <v/>
      </c>
      <c r="P1374" s="11" t="n">
        <f aca="false">2*J1374/(2*J1374+L1374+K1374)</f>
        <v>0</v>
      </c>
      <c r="Q1374" s="11" t="n">
        <f aca="false">L1374/(L1374+M1374)</f>
        <v>0</v>
      </c>
      <c r="R1374" s="6" t="n">
        <v>0</v>
      </c>
      <c r="S1374" s="11"/>
      <c r="T1374" s="11" t="n">
        <v>0</v>
      </c>
      <c r="U1374" s="11" t="n">
        <v>0.95</v>
      </c>
      <c r="V1374" s="11" t="n">
        <v>0.95</v>
      </c>
    </row>
    <row r="1375" customFormat="false" ht="15" hidden="false" customHeight="false" outlineLevel="0" collapsed="false">
      <c r="A1375" s="6" t="s">
        <v>48</v>
      </c>
      <c r="B1375" s="6" t="s">
        <v>43</v>
      </c>
      <c r="C1375" s="6" t="s">
        <v>49</v>
      </c>
      <c r="D1375" s="6" t="s">
        <v>115</v>
      </c>
      <c r="E1375" s="6" t="n">
        <v>4</v>
      </c>
      <c r="F1375" s="6" t="n">
        <v>5</v>
      </c>
      <c r="G1375" s="6" t="s">
        <v>77</v>
      </c>
      <c r="H1375" s="11" t="n">
        <v>0.01</v>
      </c>
      <c r="I1375" s="6" t="n">
        <v>20</v>
      </c>
      <c r="J1375" s="6" t="n">
        <v>1</v>
      </c>
      <c r="K1375" s="6" t="n">
        <v>19</v>
      </c>
      <c r="L1375" s="6" t="n">
        <v>1</v>
      </c>
      <c r="M1375" s="6" t="n">
        <v>19</v>
      </c>
      <c r="N1375" s="11" t="n">
        <f aca="false">J1375/(J1375+K1375)</f>
        <v>0.05</v>
      </c>
      <c r="O1375" s="11" t="n">
        <f aca="false">IF(J1375+L1375=0,"",J1375/(J1375+L1375))</f>
        <v>0.5</v>
      </c>
      <c r="P1375" s="11" t="n">
        <f aca="false">2*J1375/(2*J1375+L1375+K1375)</f>
        <v>0.0909090909090909</v>
      </c>
      <c r="Q1375" s="11" t="n">
        <f aca="false">L1375/(L1375+M1375)</f>
        <v>0.05</v>
      </c>
      <c r="R1375" s="6" t="n">
        <v>0</v>
      </c>
      <c r="S1375" s="11"/>
      <c r="T1375" s="11" t="n">
        <v>0.05</v>
      </c>
      <c r="U1375" s="11" t="n">
        <v>1</v>
      </c>
      <c r="V1375" s="11" t="n">
        <v>1</v>
      </c>
    </row>
    <row r="1376" customFormat="false" ht="15" hidden="false" customHeight="false" outlineLevel="0" collapsed="false">
      <c r="A1376" s="6" t="s">
        <v>48</v>
      </c>
      <c r="B1376" s="6" t="s">
        <v>43</v>
      </c>
      <c r="C1376" s="6" t="s">
        <v>49</v>
      </c>
      <c r="D1376" s="6" t="s">
        <v>115</v>
      </c>
      <c r="E1376" s="6" t="n">
        <v>4</v>
      </c>
      <c r="F1376" s="6" t="n">
        <v>5</v>
      </c>
      <c r="G1376" s="6" t="s">
        <v>78</v>
      </c>
      <c r="H1376" s="11" t="n">
        <v>0.01</v>
      </c>
      <c r="I1376" s="6" t="n">
        <v>200</v>
      </c>
      <c r="J1376" s="6" t="n">
        <v>1</v>
      </c>
      <c r="K1376" s="6" t="n">
        <v>199</v>
      </c>
      <c r="L1376" s="6" t="n">
        <v>1</v>
      </c>
      <c r="M1376" s="6" t="n">
        <v>199</v>
      </c>
      <c r="N1376" s="11" t="n">
        <f aca="false">J1376/(J1376+K1376)</f>
        <v>0.005</v>
      </c>
      <c r="O1376" s="11" t="n">
        <f aca="false">IF(J1376+L1376=0,"",J1376/(J1376+L1376))</f>
        <v>0.5</v>
      </c>
      <c r="P1376" s="11" t="n">
        <f aca="false">2*J1376/(2*J1376+L1376+K1376)</f>
        <v>0.0099009900990099</v>
      </c>
      <c r="Q1376" s="11" t="n">
        <f aca="false">L1376/(L1376+M1376)</f>
        <v>0.005</v>
      </c>
      <c r="R1376" s="6" t="n">
        <v>3</v>
      </c>
      <c r="S1376" s="11" t="n">
        <v>0</v>
      </c>
      <c r="T1376" s="11" t="n">
        <v>0.0050761421319797</v>
      </c>
      <c r="U1376" s="11" t="n">
        <v>0.88</v>
      </c>
      <c r="V1376" s="11" t="n">
        <v>0.875</v>
      </c>
    </row>
    <row r="1377" customFormat="false" ht="15" hidden="false" customHeight="false" outlineLevel="0" collapsed="false">
      <c r="A1377" s="6" t="s">
        <v>48</v>
      </c>
      <c r="B1377" s="6" t="s">
        <v>43</v>
      </c>
      <c r="C1377" s="6" t="s">
        <v>49</v>
      </c>
      <c r="D1377" s="6" t="s">
        <v>115</v>
      </c>
      <c r="E1377" s="6" t="n">
        <v>4</v>
      </c>
      <c r="F1377" s="6" t="n">
        <v>6</v>
      </c>
      <c r="G1377" s="6" t="s">
        <v>68</v>
      </c>
      <c r="H1377" s="11" t="n">
        <v>0.01</v>
      </c>
      <c r="I1377" s="6" t="n">
        <v>20</v>
      </c>
      <c r="J1377" s="6" t="n">
        <v>0</v>
      </c>
      <c r="K1377" s="6" t="n">
        <v>20</v>
      </c>
      <c r="L1377" s="6" t="n">
        <v>0</v>
      </c>
      <c r="M1377" s="6" t="n">
        <v>20</v>
      </c>
      <c r="N1377" s="11" t="n">
        <f aca="false">J1377/(J1377+K1377)</f>
        <v>0</v>
      </c>
      <c r="O1377" s="11" t="str">
        <f aca="false">IF(J1377+L1377=0,"",J1377/(J1377+L1377))</f>
        <v/>
      </c>
      <c r="P1377" s="11" t="n">
        <f aca="false">2*J1377/(2*J1377+L1377+K1377)</f>
        <v>0</v>
      </c>
      <c r="Q1377" s="11" t="n">
        <f aca="false">L1377/(L1377+M1377)</f>
        <v>0</v>
      </c>
      <c r="R1377" s="6" t="n">
        <v>1</v>
      </c>
      <c r="S1377" s="11" t="n">
        <v>0</v>
      </c>
      <c r="T1377" s="11" t="n">
        <v>0</v>
      </c>
      <c r="U1377" s="11" t="n">
        <v>0.85</v>
      </c>
      <c r="V1377" s="11" t="n">
        <v>0.85</v>
      </c>
    </row>
    <row r="1378" customFormat="false" ht="15" hidden="false" customHeight="false" outlineLevel="0" collapsed="false">
      <c r="A1378" s="6" t="s">
        <v>48</v>
      </c>
      <c r="B1378" s="6" t="s">
        <v>43</v>
      </c>
      <c r="C1378" s="6" t="s">
        <v>49</v>
      </c>
      <c r="D1378" s="6" t="s">
        <v>115</v>
      </c>
      <c r="E1378" s="6" t="n">
        <v>4</v>
      </c>
      <c r="F1378" s="6" t="n">
        <v>6</v>
      </c>
      <c r="G1378" s="6" t="s">
        <v>69</v>
      </c>
      <c r="H1378" s="11" t="n">
        <v>0.01</v>
      </c>
      <c r="I1378" s="6" t="n">
        <v>20</v>
      </c>
      <c r="J1378" s="6" t="n">
        <v>0</v>
      </c>
      <c r="K1378" s="6" t="n">
        <v>20</v>
      </c>
      <c r="L1378" s="6" t="n">
        <v>0</v>
      </c>
      <c r="M1378" s="6" t="n">
        <v>20</v>
      </c>
      <c r="N1378" s="11" t="n">
        <f aca="false">J1378/(J1378+K1378)</f>
        <v>0</v>
      </c>
      <c r="O1378" s="11" t="str">
        <f aca="false">IF(J1378+L1378=0,"",J1378/(J1378+L1378))</f>
        <v/>
      </c>
      <c r="P1378" s="11" t="n">
        <f aca="false">2*J1378/(2*J1378+L1378+K1378)</f>
        <v>0</v>
      </c>
      <c r="Q1378" s="11" t="n">
        <f aca="false">L1378/(L1378+M1378)</f>
        <v>0</v>
      </c>
      <c r="R1378" s="6" t="n">
        <v>0</v>
      </c>
      <c r="S1378" s="11"/>
      <c r="T1378" s="11" t="n">
        <v>0</v>
      </c>
      <c r="U1378" s="11" t="n">
        <v>1</v>
      </c>
      <c r="V1378" s="11" t="n">
        <v>1</v>
      </c>
    </row>
    <row r="1379" customFormat="false" ht="15" hidden="false" customHeight="false" outlineLevel="0" collapsed="false">
      <c r="A1379" s="6" t="s">
        <v>48</v>
      </c>
      <c r="B1379" s="6" t="s">
        <v>43</v>
      </c>
      <c r="C1379" s="6" t="s">
        <v>49</v>
      </c>
      <c r="D1379" s="6" t="s">
        <v>115</v>
      </c>
      <c r="E1379" s="6" t="n">
        <v>4</v>
      </c>
      <c r="F1379" s="6" t="n">
        <v>6</v>
      </c>
      <c r="G1379" s="6" t="s">
        <v>70</v>
      </c>
      <c r="H1379" s="11" t="n">
        <v>0.01</v>
      </c>
      <c r="I1379" s="6" t="n">
        <v>20</v>
      </c>
      <c r="J1379" s="6" t="n">
        <v>0</v>
      </c>
      <c r="K1379" s="6" t="n">
        <v>20</v>
      </c>
      <c r="L1379" s="6" t="n">
        <v>0</v>
      </c>
      <c r="M1379" s="6" t="n">
        <v>20</v>
      </c>
      <c r="N1379" s="11" t="n">
        <f aca="false">J1379/(J1379+K1379)</f>
        <v>0</v>
      </c>
      <c r="O1379" s="11" t="str">
        <f aca="false">IF(J1379+L1379=0,"",J1379/(J1379+L1379))</f>
        <v/>
      </c>
      <c r="P1379" s="11" t="n">
        <f aca="false">2*J1379/(2*J1379+L1379+K1379)</f>
        <v>0</v>
      </c>
      <c r="Q1379" s="11" t="n">
        <f aca="false">L1379/(L1379+M1379)</f>
        <v>0</v>
      </c>
      <c r="R1379" s="6" t="n">
        <v>0</v>
      </c>
      <c r="S1379" s="11"/>
      <c r="T1379" s="11" t="n">
        <v>0</v>
      </c>
      <c r="U1379" s="11" t="n">
        <v>0.9</v>
      </c>
      <c r="V1379" s="11" t="n">
        <v>0.9</v>
      </c>
    </row>
    <row r="1380" customFormat="false" ht="15" hidden="false" customHeight="false" outlineLevel="0" collapsed="false">
      <c r="A1380" s="6" t="s">
        <v>48</v>
      </c>
      <c r="B1380" s="6" t="s">
        <v>43</v>
      </c>
      <c r="C1380" s="6" t="s">
        <v>49</v>
      </c>
      <c r="D1380" s="6" t="s">
        <v>115</v>
      </c>
      <c r="E1380" s="6" t="n">
        <v>4</v>
      </c>
      <c r="F1380" s="6" t="n">
        <v>6</v>
      </c>
      <c r="G1380" s="6" t="s">
        <v>71</v>
      </c>
      <c r="H1380" s="11" t="n">
        <v>0.01</v>
      </c>
      <c r="I1380" s="6" t="n">
        <v>20</v>
      </c>
      <c r="J1380" s="6" t="n">
        <v>0</v>
      </c>
      <c r="K1380" s="6" t="n">
        <v>20</v>
      </c>
      <c r="L1380" s="6" t="n">
        <v>0</v>
      </c>
      <c r="M1380" s="6" t="n">
        <v>20</v>
      </c>
      <c r="N1380" s="11" t="n">
        <f aca="false">J1380/(J1380+K1380)</f>
        <v>0</v>
      </c>
      <c r="O1380" s="11" t="str">
        <f aca="false">IF(J1380+L1380=0,"",J1380/(J1380+L1380))</f>
        <v/>
      </c>
      <c r="P1380" s="11" t="n">
        <f aca="false">2*J1380/(2*J1380+L1380+K1380)</f>
        <v>0</v>
      </c>
      <c r="Q1380" s="11" t="n">
        <f aca="false">L1380/(L1380+M1380)</f>
        <v>0</v>
      </c>
      <c r="R1380" s="6" t="n">
        <v>0</v>
      </c>
      <c r="S1380" s="11"/>
      <c r="T1380" s="11" t="n">
        <v>0</v>
      </c>
      <c r="U1380" s="11" t="n">
        <v>0.8</v>
      </c>
      <c r="V1380" s="11" t="n">
        <v>0.8</v>
      </c>
    </row>
    <row r="1381" customFormat="false" ht="15" hidden="false" customHeight="false" outlineLevel="0" collapsed="false">
      <c r="A1381" s="6" t="s">
        <v>48</v>
      </c>
      <c r="B1381" s="6" t="s">
        <v>43</v>
      </c>
      <c r="C1381" s="6" t="s">
        <v>49</v>
      </c>
      <c r="D1381" s="6" t="s">
        <v>115</v>
      </c>
      <c r="E1381" s="6" t="n">
        <v>4</v>
      </c>
      <c r="F1381" s="6" t="n">
        <v>6</v>
      </c>
      <c r="G1381" s="6" t="s">
        <v>72</v>
      </c>
      <c r="H1381" s="11" t="n">
        <v>0.01</v>
      </c>
      <c r="I1381" s="6" t="n">
        <v>20</v>
      </c>
      <c r="J1381" s="6" t="n">
        <v>0</v>
      </c>
      <c r="K1381" s="6" t="n">
        <v>20</v>
      </c>
      <c r="L1381" s="6" t="n">
        <v>0</v>
      </c>
      <c r="M1381" s="6" t="n">
        <v>20</v>
      </c>
      <c r="N1381" s="11" t="n">
        <f aca="false">J1381/(J1381+K1381)</f>
        <v>0</v>
      </c>
      <c r="O1381" s="11" t="str">
        <f aca="false">IF(J1381+L1381=0,"",J1381/(J1381+L1381))</f>
        <v/>
      </c>
      <c r="P1381" s="11" t="n">
        <f aca="false">2*J1381/(2*J1381+L1381+K1381)</f>
        <v>0</v>
      </c>
      <c r="Q1381" s="11" t="n">
        <f aca="false">L1381/(L1381+M1381)</f>
        <v>0</v>
      </c>
      <c r="R1381" s="6" t="n">
        <v>0</v>
      </c>
      <c r="S1381" s="11"/>
      <c r="T1381" s="11" t="n">
        <v>0</v>
      </c>
      <c r="U1381" s="11" t="n">
        <v>0.9</v>
      </c>
      <c r="V1381" s="11" t="n">
        <v>0.9</v>
      </c>
    </row>
    <row r="1382" customFormat="false" ht="15" hidden="false" customHeight="false" outlineLevel="0" collapsed="false">
      <c r="A1382" s="6" t="s">
        <v>48</v>
      </c>
      <c r="B1382" s="6" t="s">
        <v>43</v>
      </c>
      <c r="C1382" s="6" t="s">
        <v>49</v>
      </c>
      <c r="D1382" s="6" t="s">
        <v>115</v>
      </c>
      <c r="E1382" s="6" t="n">
        <v>4</v>
      </c>
      <c r="F1382" s="6" t="n">
        <v>6</v>
      </c>
      <c r="G1382" s="6" t="s">
        <v>73</v>
      </c>
      <c r="H1382" s="11" t="n">
        <v>0.01</v>
      </c>
      <c r="I1382" s="6" t="n">
        <v>20</v>
      </c>
      <c r="J1382" s="6" t="n">
        <v>0</v>
      </c>
      <c r="K1382" s="6" t="n">
        <v>20</v>
      </c>
      <c r="L1382" s="6" t="n">
        <v>0</v>
      </c>
      <c r="M1382" s="6" t="n">
        <v>20</v>
      </c>
      <c r="N1382" s="11" t="n">
        <f aca="false">J1382/(J1382+K1382)</f>
        <v>0</v>
      </c>
      <c r="O1382" s="11" t="str">
        <f aca="false">IF(J1382+L1382=0,"",J1382/(J1382+L1382))</f>
        <v/>
      </c>
      <c r="P1382" s="11" t="n">
        <f aca="false">2*J1382/(2*J1382+L1382+K1382)</f>
        <v>0</v>
      </c>
      <c r="Q1382" s="11" t="n">
        <f aca="false">L1382/(L1382+M1382)</f>
        <v>0</v>
      </c>
      <c r="R1382" s="6" t="n">
        <v>1</v>
      </c>
      <c r="S1382" s="11" t="n">
        <v>0</v>
      </c>
      <c r="T1382" s="11" t="n">
        <v>0</v>
      </c>
      <c r="U1382" s="11" t="n">
        <v>0.65</v>
      </c>
      <c r="V1382" s="11" t="n">
        <v>0.65</v>
      </c>
    </row>
    <row r="1383" customFormat="false" ht="15" hidden="false" customHeight="false" outlineLevel="0" collapsed="false">
      <c r="A1383" s="6" t="s">
        <v>48</v>
      </c>
      <c r="B1383" s="6" t="s">
        <v>43</v>
      </c>
      <c r="C1383" s="6" t="s">
        <v>49</v>
      </c>
      <c r="D1383" s="6" t="s">
        <v>115</v>
      </c>
      <c r="E1383" s="6" t="n">
        <v>4</v>
      </c>
      <c r="F1383" s="6" t="n">
        <v>6</v>
      </c>
      <c r="G1383" s="6" t="s">
        <v>74</v>
      </c>
      <c r="H1383" s="11" t="n">
        <v>0.01</v>
      </c>
      <c r="I1383" s="6" t="n">
        <v>20</v>
      </c>
      <c r="J1383" s="6" t="n">
        <v>0</v>
      </c>
      <c r="K1383" s="6" t="n">
        <v>20</v>
      </c>
      <c r="L1383" s="6" t="n">
        <v>0</v>
      </c>
      <c r="M1383" s="6" t="n">
        <v>20</v>
      </c>
      <c r="N1383" s="11" t="n">
        <f aca="false">J1383/(J1383+K1383)</f>
        <v>0</v>
      </c>
      <c r="O1383" s="11" t="str">
        <f aca="false">IF(J1383+L1383=0,"",J1383/(J1383+L1383))</f>
        <v/>
      </c>
      <c r="P1383" s="11" t="n">
        <f aca="false">2*J1383/(2*J1383+L1383+K1383)</f>
        <v>0</v>
      </c>
      <c r="Q1383" s="11" t="n">
        <f aca="false">L1383/(L1383+M1383)</f>
        <v>0</v>
      </c>
      <c r="R1383" s="6" t="n">
        <v>1</v>
      </c>
      <c r="S1383" s="11" t="n">
        <v>0</v>
      </c>
      <c r="T1383" s="11" t="n">
        <v>0</v>
      </c>
      <c r="U1383" s="11" t="n">
        <v>0.85</v>
      </c>
      <c r="V1383" s="11" t="n">
        <v>0.85</v>
      </c>
    </row>
    <row r="1384" customFormat="false" ht="15" hidden="false" customHeight="false" outlineLevel="0" collapsed="false">
      <c r="A1384" s="6" t="s">
        <v>48</v>
      </c>
      <c r="B1384" s="6" t="s">
        <v>43</v>
      </c>
      <c r="C1384" s="6" t="s">
        <v>49</v>
      </c>
      <c r="D1384" s="6" t="s">
        <v>115</v>
      </c>
      <c r="E1384" s="6" t="n">
        <v>4</v>
      </c>
      <c r="F1384" s="6" t="n">
        <v>6</v>
      </c>
      <c r="G1384" s="6" t="s">
        <v>75</v>
      </c>
      <c r="H1384" s="11" t="n">
        <v>0.01</v>
      </c>
      <c r="I1384" s="6" t="n">
        <v>20</v>
      </c>
      <c r="J1384" s="6" t="n">
        <v>0</v>
      </c>
      <c r="K1384" s="6" t="n">
        <v>20</v>
      </c>
      <c r="L1384" s="6" t="n">
        <v>0</v>
      </c>
      <c r="M1384" s="6" t="n">
        <v>20</v>
      </c>
      <c r="N1384" s="11" t="n">
        <f aca="false">J1384/(J1384+K1384)</f>
        <v>0</v>
      </c>
      <c r="O1384" s="11" t="str">
        <f aca="false">IF(J1384+L1384=0,"",J1384/(J1384+L1384))</f>
        <v/>
      </c>
      <c r="P1384" s="11" t="n">
        <f aca="false">2*J1384/(2*J1384+L1384+K1384)</f>
        <v>0</v>
      </c>
      <c r="Q1384" s="11" t="n">
        <f aca="false">L1384/(L1384+M1384)</f>
        <v>0</v>
      </c>
      <c r="R1384" s="6" t="n">
        <v>1</v>
      </c>
      <c r="S1384" s="11" t="n">
        <v>0</v>
      </c>
      <c r="T1384" s="11" t="n">
        <v>0</v>
      </c>
      <c r="U1384" s="11" t="n">
        <v>0.9</v>
      </c>
      <c r="V1384" s="11" t="n">
        <v>0.95</v>
      </c>
    </row>
    <row r="1385" customFormat="false" ht="15" hidden="false" customHeight="false" outlineLevel="0" collapsed="false">
      <c r="A1385" s="6" t="s">
        <v>48</v>
      </c>
      <c r="B1385" s="6" t="s">
        <v>43</v>
      </c>
      <c r="C1385" s="6" t="s">
        <v>49</v>
      </c>
      <c r="D1385" s="6" t="s">
        <v>115</v>
      </c>
      <c r="E1385" s="6" t="n">
        <v>4</v>
      </c>
      <c r="F1385" s="6" t="n">
        <v>6</v>
      </c>
      <c r="G1385" s="6" t="s">
        <v>76</v>
      </c>
      <c r="H1385" s="11" t="n">
        <v>0.01</v>
      </c>
      <c r="I1385" s="6" t="n">
        <v>20</v>
      </c>
      <c r="J1385" s="6" t="n">
        <v>0</v>
      </c>
      <c r="K1385" s="6" t="n">
        <v>20</v>
      </c>
      <c r="L1385" s="6" t="n">
        <v>0</v>
      </c>
      <c r="M1385" s="6" t="n">
        <v>20</v>
      </c>
      <c r="N1385" s="11" t="n">
        <f aca="false">J1385/(J1385+K1385)</f>
        <v>0</v>
      </c>
      <c r="O1385" s="11" t="str">
        <f aca="false">IF(J1385+L1385=0,"",J1385/(J1385+L1385))</f>
        <v/>
      </c>
      <c r="P1385" s="11" t="n">
        <f aca="false">2*J1385/(2*J1385+L1385+K1385)</f>
        <v>0</v>
      </c>
      <c r="Q1385" s="11" t="n">
        <f aca="false">L1385/(L1385+M1385)</f>
        <v>0</v>
      </c>
      <c r="R1385" s="6" t="n">
        <v>0</v>
      </c>
      <c r="S1385" s="11"/>
      <c r="T1385" s="11" t="n">
        <v>0</v>
      </c>
      <c r="U1385" s="11" t="n">
        <v>0.95</v>
      </c>
      <c r="V1385" s="11" t="n">
        <v>0.95</v>
      </c>
    </row>
    <row r="1386" customFormat="false" ht="15" hidden="false" customHeight="false" outlineLevel="0" collapsed="false">
      <c r="A1386" s="6" t="s">
        <v>48</v>
      </c>
      <c r="B1386" s="6" t="s">
        <v>43</v>
      </c>
      <c r="C1386" s="6" t="s">
        <v>49</v>
      </c>
      <c r="D1386" s="6" t="s">
        <v>115</v>
      </c>
      <c r="E1386" s="6" t="n">
        <v>4</v>
      </c>
      <c r="F1386" s="6" t="n">
        <v>6</v>
      </c>
      <c r="G1386" s="6" t="s">
        <v>77</v>
      </c>
      <c r="H1386" s="11" t="n">
        <v>0.01</v>
      </c>
      <c r="I1386" s="6" t="n">
        <v>20</v>
      </c>
      <c r="J1386" s="6" t="n">
        <v>1</v>
      </c>
      <c r="K1386" s="6" t="n">
        <v>19</v>
      </c>
      <c r="L1386" s="6" t="n">
        <v>1</v>
      </c>
      <c r="M1386" s="6" t="n">
        <v>19</v>
      </c>
      <c r="N1386" s="11" t="n">
        <f aca="false">J1386/(J1386+K1386)</f>
        <v>0.05</v>
      </c>
      <c r="O1386" s="11" t="n">
        <f aca="false">IF(J1386+L1386=0,"",J1386/(J1386+L1386))</f>
        <v>0.5</v>
      </c>
      <c r="P1386" s="11" t="n">
        <f aca="false">2*J1386/(2*J1386+L1386+K1386)</f>
        <v>0.0909090909090909</v>
      </c>
      <c r="Q1386" s="11" t="n">
        <f aca="false">L1386/(L1386+M1386)</f>
        <v>0.05</v>
      </c>
      <c r="R1386" s="6" t="n">
        <v>0</v>
      </c>
      <c r="S1386" s="11"/>
      <c r="T1386" s="11" t="n">
        <v>0.05</v>
      </c>
      <c r="U1386" s="11" t="n">
        <v>1</v>
      </c>
      <c r="V1386" s="11" t="n">
        <v>1</v>
      </c>
    </row>
    <row r="1387" customFormat="false" ht="15" hidden="false" customHeight="false" outlineLevel="0" collapsed="false">
      <c r="A1387" s="6" t="s">
        <v>48</v>
      </c>
      <c r="B1387" s="6" t="s">
        <v>43</v>
      </c>
      <c r="C1387" s="6" t="s">
        <v>49</v>
      </c>
      <c r="D1387" s="6" t="s">
        <v>115</v>
      </c>
      <c r="E1387" s="6" t="n">
        <v>4</v>
      </c>
      <c r="F1387" s="6" t="n">
        <v>6</v>
      </c>
      <c r="G1387" s="6" t="s">
        <v>78</v>
      </c>
      <c r="H1387" s="11" t="n">
        <v>0.01</v>
      </c>
      <c r="I1387" s="6" t="n">
        <v>200</v>
      </c>
      <c r="J1387" s="6" t="n">
        <v>1</v>
      </c>
      <c r="K1387" s="6" t="n">
        <v>199</v>
      </c>
      <c r="L1387" s="6" t="n">
        <v>1</v>
      </c>
      <c r="M1387" s="6" t="n">
        <v>199</v>
      </c>
      <c r="N1387" s="11" t="n">
        <f aca="false">J1387/(J1387+K1387)</f>
        <v>0.005</v>
      </c>
      <c r="O1387" s="11" t="n">
        <f aca="false">IF(J1387+L1387=0,"",J1387/(J1387+L1387))</f>
        <v>0.5</v>
      </c>
      <c r="P1387" s="11" t="n">
        <f aca="false">2*J1387/(2*J1387+L1387+K1387)</f>
        <v>0.0099009900990099</v>
      </c>
      <c r="Q1387" s="11" t="n">
        <f aca="false">L1387/(L1387+M1387)</f>
        <v>0.005</v>
      </c>
      <c r="R1387" s="6" t="n">
        <v>4</v>
      </c>
      <c r="S1387" s="11" t="n">
        <v>0</v>
      </c>
      <c r="T1387" s="11" t="n">
        <v>0.00510204081632653</v>
      </c>
      <c r="U1387" s="11" t="n">
        <v>0.88</v>
      </c>
      <c r="V1387" s="11" t="n">
        <v>0.885</v>
      </c>
    </row>
    <row r="1388" customFormat="false" ht="15" hidden="false" customHeight="false" outlineLevel="0" collapsed="false">
      <c r="A1388" s="6" t="s">
        <v>48</v>
      </c>
      <c r="B1388" s="6" t="s">
        <v>43</v>
      </c>
      <c r="C1388" s="6" t="s">
        <v>49</v>
      </c>
      <c r="D1388" s="6" t="s">
        <v>115</v>
      </c>
      <c r="E1388" s="6" t="n">
        <v>4</v>
      </c>
      <c r="F1388" s="6" t="n">
        <v>7</v>
      </c>
      <c r="G1388" s="6" t="s">
        <v>68</v>
      </c>
      <c r="H1388" s="11" t="n">
        <v>0.01</v>
      </c>
      <c r="I1388" s="6" t="n">
        <v>20</v>
      </c>
      <c r="J1388" s="6" t="n">
        <v>20</v>
      </c>
      <c r="K1388" s="6" t="n">
        <v>0</v>
      </c>
      <c r="L1388" s="6" t="n">
        <v>0</v>
      </c>
      <c r="M1388" s="6" t="n">
        <v>20</v>
      </c>
      <c r="N1388" s="11" t="n">
        <f aca="false">J1388/(J1388+K1388)</f>
        <v>1</v>
      </c>
      <c r="O1388" s="11" t="n">
        <f aca="false">IF(J1388+L1388=0,"",J1388/(J1388+L1388))</f>
        <v>1</v>
      </c>
      <c r="P1388" s="11" t="n">
        <f aca="false">2*J1388/(2*J1388+L1388+K1388)</f>
        <v>1</v>
      </c>
      <c r="Q1388" s="11" t="n">
        <f aca="false">L1388/(L1388+M1388)</f>
        <v>0</v>
      </c>
      <c r="R1388" s="6" t="n">
        <v>13</v>
      </c>
      <c r="S1388" s="11" t="n">
        <v>1</v>
      </c>
      <c r="T1388" s="11" t="n">
        <v>1</v>
      </c>
      <c r="U1388" s="11" t="n">
        <v>0.85</v>
      </c>
      <c r="V1388" s="11" t="n">
        <v>0.4</v>
      </c>
    </row>
    <row r="1389" customFormat="false" ht="15" hidden="false" customHeight="false" outlineLevel="0" collapsed="false">
      <c r="A1389" s="6" t="s">
        <v>48</v>
      </c>
      <c r="B1389" s="6" t="s">
        <v>43</v>
      </c>
      <c r="C1389" s="6" t="s">
        <v>49</v>
      </c>
      <c r="D1389" s="6" t="s">
        <v>115</v>
      </c>
      <c r="E1389" s="6" t="n">
        <v>4</v>
      </c>
      <c r="F1389" s="6" t="n">
        <v>7</v>
      </c>
      <c r="G1389" s="6" t="s">
        <v>69</v>
      </c>
      <c r="H1389" s="11" t="n">
        <v>0.01</v>
      </c>
      <c r="I1389" s="6" t="n">
        <v>20</v>
      </c>
      <c r="J1389" s="6" t="n">
        <v>20</v>
      </c>
      <c r="K1389" s="6" t="n">
        <v>0</v>
      </c>
      <c r="L1389" s="6" t="n">
        <v>0</v>
      </c>
      <c r="M1389" s="6" t="n">
        <v>20</v>
      </c>
      <c r="N1389" s="11" t="n">
        <f aca="false">J1389/(J1389+K1389)</f>
        <v>1</v>
      </c>
      <c r="O1389" s="11" t="n">
        <f aca="false">IF(J1389+L1389=0,"",J1389/(J1389+L1389))</f>
        <v>1</v>
      </c>
      <c r="P1389" s="11" t="n">
        <f aca="false">2*J1389/(2*J1389+L1389+K1389)</f>
        <v>1</v>
      </c>
      <c r="Q1389" s="11" t="n">
        <f aca="false">L1389/(L1389+M1389)</f>
        <v>0</v>
      </c>
      <c r="R1389" s="6" t="n">
        <v>20</v>
      </c>
      <c r="S1389" s="11" t="n">
        <v>1</v>
      </c>
      <c r="T1389" s="11"/>
      <c r="U1389" s="11" t="n">
        <v>1</v>
      </c>
      <c r="V1389" s="11" t="n">
        <v>0</v>
      </c>
    </row>
    <row r="1390" customFormat="false" ht="15" hidden="false" customHeight="false" outlineLevel="0" collapsed="false">
      <c r="A1390" s="6" t="s">
        <v>48</v>
      </c>
      <c r="B1390" s="6" t="s">
        <v>43</v>
      </c>
      <c r="C1390" s="6" t="s">
        <v>49</v>
      </c>
      <c r="D1390" s="6" t="s">
        <v>115</v>
      </c>
      <c r="E1390" s="6" t="n">
        <v>4</v>
      </c>
      <c r="F1390" s="6" t="n">
        <v>7</v>
      </c>
      <c r="G1390" s="6" t="s">
        <v>70</v>
      </c>
      <c r="H1390" s="11" t="n">
        <v>0.01</v>
      </c>
      <c r="I1390" s="6" t="n">
        <v>20</v>
      </c>
      <c r="J1390" s="6" t="n">
        <v>20</v>
      </c>
      <c r="K1390" s="6" t="n">
        <v>0</v>
      </c>
      <c r="L1390" s="6" t="n">
        <v>0</v>
      </c>
      <c r="M1390" s="6" t="n">
        <v>20</v>
      </c>
      <c r="N1390" s="11" t="n">
        <f aca="false">J1390/(J1390+K1390)</f>
        <v>1</v>
      </c>
      <c r="O1390" s="11" t="n">
        <f aca="false">IF(J1390+L1390=0,"",J1390/(J1390+L1390))</f>
        <v>1</v>
      </c>
      <c r="P1390" s="11" t="n">
        <f aca="false">2*J1390/(2*J1390+L1390+K1390)</f>
        <v>1</v>
      </c>
      <c r="Q1390" s="11" t="n">
        <f aca="false">L1390/(L1390+M1390)</f>
        <v>0</v>
      </c>
      <c r="R1390" s="6" t="n">
        <v>7</v>
      </c>
      <c r="S1390" s="11" t="n">
        <v>1</v>
      </c>
      <c r="T1390" s="11" t="n">
        <v>1</v>
      </c>
      <c r="U1390" s="11" t="n">
        <v>0.9</v>
      </c>
      <c r="V1390" s="11" t="n">
        <v>0.75</v>
      </c>
    </row>
    <row r="1391" customFormat="false" ht="15" hidden="false" customHeight="false" outlineLevel="0" collapsed="false">
      <c r="A1391" s="6" t="s">
        <v>48</v>
      </c>
      <c r="B1391" s="6" t="s">
        <v>43</v>
      </c>
      <c r="C1391" s="6" t="s">
        <v>49</v>
      </c>
      <c r="D1391" s="6" t="s">
        <v>115</v>
      </c>
      <c r="E1391" s="6" t="n">
        <v>4</v>
      </c>
      <c r="F1391" s="6" t="n">
        <v>7</v>
      </c>
      <c r="G1391" s="6" t="s">
        <v>71</v>
      </c>
      <c r="H1391" s="11" t="n">
        <v>0.01</v>
      </c>
      <c r="I1391" s="6" t="n">
        <v>20</v>
      </c>
      <c r="J1391" s="6" t="n">
        <v>20</v>
      </c>
      <c r="K1391" s="6" t="n">
        <v>0</v>
      </c>
      <c r="L1391" s="6" t="n">
        <v>0</v>
      </c>
      <c r="M1391" s="6" t="n">
        <v>20</v>
      </c>
      <c r="N1391" s="11" t="n">
        <f aca="false">J1391/(J1391+K1391)</f>
        <v>1</v>
      </c>
      <c r="O1391" s="11" t="n">
        <f aca="false">IF(J1391+L1391=0,"",J1391/(J1391+L1391))</f>
        <v>1</v>
      </c>
      <c r="P1391" s="11" t="n">
        <f aca="false">2*J1391/(2*J1391+L1391+K1391)</f>
        <v>1</v>
      </c>
      <c r="Q1391" s="11" t="n">
        <f aca="false">L1391/(L1391+M1391)</f>
        <v>0</v>
      </c>
      <c r="R1391" s="6" t="n">
        <v>18</v>
      </c>
      <c r="S1391" s="11" t="n">
        <v>1</v>
      </c>
      <c r="T1391" s="11" t="n">
        <v>1</v>
      </c>
      <c r="U1391" s="11" t="n">
        <v>0.8</v>
      </c>
      <c r="V1391" s="11" t="n">
        <v>0</v>
      </c>
    </row>
    <row r="1392" customFormat="false" ht="15" hidden="false" customHeight="false" outlineLevel="0" collapsed="false">
      <c r="A1392" s="6" t="s">
        <v>48</v>
      </c>
      <c r="B1392" s="6" t="s">
        <v>43</v>
      </c>
      <c r="C1392" s="6" t="s">
        <v>49</v>
      </c>
      <c r="D1392" s="6" t="s">
        <v>115</v>
      </c>
      <c r="E1392" s="6" t="n">
        <v>4</v>
      </c>
      <c r="F1392" s="6" t="n">
        <v>7</v>
      </c>
      <c r="G1392" s="6" t="s">
        <v>72</v>
      </c>
      <c r="H1392" s="11" t="n">
        <v>0.01</v>
      </c>
      <c r="I1392" s="6" t="n">
        <v>20</v>
      </c>
      <c r="J1392" s="6" t="n">
        <v>20</v>
      </c>
      <c r="K1392" s="6" t="n">
        <v>0</v>
      </c>
      <c r="L1392" s="6" t="n">
        <v>0</v>
      </c>
      <c r="M1392" s="6" t="n">
        <v>20</v>
      </c>
      <c r="N1392" s="11" t="n">
        <f aca="false">J1392/(J1392+K1392)</f>
        <v>1</v>
      </c>
      <c r="O1392" s="11" t="n">
        <f aca="false">IF(J1392+L1392=0,"",J1392/(J1392+L1392))</f>
        <v>1</v>
      </c>
      <c r="P1392" s="11" t="n">
        <f aca="false">2*J1392/(2*J1392+L1392+K1392)</f>
        <v>1</v>
      </c>
      <c r="Q1392" s="11" t="n">
        <f aca="false">L1392/(L1392+M1392)</f>
        <v>0</v>
      </c>
      <c r="R1392" s="6" t="n">
        <v>19</v>
      </c>
      <c r="S1392" s="11" t="n">
        <v>1</v>
      </c>
      <c r="T1392" s="11" t="n">
        <v>1</v>
      </c>
      <c r="U1392" s="11" t="n">
        <v>0.9</v>
      </c>
      <c r="V1392" s="11" t="n">
        <v>0</v>
      </c>
    </row>
    <row r="1393" customFormat="false" ht="15" hidden="false" customHeight="false" outlineLevel="0" collapsed="false">
      <c r="A1393" s="6" t="s">
        <v>48</v>
      </c>
      <c r="B1393" s="6" t="s">
        <v>43</v>
      </c>
      <c r="C1393" s="6" t="s">
        <v>49</v>
      </c>
      <c r="D1393" s="6" t="s">
        <v>115</v>
      </c>
      <c r="E1393" s="6" t="n">
        <v>4</v>
      </c>
      <c r="F1393" s="6" t="n">
        <v>7</v>
      </c>
      <c r="G1393" s="6" t="s">
        <v>73</v>
      </c>
      <c r="H1393" s="11" t="n">
        <v>0.01</v>
      </c>
      <c r="I1393" s="6" t="n">
        <v>20</v>
      </c>
      <c r="J1393" s="6" t="n">
        <v>20</v>
      </c>
      <c r="K1393" s="6" t="n">
        <v>0</v>
      </c>
      <c r="L1393" s="6" t="n">
        <v>0</v>
      </c>
      <c r="M1393" s="6" t="n">
        <v>20</v>
      </c>
      <c r="N1393" s="11" t="n">
        <f aca="false">J1393/(J1393+K1393)</f>
        <v>1</v>
      </c>
      <c r="O1393" s="11" t="n">
        <f aca="false">IF(J1393+L1393=0,"",J1393/(J1393+L1393))</f>
        <v>1</v>
      </c>
      <c r="P1393" s="11" t="n">
        <f aca="false">2*J1393/(2*J1393+L1393+K1393)</f>
        <v>1</v>
      </c>
      <c r="Q1393" s="11" t="n">
        <f aca="false">L1393/(L1393+M1393)</f>
        <v>0</v>
      </c>
      <c r="R1393" s="6" t="n">
        <v>19</v>
      </c>
      <c r="S1393" s="11" t="n">
        <v>1</v>
      </c>
      <c r="T1393" s="11" t="n">
        <v>1</v>
      </c>
      <c r="U1393" s="11" t="n">
        <v>0.65</v>
      </c>
      <c r="V1393" s="11" t="n">
        <v>0</v>
      </c>
    </row>
    <row r="1394" customFormat="false" ht="15" hidden="false" customHeight="false" outlineLevel="0" collapsed="false">
      <c r="A1394" s="6" t="s">
        <v>48</v>
      </c>
      <c r="B1394" s="6" t="s">
        <v>43</v>
      </c>
      <c r="C1394" s="6" t="s">
        <v>49</v>
      </c>
      <c r="D1394" s="6" t="s">
        <v>115</v>
      </c>
      <c r="E1394" s="6" t="n">
        <v>4</v>
      </c>
      <c r="F1394" s="6" t="n">
        <v>7</v>
      </c>
      <c r="G1394" s="6" t="s">
        <v>74</v>
      </c>
      <c r="H1394" s="11" t="n">
        <v>0.01</v>
      </c>
      <c r="I1394" s="6" t="n">
        <v>20</v>
      </c>
      <c r="J1394" s="6" t="n">
        <v>20</v>
      </c>
      <c r="K1394" s="6" t="n">
        <v>0</v>
      </c>
      <c r="L1394" s="6" t="n">
        <v>0</v>
      </c>
      <c r="M1394" s="6" t="n">
        <v>20</v>
      </c>
      <c r="N1394" s="11" t="n">
        <f aca="false">J1394/(J1394+K1394)</f>
        <v>1</v>
      </c>
      <c r="O1394" s="11" t="n">
        <f aca="false">IF(J1394+L1394=0,"",J1394/(J1394+L1394))</f>
        <v>1</v>
      </c>
      <c r="P1394" s="11" t="n">
        <f aca="false">2*J1394/(2*J1394+L1394+K1394)</f>
        <v>1</v>
      </c>
      <c r="Q1394" s="11" t="n">
        <f aca="false">L1394/(L1394+M1394)</f>
        <v>0</v>
      </c>
      <c r="R1394" s="6" t="n">
        <v>17</v>
      </c>
      <c r="S1394" s="11" t="n">
        <v>1</v>
      </c>
      <c r="T1394" s="11" t="n">
        <v>1</v>
      </c>
      <c r="U1394" s="11" t="n">
        <v>0.85</v>
      </c>
      <c r="V1394" s="11" t="n">
        <v>0</v>
      </c>
    </row>
    <row r="1395" customFormat="false" ht="15" hidden="false" customHeight="false" outlineLevel="0" collapsed="false">
      <c r="A1395" s="6" t="s">
        <v>48</v>
      </c>
      <c r="B1395" s="6" t="s">
        <v>43</v>
      </c>
      <c r="C1395" s="6" t="s">
        <v>49</v>
      </c>
      <c r="D1395" s="6" t="s">
        <v>115</v>
      </c>
      <c r="E1395" s="6" t="n">
        <v>4</v>
      </c>
      <c r="F1395" s="6" t="n">
        <v>7</v>
      </c>
      <c r="G1395" s="6" t="s">
        <v>75</v>
      </c>
      <c r="H1395" s="11" t="n">
        <v>0.01</v>
      </c>
      <c r="I1395" s="6" t="n">
        <v>20</v>
      </c>
      <c r="J1395" s="6" t="n">
        <v>20</v>
      </c>
      <c r="K1395" s="6" t="n">
        <v>0</v>
      </c>
      <c r="L1395" s="6" t="n">
        <v>0</v>
      </c>
      <c r="M1395" s="6" t="n">
        <v>20</v>
      </c>
      <c r="N1395" s="11" t="n">
        <f aca="false">J1395/(J1395+K1395)</f>
        <v>1</v>
      </c>
      <c r="O1395" s="11" t="n">
        <f aca="false">IF(J1395+L1395=0,"",J1395/(J1395+L1395))</f>
        <v>1</v>
      </c>
      <c r="P1395" s="11" t="n">
        <f aca="false">2*J1395/(2*J1395+L1395+K1395)</f>
        <v>1</v>
      </c>
      <c r="Q1395" s="11" t="n">
        <f aca="false">L1395/(L1395+M1395)</f>
        <v>0</v>
      </c>
      <c r="R1395" s="6" t="n">
        <v>20</v>
      </c>
      <c r="S1395" s="11" t="n">
        <v>1</v>
      </c>
      <c r="T1395" s="11"/>
      <c r="U1395" s="11" t="n">
        <v>0.9</v>
      </c>
      <c r="V1395" s="11" t="n">
        <v>0</v>
      </c>
    </row>
    <row r="1396" customFormat="false" ht="15" hidden="false" customHeight="false" outlineLevel="0" collapsed="false">
      <c r="A1396" s="6" t="s">
        <v>48</v>
      </c>
      <c r="B1396" s="6" t="s">
        <v>43</v>
      </c>
      <c r="C1396" s="6" t="s">
        <v>49</v>
      </c>
      <c r="D1396" s="6" t="s">
        <v>115</v>
      </c>
      <c r="E1396" s="6" t="n">
        <v>4</v>
      </c>
      <c r="F1396" s="6" t="n">
        <v>7</v>
      </c>
      <c r="G1396" s="6" t="s">
        <v>76</v>
      </c>
      <c r="H1396" s="11" t="n">
        <v>0.01</v>
      </c>
      <c r="I1396" s="6" t="n">
        <v>20</v>
      </c>
      <c r="J1396" s="6" t="n">
        <v>20</v>
      </c>
      <c r="K1396" s="6" t="n">
        <v>0</v>
      </c>
      <c r="L1396" s="6" t="n">
        <v>0</v>
      </c>
      <c r="M1396" s="6" t="n">
        <v>20</v>
      </c>
      <c r="N1396" s="11" t="n">
        <f aca="false">J1396/(J1396+K1396)</f>
        <v>1</v>
      </c>
      <c r="O1396" s="11" t="n">
        <f aca="false">IF(J1396+L1396=0,"",J1396/(J1396+L1396))</f>
        <v>1</v>
      </c>
      <c r="P1396" s="11" t="n">
        <f aca="false">2*J1396/(2*J1396+L1396+K1396)</f>
        <v>1</v>
      </c>
      <c r="Q1396" s="11" t="n">
        <f aca="false">L1396/(L1396+M1396)</f>
        <v>0</v>
      </c>
      <c r="R1396" s="6" t="n">
        <v>20</v>
      </c>
      <c r="S1396" s="11" t="n">
        <v>1</v>
      </c>
      <c r="T1396" s="11"/>
      <c r="U1396" s="11" t="n">
        <v>0.95</v>
      </c>
      <c r="V1396" s="11" t="n">
        <v>0</v>
      </c>
    </row>
    <row r="1397" customFormat="false" ht="15" hidden="false" customHeight="false" outlineLevel="0" collapsed="false">
      <c r="A1397" s="6" t="s">
        <v>48</v>
      </c>
      <c r="B1397" s="6" t="s">
        <v>43</v>
      </c>
      <c r="C1397" s="6" t="s">
        <v>49</v>
      </c>
      <c r="D1397" s="6" t="s">
        <v>115</v>
      </c>
      <c r="E1397" s="6" t="n">
        <v>4</v>
      </c>
      <c r="F1397" s="6" t="n">
        <v>7</v>
      </c>
      <c r="G1397" s="6" t="s">
        <v>77</v>
      </c>
      <c r="H1397" s="11" t="n">
        <v>0.01</v>
      </c>
      <c r="I1397" s="6" t="n">
        <v>20</v>
      </c>
      <c r="J1397" s="6" t="n">
        <v>20</v>
      </c>
      <c r="K1397" s="6" t="n">
        <v>0</v>
      </c>
      <c r="L1397" s="6" t="n">
        <v>1</v>
      </c>
      <c r="M1397" s="6" t="n">
        <v>19</v>
      </c>
      <c r="N1397" s="11" t="n">
        <f aca="false">J1397/(J1397+K1397)</f>
        <v>1</v>
      </c>
      <c r="O1397" s="11" t="n">
        <f aca="false">IF(J1397+L1397=0,"",J1397/(J1397+L1397))</f>
        <v>0.952380952380952</v>
      </c>
      <c r="P1397" s="11" t="n">
        <f aca="false">2*J1397/(2*J1397+L1397+K1397)</f>
        <v>0.975609756097561</v>
      </c>
      <c r="Q1397" s="11" t="n">
        <f aca="false">L1397/(L1397+M1397)</f>
        <v>0.05</v>
      </c>
      <c r="R1397" s="6" t="n">
        <v>20</v>
      </c>
      <c r="S1397" s="11" t="n">
        <v>1</v>
      </c>
      <c r="T1397" s="11"/>
      <c r="U1397" s="11" t="n">
        <v>1</v>
      </c>
      <c r="V1397" s="11" t="n">
        <v>0</v>
      </c>
    </row>
    <row r="1398" customFormat="false" ht="15" hidden="false" customHeight="false" outlineLevel="0" collapsed="false">
      <c r="A1398" s="6" t="s">
        <v>48</v>
      </c>
      <c r="B1398" s="6" t="s">
        <v>43</v>
      </c>
      <c r="C1398" s="6" t="s">
        <v>49</v>
      </c>
      <c r="D1398" s="6" t="s">
        <v>115</v>
      </c>
      <c r="E1398" s="6" t="n">
        <v>4</v>
      </c>
      <c r="F1398" s="6" t="n">
        <v>7</v>
      </c>
      <c r="G1398" s="6" t="s">
        <v>78</v>
      </c>
      <c r="H1398" s="11" t="n">
        <v>0.01</v>
      </c>
      <c r="I1398" s="6" t="n">
        <v>200</v>
      </c>
      <c r="J1398" s="6" t="n">
        <v>200</v>
      </c>
      <c r="K1398" s="6" t="n">
        <v>0</v>
      </c>
      <c r="L1398" s="6" t="n">
        <v>1</v>
      </c>
      <c r="M1398" s="6" t="n">
        <v>199</v>
      </c>
      <c r="N1398" s="11" t="n">
        <f aca="false">J1398/(J1398+K1398)</f>
        <v>1</v>
      </c>
      <c r="O1398" s="11" t="n">
        <f aca="false">IF(J1398+L1398=0,"",J1398/(J1398+L1398))</f>
        <v>0.995024875621891</v>
      </c>
      <c r="P1398" s="11" t="n">
        <f aca="false">2*J1398/(2*J1398+L1398+K1398)</f>
        <v>0.997506234413965</v>
      </c>
      <c r="Q1398" s="11" t="n">
        <f aca="false">L1398/(L1398+M1398)</f>
        <v>0.005</v>
      </c>
      <c r="R1398" s="6" t="n">
        <v>173</v>
      </c>
      <c r="S1398" s="11" t="n">
        <v>1</v>
      </c>
      <c r="T1398" s="11" t="n">
        <v>1</v>
      </c>
      <c r="U1398" s="11" t="n">
        <v>0.88</v>
      </c>
      <c r="V1398" s="11" t="n">
        <v>0.115</v>
      </c>
    </row>
    <row r="1399" customFormat="false" ht="15" hidden="false" customHeight="false" outlineLevel="0" collapsed="false">
      <c r="A1399" s="6" t="s">
        <v>48</v>
      </c>
      <c r="B1399" s="6" t="s">
        <v>43</v>
      </c>
      <c r="C1399" s="6" t="s">
        <v>49</v>
      </c>
      <c r="D1399" s="6" t="s">
        <v>115</v>
      </c>
      <c r="E1399" s="6" t="n">
        <v>4</v>
      </c>
      <c r="F1399" s="6" t="n">
        <v>8</v>
      </c>
      <c r="G1399" s="6" t="s">
        <v>68</v>
      </c>
      <c r="H1399" s="11" t="n">
        <v>0.01</v>
      </c>
      <c r="I1399" s="6" t="n">
        <v>20</v>
      </c>
      <c r="J1399" s="6" t="n">
        <v>20</v>
      </c>
      <c r="K1399" s="6" t="n">
        <v>0</v>
      </c>
      <c r="L1399" s="6" t="n">
        <v>0</v>
      </c>
      <c r="M1399" s="6" t="n">
        <v>20</v>
      </c>
      <c r="N1399" s="11" t="n">
        <f aca="false">J1399/(J1399+K1399)</f>
        <v>1</v>
      </c>
      <c r="O1399" s="11" t="n">
        <f aca="false">IF(J1399+L1399=0,"",J1399/(J1399+L1399))</f>
        <v>1</v>
      </c>
      <c r="P1399" s="11" t="n">
        <f aca="false">2*J1399/(2*J1399+L1399+K1399)</f>
        <v>1</v>
      </c>
      <c r="Q1399" s="11" t="n">
        <f aca="false">L1399/(L1399+M1399)</f>
        <v>0</v>
      </c>
      <c r="R1399" s="6" t="n">
        <v>19</v>
      </c>
      <c r="S1399" s="11" t="n">
        <v>1</v>
      </c>
      <c r="T1399" s="11" t="n">
        <v>1</v>
      </c>
      <c r="U1399" s="11" t="n">
        <v>0.85</v>
      </c>
      <c r="V1399" s="11" t="n">
        <v>0</v>
      </c>
    </row>
    <row r="1400" customFormat="false" ht="15" hidden="false" customHeight="false" outlineLevel="0" collapsed="false">
      <c r="A1400" s="6" t="s">
        <v>48</v>
      </c>
      <c r="B1400" s="6" t="s">
        <v>43</v>
      </c>
      <c r="C1400" s="6" t="s">
        <v>49</v>
      </c>
      <c r="D1400" s="6" t="s">
        <v>115</v>
      </c>
      <c r="E1400" s="6" t="n">
        <v>4</v>
      </c>
      <c r="F1400" s="6" t="n">
        <v>8</v>
      </c>
      <c r="G1400" s="6" t="s">
        <v>69</v>
      </c>
      <c r="H1400" s="11" t="n">
        <v>0.01</v>
      </c>
      <c r="I1400" s="6" t="n">
        <v>20</v>
      </c>
      <c r="J1400" s="6" t="n">
        <v>20</v>
      </c>
      <c r="K1400" s="6" t="n">
        <v>0</v>
      </c>
      <c r="L1400" s="6" t="n">
        <v>0</v>
      </c>
      <c r="M1400" s="6" t="n">
        <v>20</v>
      </c>
      <c r="N1400" s="11" t="n">
        <f aca="false">J1400/(J1400+K1400)</f>
        <v>1</v>
      </c>
      <c r="O1400" s="11" t="n">
        <f aca="false">IF(J1400+L1400=0,"",J1400/(J1400+L1400))</f>
        <v>1</v>
      </c>
      <c r="P1400" s="11" t="n">
        <f aca="false">2*J1400/(2*J1400+L1400+K1400)</f>
        <v>1</v>
      </c>
      <c r="Q1400" s="11" t="n">
        <f aca="false">L1400/(L1400+M1400)</f>
        <v>0</v>
      </c>
      <c r="R1400" s="6" t="n">
        <v>18</v>
      </c>
      <c r="S1400" s="11" t="n">
        <v>1</v>
      </c>
      <c r="T1400" s="11" t="n">
        <v>1</v>
      </c>
      <c r="U1400" s="11" t="n">
        <v>1</v>
      </c>
      <c r="V1400" s="11" t="n">
        <v>0.1</v>
      </c>
    </row>
    <row r="1401" customFormat="false" ht="15" hidden="false" customHeight="false" outlineLevel="0" collapsed="false">
      <c r="A1401" s="6" t="s">
        <v>48</v>
      </c>
      <c r="B1401" s="6" t="s">
        <v>43</v>
      </c>
      <c r="C1401" s="6" t="s">
        <v>49</v>
      </c>
      <c r="D1401" s="6" t="s">
        <v>115</v>
      </c>
      <c r="E1401" s="6" t="n">
        <v>4</v>
      </c>
      <c r="F1401" s="6" t="n">
        <v>8</v>
      </c>
      <c r="G1401" s="6" t="s">
        <v>70</v>
      </c>
      <c r="H1401" s="11" t="n">
        <v>0.01</v>
      </c>
      <c r="I1401" s="6" t="n">
        <v>20</v>
      </c>
      <c r="J1401" s="6" t="n">
        <v>20</v>
      </c>
      <c r="K1401" s="6" t="n">
        <v>0</v>
      </c>
      <c r="L1401" s="6" t="n">
        <v>0</v>
      </c>
      <c r="M1401" s="6" t="n">
        <v>20</v>
      </c>
      <c r="N1401" s="11" t="n">
        <f aca="false">J1401/(J1401+K1401)</f>
        <v>1</v>
      </c>
      <c r="O1401" s="11" t="n">
        <f aca="false">IF(J1401+L1401=0,"",J1401/(J1401+L1401))</f>
        <v>1</v>
      </c>
      <c r="P1401" s="11" t="n">
        <f aca="false">2*J1401/(2*J1401+L1401+K1401)</f>
        <v>1</v>
      </c>
      <c r="Q1401" s="11" t="n">
        <f aca="false">L1401/(L1401+M1401)</f>
        <v>0</v>
      </c>
      <c r="R1401" s="6" t="n">
        <v>12</v>
      </c>
      <c r="S1401" s="11" t="n">
        <v>1</v>
      </c>
      <c r="T1401" s="11" t="n">
        <v>1</v>
      </c>
      <c r="U1401" s="11" t="n">
        <v>0.9</v>
      </c>
      <c r="V1401" s="11" t="n">
        <v>0.5</v>
      </c>
    </row>
    <row r="1402" customFormat="false" ht="15" hidden="false" customHeight="false" outlineLevel="0" collapsed="false">
      <c r="A1402" s="6" t="s">
        <v>48</v>
      </c>
      <c r="B1402" s="6" t="s">
        <v>43</v>
      </c>
      <c r="C1402" s="6" t="s">
        <v>49</v>
      </c>
      <c r="D1402" s="6" t="s">
        <v>115</v>
      </c>
      <c r="E1402" s="6" t="n">
        <v>4</v>
      </c>
      <c r="F1402" s="6" t="n">
        <v>8</v>
      </c>
      <c r="G1402" s="6" t="s">
        <v>71</v>
      </c>
      <c r="H1402" s="11" t="n">
        <v>0.01</v>
      </c>
      <c r="I1402" s="6" t="n">
        <v>20</v>
      </c>
      <c r="J1402" s="6" t="n">
        <v>20</v>
      </c>
      <c r="K1402" s="6" t="n">
        <v>0</v>
      </c>
      <c r="L1402" s="6" t="n">
        <v>0</v>
      </c>
      <c r="M1402" s="6" t="n">
        <v>20</v>
      </c>
      <c r="N1402" s="11" t="n">
        <f aca="false">J1402/(J1402+K1402)</f>
        <v>1</v>
      </c>
      <c r="O1402" s="11" t="n">
        <f aca="false">IF(J1402+L1402=0,"",J1402/(J1402+L1402))</f>
        <v>1</v>
      </c>
      <c r="P1402" s="11" t="n">
        <f aca="false">2*J1402/(2*J1402+L1402+K1402)</f>
        <v>1</v>
      </c>
      <c r="Q1402" s="11" t="n">
        <f aca="false">L1402/(L1402+M1402)</f>
        <v>0</v>
      </c>
      <c r="R1402" s="6" t="n">
        <v>18</v>
      </c>
      <c r="S1402" s="11" t="n">
        <v>1</v>
      </c>
      <c r="T1402" s="11" t="n">
        <v>1</v>
      </c>
      <c r="U1402" s="11" t="n">
        <v>0.8</v>
      </c>
      <c r="V1402" s="11" t="n">
        <v>0</v>
      </c>
    </row>
    <row r="1403" customFormat="false" ht="15" hidden="false" customHeight="false" outlineLevel="0" collapsed="false">
      <c r="A1403" s="6" t="s">
        <v>48</v>
      </c>
      <c r="B1403" s="6" t="s">
        <v>43</v>
      </c>
      <c r="C1403" s="6" t="s">
        <v>49</v>
      </c>
      <c r="D1403" s="6" t="s">
        <v>115</v>
      </c>
      <c r="E1403" s="6" t="n">
        <v>4</v>
      </c>
      <c r="F1403" s="6" t="n">
        <v>8</v>
      </c>
      <c r="G1403" s="6" t="s">
        <v>72</v>
      </c>
      <c r="H1403" s="11" t="n">
        <v>0.01</v>
      </c>
      <c r="I1403" s="6" t="n">
        <v>20</v>
      </c>
      <c r="J1403" s="6" t="n">
        <v>20</v>
      </c>
      <c r="K1403" s="6" t="n">
        <v>0</v>
      </c>
      <c r="L1403" s="6" t="n">
        <v>0</v>
      </c>
      <c r="M1403" s="6" t="n">
        <v>20</v>
      </c>
      <c r="N1403" s="11" t="n">
        <f aca="false">J1403/(J1403+K1403)</f>
        <v>1</v>
      </c>
      <c r="O1403" s="11" t="n">
        <f aca="false">IF(J1403+L1403=0,"",J1403/(J1403+L1403))</f>
        <v>1</v>
      </c>
      <c r="P1403" s="11" t="n">
        <f aca="false">2*J1403/(2*J1403+L1403+K1403)</f>
        <v>1</v>
      </c>
      <c r="Q1403" s="11" t="n">
        <f aca="false">L1403/(L1403+M1403)</f>
        <v>0</v>
      </c>
      <c r="R1403" s="6" t="n">
        <v>19</v>
      </c>
      <c r="S1403" s="11" t="n">
        <v>1</v>
      </c>
      <c r="T1403" s="11" t="n">
        <v>1</v>
      </c>
      <c r="U1403" s="11" t="n">
        <v>0.9</v>
      </c>
      <c r="V1403" s="11" t="n">
        <v>0</v>
      </c>
    </row>
    <row r="1404" customFormat="false" ht="15" hidden="false" customHeight="false" outlineLevel="0" collapsed="false">
      <c r="A1404" s="6" t="s">
        <v>48</v>
      </c>
      <c r="B1404" s="6" t="s">
        <v>43</v>
      </c>
      <c r="C1404" s="6" t="s">
        <v>49</v>
      </c>
      <c r="D1404" s="6" t="s">
        <v>115</v>
      </c>
      <c r="E1404" s="6" t="n">
        <v>4</v>
      </c>
      <c r="F1404" s="6" t="n">
        <v>8</v>
      </c>
      <c r="G1404" s="6" t="s">
        <v>73</v>
      </c>
      <c r="H1404" s="11" t="n">
        <v>0.01</v>
      </c>
      <c r="I1404" s="6" t="n">
        <v>20</v>
      </c>
      <c r="J1404" s="6" t="n">
        <v>20</v>
      </c>
      <c r="K1404" s="6" t="n">
        <v>0</v>
      </c>
      <c r="L1404" s="6" t="n">
        <v>0</v>
      </c>
      <c r="M1404" s="6" t="n">
        <v>20</v>
      </c>
      <c r="N1404" s="11" t="n">
        <f aca="false">J1404/(J1404+K1404)</f>
        <v>1</v>
      </c>
      <c r="O1404" s="11" t="n">
        <f aca="false">IF(J1404+L1404=0,"",J1404/(J1404+L1404))</f>
        <v>1</v>
      </c>
      <c r="P1404" s="11" t="n">
        <f aca="false">2*J1404/(2*J1404+L1404+K1404)</f>
        <v>1</v>
      </c>
      <c r="Q1404" s="11" t="n">
        <f aca="false">L1404/(L1404+M1404)</f>
        <v>0</v>
      </c>
      <c r="R1404" s="6" t="n">
        <v>19</v>
      </c>
      <c r="S1404" s="11" t="n">
        <v>1</v>
      </c>
      <c r="T1404" s="11" t="n">
        <v>1</v>
      </c>
      <c r="U1404" s="11" t="n">
        <v>0.65</v>
      </c>
      <c r="V1404" s="11" t="n">
        <v>0</v>
      </c>
    </row>
    <row r="1405" customFormat="false" ht="15" hidden="false" customHeight="false" outlineLevel="0" collapsed="false">
      <c r="A1405" s="6" t="s">
        <v>48</v>
      </c>
      <c r="B1405" s="6" t="s">
        <v>43</v>
      </c>
      <c r="C1405" s="6" t="s">
        <v>49</v>
      </c>
      <c r="D1405" s="6" t="s">
        <v>115</v>
      </c>
      <c r="E1405" s="6" t="n">
        <v>4</v>
      </c>
      <c r="F1405" s="6" t="n">
        <v>8</v>
      </c>
      <c r="G1405" s="6" t="s">
        <v>74</v>
      </c>
      <c r="H1405" s="11" t="n">
        <v>0.01</v>
      </c>
      <c r="I1405" s="6" t="n">
        <v>20</v>
      </c>
      <c r="J1405" s="6" t="n">
        <v>20</v>
      </c>
      <c r="K1405" s="6" t="n">
        <v>0</v>
      </c>
      <c r="L1405" s="6" t="n">
        <v>0</v>
      </c>
      <c r="M1405" s="6" t="n">
        <v>20</v>
      </c>
      <c r="N1405" s="11" t="n">
        <f aca="false">J1405/(J1405+K1405)</f>
        <v>1</v>
      </c>
      <c r="O1405" s="11" t="n">
        <f aca="false">IF(J1405+L1405=0,"",J1405/(J1405+L1405))</f>
        <v>1</v>
      </c>
      <c r="P1405" s="11" t="n">
        <f aca="false">2*J1405/(2*J1405+L1405+K1405)</f>
        <v>1</v>
      </c>
      <c r="Q1405" s="11" t="n">
        <f aca="false">L1405/(L1405+M1405)</f>
        <v>0</v>
      </c>
      <c r="R1405" s="6" t="n">
        <v>19</v>
      </c>
      <c r="S1405" s="11" t="n">
        <v>1</v>
      </c>
      <c r="T1405" s="11" t="n">
        <v>1</v>
      </c>
      <c r="U1405" s="11" t="n">
        <v>0.85</v>
      </c>
      <c r="V1405" s="11" t="n">
        <v>0</v>
      </c>
    </row>
    <row r="1406" customFormat="false" ht="15" hidden="false" customHeight="false" outlineLevel="0" collapsed="false">
      <c r="A1406" s="6" t="s">
        <v>48</v>
      </c>
      <c r="B1406" s="6" t="s">
        <v>43</v>
      </c>
      <c r="C1406" s="6" t="s">
        <v>49</v>
      </c>
      <c r="D1406" s="6" t="s">
        <v>115</v>
      </c>
      <c r="E1406" s="6" t="n">
        <v>4</v>
      </c>
      <c r="F1406" s="6" t="n">
        <v>8</v>
      </c>
      <c r="G1406" s="6" t="s">
        <v>75</v>
      </c>
      <c r="H1406" s="11" t="n">
        <v>0.01</v>
      </c>
      <c r="I1406" s="6" t="n">
        <v>20</v>
      </c>
      <c r="J1406" s="6" t="n">
        <v>20</v>
      </c>
      <c r="K1406" s="6" t="n">
        <v>0</v>
      </c>
      <c r="L1406" s="6" t="n">
        <v>0</v>
      </c>
      <c r="M1406" s="6" t="n">
        <v>20</v>
      </c>
      <c r="N1406" s="11" t="n">
        <f aca="false">J1406/(J1406+K1406)</f>
        <v>1</v>
      </c>
      <c r="O1406" s="11" t="n">
        <f aca="false">IF(J1406+L1406=0,"",J1406/(J1406+L1406))</f>
        <v>1</v>
      </c>
      <c r="P1406" s="11" t="n">
        <f aca="false">2*J1406/(2*J1406+L1406+K1406)</f>
        <v>1</v>
      </c>
      <c r="Q1406" s="11" t="n">
        <f aca="false">L1406/(L1406+M1406)</f>
        <v>0</v>
      </c>
      <c r="R1406" s="6" t="n">
        <v>20</v>
      </c>
      <c r="S1406" s="11" t="n">
        <v>1</v>
      </c>
      <c r="T1406" s="11"/>
      <c r="U1406" s="11" t="n">
        <v>0.9</v>
      </c>
      <c r="V1406" s="11" t="n">
        <v>0</v>
      </c>
    </row>
    <row r="1407" customFormat="false" ht="15" hidden="false" customHeight="false" outlineLevel="0" collapsed="false">
      <c r="A1407" s="6" t="s">
        <v>48</v>
      </c>
      <c r="B1407" s="6" t="s">
        <v>43</v>
      </c>
      <c r="C1407" s="6" t="s">
        <v>49</v>
      </c>
      <c r="D1407" s="6" t="s">
        <v>115</v>
      </c>
      <c r="E1407" s="6" t="n">
        <v>4</v>
      </c>
      <c r="F1407" s="6" t="n">
        <v>8</v>
      </c>
      <c r="G1407" s="6" t="s">
        <v>76</v>
      </c>
      <c r="H1407" s="11" t="n">
        <v>0.01</v>
      </c>
      <c r="I1407" s="6" t="n">
        <v>20</v>
      </c>
      <c r="J1407" s="6" t="n">
        <v>20</v>
      </c>
      <c r="K1407" s="6" t="n">
        <v>0</v>
      </c>
      <c r="L1407" s="6" t="n">
        <v>0</v>
      </c>
      <c r="M1407" s="6" t="n">
        <v>20</v>
      </c>
      <c r="N1407" s="11" t="n">
        <f aca="false">J1407/(J1407+K1407)</f>
        <v>1</v>
      </c>
      <c r="O1407" s="11" t="n">
        <f aca="false">IF(J1407+L1407=0,"",J1407/(J1407+L1407))</f>
        <v>1</v>
      </c>
      <c r="P1407" s="11" t="n">
        <f aca="false">2*J1407/(2*J1407+L1407+K1407)</f>
        <v>1</v>
      </c>
      <c r="Q1407" s="11" t="n">
        <f aca="false">L1407/(L1407+M1407)</f>
        <v>0</v>
      </c>
      <c r="R1407" s="6" t="n">
        <v>13</v>
      </c>
      <c r="S1407" s="11" t="n">
        <v>1</v>
      </c>
      <c r="T1407" s="11" t="n">
        <v>1</v>
      </c>
      <c r="U1407" s="11" t="n">
        <v>0.95</v>
      </c>
      <c r="V1407" s="11" t="n">
        <v>0.35</v>
      </c>
    </row>
    <row r="1408" customFormat="false" ht="15" hidden="false" customHeight="false" outlineLevel="0" collapsed="false">
      <c r="A1408" s="6" t="s">
        <v>48</v>
      </c>
      <c r="B1408" s="6" t="s">
        <v>43</v>
      </c>
      <c r="C1408" s="6" t="s">
        <v>49</v>
      </c>
      <c r="D1408" s="6" t="s">
        <v>115</v>
      </c>
      <c r="E1408" s="6" t="n">
        <v>4</v>
      </c>
      <c r="F1408" s="6" t="n">
        <v>8</v>
      </c>
      <c r="G1408" s="6" t="s">
        <v>77</v>
      </c>
      <c r="H1408" s="11" t="n">
        <v>0.01</v>
      </c>
      <c r="I1408" s="6" t="n">
        <v>20</v>
      </c>
      <c r="J1408" s="6" t="n">
        <v>20</v>
      </c>
      <c r="K1408" s="6" t="n">
        <v>0</v>
      </c>
      <c r="L1408" s="6" t="n">
        <v>1</v>
      </c>
      <c r="M1408" s="6" t="n">
        <v>19</v>
      </c>
      <c r="N1408" s="11" t="n">
        <f aca="false">J1408/(J1408+K1408)</f>
        <v>1</v>
      </c>
      <c r="O1408" s="11" t="n">
        <f aca="false">IF(J1408+L1408=0,"",J1408/(J1408+L1408))</f>
        <v>0.952380952380952</v>
      </c>
      <c r="P1408" s="11" t="n">
        <f aca="false">2*J1408/(2*J1408+L1408+K1408)</f>
        <v>0.975609756097561</v>
      </c>
      <c r="Q1408" s="11" t="n">
        <f aca="false">L1408/(L1408+M1408)</f>
        <v>0.05</v>
      </c>
      <c r="R1408" s="6" t="n">
        <v>13</v>
      </c>
      <c r="S1408" s="11" t="n">
        <v>1</v>
      </c>
      <c r="T1408" s="11" t="n">
        <v>1</v>
      </c>
      <c r="U1408" s="11" t="n">
        <v>1</v>
      </c>
      <c r="V1408" s="11" t="n">
        <v>0.35</v>
      </c>
    </row>
    <row r="1409" customFormat="false" ht="15" hidden="false" customHeight="false" outlineLevel="0" collapsed="false">
      <c r="A1409" s="6" t="s">
        <v>48</v>
      </c>
      <c r="B1409" s="6" t="s">
        <v>43</v>
      </c>
      <c r="C1409" s="6" t="s">
        <v>49</v>
      </c>
      <c r="D1409" s="6" t="s">
        <v>115</v>
      </c>
      <c r="E1409" s="6" t="n">
        <v>4</v>
      </c>
      <c r="F1409" s="6" t="n">
        <v>8</v>
      </c>
      <c r="G1409" s="6" t="s">
        <v>78</v>
      </c>
      <c r="H1409" s="11" t="n">
        <v>0.01</v>
      </c>
      <c r="I1409" s="6" t="n">
        <v>200</v>
      </c>
      <c r="J1409" s="6" t="n">
        <v>200</v>
      </c>
      <c r="K1409" s="6" t="n">
        <v>0</v>
      </c>
      <c r="L1409" s="6" t="n">
        <v>1</v>
      </c>
      <c r="M1409" s="6" t="n">
        <v>199</v>
      </c>
      <c r="N1409" s="11" t="n">
        <f aca="false">J1409/(J1409+K1409)</f>
        <v>1</v>
      </c>
      <c r="O1409" s="11" t="n">
        <f aca="false">IF(J1409+L1409=0,"",J1409/(J1409+L1409))</f>
        <v>0.995024875621891</v>
      </c>
      <c r="P1409" s="11" t="n">
        <f aca="false">2*J1409/(2*J1409+L1409+K1409)</f>
        <v>0.997506234413965</v>
      </c>
      <c r="Q1409" s="11" t="n">
        <f aca="false">L1409/(L1409+M1409)</f>
        <v>0.005</v>
      </c>
      <c r="R1409" s="6" t="n">
        <v>170</v>
      </c>
      <c r="S1409" s="11" t="n">
        <v>1</v>
      </c>
      <c r="T1409" s="11" t="n">
        <v>1</v>
      </c>
      <c r="U1409" s="11" t="n">
        <v>0.88</v>
      </c>
      <c r="V1409" s="11" t="n">
        <v>0.13</v>
      </c>
    </row>
    <row r="1410" customFormat="false" ht="15" hidden="false" customHeight="false" outlineLevel="0" collapsed="false">
      <c r="A1410" s="6" t="s">
        <v>48</v>
      </c>
      <c r="B1410" s="6" t="s">
        <v>43</v>
      </c>
      <c r="C1410" s="6" t="s">
        <v>49</v>
      </c>
      <c r="D1410" s="6" t="s">
        <v>115</v>
      </c>
      <c r="E1410" s="6" t="n">
        <v>4</v>
      </c>
      <c r="F1410" s="6" t="n">
        <v>9</v>
      </c>
      <c r="G1410" s="6" t="s">
        <v>68</v>
      </c>
      <c r="H1410" s="11" t="n">
        <v>0.01</v>
      </c>
      <c r="I1410" s="6" t="n">
        <v>20</v>
      </c>
      <c r="J1410" s="6" t="n">
        <v>20</v>
      </c>
      <c r="K1410" s="6" t="n">
        <v>0</v>
      </c>
      <c r="L1410" s="6" t="n">
        <v>0</v>
      </c>
      <c r="M1410" s="6" t="n">
        <v>20</v>
      </c>
      <c r="N1410" s="11" t="n">
        <f aca="false">J1410/(J1410+K1410)</f>
        <v>1</v>
      </c>
      <c r="O1410" s="11" t="n">
        <f aca="false">IF(J1410+L1410=0,"",J1410/(J1410+L1410))</f>
        <v>1</v>
      </c>
      <c r="P1410" s="11" t="n">
        <f aca="false">2*J1410/(2*J1410+L1410+K1410)</f>
        <v>1</v>
      </c>
      <c r="Q1410" s="11" t="n">
        <f aca="false">L1410/(L1410+M1410)</f>
        <v>0</v>
      </c>
      <c r="R1410" s="6" t="n">
        <v>19</v>
      </c>
      <c r="S1410" s="11" t="n">
        <v>1</v>
      </c>
      <c r="T1410" s="11" t="n">
        <v>1</v>
      </c>
      <c r="U1410" s="11" t="n">
        <v>0.85</v>
      </c>
      <c r="V1410" s="11" t="n">
        <v>0.05</v>
      </c>
    </row>
    <row r="1411" customFormat="false" ht="15" hidden="false" customHeight="false" outlineLevel="0" collapsed="false">
      <c r="A1411" s="6" t="s">
        <v>48</v>
      </c>
      <c r="B1411" s="6" t="s">
        <v>43</v>
      </c>
      <c r="C1411" s="6" t="s">
        <v>49</v>
      </c>
      <c r="D1411" s="6" t="s">
        <v>115</v>
      </c>
      <c r="E1411" s="6" t="n">
        <v>4</v>
      </c>
      <c r="F1411" s="6" t="n">
        <v>9</v>
      </c>
      <c r="G1411" s="6" t="s">
        <v>69</v>
      </c>
      <c r="H1411" s="11" t="n">
        <v>0.01</v>
      </c>
      <c r="I1411" s="6" t="n">
        <v>20</v>
      </c>
      <c r="J1411" s="6" t="n">
        <v>20</v>
      </c>
      <c r="K1411" s="6" t="n">
        <v>0</v>
      </c>
      <c r="L1411" s="6" t="n">
        <v>0</v>
      </c>
      <c r="M1411" s="6" t="n">
        <v>20</v>
      </c>
      <c r="N1411" s="11" t="n">
        <f aca="false">J1411/(J1411+K1411)</f>
        <v>1</v>
      </c>
      <c r="O1411" s="11" t="n">
        <f aca="false">IF(J1411+L1411=0,"",J1411/(J1411+L1411))</f>
        <v>1</v>
      </c>
      <c r="P1411" s="11" t="n">
        <f aca="false">2*J1411/(2*J1411+L1411+K1411)</f>
        <v>1</v>
      </c>
      <c r="Q1411" s="11" t="n">
        <f aca="false">L1411/(L1411+M1411)</f>
        <v>0</v>
      </c>
      <c r="R1411" s="6" t="n">
        <v>20</v>
      </c>
      <c r="S1411" s="11" t="n">
        <v>1</v>
      </c>
      <c r="T1411" s="11"/>
      <c r="U1411" s="11" t="n">
        <v>1</v>
      </c>
      <c r="V1411" s="11" t="n">
        <v>0</v>
      </c>
    </row>
    <row r="1412" customFormat="false" ht="15" hidden="false" customHeight="false" outlineLevel="0" collapsed="false">
      <c r="A1412" s="6" t="s">
        <v>48</v>
      </c>
      <c r="B1412" s="6" t="s">
        <v>43</v>
      </c>
      <c r="C1412" s="6" t="s">
        <v>49</v>
      </c>
      <c r="D1412" s="6" t="s">
        <v>115</v>
      </c>
      <c r="E1412" s="6" t="n">
        <v>4</v>
      </c>
      <c r="F1412" s="6" t="n">
        <v>9</v>
      </c>
      <c r="G1412" s="6" t="s">
        <v>70</v>
      </c>
      <c r="H1412" s="11" t="n">
        <v>0.01</v>
      </c>
      <c r="I1412" s="6" t="n">
        <v>20</v>
      </c>
      <c r="J1412" s="6" t="n">
        <v>20</v>
      </c>
      <c r="K1412" s="6" t="n">
        <v>0</v>
      </c>
      <c r="L1412" s="6" t="n">
        <v>0</v>
      </c>
      <c r="M1412" s="6" t="n">
        <v>20</v>
      </c>
      <c r="N1412" s="11" t="n">
        <f aca="false">J1412/(J1412+K1412)</f>
        <v>1</v>
      </c>
      <c r="O1412" s="11" t="n">
        <f aca="false">IF(J1412+L1412=0,"",J1412/(J1412+L1412))</f>
        <v>1</v>
      </c>
      <c r="P1412" s="11" t="n">
        <f aca="false">2*J1412/(2*J1412+L1412+K1412)</f>
        <v>1</v>
      </c>
      <c r="Q1412" s="11" t="n">
        <f aca="false">L1412/(L1412+M1412)</f>
        <v>0</v>
      </c>
      <c r="R1412" s="6" t="n">
        <v>19</v>
      </c>
      <c r="S1412" s="11" t="n">
        <v>1</v>
      </c>
      <c r="T1412" s="11" t="n">
        <v>1</v>
      </c>
      <c r="U1412" s="11" t="n">
        <v>0.9</v>
      </c>
      <c r="V1412" s="11" t="n">
        <v>0.05</v>
      </c>
    </row>
    <row r="1413" customFormat="false" ht="15" hidden="false" customHeight="false" outlineLevel="0" collapsed="false">
      <c r="A1413" s="6" t="s">
        <v>48</v>
      </c>
      <c r="B1413" s="6" t="s">
        <v>43</v>
      </c>
      <c r="C1413" s="6" t="s">
        <v>49</v>
      </c>
      <c r="D1413" s="6" t="s">
        <v>115</v>
      </c>
      <c r="E1413" s="6" t="n">
        <v>4</v>
      </c>
      <c r="F1413" s="6" t="n">
        <v>9</v>
      </c>
      <c r="G1413" s="6" t="s">
        <v>71</v>
      </c>
      <c r="H1413" s="11" t="n">
        <v>0.01</v>
      </c>
      <c r="I1413" s="6" t="n">
        <v>20</v>
      </c>
      <c r="J1413" s="6" t="n">
        <v>20</v>
      </c>
      <c r="K1413" s="6" t="n">
        <v>0</v>
      </c>
      <c r="L1413" s="6" t="n">
        <v>0</v>
      </c>
      <c r="M1413" s="6" t="n">
        <v>20</v>
      </c>
      <c r="N1413" s="11" t="n">
        <f aca="false">J1413/(J1413+K1413)</f>
        <v>1</v>
      </c>
      <c r="O1413" s="11" t="n">
        <f aca="false">IF(J1413+L1413=0,"",J1413/(J1413+L1413))</f>
        <v>1</v>
      </c>
      <c r="P1413" s="11" t="n">
        <f aca="false">2*J1413/(2*J1413+L1413+K1413)</f>
        <v>1</v>
      </c>
      <c r="Q1413" s="11" t="n">
        <f aca="false">L1413/(L1413+M1413)</f>
        <v>0</v>
      </c>
      <c r="R1413" s="6" t="n">
        <v>9</v>
      </c>
      <c r="S1413" s="11" t="n">
        <v>1</v>
      </c>
      <c r="T1413" s="11" t="n">
        <v>1</v>
      </c>
      <c r="U1413" s="11" t="n">
        <v>0.8</v>
      </c>
      <c r="V1413" s="11" t="n">
        <v>0.7</v>
      </c>
    </row>
    <row r="1414" customFormat="false" ht="15" hidden="false" customHeight="false" outlineLevel="0" collapsed="false">
      <c r="A1414" s="6" t="s">
        <v>48</v>
      </c>
      <c r="B1414" s="6" t="s">
        <v>43</v>
      </c>
      <c r="C1414" s="6" t="s">
        <v>49</v>
      </c>
      <c r="D1414" s="6" t="s">
        <v>115</v>
      </c>
      <c r="E1414" s="6" t="n">
        <v>4</v>
      </c>
      <c r="F1414" s="6" t="n">
        <v>9</v>
      </c>
      <c r="G1414" s="6" t="s">
        <v>72</v>
      </c>
      <c r="H1414" s="11" t="n">
        <v>0.01</v>
      </c>
      <c r="I1414" s="6" t="n">
        <v>20</v>
      </c>
      <c r="J1414" s="6" t="n">
        <v>20</v>
      </c>
      <c r="K1414" s="6" t="n">
        <v>0</v>
      </c>
      <c r="L1414" s="6" t="n">
        <v>0</v>
      </c>
      <c r="M1414" s="6" t="n">
        <v>20</v>
      </c>
      <c r="N1414" s="11" t="n">
        <f aca="false">J1414/(J1414+K1414)</f>
        <v>1</v>
      </c>
      <c r="O1414" s="11" t="n">
        <f aca="false">IF(J1414+L1414=0,"",J1414/(J1414+L1414))</f>
        <v>1</v>
      </c>
      <c r="P1414" s="11" t="n">
        <f aca="false">2*J1414/(2*J1414+L1414+K1414)</f>
        <v>1</v>
      </c>
      <c r="Q1414" s="11" t="n">
        <f aca="false">L1414/(L1414+M1414)</f>
        <v>0</v>
      </c>
      <c r="R1414" s="6" t="n">
        <v>18</v>
      </c>
      <c r="S1414" s="11" t="n">
        <v>1</v>
      </c>
      <c r="T1414" s="11" t="n">
        <v>1</v>
      </c>
      <c r="U1414" s="11" t="n">
        <v>0.9</v>
      </c>
      <c r="V1414" s="11" t="n">
        <v>0.15</v>
      </c>
    </row>
    <row r="1415" customFormat="false" ht="15" hidden="false" customHeight="false" outlineLevel="0" collapsed="false">
      <c r="A1415" s="6" t="s">
        <v>48</v>
      </c>
      <c r="B1415" s="6" t="s">
        <v>43</v>
      </c>
      <c r="C1415" s="6" t="s">
        <v>49</v>
      </c>
      <c r="D1415" s="6" t="s">
        <v>115</v>
      </c>
      <c r="E1415" s="6" t="n">
        <v>4</v>
      </c>
      <c r="F1415" s="6" t="n">
        <v>9</v>
      </c>
      <c r="G1415" s="6" t="s">
        <v>73</v>
      </c>
      <c r="H1415" s="11" t="n">
        <v>0.01</v>
      </c>
      <c r="I1415" s="6" t="n">
        <v>20</v>
      </c>
      <c r="J1415" s="6" t="n">
        <v>20</v>
      </c>
      <c r="K1415" s="6" t="n">
        <v>0</v>
      </c>
      <c r="L1415" s="6" t="n">
        <v>0</v>
      </c>
      <c r="M1415" s="6" t="n">
        <v>20</v>
      </c>
      <c r="N1415" s="11" t="n">
        <f aca="false">J1415/(J1415+K1415)</f>
        <v>1</v>
      </c>
      <c r="O1415" s="11" t="n">
        <f aca="false">IF(J1415+L1415=0,"",J1415/(J1415+L1415))</f>
        <v>1</v>
      </c>
      <c r="P1415" s="11" t="n">
        <f aca="false">2*J1415/(2*J1415+L1415+K1415)</f>
        <v>1</v>
      </c>
      <c r="Q1415" s="11" t="n">
        <f aca="false">L1415/(L1415+M1415)</f>
        <v>0</v>
      </c>
      <c r="R1415" s="6" t="n">
        <v>20</v>
      </c>
      <c r="S1415" s="11" t="n">
        <v>1</v>
      </c>
      <c r="T1415" s="11"/>
      <c r="U1415" s="11" t="n">
        <v>0.65</v>
      </c>
      <c r="V1415" s="11" t="n">
        <v>0</v>
      </c>
    </row>
    <row r="1416" customFormat="false" ht="15" hidden="false" customHeight="false" outlineLevel="0" collapsed="false">
      <c r="A1416" s="6" t="s">
        <v>48</v>
      </c>
      <c r="B1416" s="6" t="s">
        <v>43</v>
      </c>
      <c r="C1416" s="6" t="s">
        <v>49</v>
      </c>
      <c r="D1416" s="6" t="s">
        <v>115</v>
      </c>
      <c r="E1416" s="6" t="n">
        <v>4</v>
      </c>
      <c r="F1416" s="6" t="n">
        <v>9</v>
      </c>
      <c r="G1416" s="6" t="s">
        <v>74</v>
      </c>
      <c r="H1416" s="11" t="n">
        <v>0.01</v>
      </c>
      <c r="I1416" s="6" t="n">
        <v>20</v>
      </c>
      <c r="J1416" s="6" t="n">
        <v>20</v>
      </c>
      <c r="K1416" s="6" t="n">
        <v>0</v>
      </c>
      <c r="L1416" s="6" t="n">
        <v>0</v>
      </c>
      <c r="M1416" s="6" t="n">
        <v>20</v>
      </c>
      <c r="N1416" s="11" t="n">
        <f aca="false">J1416/(J1416+K1416)</f>
        <v>1</v>
      </c>
      <c r="O1416" s="11" t="n">
        <f aca="false">IF(J1416+L1416=0,"",J1416/(J1416+L1416))</f>
        <v>1</v>
      </c>
      <c r="P1416" s="11" t="n">
        <f aca="false">2*J1416/(2*J1416+L1416+K1416)</f>
        <v>1</v>
      </c>
      <c r="Q1416" s="11" t="n">
        <f aca="false">L1416/(L1416+M1416)</f>
        <v>0</v>
      </c>
      <c r="R1416" s="6" t="n">
        <v>20</v>
      </c>
      <c r="S1416" s="11" t="n">
        <v>1</v>
      </c>
      <c r="T1416" s="11"/>
      <c r="U1416" s="11" t="n">
        <v>0.85</v>
      </c>
      <c r="V1416" s="11" t="n">
        <v>0</v>
      </c>
    </row>
    <row r="1417" customFormat="false" ht="15" hidden="false" customHeight="false" outlineLevel="0" collapsed="false">
      <c r="A1417" s="6" t="s">
        <v>48</v>
      </c>
      <c r="B1417" s="6" t="s">
        <v>43</v>
      </c>
      <c r="C1417" s="6" t="s">
        <v>49</v>
      </c>
      <c r="D1417" s="6" t="s">
        <v>115</v>
      </c>
      <c r="E1417" s="6" t="n">
        <v>4</v>
      </c>
      <c r="F1417" s="6" t="n">
        <v>9</v>
      </c>
      <c r="G1417" s="6" t="s">
        <v>75</v>
      </c>
      <c r="H1417" s="11" t="n">
        <v>0.01</v>
      </c>
      <c r="I1417" s="6" t="n">
        <v>20</v>
      </c>
      <c r="J1417" s="6" t="n">
        <v>20</v>
      </c>
      <c r="K1417" s="6" t="n">
        <v>0</v>
      </c>
      <c r="L1417" s="6" t="n">
        <v>0</v>
      </c>
      <c r="M1417" s="6" t="n">
        <v>20</v>
      </c>
      <c r="N1417" s="11" t="n">
        <f aca="false">J1417/(J1417+K1417)</f>
        <v>1</v>
      </c>
      <c r="O1417" s="11" t="n">
        <f aca="false">IF(J1417+L1417=0,"",J1417/(J1417+L1417))</f>
        <v>1</v>
      </c>
      <c r="P1417" s="11" t="n">
        <f aca="false">2*J1417/(2*J1417+L1417+K1417)</f>
        <v>1</v>
      </c>
      <c r="Q1417" s="11" t="n">
        <f aca="false">L1417/(L1417+M1417)</f>
        <v>0</v>
      </c>
      <c r="R1417" s="6" t="n">
        <v>20</v>
      </c>
      <c r="S1417" s="11" t="n">
        <v>1</v>
      </c>
      <c r="T1417" s="11"/>
      <c r="U1417" s="11" t="n">
        <v>0.9</v>
      </c>
      <c r="V1417" s="11" t="n">
        <v>0</v>
      </c>
    </row>
    <row r="1418" customFormat="false" ht="15" hidden="false" customHeight="false" outlineLevel="0" collapsed="false">
      <c r="A1418" s="6" t="s">
        <v>48</v>
      </c>
      <c r="B1418" s="6" t="s">
        <v>43</v>
      </c>
      <c r="C1418" s="6" t="s">
        <v>49</v>
      </c>
      <c r="D1418" s="6" t="s">
        <v>115</v>
      </c>
      <c r="E1418" s="6" t="n">
        <v>4</v>
      </c>
      <c r="F1418" s="6" t="n">
        <v>9</v>
      </c>
      <c r="G1418" s="6" t="s">
        <v>76</v>
      </c>
      <c r="H1418" s="11" t="n">
        <v>0.01</v>
      </c>
      <c r="I1418" s="6" t="n">
        <v>20</v>
      </c>
      <c r="J1418" s="6" t="n">
        <v>20</v>
      </c>
      <c r="K1418" s="6" t="n">
        <v>0</v>
      </c>
      <c r="L1418" s="6" t="n">
        <v>0</v>
      </c>
      <c r="M1418" s="6" t="n">
        <v>20</v>
      </c>
      <c r="N1418" s="11" t="n">
        <f aca="false">J1418/(J1418+K1418)</f>
        <v>1</v>
      </c>
      <c r="O1418" s="11" t="n">
        <f aca="false">IF(J1418+L1418=0,"",J1418/(J1418+L1418))</f>
        <v>1</v>
      </c>
      <c r="P1418" s="11" t="n">
        <f aca="false">2*J1418/(2*J1418+L1418+K1418)</f>
        <v>1</v>
      </c>
      <c r="Q1418" s="11" t="n">
        <f aca="false">L1418/(L1418+M1418)</f>
        <v>0</v>
      </c>
      <c r="R1418" s="6" t="n">
        <v>14</v>
      </c>
      <c r="S1418" s="11" t="n">
        <v>1</v>
      </c>
      <c r="T1418" s="11" t="n">
        <v>1</v>
      </c>
      <c r="U1418" s="11" t="n">
        <v>0.95</v>
      </c>
      <c r="V1418" s="11" t="n">
        <v>0.3</v>
      </c>
    </row>
    <row r="1419" customFormat="false" ht="15" hidden="false" customHeight="false" outlineLevel="0" collapsed="false">
      <c r="A1419" s="6" t="s">
        <v>48</v>
      </c>
      <c r="B1419" s="6" t="s">
        <v>43</v>
      </c>
      <c r="C1419" s="6" t="s">
        <v>49</v>
      </c>
      <c r="D1419" s="6" t="s">
        <v>115</v>
      </c>
      <c r="E1419" s="6" t="n">
        <v>4</v>
      </c>
      <c r="F1419" s="6" t="n">
        <v>9</v>
      </c>
      <c r="G1419" s="6" t="s">
        <v>77</v>
      </c>
      <c r="H1419" s="11" t="n">
        <v>0.01</v>
      </c>
      <c r="I1419" s="6" t="n">
        <v>20</v>
      </c>
      <c r="J1419" s="6" t="n">
        <v>20</v>
      </c>
      <c r="K1419" s="6" t="n">
        <v>0</v>
      </c>
      <c r="L1419" s="6" t="n">
        <v>1</v>
      </c>
      <c r="M1419" s="6" t="n">
        <v>19</v>
      </c>
      <c r="N1419" s="11" t="n">
        <f aca="false">J1419/(J1419+K1419)</f>
        <v>1</v>
      </c>
      <c r="O1419" s="11" t="n">
        <f aca="false">IF(J1419+L1419=0,"",J1419/(J1419+L1419))</f>
        <v>0.952380952380952</v>
      </c>
      <c r="P1419" s="11" t="n">
        <f aca="false">2*J1419/(2*J1419+L1419+K1419)</f>
        <v>0.975609756097561</v>
      </c>
      <c r="Q1419" s="11" t="n">
        <f aca="false">L1419/(L1419+M1419)</f>
        <v>0.05</v>
      </c>
      <c r="R1419" s="6" t="n">
        <v>20</v>
      </c>
      <c r="S1419" s="11" t="n">
        <v>1</v>
      </c>
      <c r="T1419" s="11"/>
      <c r="U1419" s="11" t="n">
        <v>1</v>
      </c>
      <c r="V1419" s="11" t="n">
        <v>0</v>
      </c>
    </row>
    <row r="1420" customFormat="false" ht="15" hidden="false" customHeight="false" outlineLevel="0" collapsed="false">
      <c r="A1420" s="6" t="s">
        <v>48</v>
      </c>
      <c r="B1420" s="6" t="s">
        <v>43</v>
      </c>
      <c r="C1420" s="6" t="s">
        <v>49</v>
      </c>
      <c r="D1420" s="6" t="s">
        <v>115</v>
      </c>
      <c r="E1420" s="6" t="n">
        <v>4</v>
      </c>
      <c r="F1420" s="6" t="n">
        <v>9</v>
      </c>
      <c r="G1420" s="6" t="s">
        <v>78</v>
      </c>
      <c r="H1420" s="11" t="n">
        <v>0.01</v>
      </c>
      <c r="I1420" s="6" t="n">
        <v>200</v>
      </c>
      <c r="J1420" s="6" t="n">
        <v>200</v>
      </c>
      <c r="K1420" s="6" t="n">
        <v>0</v>
      </c>
      <c r="L1420" s="6" t="n">
        <v>1</v>
      </c>
      <c r="M1420" s="6" t="n">
        <v>199</v>
      </c>
      <c r="N1420" s="11" t="n">
        <f aca="false">J1420/(J1420+K1420)</f>
        <v>1</v>
      </c>
      <c r="O1420" s="11" t="n">
        <f aca="false">IF(J1420+L1420=0,"",J1420/(J1420+L1420))</f>
        <v>0.995024875621891</v>
      </c>
      <c r="P1420" s="11" t="n">
        <f aca="false">2*J1420/(2*J1420+L1420+K1420)</f>
        <v>0.997506234413965</v>
      </c>
      <c r="Q1420" s="11" t="n">
        <f aca="false">L1420/(L1420+M1420)</f>
        <v>0.005</v>
      </c>
      <c r="R1420" s="6" t="n">
        <v>179</v>
      </c>
      <c r="S1420" s="11" t="n">
        <v>1</v>
      </c>
      <c r="T1420" s="11" t="n">
        <v>1</v>
      </c>
      <c r="U1420" s="11" t="n">
        <v>0.88</v>
      </c>
      <c r="V1420" s="11" t="n">
        <v>0.125</v>
      </c>
    </row>
    <row r="1421" customFormat="false" ht="15" hidden="false" customHeight="false" outlineLevel="0" collapsed="false">
      <c r="A1421" s="6" t="s">
        <v>48</v>
      </c>
      <c r="B1421" s="6" t="s">
        <v>43</v>
      </c>
      <c r="C1421" s="6" t="s">
        <v>49</v>
      </c>
      <c r="D1421" s="6" t="s">
        <v>115</v>
      </c>
      <c r="E1421" s="6" t="n">
        <v>4</v>
      </c>
      <c r="F1421" s="6" t="n">
        <v>10</v>
      </c>
      <c r="G1421" s="6" t="s">
        <v>68</v>
      </c>
      <c r="H1421" s="11" t="n">
        <v>0.01</v>
      </c>
      <c r="I1421" s="6" t="n">
        <v>20</v>
      </c>
      <c r="J1421" s="6" t="n">
        <v>0</v>
      </c>
      <c r="K1421" s="6" t="n">
        <v>20</v>
      </c>
      <c r="L1421" s="6" t="n">
        <v>0</v>
      </c>
      <c r="M1421" s="6" t="n">
        <v>20</v>
      </c>
      <c r="N1421" s="11" t="n">
        <f aca="false">J1421/(J1421+K1421)</f>
        <v>0</v>
      </c>
      <c r="O1421" s="11" t="str">
        <f aca="false">IF(J1421+L1421=0,"",J1421/(J1421+L1421))</f>
        <v/>
      </c>
      <c r="P1421" s="11" t="n">
        <f aca="false">2*J1421/(2*J1421+L1421+K1421)</f>
        <v>0</v>
      </c>
      <c r="Q1421" s="11" t="n">
        <f aca="false">L1421/(L1421+M1421)</f>
        <v>0</v>
      </c>
      <c r="R1421" s="6" t="n">
        <v>0</v>
      </c>
      <c r="S1421" s="11"/>
      <c r="T1421" s="11" t="n">
        <v>0</v>
      </c>
      <c r="U1421" s="11" t="n">
        <v>0.85</v>
      </c>
      <c r="V1421" s="11" t="n">
        <v>0.85</v>
      </c>
    </row>
    <row r="1422" customFormat="false" ht="15" hidden="false" customHeight="false" outlineLevel="0" collapsed="false">
      <c r="A1422" s="6" t="s">
        <v>48</v>
      </c>
      <c r="B1422" s="6" t="s">
        <v>43</v>
      </c>
      <c r="C1422" s="6" t="s">
        <v>49</v>
      </c>
      <c r="D1422" s="6" t="s">
        <v>115</v>
      </c>
      <c r="E1422" s="6" t="n">
        <v>4</v>
      </c>
      <c r="F1422" s="6" t="n">
        <v>10</v>
      </c>
      <c r="G1422" s="6" t="s">
        <v>69</v>
      </c>
      <c r="H1422" s="11" t="n">
        <v>0.01</v>
      </c>
      <c r="I1422" s="6" t="n">
        <v>20</v>
      </c>
      <c r="J1422" s="6" t="n">
        <v>0</v>
      </c>
      <c r="K1422" s="6" t="n">
        <v>20</v>
      </c>
      <c r="L1422" s="6" t="n">
        <v>0</v>
      </c>
      <c r="M1422" s="6" t="n">
        <v>20</v>
      </c>
      <c r="N1422" s="11" t="n">
        <f aca="false">J1422/(J1422+K1422)</f>
        <v>0</v>
      </c>
      <c r="O1422" s="11" t="str">
        <f aca="false">IF(J1422+L1422=0,"",J1422/(J1422+L1422))</f>
        <v/>
      </c>
      <c r="P1422" s="11" t="n">
        <f aca="false">2*J1422/(2*J1422+L1422+K1422)</f>
        <v>0</v>
      </c>
      <c r="Q1422" s="11" t="n">
        <f aca="false">L1422/(L1422+M1422)</f>
        <v>0</v>
      </c>
      <c r="R1422" s="6" t="n">
        <v>0</v>
      </c>
      <c r="S1422" s="11"/>
      <c r="T1422" s="11" t="n">
        <v>0</v>
      </c>
      <c r="U1422" s="11" t="n">
        <v>1</v>
      </c>
      <c r="V1422" s="11" t="n">
        <v>1</v>
      </c>
    </row>
    <row r="1423" customFormat="false" ht="15" hidden="false" customHeight="false" outlineLevel="0" collapsed="false">
      <c r="A1423" s="6" t="s">
        <v>48</v>
      </c>
      <c r="B1423" s="6" t="s">
        <v>43</v>
      </c>
      <c r="C1423" s="6" t="s">
        <v>49</v>
      </c>
      <c r="D1423" s="6" t="s">
        <v>115</v>
      </c>
      <c r="E1423" s="6" t="n">
        <v>4</v>
      </c>
      <c r="F1423" s="6" t="n">
        <v>10</v>
      </c>
      <c r="G1423" s="6" t="s">
        <v>70</v>
      </c>
      <c r="H1423" s="11" t="n">
        <v>0.01</v>
      </c>
      <c r="I1423" s="6" t="n">
        <v>20</v>
      </c>
      <c r="J1423" s="6" t="n">
        <v>0</v>
      </c>
      <c r="K1423" s="6" t="n">
        <v>20</v>
      </c>
      <c r="L1423" s="6" t="n">
        <v>0</v>
      </c>
      <c r="M1423" s="6" t="n">
        <v>20</v>
      </c>
      <c r="N1423" s="11" t="n">
        <f aca="false">J1423/(J1423+K1423)</f>
        <v>0</v>
      </c>
      <c r="O1423" s="11" t="str">
        <f aca="false">IF(J1423+L1423=0,"",J1423/(J1423+L1423))</f>
        <v/>
      </c>
      <c r="P1423" s="11" t="n">
        <f aca="false">2*J1423/(2*J1423+L1423+K1423)</f>
        <v>0</v>
      </c>
      <c r="Q1423" s="11" t="n">
        <f aca="false">L1423/(L1423+M1423)</f>
        <v>0</v>
      </c>
      <c r="R1423" s="6" t="n">
        <v>0</v>
      </c>
      <c r="S1423" s="11"/>
      <c r="T1423" s="11" t="n">
        <v>0</v>
      </c>
      <c r="U1423" s="11" t="n">
        <v>0.9</v>
      </c>
      <c r="V1423" s="11" t="n">
        <v>0.9</v>
      </c>
    </row>
    <row r="1424" customFormat="false" ht="15" hidden="false" customHeight="false" outlineLevel="0" collapsed="false">
      <c r="A1424" s="6" t="s">
        <v>48</v>
      </c>
      <c r="B1424" s="6" t="s">
        <v>43</v>
      </c>
      <c r="C1424" s="6" t="s">
        <v>49</v>
      </c>
      <c r="D1424" s="6" t="s">
        <v>115</v>
      </c>
      <c r="E1424" s="6" t="n">
        <v>4</v>
      </c>
      <c r="F1424" s="6" t="n">
        <v>10</v>
      </c>
      <c r="G1424" s="6" t="s">
        <v>71</v>
      </c>
      <c r="H1424" s="11" t="n">
        <v>0.01</v>
      </c>
      <c r="I1424" s="6" t="n">
        <v>20</v>
      </c>
      <c r="J1424" s="6" t="n">
        <v>0</v>
      </c>
      <c r="K1424" s="6" t="n">
        <v>20</v>
      </c>
      <c r="L1424" s="6" t="n">
        <v>0</v>
      </c>
      <c r="M1424" s="6" t="n">
        <v>20</v>
      </c>
      <c r="N1424" s="11" t="n">
        <f aca="false">J1424/(J1424+K1424)</f>
        <v>0</v>
      </c>
      <c r="O1424" s="11" t="str">
        <f aca="false">IF(J1424+L1424=0,"",J1424/(J1424+L1424))</f>
        <v/>
      </c>
      <c r="P1424" s="11" t="n">
        <f aca="false">2*J1424/(2*J1424+L1424+K1424)</f>
        <v>0</v>
      </c>
      <c r="Q1424" s="11" t="n">
        <f aca="false">L1424/(L1424+M1424)</f>
        <v>0</v>
      </c>
      <c r="R1424" s="6" t="n">
        <v>0</v>
      </c>
      <c r="S1424" s="11"/>
      <c r="T1424" s="11" t="n">
        <v>0</v>
      </c>
      <c r="U1424" s="11" t="n">
        <v>0.8</v>
      </c>
      <c r="V1424" s="11" t="n">
        <v>0.8</v>
      </c>
    </row>
    <row r="1425" customFormat="false" ht="15" hidden="false" customHeight="false" outlineLevel="0" collapsed="false">
      <c r="A1425" s="6" t="s">
        <v>48</v>
      </c>
      <c r="B1425" s="6" t="s">
        <v>43</v>
      </c>
      <c r="C1425" s="6" t="s">
        <v>49</v>
      </c>
      <c r="D1425" s="6" t="s">
        <v>115</v>
      </c>
      <c r="E1425" s="6" t="n">
        <v>4</v>
      </c>
      <c r="F1425" s="6" t="n">
        <v>10</v>
      </c>
      <c r="G1425" s="6" t="s">
        <v>72</v>
      </c>
      <c r="H1425" s="11" t="n">
        <v>0.01</v>
      </c>
      <c r="I1425" s="6" t="n">
        <v>20</v>
      </c>
      <c r="J1425" s="6" t="n">
        <v>0</v>
      </c>
      <c r="K1425" s="6" t="n">
        <v>20</v>
      </c>
      <c r="L1425" s="6" t="n">
        <v>0</v>
      </c>
      <c r="M1425" s="6" t="n">
        <v>20</v>
      </c>
      <c r="N1425" s="11" t="n">
        <f aca="false">J1425/(J1425+K1425)</f>
        <v>0</v>
      </c>
      <c r="O1425" s="11" t="str">
        <f aca="false">IF(J1425+L1425=0,"",J1425/(J1425+L1425))</f>
        <v/>
      </c>
      <c r="P1425" s="11" t="n">
        <f aca="false">2*J1425/(2*J1425+L1425+K1425)</f>
        <v>0</v>
      </c>
      <c r="Q1425" s="11" t="n">
        <f aca="false">L1425/(L1425+M1425)</f>
        <v>0</v>
      </c>
      <c r="R1425" s="6" t="n">
        <v>0</v>
      </c>
      <c r="S1425" s="11"/>
      <c r="T1425" s="11" t="n">
        <v>0</v>
      </c>
      <c r="U1425" s="11" t="n">
        <v>0.9</v>
      </c>
      <c r="V1425" s="11" t="n">
        <v>0.9</v>
      </c>
    </row>
    <row r="1426" customFormat="false" ht="15" hidden="false" customHeight="false" outlineLevel="0" collapsed="false">
      <c r="A1426" s="6" t="s">
        <v>48</v>
      </c>
      <c r="B1426" s="6" t="s">
        <v>43</v>
      </c>
      <c r="C1426" s="6" t="s">
        <v>49</v>
      </c>
      <c r="D1426" s="6" t="s">
        <v>115</v>
      </c>
      <c r="E1426" s="6" t="n">
        <v>4</v>
      </c>
      <c r="F1426" s="6" t="n">
        <v>10</v>
      </c>
      <c r="G1426" s="6" t="s">
        <v>73</v>
      </c>
      <c r="H1426" s="11" t="n">
        <v>0.01</v>
      </c>
      <c r="I1426" s="6" t="n">
        <v>20</v>
      </c>
      <c r="J1426" s="6" t="n">
        <v>0</v>
      </c>
      <c r="K1426" s="6" t="n">
        <v>20</v>
      </c>
      <c r="L1426" s="6" t="n">
        <v>0</v>
      </c>
      <c r="M1426" s="6" t="n">
        <v>20</v>
      </c>
      <c r="N1426" s="11" t="n">
        <f aca="false">J1426/(J1426+K1426)</f>
        <v>0</v>
      </c>
      <c r="O1426" s="11" t="str">
        <f aca="false">IF(J1426+L1426=0,"",J1426/(J1426+L1426))</f>
        <v/>
      </c>
      <c r="P1426" s="11" t="n">
        <f aca="false">2*J1426/(2*J1426+L1426+K1426)</f>
        <v>0</v>
      </c>
      <c r="Q1426" s="11" t="n">
        <f aca="false">L1426/(L1426+M1426)</f>
        <v>0</v>
      </c>
      <c r="R1426" s="6" t="n">
        <v>0</v>
      </c>
      <c r="S1426" s="11"/>
      <c r="T1426" s="11" t="n">
        <v>0</v>
      </c>
      <c r="U1426" s="11" t="n">
        <v>0.65</v>
      </c>
      <c r="V1426" s="11" t="n">
        <v>0.65</v>
      </c>
    </row>
    <row r="1427" customFormat="false" ht="15" hidden="false" customHeight="false" outlineLevel="0" collapsed="false">
      <c r="A1427" s="6" t="s">
        <v>48</v>
      </c>
      <c r="B1427" s="6" t="s">
        <v>43</v>
      </c>
      <c r="C1427" s="6" t="s">
        <v>49</v>
      </c>
      <c r="D1427" s="6" t="s">
        <v>115</v>
      </c>
      <c r="E1427" s="6" t="n">
        <v>4</v>
      </c>
      <c r="F1427" s="6" t="n">
        <v>10</v>
      </c>
      <c r="G1427" s="6" t="s">
        <v>74</v>
      </c>
      <c r="H1427" s="11" t="n">
        <v>0.01</v>
      </c>
      <c r="I1427" s="6" t="n">
        <v>20</v>
      </c>
      <c r="J1427" s="6" t="n">
        <v>0</v>
      </c>
      <c r="K1427" s="6" t="n">
        <v>20</v>
      </c>
      <c r="L1427" s="6" t="n">
        <v>0</v>
      </c>
      <c r="M1427" s="6" t="n">
        <v>20</v>
      </c>
      <c r="N1427" s="11" t="n">
        <f aca="false">J1427/(J1427+K1427)</f>
        <v>0</v>
      </c>
      <c r="O1427" s="11" t="str">
        <f aca="false">IF(J1427+L1427=0,"",J1427/(J1427+L1427))</f>
        <v/>
      </c>
      <c r="P1427" s="11" t="n">
        <f aca="false">2*J1427/(2*J1427+L1427+K1427)</f>
        <v>0</v>
      </c>
      <c r="Q1427" s="11" t="n">
        <f aca="false">L1427/(L1427+M1427)</f>
        <v>0</v>
      </c>
      <c r="R1427" s="6" t="n">
        <v>0</v>
      </c>
      <c r="S1427" s="11"/>
      <c r="T1427" s="11" t="n">
        <v>0</v>
      </c>
      <c r="U1427" s="11" t="n">
        <v>0.85</v>
      </c>
      <c r="V1427" s="11" t="n">
        <v>0.85</v>
      </c>
    </row>
    <row r="1428" customFormat="false" ht="15" hidden="false" customHeight="false" outlineLevel="0" collapsed="false">
      <c r="A1428" s="6" t="s">
        <v>48</v>
      </c>
      <c r="B1428" s="6" t="s">
        <v>43</v>
      </c>
      <c r="C1428" s="6" t="s">
        <v>49</v>
      </c>
      <c r="D1428" s="6" t="s">
        <v>115</v>
      </c>
      <c r="E1428" s="6" t="n">
        <v>4</v>
      </c>
      <c r="F1428" s="6" t="n">
        <v>10</v>
      </c>
      <c r="G1428" s="6" t="s">
        <v>75</v>
      </c>
      <c r="H1428" s="11" t="n">
        <v>0.01</v>
      </c>
      <c r="I1428" s="6" t="n">
        <v>20</v>
      </c>
      <c r="J1428" s="6" t="n">
        <v>0</v>
      </c>
      <c r="K1428" s="6" t="n">
        <v>20</v>
      </c>
      <c r="L1428" s="6" t="n">
        <v>0</v>
      </c>
      <c r="M1428" s="6" t="n">
        <v>20</v>
      </c>
      <c r="N1428" s="11" t="n">
        <f aca="false">J1428/(J1428+K1428)</f>
        <v>0</v>
      </c>
      <c r="O1428" s="11" t="str">
        <f aca="false">IF(J1428+L1428=0,"",J1428/(J1428+L1428))</f>
        <v/>
      </c>
      <c r="P1428" s="11" t="n">
        <f aca="false">2*J1428/(2*J1428+L1428+K1428)</f>
        <v>0</v>
      </c>
      <c r="Q1428" s="11" t="n">
        <f aca="false">L1428/(L1428+M1428)</f>
        <v>0</v>
      </c>
      <c r="R1428" s="6" t="n">
        <v>0</v>
      </c>
      <c r="S1428" s="11"/>
      <c r="T1428" s="11" t="n">
        <v>0</v>
      </c>
      <c r="U1428" s="11" t="n">
        <v>0.9</v>
      </c>
      <c r="V1428" s="11" t="n">
        <v>0.9</v>
      </c>
    </row>
    <row r="1429" customFormat="false" ht="15" hidden="false" customHeight="false" outlineLevel="0" collapsed="false">
      <c r="A1429" s="6" t="s">
        <v>48</v>
      </c>
      <c r="B1429" s="6" t="s">
        <v>43</v>
      </c>
      <c r="C1429" s="6" t="s">
        <v>49</v>
      </c>
      <c r="D1429" s="6" t="s">
        <v>115</v>
      </c>
      <c r="E1429" s="6" t="n">
        <v>4</v>
      </c>
      <c r="F1429" s="6" t="n">
        <v>10</v>
      </c>
      <c r="G1429" s="6" t="s">
        <v>76</v>
      </c>
      <c r="H1429" s="11" t="n">
        <v>0.01</v>
      </c>
      <c r="I1429" s="6" t="n">
        <v>20</v>
      </c>
      <c r="J1429" s="6" t="n">
        <v>0</v>
      </c>
      <c r="K1429" s="6" t="n">
        <v>20</v>
      </c>
      <c r="L1429" s="6" t="n">
        <v>0</v>
      </c>
      <c r="M1429" s="6" t="n">
        <v>20</v>
      </c>
      <c r="N1429" s="11" t="n">
        <f aca="false">J1429/(J1429+K1429)</f>
        <v>0</v>
      </c>
      <c r="O1429" s="11" t="str">
        <f aca="false">IF(J1429+L1429=0,"",J1429/(J1429+L1429))</f>
        <v/>
      </c>
      <c r="P1429" s="11" t="n">
        <f aca="false">2*J1429/(2*J1429+L1429+K1429)</f>
        <v>0</v>
      </c>
      <c r="Q1429" s="11" t="n">
        <f aca="false">L1429/(L1429+M1429)</f>
        <v>0</v>
      </c>
      <c r="R1429" s="6" t="n">
        <v>0</v>
      </c>
      <c r="S1429" s="11"/>
      <c r="T1429" s="11" t="n">
        <v>0</v>
      </c>
      <c r="U1429" s="11" t="n">
        <v>0.95</v>
      </c>
      <c r="V1429" s="11" t="n">
        <v>0.95</v>
      </c>
    </row>
    <row r="1430" customFormat="false" ht="15" hidden="false" customHeight="false" outlineLevel="0" collapsed="false">
      <c r="A1430" s="6" t="s">
        <v>48</v>
      </c>
      <c r="B1430" s="6" t="s">
        <v>43</v>
      </c>
      <c r="C1430" s="6" t="s">
        <v>49</v>
      </c>
      <c r="D1430" s="6" t="s">
        <v>115</v>
      </c>
      <c r="E1430" s="6" t="n">
        <v>4</v>
      </c>
      <c r="F1430" s="6" t="n">
        <v>10</v>
      </c>
      <c r="G1430" s="6" t="s">
        <v>77</v>
      </c>
      <c r="H1430" s="11" t="n">
        <v>0.01</v>
      </c>
      <c r="I1430" s="6" t="n">
        <v>20</v>
      </c>
      <c r="J1430" s="6" t="n">
        <v>1</v>
      </c>
      <c r="K1430" s="6" t="n">
        <v>19</v>
      </c>
      <c r="L1430" s="6" t="n">
        <v>1</v>
      </c>
      <c r="M1430" s="6" t="n">
        <v>19</v>
      </c>
      <c r="N1430" s="11" t="n">
        <f aca="false">J1430/(J1430+K1430)</f>
        <v>0.05</v>
      </c>
      <c r="O1430" s="11" t="n">
        <f aca="false">IF(J1430+L1430=0,"",J1430/(J1430+L1430))</f>
        <v>0.5</v>
      </c>
      <c r="P1430" s="11" t="n">
        <f aca="false">2*J1430/(2*J1430+L1430+K1430)</f>
        <v>0.0909090909090909</v>
      </c>
      <c r="Q1430" s="11" t="n">
        <f aca="false">L1430/(L1430+M1430)</f>
        <v>0.05</v>
      </c>
      <c r="R1430" s="6" t="n">
        <v>0</v>
      </c>
      <c r="S1430" s="11"/>
      <c r="T1430" s="11" t="n">
        <v>0.05</v>
      </c>
      <c r="U1430" s="11" t="n">
        <v>1</v>
      </c>
      <c r="V1430" s="11" t="n">
        <v>1</v>
      </c>
    </row>
    <row r="1431" customFormat="false" ht="15" hidden="false" customHeight="false" outlineLevel="0" collapsed="false">
      <c r="A1431" s="6" t="s">
        <v>48</v>
      </c>
      <c r="B1431" s="6" t="s">
        <v>43</v>
      </c>
      <c r="C1431" s="6" t="s">
        <v>49</v>
      </c>
      <c r="D1431" s="6" t="s">
        <v>115</v>
      </c>
      <c r="E1431" s="6" t="n">
        <v>4</v>
      </c>
      <c r="F1431" s="6" t="n">
        <v>10</v>
      </c>
      <c r="G1431" s="6" t="s">
        <v>78</v>
      </c>
      <c r="H1431" s="11" t="n">
        <v>0.01</v>
      </c>
      <c r="I1431" s="6" t="n">
        <v>200</v>
      </c>
      <c r="J1431" s="6" t="n">
        <v>1</v>
      </c>
      <c r="K1431" s="6" t="n">
        <v>199</v>
      </c>
      <c r="L1431" s="6" t="n">
        <v>1</v>
      </c>
      <c r="M1431" s="6" t="n">
        <v>199</v>
      </c>
      <c r="N1431" s="11" t="n">
        <f aca="false">J1431/(J1431+K1431)</f>
        <v>0.005</v>
      </c>
      <c r="O1431" s="11" t="n">
        <f aca="false">IF(J1431+L1431=0,"",J1431/(J1431+L1431))</f>
        <v>0.5</v>
      </c>
      <c r="P1431" s="11" t="n">
        <f aca="false">2*J1431/(2*J1431+L1431+K1431)</f>
        <v>0.0099009900990099</v>
      </c>
      <c r="Q1431" s="11" t="n">
        <f aca="false">L1431/(L1431+M1431)</f>
        <v>0.005</v>
      </c>
      <c r="R1431" s="6" t="n">
        <v>0</v>
      </c>
      <c r="S1431" s="11"/>
      <c r="T1431" s="11" t="n">
        <v>0.005</v>
      </c>
      <c r="U1431" s="11" t="n">
        <v>0.88</v>
      </c>
      <c r="V1431" s="11" t="n">
        <v>0.88</v>
      </c>
    </row>
    <row r="1432" customFormat="false" ht="15" hidden="false" customHeight="false" outlineLevel="0" collapsed="false">
      <c r="A1432" s="6" t="s">
        <v>50</v>
      </c>
      <c r="B1432" s="6" t="s">
        <v>43</v>
      </c>
      <c r="C1432" s="6" t="s">
        <v>51</v>
      </c>
      <c r="D1432" s="6" t="s">
        <v>115</v>
      </c>
      <c r="E1432" s="6" t="n">
        <v>1</v>
      </c>
      <c r="F1432" s="6" t="n">
        <v>1</v>
      </c>
      <c r="G1432" s="6" t="s">
        <v>68</v>
      </c>
      <c r="H1432" s="11" t="n">
        <v>0.01</v>
      </c>
      <c r="I1432" s="6" t="n">
        <v>20</v>
      </c>
      <c r="J1432" s="6" t="n">
        <v>0</v>
      </c>
      <c r="K1432" s="6" t="n">
        <v>20</v>
      </c>
      <c r="L1432" s="6" t="n">
        <v>0</v>
      </c>
      <c r="M1432" s="6" t="n">
        <v>20</v>
      </c>
      <c r="N1432" s="11" t="n">
        <f aca="false">J1432/(J1432+K1432)</f>
        <v>0</v>
      </c>
      <c r="O1432" s="11" t="str">
        <f aca="false">IF(J1432+L1432=0,"",J1432/(J1432+L1432))</f>
        <v/>
      </c>
      <c r="P1432" s="11" t="n">
        <f aca="false">2*J1432/(2*J1432+L1432+K1432)</f>
        <v>0</v>
      </c>
      <c r="Q1432" s="11" t="n">
        <f aca="false">L1432/(L1432+M1432)</f>
        <v>0</v>
      </c>
      <c r="R1432" s="6" t="n">
        <v>0</v>
      </c>
      <c r="S1432" s="11"/>
      <c r="T1432" s="11" t="n">
        <v>0</v>
      </c>
      <c r="U1432" s="11" t="n">
        <v>0.85</v>
      </c>
      <c r="V1432" s="11" t="n">
        <v>0.85</v>
      </c>
    </row>
    <row r="1433" customFormat="false" ht="15" hidden="false" customHeight="false" outlineLevel="0" collapsed="false">
      <c r="A1433" s="6" t="s">
        <v>50</v>
      </c>
      <c r="B1433" s="6" t="s">
        <v>43</v>
      </c>
      <c r="C1433" s="6" t="s">
        <v>51</v>
      </c>
      <c r="D1433" s="6" t="s">
        <v>115</v>
      </c>
      <c r="E1433" s="6" t="n">
        <v>1</v>
      </c>
      <c r="F1433" s="6" t="n">
        <v>1</v>
      </c>
      <c r="G1433" s="6" t="s">
        <v>69</v>
      </c>
      <c r="H1433" s="11" t="n">
        <v>0.01</v>
      </c>
      <c r="I1433" s="6" t="n">
        <v>20</v>
      </c>
      <c r="J1433" s="6" t="n">
        <v>0</v>
      </c>
      <c r="K1433" s="6" t="n">
        <v>20</v>
      </c>
      <c r="L1433" s="6" t="n">
        <v>0</v>
      </c>
      <c r="M1433" s="6" t="n">
        <v>20</v>
      </c>
      <c r="N1433" s="11" t="n">
        <f aca="false">J1433/(J1433+K1433)</f>
        <v>0</v>
      </c>
      <c r="O1433" s="11" t="str">
        <f aca="false">IF(J1433+L1433=0,"",J1433/(J1433+L1433))</f>
        <v/>
      </c>
      <c r="P1433" s="11" t="n">
        <f aca="false">2*J1433/(2*J1433+L1433+K1433)</f>
        <v>0</v>
      </c>
      <c r="Q1433" s="11" t="n">
        <f aca="false">L1433/(L1433+M1433)</f>
        <v>0</v>
      </c>
      <c r="R1433" s="6" t="n">
        <v>0</v>
      </c>
      <c r="S1433" s="11"/>
      <c r="T1433" s="11" t="n">
        <v>0</v>
      </c>
      <c r="U1433" s="11" t="n">
        <v>1</v>
      </c>
      <c r="V1433" s="11" t="n">
        <v>1</v>
      </c>
    </row>
    <row r="1434" customFormat="false" ht="15" hidden="false" customHeight="false" outlineLevel="0" collapsed="false">
      <c r="A1434" s="6" t="s">
        <v>50</v>
      </c>
      <c r="B1434" s="6" t="s">
        <v>43</v>
      </c>
      <c r="C1434" s="6" t="s">
        <v>51</v>
      </c>
      <c r="D1434" s="6" t="s">
        <v>115</v>
      </c>
      <c r="E1434" s="6" t="n">
        <v>1</v>
      </c>
      <c r="F1434" s="6" t="n">
        <v>1</v>
      </c>
      <c r="G1434" s="6" t="s">
        <v>70</v>
      </c>
      <c r="H1434" s="11" t="n">
        <v>0.01</v>
      </c>
      <c r="I1434" s="6" t="n">
        <v>20</v>
      </c>
      <c r="J1434" s="6" t="n">
        <v>0</v>
      </c>
      <c r="K1434" s="6" t="n">
        <v>20</v>
      </c>
      <c r="L1434" s="6" t="n">
        <v>0</v>
      </c>
      <c r="M1434" s="6" t="n">
        <v>20</v>
      </c>
      <c r="N1434" s="11" t="n">
        <f aca="false">J1434/(J1434+K1434)</f>
        <v>0</v>
      </c>
      <c r="O1434" s="11" t="str">
        <f aca="false">IF(J1434+L1434=0,"",J1434/(J1434+L1434))</f>
        <v/>
      </c>
      <c r="P1434" s="11" t="n">
        <f aca="false">2*J1434/(2*J1434+L1434+K1434)</f>
        <v>0</v>
      </c>
      <c r="Q1434" s="11" t="n">
        <f aca="false">L1434/(L1434+M1434)</f>
        <v>0</v>
      </c>
      <c r="R1434" s="6" t="n">
        <v>0</v>
      </c>
      <c r="S1434" s="11"/>
      <c r="T1434" s="11" t="n">
        <v>0</v>
      </c>
      <c r="U1434" s="11" t="n">
        <v>0.9</v>
      </c>
      <c r="V1434" s="11" t="n">
        <v>0.9</v>
      </c>
    </row>
    <row r="1435" customFormat="false" ht="15" hidden="false" customHeight="false" outlineLevel="0" collapsed="false">
      <c r="A1435" s="6" t="s">
        <v>50</v>
      </c>
      <c r="B1435" s="6" t="s">
        <v>43</v>
      </c>
      <c r="C1435" s="6" t="s">
        <v>51</v>
      </c>
      <c r="D1435" s="6" t="s">
        <v>115</v>
      </c>
      <c r="E1435" s="6" t="n">
        <v>1</v>
      </c>
      <c r="F1435" s="6" t="n">
        <v>1</v>
      </c>
      <c r="G1435" s="6" t="s">
        <v>71</v>
      </c>
      <c r="H1435" s="11" t="n">
        <v>0.01</v>
      </c>
      <c r="I1435" s="6" t="n">
        <v>20</v>
      </c>
      <c r="J1435" s="6" t="n">
        <v>0</v>
      </c>
      <c r="K1435" s="6" t="n">
        <v>20</v>
      </c>
      <c r="L1435" s="6" t="n">
        <v>0</v>
      </c>
      <c r="M1435" s="6" t="n">
        <v>20</v>
      </c>
      <c r="N1435" s="11" t="n">
        <f aca="false">J1435/(J1435+K1435)</f>
        <v>0</v>
      </c>
      <c r="O1435" s="11" t="str">
        <f aca="false">IF(J1435+L1435=0,"",J1435/(J1435+L1435))</f>
        <v/>
      </c>
      <c r="P1435" s="11" t="n">
        <f aca="false">2*J1435/(2*J1435+L1435+K1435)</f>
        <v>0</v>
      </c>
      <c r="Q1435" s="11" t="n">
        <f aca="false">L1435/(L1435+M1435)</f>
        <v>0</v>
      </c>
      <c r="R1435" s="6" t="n">
        <v>0</v>
      </c>
      <c r="S1435" s="11"/>
      <c r="T1435" s="11" t="n">
        <v>0</v>
      </c>
      <c r="U1435" s="11" t="n">
        <v>0.8</v>
      </c>
      <c r="V1435" s="11" t="n">
        <v>0.8</v>
      </c>
    </row>
    <row r="1436" customFormat="false" ht="15" hidden="false" customHeight="false" outlineLevel="0" collapsed="false">
      <c r="A1436" s="6" t="s">
        <v>50</v>
      </c>
      <c r="B1436" s="6" t="s">
        <v>43</v>
      </c>
      <c r="C1436" s="6" t="s">
        <v>51</v>
      </c>
      <c r="D1436" s="6" t="s">
        <v>115</v>
      </c>
      <c r="E1436" s="6" t="n">
        <v>1</v>
      </c>
      <c r="F1436" s="6" t="n">
        <v>1</v>
      </c>
      <c r="G1436" s="6" t="s">
        <v>72</v>
      </c>
      <c r="H1436" s="11" t="n">
        <v>0.01</v>
      </c>
      <c r="I1436" s="6" t="n">
        <v>20</v>
      </c>
      <c r="J1436" s="6" t="n">
        <v>0</v>
      </c>
      <c r="K1436" s="6" t="n">
        <v>20</v>
      </c>
      <c r="L1436" s="6" t="n">
        <v>0</v>
      </c>
      <c r="M1436" s="6" t="n">
        <v>20</v>
      </c>
      <c r="N1436" s="11" t="n">
        <f aca="false">J1436/(J1436+K1436)</f>
        <v>0</v>
      </c>
      <c r="O1436" s="11" t="str">
        <f aca="false">IF(J1436+L1436=0,"",J1436/(J1436+L1436))</f>
        <v/>
      </c>
      <c r="P1436" s="11" t="n">
        <f aca="false">2*J1436/(2*J1436+L1436+K1436)</f>
        <v>0</v>
      </c>
      <c r="Q1436" s="11" t="n">
        <f aca="false">L1436/(L1436+M1436)</f>
        <v>0</v>
      </c>
      <c r="R1436" s="6" t="n">
        <v>0</v>
      </c>
      <c r="S1436" s="11"/>
      <c r="T1436" s="11" t="n">
        <v>0</v>
      </c>
      <c r="U1436" s="11" t="n">
        <v>0.9</v>
      </c>
      <c r="V1436" s="11" t="n">
        <v>0.9</v>
      </c>
    </row>
    <row r="1437" customFormat="false" ht="15" hidden="false" customHeight="false" outlineLevel="0" collapsed="false">
      <c r="A1437" s="6" t="s">
        <v>50</v>
      </c>
      <c r="B1437" s="6" t="s">
        <v>43</v>
      </c>
      <c r="C1437" s="6" t="s">
        <v>51</v>
      </c>
      <c r="D1437" s="6" t="s">
        <v>115</v>
      </c>
      <c r="E1437" s="6" t="n">
        <v>1</v>
      </c>
      <c r="F1437" s="6" t="n">
        <v>1</v>
      </c>
      <c r="G1437" s="6" t="s">
        <v>73</v>
      </c>
      <c r="H1437" s="11" t="n">
        <v>0.01</v>
      </c>
      <c r="I1437" s="6" t="n">
        <v>20</v>
      </c>
      <c r="J1437" s="6" t="n">
        <v>0</v>
      </c>
      <c r="K1437" s="6" t="n">
        <v>20</v>
      </c>
      <c r="L1437" s="6" t="n">
        <v>0</v>
      </c>
      <c r="M1437" s="6" t="n">
        <v>20</v>
      </c>
      <c r="N1437" s="11" t="n">
        <f aca="false">J1437/(J1437+K1437)</f>
        <v>0</v>
      </c>
      <c r="O1437" s="11" t="str">
        <f aca="false">IF(J1437+L1437=0,"",J1437/(J1437+L1437))</f>
        <v/>
      </c>
      <c r="P1437" s="11" t="n">
        <f aca="false">2*J1437/(2*J1437+L1437+K1437)</f>
        <v>0</v>
      </c>
      <c r="Q1437" s="11" t="n">
        <f aca="false">L1437/(L1437+M1437)</f>
        <v>0</v>
      </c>
      <c r="R1437" s="6" t="n">
        <v>0</v>
      </c>
      <c r="S1437" s="11"/>
      <c r="T1437" s="11" t="n">
        <v>0</v>
      </c>
      <c r="U1437" s="11" t="n">
        <v>0.65</v>
      </c>
      <c r="V1437" s="11" t="n">
        <v>0.65</v>
      </c>
    </row>
    <row r="1438" customFormat="false" ht="15" hidden="false" customHeight="false" outlineLevel="0" collapsed="false">
      <c r="A1438" s="6" t="s">
        <v>50</v>
      </c>
      <c r="B1438" s="6" t="s">
        <v>43</v>
      </c>
      <c r="C1438" s="6" t="s">
        <v>51</v>
      </c>
      <c r="D1438" s="6" t="s">
        <v>115</v>
      </c>
      <c r="E1438" s="6" t="n">
        <v>1</v>
      </c>
      <c r="F1438" s="6" t="n">
        <v>1</v>
      </c>
      <c r="G1438" s="6" t="s">
        <v>74</v>
      </c>
      <c r="H1438" s="11" t="n">
        <v>0.01</v>
      </c>
      <c r="I1438" s="6" t="n">
        <v>20</v>
      </c>
      <c r="J1438" s="6" t="n">
        <v>0</v>
      </c>
      <c r="K1438" s="6" t="n">
        <v>20</v>
      </c>
      <c r="L1438" s="6" t="n">
        <v>0</v>
      </c>
      <c r="M1438" s="6" t="n">
        <v>20</v>
      </c>
      <c r="N1438" s="11" t="n">
        <f aca="false">J1438/(J1438+K1438)</f>
        <v>0</v>
      </c>
      <c r="O1438" s="11" t="str">
        <f aca="false">IF(J1438+L1438=0,"",J1438/(J1438+L1438))</f>
        <v/>
      </c>
      <c r="P1438" s="11" t="n">
        <f aca="false">2*J1438/(2*J1438+L1438+K1438)</f>
        <v>0</v>
      </c>
      <c r="Q1438" s="11" t="n">
        <f aca="false">L1438/(L1438+M1438)</f>
        <v>0</v>
      </c>
      <c r="R1438" s="6" t="n">
        <v>0</v>
      </c>
      <c r="S1438" s="11"/>
      <c r="T1438" s="11" t="n">
        <v>0</v>
      </c>
      <c r="U1438" s="11" t="n">
        <v>0.85</v>
      </c>
      <c r="V1438" s="11" t="n">
        <v>0.85</v>
      </c>
    </row>
    <row r="1439" customFormat="false" ht="15" hidden="false" customHeight="false" outlineLevel="0" collapsed="false">
      <c r="A1439" s="6" t="s">
        <v>50</v>
      </c>
      <c r="B1439" s="6" t="s">
        <v>43</v>
      </c>
      <c r="C1439" s="6" t="s">
        <v>51</v>
      </c>
      <c r="D1439" s="6" t="s">
        <v>115</v>
      </c>
      <c r="E1439" s="6" t="n">
        <v>1</v>
      </c>
      <c r="F1439" s="6" t="n">
        <v>1</v>
      </c>
      <c r="G1439" s="6" t="s">
        <v>75</v>
      </c>
      <c r="H1439" s="11" t="n">
        <v>0.01</v>
      </c>
      <c r="I1439" s="6" t="n">
        <v>20</v>
      </c>
      <c r="J1439" s="6" t="n">
        <v>0</v>
      </c>
      <c r="K1439" s="6" t="n">
        <v>20</v>
      </c>
      <c r="L1439" s="6" t="n">
        <v>0</v>
      </c>
      <c r="M1439" s="6" t="n">
        <v>20</v>
      </c>
      <c r="N1439" s="11" t="n">
        <f aca="false">J1439/(J1439+K1439)</f>
        <v>0</v>
      </c>
      <c r="O1439" s="11" t="str">
        <f aca="false">IF(J1439+L1439=0,"",J1439/(J1439+L1439))</f>
        <v/>
      </c>
      <c r="P1439" s="11" t="n">
        <f aca="false">2*J1439/(2*J1439+L1439+K1439)</f>
        <v>0</v>
      </c>
      <c r="Q1439" s="11" t="n">
        <f aca="false">L1439/(L1439+M1439)</f>
        <v>0</v>
      </c>
      <c r="R1439" s="6" t="n">
        <v>0</v>
      </c>
      <c r="S1439" s="11"/>
      <c r="T1439" s="11" t="n">
        <v>0</v>
      </c>
      <c r="U1439" s="11" t="n">
        <v>0.9</v>
      </c>
      <c r="V1439" s="11" t="n">
        <v>0.9</v>
      </c>
    </row>
    <row r="1440" customFormat="false" ht="15" hidden="false" customHeight="false" outlineLevel="0" collapsed="false">
      <c r="A1440" s="6" t="s">
        <v>50</v>
      </c>
      <c r="B1440" s="6" t="s">
        <v>43</v>
      </c>
      <c r="C1440" s="6" t="s">
        <v>51</v>
      </c>
      <c r="D1440" s="6" t="s">
        <v>115</v>
      </c>
      <c r="E1440" s="6" t="n">
        <v>1</v>
      </c>
      <c r="F1440" s="6" t="n">
        <v>1</v>
      </c>
      <c r="G1440" s="6" t="s">
        <v>76</v>
      </c>
      <c r="H1440" s="11" t="n">
        <v>0.01</v>
      </c>
      <c r="I1440" s="6" t="n">
        <v>20</v>
      </c>
      <c r="J1440" s="6" t="n">
        <v>0</v>
      </c>
      <c r="K1440" s="6" t="n">
        <v>20</v>
      </c>
      <c r="L1440" s="6" t="n">
        <v>0</v>
      </c>
      <c r="M1440" s="6" t="n">
        <v>20</v>
      </c>
      <c r="N1440" s="11" t="n">
        <f aca="false">J1440/(J1440+K1440)</f>
        <v>0</v>
      </c>
      <c r="O1440" s="11" t="str">
        <f aca="false">IF(J1440+L1440=0,"",J1440/(J1440+L1440))</f>
        <v/>
      </c>
      <c r="P1440" s="11" t="n">
        <f aca="false">2*J1440/(2*J1440+L1440+K1440)</f>
        <v>0</v>
      </c>
      <c r="Q1440" s="11" t="n">
        <f aca="false">L1440/(L1440+M1440)</f>
        <v>0</v>
      </c>
      <c r="R1440" s="6" t="n">
        <v>0</v>
      </c>
      <c r="S1440" s="11"/>
      <c r="T1440" s="11" t="n">
        <v>0</v>
      </c>
      <c r="U1440" s="11" t="n">
        <v>0.95</v>
      </c>
      <c r="V1440" s="11" t="n">
        <v>0.95</v>
      </c>
    </row>
    <row r="1441" customFormat="false" ht="15" hidden="false" customHeight="false" outlineLevel="0" collapsed="false">
      <c r="A1441" s="6" t="s">
        <v>50</v>
      </c>
      <c r="B1441" s="6" t="s">
        <v>43</v>
      </c>
      <c r="C1441" s="6" t="s">
        <v>51</v>
      </c>
      <c r="D1441" s="6" t="s">
        <v>115</v>
      </c>
      <c r="E1441" s="6" t="n">
        <v>1</v>
      </c>
      <c r="F1441" s="6" t="n">
        <v>1</v>
      </c>
      <c r="G1441" s="6" t="s">
        <v>77</v>
      </c>
      <c r="H1441" s="11" t="n">
        <v>0.01</v>
      </c>
      <c r="I1441" s="6" t="n">
        <v>20</v>
      </c>
      <c r="J1441" s="6" t="n">
        <v>1</v>
      </c>
      <c r="K1441" s="6" t="n">
        <v>19</v>
      </c>
      <c r="L1441" s="6" t="n">
        <v>1</v>
      </c>
      <c r="M1441" s="6" t="n">
        <v>19</v>
      </c>
      <c r="N1441" s="11" t="n">
        <f aca="false">J1441/(J1441+K1441)</f>
        <v>0.05</v>
      </c>
      <c r="O1441" s="11" t="n">
        <f aca="false">IF(J1441+L1441=0,"",J1441/(J1441+L1441))</f>
        <v>0.5</v>
      </c>
      <c r="P1441" s="11" t="n">
        <f aca="false">2*J1441/(2*J1441+L1441+K1441)</f>
        <v>0.0909090909090909</v>
      </c>
      <c r="Q1441" s="11" t="n">
        <f aca="false">L1441/(L1441+M1441)</f>
        <v>0.05</v>
      </c>
      <c r="R1441" s="6" t="n">
        <v>0</v>
      </c>
      <c r="S1441" s="11"/>
      <c r="T1441" s="11" t="n">
        <v>0.05</v>
      </c>
      <c r="U1441" s="11" t="n">
        <v>1</v>
      </c>
      <c r="V1441" s="11" t="n">
        <v>1</v>
      </c>
    </row>
    <row r="1442" customFormat="false" ht="15" hidden="false" customHeight="false" outlineLevel="0" collapsed="false">
      <c r="A1442" s="6" t="s">
        <v>50</v>
      </c>
      <c r="B1442" s="6" t="s">
        <v>43</v>
      </c>
      <c r="C1442" s="6" t="s">
        <v>51</v>
      </c>
      <c r="D1442" s="6" t="s">
        <v>115</v>
      </c>
      <c r="E1442" s="6" t="n">
        <v>1</v>
      </c>
      <c r="F1442" s="6" t="n">
        <v>1</v>
      </c>
      <c r="G1442" s="6" t="s">
        <v>78</v>
      </c>
      <c r="H1442" s="11" t="n">
        <v>0.01</v>
      </c>
      <c r="I1442" s="6" t="n">
        <v>200</v>
      </c>
      <c r="J1442" s="6" t="n">
        <v>1</v>
      </c>
      <c r="K1442" s="6" t="n">
        <v>199</v>
      </c>
      <c r="L1442" s="6" t="n">
        <v>1</v>
      </c>
      <c r="M1442" s="6" t="n">
        <v>199</v>
      </c>
      <c r="N1442" s="11" t="n">
        <f aca="false">J1442/(J1442+K1442)</f>
        <v>0.005</v>
      </c>
      <c r="O1442" s="11" t="n">
        <f aca="false">IF(J1442+L1442=0,"",J1442/(J1442+L1442))</f>
        <v>0.5</v>
      </c>
      <c r="P1442" s="11" t="n">
        <f aca="false">2*J1442/(2*J1442+L1442+K1442)</f>
        <v>0.0099009900990099</v>
      </c>
      <c r="Q1442" s="11" t="n">
        <f aca="false">L1442/(L1442+M1442)</f>
        <v>0.005</v>
      </c>
      <c r="R1442" s="6" t="n">
        <v>0</v>
      </c>
      <c r="S1442" s="11"/>
      <c r="T1442" s="11" t="n">
        <v>0.005</v>
      </c>
      <c r="U1442" s="11" t="n">
        <v>0.88</v>
      </c>
      <c r="V1442" s="11" t="n">
        <v>0.88</v>
      </c>
    </row>
    <row r="1443" customFormat="false" ht="15" hidden="false" customHeight="false" outlineLevel="0" collapsed="false">
      <c r="A1443" s="6" t="s">
        <v>50</v>
      </c>
      <c r="B1443" s="6" t="s">
        <v>43</v>
      </c>
      <c r="C1443" s="6" t="s">
        <v>51</v>
      </c>
      <c r="D1443" s="6" t="s">
        <v>115</v>
      </c>
      <c r="E1443" s="6" t="n">
        <v>1</v>
      </c>
      <c r="F1443" s="6" t="n">
        <v>2</v>
      </c>
      <c r="G1443" s="6" t="s">
        <v>68</v>
      </c>
      <c r="H1443" s="11" t="n">
        <v>0.01</v>
      </c>
      <c r="I1443" s="6" t="n">
        <v>20</v>
      </c>
      <c r="J1443" s="6" t="n">
        <v>0</v>
      </c>
      <c r="K1443" s="6" t="n">
        <v>20</v>
      </c>
      <c r="L1443" s="6" t="n">
        <v>0</v>
      </c>
      <c r="M1443" s="6" t="n">
        <v>20</v>
      </c>
      <c r="N1443" s="11" t="n">
        <f aca="false">J1443/(J1443+K1443)</f>
        <v>0</v>
      </c>
      <c r="O1443" s="11" t="str">
        <f aca="false">IF(J1443+L1443=0,"",J1443/(J1443+L1443))</f>
        <v/>
      </c>
      <c r="P1443" s="11" t="n">
        <f aca="false">2*J1443/(2*J1443+L1443+K1443)</f>
        <v>0</v>
      </c>
      <c r="Q1443" s="11" t="n">
        <f aca="false">L1443/(L1443+M1443)</f>
        <v>0</v>
      </c>
      <c r="R1443" s="6" t="n">
        <v>0</v>
      </c>
      <c r="S1443" s="11"/>
      <c r="T1443" s="11" t="n">
        <v>0</v>
      </c>
      <c r="U1443" s="11" t="n">
        <v>0.85</v>
      </c>
      <c r="V1443" s="11" t="n">
        <v>0.85</v>
      </c>
    </row>
    <row r="1444" customFormat="false" ht="15" hidden="false" customHeight="false" outlineLevel="0" collapsed="false">
      <c r="A1444" s="6" t="s">
        <v>50</v>
      </c>
      <c r="B1444" s="6" t="s">
        <v>43</v>
      </c>
      <c r="C1444" s="6" t="s">
        <v>51</v>
      </c>
      <c r="D1444" s="6" t="s">
        <v>115</v>
      </c>
      <c r="E1444" s="6" t="n">
        <v>1</v>
      </c>
      <c r="F1444" s="6" t="n">
        <v>2</v>
      </c>
      <c r="G1444" s="6" t="s">
        <v>69</v>
      </c>
      <c r="H1444" s="11" t="n">
        <v>0.01</v>
      </c>
      <c r="I1444" s="6" t="n">
        <v>20</v>
      </c>
      <c r="J1444" s="6" t="n">
        <v>0</v>
      </c>
      <c r="K1444" s="6" t="n">
        <v>20</v>
      </c>
      <c r="L1444" s="6" t="n">
        <v>0</v>
      </c>
      <c r="M1444" s="6" t="n">
        <v>20</v>
      </c>
      <c r="N1444" s="11" t="n">
        <f aca="false">J1444/(J1444+K1444)</f>
        <v>0</v>
      </c>
      <c r="O1444" s="11" t="str">
        <f aca="false">IF(J1444+L1444=0,"",J1444/(J1444+L1444))</f>
        <v/>
      </c>
      <c r="P1444" s="11" t="n">
        <f aca="false">2*J1444/(2*J1444+L1444+K1444)</f>
        <v>0</v>
      </c>
      <c r="Q1444" s="11" t="n">
        <f aca="false">L1444/(L1444+M1444)</f>
        <v>0</v>
      </c>
      <c r="R1444" s="6" t="n">
        <v>0</v>
      </c>
      <c r="S1444" s="11"/>
      <c r="T1444" s="11" t="n">
        <v>0</v>
      </c>
      <c r="U1444" s="11" t="n">
        <v>1</v>
      </c>
      <c r="V1444" s="11" t="n">
        <v>1</v>
      </c>
    </row>
    <row r="1445" customFormat="false" ht="15" hidden="false" customHeight="false" outlineLevel="0" collapsed="false">
      <c r="A1445" s="6" t="s">
        <v>50</v>
      </c>
      <c r="B1445" s="6" t="s">
        <v>43</v>
      </c>
      <c r="C1445" s="6" t="s">
        <v>51</v>
      </c>
      <c r="D1445" s="6" t="s">
        <v>115</v>
      </c>
      <c r="E1445" s="6" t="n">
        <v>1</v>
      </c>
      <c r="F1445" s="6" t="n">
        <v>2</v>
      </c>
      <c r="G1445" s="6" t="s">
        <v>70</v>
      </c>
      <c r="H1445" s="11" t="n">
        <v>0.01</v>
      </c>
      <c r="I1445" s="6" t="n">
        <v>20</v>
      </c>
      <c r="J1445" s="6" t="n">
        <v>0</v>
      </c>
      <c r="K1445" s="6" t="n">
        <v>20</v>
      </c>
      <c r="L1445" s="6" t="n">
        <v>0</v>
      </c>
      <c r="M1445" s="6" t="n">
        <v>20</v>
      </c>
      <c r="N1445" s="11" t="n">
        <f aca="false">J1445/(J1445+K1445)</f>
        <v>0</v>
      </c>
      <c r="O1445" s="11" t="str">
        <f aca="false">IF(J1445+L1445=0,"",J1445/(J1445+L1445))</f>
        <v/>
      </c>
      <c r="P1445" s="11" t="n">
        <f aca="false">2*J1445/(2*J1445+L1445+K1445)</f>
        <v>0</v>
      </c>
      <c r="Q1445" s="11" t="n">
        <f aca="false">L1445/(L1445+M1445)</f>
        <v>0</v>
      </c>
      <c r="R1445" s="6" t="n">
        <v>0</v>
      </c>
      <c r="S1445" s="11"/>
      <c r="T1445" s="11" t="n">
        <v>0</v>
      </c>
      <c r="U1445" s="11" t="n">
        <v>0.9</v>
      </c>
      <c r="V1445" s="11" t="n">
        <v>0.9</v>
      </c>
    </row>
    <row r="1446" customFormat="false" ht="15" hidden="false" customHeight="false" outlineLevel="0" collapsed="false">
      <c r="A1446" s="6" t="s">
        <v>50</v>
      </c>
      <c r="B1446" s="6" t="s">
        <v>43</v>
      </c>
      <c r="C1446" s="6" t="s">
        <v>51</v>
      </c>
      <c r="D1446" s="6" t="s">
        <v>115</v>
      </c>
      <c r="E1446" s="6" t="n">
        <v>1</v>
      </c>
      <c r="F1446" s="6" t="n">
        <v>2</v>
      </c>
      <c r="G1446" s="6" t="s">
        <v>71</v>
      </c>
      <c r="H1446" s="11" t="n">
        <v>0.01</v>
      </c>
      <c r="I1446" s="6" t="n">
        <v>20</v>
      </c>
      <c r="J1446" s="6" t="n">
        <v>0</v>
      </c>
      <c r="K1446" s="6" t="n">
        <v>20</v>
      </c>
      <c r="L1446" s="6" t="n">
        <v>0</v>
      </c>
      <c r="M1446" s="6" t="n">
        <v>20</v>
      </c>
      <c r="N1446" s="11" t="n">
        <f aca="false">J1446/(J1446+K1446)</f>
        <v>0</v>
      </c>
      <c r="O1446" s="11" t="str">
        <f aca="false">IF(J1446+L1446=0,"",J1446/(J1446+L1446))</f>
        <v/>
      </c>
      <c r="P1446" s="11" t="n">
        <f aca="false">2*J1446/(2*J1446+L1446+K1446)</f>
        <v>0</v>
      </c>
      <c r="Q1446" s="11" t="n">
        <f aca="false">L1446/(L1446+M1446)</f>
        <v>0</v>
      </c>
      <c r="R1446" s="6" t="n">
        <v>0</v>
      </c>
      <c r="S1446" s="11"/>
      <c r="T1446" s="11" t="n">
        <v>0</v>
      </c>
      <c r="U1446" s="11" t="n">
        <v>0.8</v>
      </c>
      <c r="V1446" s="11" t="n">
        <v>0.8</v>
      </c>
    </row>
    <row r="1447" customFormat="false" ht="15" hidden="false" customHeight="false" outlineLevel="0" collapsed="false">
      <c r="A1447" s="6" t="s">
        <v>50</v>
      </c>
      <c r="B1447" s="6" t="s">
        <v>43</v>
      </c>
      <c r="C1447" s="6" t="s">
        <v>51</v>
      </c>
      <c r="D1447" s="6" t="s">
        <v>115</v>
      </c>
      <c r="E1447" s="6" t="n">
        <v>1</v>
      </c>
      <c r="F1447" s="6" t="n">
        <v>2</v>
      </c>
      <c r="G1447" s="6" t="s">
        <v>72</v>
      </c>
      <c r="H1447" s="11" t="n">
        <v>0.01</v>
      </c>
      <c r="I1447" s="6" t="n">
        <v>20</v>
      </c>
      <c r="J1447" s="6" t="n">
        <v>0</v>
      </c>
      <c r="K1447" s="6" t="n">
        <v>20</v>
      </c>
      <c r="L1447" s="6" t="n">
        <v>0</v>
      </c>
      <c r="M1447" s="6" t="n">
        <v>20</v>
      </c>
      <c r="N1447" s="11" t="n">
        <f aca="false">J1447/(J1447+K1447)</f>
        <v>0</v>
      </c>
      <c r="O1447" s="11" t="str">
        <f aca="false">IF(J1447+L1447=0,"",J1447/(J1447+L1447))</f>
        <v/>
      </c>
      <c r="P1447" s="11" t="n">
        <f aca="false">2*J1447/(2*J1447+L1447+K1447)</f>
        <v>0</v>
      </c>
      <c r="Q1447" s="11" t="n">
        <f aca="false">L1447/(L1447+M1447)</f>
        <v>0</v>
      </c>
      <c r="R1447" s="6" t="n">
        <v>0</v>
      </c>
      <c r="S1447" s="11"/>
      <c r="T1447" s="11" t="n">
        <v>0</v>
      </c>
      <c r="U1447" s="11" t="n">
        <v>0.9</v>
      </c>
      <c r="V1447" s="11" t="n">
        <v>0.9</v>
      </c>
    </row>
    <row r="1448" customFormat="false" ht="15" hidden="false" customHeight="false" outlineLevel="0" collapsed="false">
      <c r="A1448" s="6" t="s">
        <v>50</v>
      </c>
      <c r="B1448" s="6" t="s">
        <v>43</v>
      </c>
      <c r="C1448" s="6" t="s">
        <v>51</v>
      </c>
      <c r="D1448" s="6" t="s">
        <v>115</v>
      </c>
      <c r="E1448" s="6" t="n">
        <v>1</v>
      </c>
      <c r="F1448" s="6" t="n">
        <v>2</v>
      </c>
      <c r="G1448" s="6" t="s">
        <v>73</v>
      </c>
      <c r="H1448" s="11" t="n">
        <v>0.01</v>
      </c>
      <c r="I1448" s="6" t="n">
        <v>20</v>
      </c>
      <c r="J1448" s="6" t="n">
        <v>0</v>
      </c>
      <c r="K1448" s="6" t="n">
        <v>20</v>
      </c>
      <c r="L1448" s="6" t="n">
        <v>0</v>
      </c>
      <c r="M1448" s="6" t="n">
        <v>20</v>
      </c>
      <c r="N1448" s="11" t="n">
        <f aca="false">J1448/(J1448+K1448)</f>
        <v>0</v>
      </c>
      <c r="O1448" s="11" t="str">
        <f aca="false">IF(J1448+L1448=0,"",J1448/(J1448+L1448))</f>
        <v/>
      </c>
      <c r="P1448" s="11" t="n">
        <f aca="false">2*J1448/(2*J1448+L1448+K1448)</f>
        <v>0</v>
      </c>
      <c r="Q1448" s="11" t="n">
        <f aca="false">L1448/(L1448+M1448)</f>
        <v>0</v>
      </c>
      <c r="R1448" s="6" t="n">
        <v>0</v>
      </c>
      <c r="S1448" s="11"/>
      <c r="T1448" s="11" t="n">
        <v>0</v>
      </c>
      <c r="U1448" s="11" t="n">
        <v>0.65</v>
      </c>
      <c r="V1448" s="11" t="n">
        <v>0.65</v>
      </c>
    </row>
    <row r="1449" customFormat="false" ht="15" hidden="false" customHeight="false" outlineLevel="0" collapsed="false">
      <c r="A1449" s="6" t="s">
        <v>50</v>
      </c>
      <c r="B1449" s="6" t="s">
        <v>43</v>
      </c>
      <c r="C1449" s="6" t="s">
        <v>51</v>
      </c>
      <c r="D1449" s="6" t="s">
        <v>115</v>
      </c>
      <c r="E1449" s="6" t="n">
        <v>1</v>
      </c>
      <c r="F1449" s="6" t="n">
        <v>2</v>
      </c>
      <c r="G1449" s="6" t="s">
        <v>74</v>
      </c>
      <c r="H1449" s="11" t="n">
        <v>0.01</v>
      </c>
      <c r="I1449" s="6" t="n">
        <v>20</v>
      </c>
      <c r="J1449" s="6" t="n">
        <v>0</v>
      </c>
      <c r="K1449" s="6" t="n">
        <v>20</v>
      </c>
      <c r="L1449" s="6" t="n">
        <v>0</v>
      </c>
      <c r="M1449" s="6" t="n">
        <v>20</v>
      </c>
      <c r="N1449" s="11" t="n">
        <f aca="false">J1449/(J1449+K1449)</f>
        <v>0</v>
      </c>
      <c r="O1449" s="11" t="str">
        <f aca="false">IF(J1449+L1449=0,"",J1449/(J1449+L1449))</f>
        <v/>
      </c>
      <c r="P1449" s="11" t="n">
        <f aca="false">2*J1449/(2*J1449+L1449+K1449)</f>
        <v>0</v>
      </c>
      <c r="Q1449" s="11" t="n">
        <f aca="false">L1449/(L1449+M1449)</f>
        <v>0</v>
      </c>
      <c r="R1449" s="6" t="n">
        <v>0</v>
      </c>
      <c r="S1449" s="11"/>
      <c r="T1449" s="11" t="n">
        <v>0</v>
      </c>
      <c r="U1449" s="11" t="n">
        <v>0.85</v>
      </c>
      <c r="V1449" s="11" t="n">
        <v>0.85</v>
      </c>
    </row>
    <row r="1450" customFormat="false" ht="15" hidden="false" customHeight="false" outlineLevel="0" collapsed="false">
      <c r="A1450" s="6" t="s">
        <v>50</v>
      </c>
      <c r="B1450" s="6" t="s">
        <v>43</v>
      </c>
      <c r="C1450" s="6" t="s">
        <v>51</v>
      </c>
      <c r="D1450" s="6" t="s">
        <v>115</v>
      </c>
      <c r="E1450" s="6" t="n">
        <v>1</v>
      </c>
      <c r="F1450" s="6" t="n">
        <v>2</v>
      </c>
      <c r="G1450" s="6" t="s">
        <v>75</v>
      </c>
      <c r="H1450" s="11" t="n">
        <v>0.01</v>
      </c>
      <c r="I1450" s="6" t="n">
        <v>20</v>
      </c>
      <c r="J1450" s="6" t="n">
        <v>0</v>
      </c>
      <c r="K1450" s="6" t="n">
        <v>20</v>
      </c>
      <c r="L1450" s="6" t="n">
        <v>0</v>
      </c>
      <c r="M1450" s="6" t="n">
        <v>20</v>
      </c>
      <c r="N1450" s="11" t="n">
        <f aca="false">J1450/(J1450+K1450)</f>
        <v>0</v>
      </c>
      <c r="O1450" s="11" t="str">
        <f aca="false">IF(J1450+L1450=0,"",J1450/(J1450+L1450))</f>
        <v/>
      </c>
      <c r="P1450" s="11" t="n">
        <f aca="false">2*J1450/(2*J1450+L1450+K1450)</f>
        <v>0</v>
      </c>
      <c r="Q1450" s="11" t="n">
        <f aca="false">L1450/(L1450+M1450)</f>
        <v>0</v>
      </c>
      <c r="R1450" s="6" t="n">
        <v>0</v>
      </c>
      <c r="S1450" s="11"/>
      <c r="T1450" s="11" t="n">
        <v>0</v>
      </c>
      <c r="U1450" s="11" t="n">
        <v>0.9</v>
      </c>
      <c r="V1450" s="11" t="n">
        <v>0.9</v>
      </c>
    </row>
    <row r="1451" customFormat="false" ht="15" hidden="false" customHeight="false" outlineLevel="0" collapsed="false">
      <c r="A1451" s="6" t="s">
        <v>50</v>
      </c>
      <c r="B1451" s="6" t="s">
        <v>43</v>
      </c>
      <c r="C1451" s="6" t="s">
        <v>51</v>
      </c>
      <c r="D1451" s="6" t="s">
        <v>115</v>
      </c>
      <c r="E1451" s="6" t="n">
        <v>1</v>
      </c>
      <c r="F1451" s="6" t="n">
        <v>2</v>
      </c>
      <c r="G1451" s="6" t="s">
        <v>76</v>
      </c>
      <c r="H1451" s="11" t="n">
        <v>0.01</v>
      </c>
      <c r="I1451" s="6" t="n">
        <v>20</v>
      </c>
      <c r="J1451" s="6" t="n">
        <v>0</v>
      </c>
      <c r="K1451" s="6" t="n">
        <v>20</v>
      </c>
      <c r="L1451" s="6" t="n">
        <v>0</v>
      </c>
      <c r="M1451" s="6" t="n">
        <v>20</v>
      </c>
      <c r="N1451" s="11" t="n">
        <f aca="false">J1451/(J1451+K1451)</f>
        <v>0</v>
      </c>
      <c r="O1451" s="11" t="str">
        <f aca="false">IF(J1451+L1451=0,"",J1451/(J1451+L1451))</f>
        <v/>
      </c>
      <c r="P1451" s="11" t="n">
        <f aca="false">2*J1451/(2*J1451+L1451+K1451)</f>
        <v>0</v>
      </c>
      <c r="Q1451" s="11" t="n">
        <f aca="false">L1451/(L1451+M1451)</f>
        <v>0</v>
      </c>
      <c r="R1451" s="6" t="n">
        <v>0</v>
      </c>
      <c r="S1451" s="11"/>
      <c r="T1451" s="11" t="n">
        <v>0</v>
      </c>
      <c r="U1451" s="11" t="n">
        <v>0.95</v>
      </c>
      <c r="V1451" s="11" t="n">
        <v>0.95</v>
      </c>
    </row>
    <row r="1452" customFormat="false" ht="15" hidden="false" customHeight="false" outlineLevel="0" collapsed="false">
      <c r="A1452" s="6" t="s">
        <v>50</v>
      </c>
      <c r="B1452" s="6" t="s">
        <v>43</v>
      </c>
      <c r="C1452" s="6" t="s">
        <v>51</v>
      </c>
      <c r="D1452" s="6" t="s">
        <v>115</v>
      </c>
      <c r="E1452" s="6" t="n">
        <v>1</v>
      </c>
      <c r="F1452" s="6" t="n">
        <v>2</v>
      </c>
      <c r="G1452" s="6" t="s">
        <v>77</v>
      </c>
      <c r="H1452" s="11" t="n">
        <v>0.01</v>
      </c>
      <c r="I1452" s="6" t="n">
        <v>20</v>
      </c>
      <c r="J1452" s="6" t="n">
        <v>1</v>
      </c>
      <c r="K1452" s="6" t="n">
        <v>19</v>
      </c>
      <c r="L1452" s="6" t="n">
        <v>1</v>
      </c>
      <c r="M1452" s="6" t="n">
        <v>19</v>
      </c>
      <c r="N1452" s="11" t="n">
        <f aca="false">J1452/(J1452+K1452)</f>
        <v>0.05</v>
      </c>
      <c r="O1452" s="11" t="n">
        <f aca="false">IF(J1452+L1452=0,"",J1452/(J1452+L1452))</f>
        <v>0.5</v>
      </c>
      <c r="P1452" s="11" t="n">
        <f aca="false">2*J1452/(2*J1452+L1452+K1452)</f>
        <v>0.0909090909090909</v>
      </c>
      <c r="Q1452" s="11" t="n">
        <f aca="false">L1452/(L1452+M1452)</f>
        <v>0.05</v>
      </c>
      <c r="R1452" s="6" t="n">
        <v>0</v>
      </c>
      <c r="S1452" s="11"/>
      <c r="T1452" s="11" t="n">
        <v>0.05</v>
      </c>
      <c r="U1452" s="11" t="n">
        <v>1</v>
      </c>
      <c r="V1452" s="11" t="n">
        <v>1</v>
      </c>
    </row>
    <row r="1453" customFormat="false" ht="15" hidden="false" customHeight="false" outlineLevel="0" collapsed="false">
      <c r="A1453" s="6" t="s">
        <v>50</v>
      </c>
      <c r="B1453" s="6" t="s">
        <v>43</v>
      </c>
      <c r="C1453" s="6" t="s">
        <v>51</v>
      </c>
      <c r="D1453" s="6" t="s">
        <v>115</v>
      </c>
      <c r="E1453" s="6" t="n">
        <v>1</v>
      </c>
      <c r="F1453" s="6" t="n">
        <v>2</v>
      </c>
      <c r="G1453" s="6" t="s">
        <v>78</v>
      </c>
      <c r="H1453" s="11" t="n">
        <v>0.01</v>
      </c>
      <c r="I1453" s="6" t="n">
        <v>200</v>
      </c>
      <c r="J1453" s="6" t="n">
        <v>1</v>
      </c>
      <c r="K1453" s="6" t="n">
        <v>199</v>
      </c>
      <c r="L1453" s="6" t="n">
        <v>1</v>
      </c>
      <c r="M1453" s="6" t="n">
        <v>199</v>
      </c>
      <c r="N1453" s="11" t="n">
        <f aca="false">J1453/(J1453+K1453)</f>
        <v>0.005</v>
      </c>
      <c r="O1453" s="11" t="n">
        <f aca="false">IF(J1453+L1453=0,"",J1453/(J1453+L1453))</f>
        <v>0.5</v>
      </c>
      <c r="P1453" s="11" t="n">
        <f aca="false">2*J1453/(2*J1453+L1453+K1453)</f>
        <v>0.0099009900990099</v>
      </c>
      <c r="Q1453" s="11" t="n">
        <f aca="false">L1453/(L1453+M1453)</f>
        <v>0.005</v>
      </c>
      <c r="R1453" s="6" t="n">
        <v>0</v>
      </c>
      <c r="S1453" s="11"/>
      <c r="T1453" s="11" t="n">
        <v>0.005</v>
      </c>
      <c r="U1453" s="11" t="n">
        <v>0.88</v>
      </c>
      <c r="V1453" s="11" t="n">
        <v>0.88</v>
      </c>
    </row>
    <row r="1454" customFormat="false" ht="15" hidden="false" customHeight="false" outlineLevel="0" collapsed="false">
      <c r="A1454" s="6" t="s">
        <v>50</v>
      </c>
      <c r="B1454" s="6" t="s">
        <v>43</v>
      </c>
      <c r="C1454" s="6" t="s">
        <v>51</v>
      </c>
      <c r="D1454" s="6" t="s">
        <v>115</v>
      </c>
      <c r="E1454" s="6" t="n">
        <v>1</v>
      </c>
      <c r="F1454" s="6" t="n">
        <v>3</v>
      </c>
      <c r="G1454" s="6" t="s">
        <v>68</v>
      </c>
      <c r="H1454" s="11" t="n">
        <v>0.01</v>
      </c>
      <c r="I1454" s="6" t="n">
        <v>20</v>
      </c>
      <c r="J1454" s="6" t="n">
        <v>0</v>
      </c>
      <c r="K1454" s="6" t="n">
        <v>20</v>
      </c>
      <c r="L1454" s="6" t="n">
        <v>0</v>
      </c>
      <c r="M1454" s="6" t="n">
        <v>20</v>
      </c>
      <c r="N1454" s="11" t="n">
        <f aca="false">J1454/(J1454+K1454)</f>
        <v>0</v>
      </c>
      <c r="O1454" s="11" t="str">
        <f aca="false">IF(J1454+L1454=0,"",J1454/(J1454+L1454))</f>
        <v/>
      </c>
      <c r="P1454" s="11" t="n">
        <f aca="false">2*J1454/(2*J1454+L1454+K1454)</f>
        <v>0</v>
      </c>
      <c r="Q1454" s="11" t="n">
        <f aca="false">L1454/(L1454+M1454)</f>
        <v>0</v>
      </c>
      <c r="R1454" s="6" t="n">
        <v>0</v>
      </c>
      <c r="S1454" s="11"/>
      <c r="T1454" s="11" t="n">
        <v>0</v>
      </c>
      <c r="U1454" s="11" t="n">
        <v>0.85</v>
      </c>
      <c r="V1454" s="11" t="n">
        <v>0.85</v>
      </c>
    </row>
    <row r="1455" customFormat="false" ht="15" hidden="false" customHeight="false" outlineLevel="0" collapsed="false">
      <c r="A1455" s="6" t="s">
        <v>50</v>
      </c>
      <c r="B1455" s="6" t="s">
        <v>43</v>
      </c>
      <c r="C1455" s="6" t="s">
        <v>51</v>
      </c>
      <c r="D1455" s="6" t="s">
        <v>115</v>
      </c>
      <c r="E1455" s="6" t="n">
        <v>1</v>
      </c>
      <c r="F1455" s="6" t="n">
        <v>3</v>
      </c>
      <c r="G1455" s="6" t="s">
        <v>69</v>
      </c>
      <c r="H1455" s="11" t="n">
        <v>0.01</v>
      </c>
      <c r="I1455" s="6" t="n">
        <v>20</v>
      </c>
      <c r="J1455" s="6" t="n">
        <v>0</v>
      </c>
      <c r="K1455" s="6" t="n">
        <v>20</v>
      </c>
      <c r="L1455" s="6" t="n">
        <v>0</v>
      </c>
      <c r="M1455" s="6" t="n">
        <v>20</v>
      </c>
      <c r="N1455" s="11" t="n">
        <f aca="false">J1455/(J1455+K1455)</f>
        <v>0</v>
      </c>
      <c r="O1455" s="11" t="str">
        <f aca="false">IF(J1455+L1455=0,"",J1455/(J1455+L1455))</f>
        <v/>
      </c>
      <c r="P1455" s="11" t="n">
        <f aca="false">2*J1455/(2*J1455+L1455+K1455)</f>
        <v>0</v>
      </c>
      <c r="Q1455" s="11" t="n">
        <f aca="false">L1455/(L1455+M1455)</f>
        <v>0</v>
      </c>
      <c r="R1455" s="6" t="n">
        <v>0</v>
      </c>
      <c r="S1455" s="11"/>
      <c r="T1455" s="11" t="n">
        <v>0</v>
      </c>
      <c r="U1455" s="11" t="n">
        <v>1</v>
      </c>
      <c r="V1455" s="11" t="n">
        <v>1</v>
      </c>
    </row>
    <row r="1456" customFormat="false" ht="15" hidden="false" customHeight="false" outlineLevel="0" collapsed="false">
      <c r="A1456" s="6" t="s">
        <v>50</v>
      </c>
      <c r="B1456" s="6" t="s">
        <v>43</v>
      </c>
      <c r="C1456" s="6" t="s">
        <v>51</v>
      </c>
      <c r="D1456" s="6" t="s">
        <v>115</v>
      </c>
      <c r="E1456" s="6" t="n">
        <v>1</v>
      </c>
      <c r="F1456" s="6" t="n">
        <v>3</v>
      </c>
      <c r="G1456" s="6" t="s">
        <v>70</v>
      </c>
      <c r="H1456" s="11" t="n">
        <v>0.01</v>
      </c>
      <c r="I1456" s="6" t="n">
        <v>20</v>
      </c>
      <c r="J1456" s="6" t="n">
        <v>0</v>
      </c>
      <c r="K1456" s="6" t="n">
        <v>20</v>
      </c>
      <c r="L1456" s="6" t="n">
        <v>0</v>
      </c>
      <c r="M1456" s="6" t="n">
        <v>20</v>
      </c>
      <c r="N1456" s="11" t="n">
        <f aca="false">J1456/(J1456+K1456)</f>
        <v>0</v>
      </c>
      <c r="O1456" s="11" t="str">
        <f aca="false">IF(J1456+L1456=0,"",J1456/(J1456+L1456))</f>
        <v/>
      </c>
      <c r="P1456" s="11" t="n">
        <f aca="false">2*J1456/(2*J1456+L1456+K1456)</f>
        <v>0</v>
      </c>
      <c r="Q1456" s="11" t="n">
        <f aca="false">L1456/(L1456+M1456)</f>
        <v>0</v>
      </c>
      <c r="R1456" s="6" t="n">
        <v>0</v>
      </c>
      <c r="S1456" s="11"/>
      <c r="T1456" s="11" t="n">
        <v>0</v>
      </c>
      <c r="U1456" s="11" t="n">
        <v>0.9</v>
      </c>
      <c r="V1456" s="11" t="n">
        <v>0.9</v>
      </c>
    </row>
    <row r="1457" customFormat="false" ht="15" hidden="false" customHeight="false" outlineLevel="0" collapsed="false">
      <c r="A1457" s="6" t="s">
        <v>50</v>
      </c>
      <c r="B1457" s="6" t="s">
        <v>43</v>
      </c>
      <c r="C1457" s="6" t="s">
        <v>51</v>
      </c>
      <c r="D1457" s="6" t="s">
        <v>115</v>
      </c>
      <c r="E1457" s="6" t="n">
        <v>1</v>
      </c>
      <c r="F1457" s="6" t="n">
        <v>3</v>
      </c>
      <c r="G1457" s="6" t="s">
        <v>71</v>
      </c>
      <c r="H1457" s="11" t="n">
        <v>0.01</v>
      </c>
      <c r="I1457" s="6" t="n">
        <v>20</v>
      </c>
      <c r="J1457" s="6" t="n">
        <v>0</v>
      </c>
      <c r="K1457" s="6" t="n">
        <v>20</v>
      </c>
      <c r="L1457" s="6" t="n">
        <v>0</v>
      </c>
      <c r="M1457" s="6" t="n">
        <v>20</v>
      </c>
      <c r="N1457" s="11" t="n">
        <f aca="false">J1457/(J1457+K1457)</f>
        <v>0</v>
      </c>
      <c r="O1457" s="11" t="str">
        <f aca="false">IF(J1457+L1457=0,"",J1457/(J1457+L1457))</f>
        <v/>
      </c>
      <c r="P1457" s="11" t="n">
        <f aca="false">2*J1457/(2*J1457+L1457+K1457)</f>
        <v>0</v>
      </c>
      <c r="Q1457" s="11" t="n">
        <f aca="false">L1457/(L1457+M1457)</f>
        <v>0</v>
      </c>
      <c r="R1457" s="6" t="n">
        <v>0</v>
      </c>
      <c r="S1457" s="11"/>
      <c r="T1457" s="11" t="n">
        <v>0</v>
      </c>
      <c r="U1457" s="11" t="n">
        <v>0.8</v>
      </c>
      <c r="V1457" s="11" t="n">
        <v>0.8</v>
      </c>
    </row>
    <row r="1458" customFormat="false" ht="15" hidden="false" customHeight="false" outlineLevel="0" collapsed="false">
      <c r="A1458" s="6" t="s">
        <v>50</v>
      </c>
      <c r="B1458" s="6" t="s">
        <v>43</v>
      </c>
      <c r="C1458" s="6" t="s">
        <v>51</v>
      </c>
      <c r="D1458" s="6" t="s">
        <v>115</v>
      </c>
      <c r="E1458" s="6" t="n">
        <v>1</v>
      </c>
      <c r="F1458" s="6" t="n">
        <v>3</v>
      </c>
      <c r="G1458" s="6" t="s">
        <v>72</v>
      </c>
      <c r="H1458" s="11" t="n">
        <v>0.01</v>
      </c>
      <c r="I1458" s="6" t="n">
        <v>20</v>
      </c>
      <c r="J1458" s="6" t="n">
        <v>0</v>
      </c>
      <c r="K1458" s="6" t="n">
        <v>20</v>
      </c>
      <c r="L1458" s="6" t="n">
        <v>0</v>
      </c>
      <c r="M1458" s="6" t="n">
        <v>20</v>
      </c>
      <c r="N1458" s="11" t="n">
        <f aca="false">J1458/(J1458+K1458)</f>
        <v>0</v>
      </c>
      <c r="O1458" s="11" t="str">
        <f aca="false">IF(J1458+L1458=0,"",J1458/(J1458+L1458))</f>
        <v/>
      </c>
      <c r="P1458" s="11" t="n">
        <f aca="false">2*J1458/(2*J1458+L1458+K1458)</f>
        <v>0</v>
      </c>
      <c r="Q1458" s="11" t="n">
        <f aca="false">L1458/(L1458+M1458)</f>
        <v>0</v>
      </c>
      <c r="R1458" s="6" t="n">
        <v>0</v>
      </c>
      <c r="S1458" s="11"/>
      <c r="T1458" s="11" t="n">
        <v>0</v>
      </c>
      <c r="U1458" s="11" t="n">
        <v>0.9</v>
      </c>
      <c r="V1458" s="11" t="n">
        <v>0.9</v>
      </c>
    </row>
    <row r="1459" customFormat="false" ht="15" hidden="false" customHeight="false" outlineLevel="0" collapsed="false">
      <c r="A1459" s="6" t="s">
        <v>50</v>
      </c>
      <c r="B1459" s="6" t="s">
        <v>43</v>
      </c>
      <c r="C1459" s="6" t="s">
        <v>51</v>
      </c>
      <c r="D1459" s="6" t="s">
        <v>115</v>
      </c>
      <c r="E1459" s="6" t="n">
        <v>1</v>
      </c>
      <c r="F1459" s="6" t="n">
        <v>3</v>
      </c>
      <c r="G1459" s="6" t="s">
        <v>73</v>
      </c>
      <c r="H1459" s="11" t="n">
        <v>0.01</v>
      </c>
      <c r="I1459" s="6" t="n">
        <v>20</v>
      </c>
      <c r="J1459" s="6" t="n">
        <v>0</v>
      </c>
      <c r="K1459" s="6" t="n">
        <v>20</v>
      </c>
      <c r="L1459" s="6" t="n">
        <v>0</v>
      </c>
      <c r="M1459" s="6" t="n">
        <v>20</v>
      </c>
      <c r="N1459" s="11" t="n">
        <f aca="false">J1459/(J1459+K1459)</f>
        <v>0</v>
      </c>
      <c r="O1459" s="11" t="str">
        <f aca="false">IF(J1459+L1459=0,"",J1459/(J1459+L1459))</f>
        <v/>
      </c>
      <c r="P1459" s="11" t="n">
        <f aca="false">2*J1459/(2*J1459+L1459+K1459)</f>
        <v>0</v>
      </c>
      <c r="Q1459" s="11" t="n">
        <f aca="false">L1459/(L1459+M1459)</f>
        <v>0</v>
      </c>
      <c r="R1459" s="6" t="n">
        <v>0</v>
      </c>
      <c r="S1459" s="11"/>
      <c r="T1459" s="11" t="n">
        <v>0</v>
      </c>
      <c r="U1459" s="11" t="n">
        <v>0.65</v>
      </c>
      <c r="V1459" s="11" t="n">
        <v>0.65</v>
      </c>
    </row>
    <row r="1460" customFormat="false" ht="15" hidden="false" customHeight="false" outlineLevel="0" collapsed="false">
      <c r="A1460" s="6" t="s">
        <v>50</v>
      </c>
      <c r="B1460" s="6" t="s">
        <v>43</v>
      </c>
      <c r="C1460" s="6" t="s">
        <v>51</v>
      </c>
      <c r="D1460" s="6" t="s">
        <v>115</v>
      </c>
      <c r="E1460" s="6" t="n">
        <v>1</v>
      </c>
      <c r="F1460" s="6" t="n">
        <v>3</v>
      </c>
      <c r="G1460" s="6" t="s">
        <v>74</v>
      </c>
      <c r="H1460" s="11" t="n">
        <v>0.01</v>
      </c>
      <c r="I1460" s="6" t="n">
        <v>20</v>
      </c>
      <c r="J1460" s="6" t="n">
        <v>0</v>
      </c>
      <c r="K1460" s="6" t="n">
        <v>20</v>
      </c>
      <c r="L1460" s="6" t="n">
        <v>0</v>
      </c>
      <c r="M1460" s="6" t="n">
        <v>20</v>
      </c>
      <c r="N1460" s="11" t="n">
        <f aca="false">J1460/(J1460+K1460)</f>
        <v>0</v>
      </c>
      <c r="O1460" s="11" t="str">
        <f aca="false">IF(J1460+L1460=0,"",J1460/(J1460+L1460))</f>
        <v/>
      </c>
      <c r="P1460" s="11" t="n">
        <f aca="false">2*J1460/(2*J1460+L1460+K1460)</f>
        <v>0</v>
      </c>
      <c r="Q1460" s="11" t="n">
        <f aca="false">L1460/(L1460+M1460)</f>
        <v>0</v>
      </c>
      <c r="R1460" s="6" t="n">
        <v>0</v>
      </c>
      <c r="S1460" s="11"/>
      <c r="T1460" s="11" t="n">
        <v>0</v>
      </c>
      <c r="U1460" s="11" t="n">
        <v>0.85</v>
      </c>
      <c r="V1460" s="11" t="n">
        <v>0.85</v>
      </c>
    </row>
    <row r="1461" customFormat="false" ht="15" hidden="false" customHeight="false" outlineLevel="0" collapsed="false">
      <c r="A1461" s="6" t="s">
        <v>50</v>
      </c>
      <c r="B1461" s="6" t="s">
        <v>43</v>
      </c>
      <c r="C1461" s="6" t="s">
        <v>51</v>
      </c>
      <c r="D1461" s="6" t="s">
        <v>115</v>
      </c>
      <c r="E1461" s="6" t="n">
        <v>1</v>
      </c>
      <c r="F1461" s="6" t="n">
        <v>3</v>
      </c>
      <c r="G1461" s="6" t="s">
        <v>75</v>
      </c>
      <c r="H1461" s="11" t="n">
        <v>0.01</v>
      </c>
      <c r="I1461" s="6" t="n">
        <v>20</v>
      </c>
      <c r="J1461" s="6" t="n">
        <v>0</v>
      </c>
      <c r="K1461" s="6" t="n">
        <v>20</v>
      </c>
      <c r="L1461" s="6" t="n">
        <v>0</v>
      </c>
      <c r="M1461" s="6" t="n">
        <v>20</v>
      </c>
      <c r="N1461" s="11" t="n">
        <f aca="false">J1461/(J1461+K1461)</f>
        <v>0</v>
      </c>
      <c r="O1461" s="11" t="str">
        <f aca="false">IF(J1461+L1461=0,"",J1461/(J1461+L1461))</f>
        <v/>
      </c>
      <c r="P1461" s="11" t="n">
        <f aca="false">2*J1461/(2*J1461+L1461+K1461)</f>
        <v>0</v>
      </c>
      <c r="Q1461" s="11" t="n">
        <f aca="false">L1461/(L1461+M1461)</f>
        <v>0</v>
      </c>
      <c r="R1461" s="6" t="n">
        <v>0</v>
      </c>
      <c r="S1461" s="11"/>
      <c r="T1461" s="11" t="n">
        <v>0</v>
      </c>
      <c r="U1461" s="11" t="n">
        <v>0.9</v>
      </c>
      <c r="V1461" s="11" t="n">
        <v>0.9</v>
      </c>
    </row>
    <row r="1462" customFormat="false" ht="15" hidden="false" customHeight="false" outlineLevel="0" collapsed="false">
      <c r="A1462" s="6" t="s">
        <v>50</v>
      </c>
      <c r="B1462" s="6" t="s">
        <v>43</v>
      </c>
      <c r="C1462" s="6" t="s">
        <v>51</v>
      </c>
      <c r="D1462" s="6" t="s">
        <v>115</v>
      </c>
      <c r="E1462" s="6" t="n">
        <v>1</v>
      </c>
      <c r="F1462" s="6" t="n">
        <v>3</v>
      </c>
      <c r="G1462" s="6" t="s">
        <v>76</v>
      </c>
      <c r="H1462" s="11" t="n">
        <v>0.01</v>
      </c>
      <c r="I1462" s="6" t="n">
        <v>20</v>
      </c>
      <c r="J1462" s="6" t="n">
        <v>0</v>
      </c>
      <c r="K1462" s="6" t="n">
        <v>20</v>
      </c>
      <c r="L1462" s="6" t="n">
        <v>0</v>
      </c>
      <c r="M1462" s="6" t="n">
        <v>20</v>
      </c>
      <c r="N1462" s="11" t="n">
        <f aca="false">J1462/(J1462+K1462)</f>
        <v>0</v>
      </c>
      <c r="O1462" s="11" t="str">
        <f aca="false">IF(J1462+L1462=0,"",J1462/(J1462+L1462))</f>
        <v/>
      </c>
      <c r="P1462" s="11" t="n">
        <f aca="false">2*J1462/(2*J1462+L1462+K1462)</f>
        <v>0</v>
      </c>
      <c r="Q1462" s="11" t="n">
        <f aca="false">L1462/(L1462+M1462)</f>
        <v>0</v>
      </c>
      <c r="R1462" s="6" t="n">
        <v>0</v>
      </c>
      <c r="S1462" s="11"/>
      <c r="T1462" s="11" t="n">
        <v>0</v>
      </c>
      <c r="U1462" s="11" t="n">
        <v>0.95</v>
      </c>
      <c r="V1462" s="11" t="n">
        <v>0.95</v>
      </c>
    </row>
    <row r="1463" customFormat="false" ht="15" hidden="false" customHeight="false" outlineLevel="0" collapsed="false">
      <c r="A1463" s="6" t="s">
        <v>50</v>
      </c>
      <c r="B1463" s="6" t="s">
        <v>43</v>
      </c>
      <c r="C1463" s="6" t="s">
        <v>51</v>
      </c>
      <c r="D1463" s="6" t="s">
        <v>115</v>
      </c>
      <c r="E1463" s="6" t="n">
        <v>1</v>
      </c>
      <c r="F1463" s="6" t="n">
        <v>3</v>
      </c>
      <c r="G1463" s="6" t="s">
        <v>77</v>
      </c>
      <c r="H1463" s="11" t="n">
        <v>0.01</v>
      </c>
      <c r="I1463" s="6" t="n">
        <v>20</v>
      </c>
      <c r="J1463" s="6" t="n">
        <v>1</v>
      </c>
      <c r="K1463" s="6" t="n">
        <v>19</v>
      </c>
      <c r="L1463" s="6" t="n">
        <v>1</v>
      </c>
      <c r="M1463" s="6" t="n">
        <v>19</v>
      </c>
      <c r="N1463" s="11" t="n">
        <f aca="false">J1463/(J1463+K1463)</f>
        <v>0.05</v>
      </c>
      <c r="O1463" s="11" t="n">
        <f aca="false">IF(J1463+L1463=0,"",J1463/(J1463+L1463))</f>
        <v>0.5</v>
      </c>
      <c r="P1463" s="11" t="n">
        <f aca="false">2*J1463/(2*J1463+L1463+K1463)</f>
        <v>0.0909090909090909</v>
      </c>
      <c r="Q1463" s="11" t="n">
        <f aca="false">L1463/(L1463+M1463)</f>
        <v>0.05</v>
      </c>
      <c r="R1463" s="6" t="n">
        <v>0</v>
      </c>
      <c r="S1463" s="11"/>
      <c r="T1463" s="11" t="n">
        <v>0.05</v>
      </c>
      <c r="U1463" s="11" t="n">
        <v>1</v>
      </c>
      <c r="V1463" s="11" t="n">
        <v>1</v>
      </c>
    </row>
    <row r="1464" customFormat="false" ht="15" hidden="false" customHeight="false" outlineLevel="0" collapsed="false">
      <c r="A1464" s="6" t="s">
        <v>50</v>
      </c>
      <c r="B1464" s="6" t="s">
        <v>43</v>
      </c>
      <c r="C1464" s="6" t="s">
        <v>51</v>
      </c>
      <c r="D1464" s="6" t="s">
        <v>115</v>
      </c>
      <c r="E1464" s="6" t="n">
        <v>1</v>
      </c>
      <c r="F1464" s="6" t="n">
        <v>3</v>
      </c>
      <c r="G1464" s="6" t="s">
        <v>78</v>
      </c>
      <c r="H1464" s="11" t="n">
        <v>0.01</v>
      </c>
      <c r="I1464" s="6" t="n">
        <v>200</v>
      </c>
      <c r="J1464" s="6" t="n">
        <v>1</v>
      </c>
      <c r="K1464" s="6" t="n">
        <v>199</v>
      </c>
      <c r="L1464" s="6" t="n">
        <v>1</v>
      </c>
      <c r="M1464" s="6" t="n">
        <v>199</v>
      </c>
      <c r="N1464" s="11" t="n">
        <f aca="false">J1464/(J1464+K1464)</f>
        <v>0.005</v>
      </c>
      <c r="O1464" s="11" t="n">
        <f aca="false">IF(J1464+L1464=0,"",J1464/(J1464+L1464))</f>
        <v>0.5</v>
      </c>
      <c r="P1464" s="11" t="n">
        <f aca="false">2*J1464/(2*J1464+L1464+K1464)</f>
        <v>0.0099009900990099</v>
      </c>
      <c r="Q1464" s="11" t="n">
        <f aca="false">L1464/(L1464+M1464)</f>
        <v>0.005</v>
      </c>
      <c r="R1464" s="6" t="n">
        <v>0</v>
      </c>
      <c r="S1464" s="11"/>
      <c r="T1464" s="11" t="n">
        <v>0.005</v>
      </c>
      <c r="U1464" s="11" t="n">
        <v>0.88</v>
      </c>
      <c r="V1464" s="11" t="n">
        <v>0.88</v>
      </c>
    </row>
    <row r="1465" customFormat="false" ht="15" hidden="false" customHeight="false" outlineLevel="0" collapsed="false">
      <c r="A1465" s="6" t="s">
        <v>50</v>
      </c>
      <c r="B1465" s="6" t="s">
        <v>43</v>
      </c>
      <c r="C1465" s="6" t="s">
        <v>51</v>
      </c>
      <c r="D1465" s="6" t="s">
        <v>115</v>
      </c>
      <c r="E1465" s="6" t="n">
        <v>1</v>
      </c>
      <c r="F1465" s="6" t="n">
        <v>4</v>
      </c>
      <c r="G1465" s="6" t="s">
        <v>68</v>
      </c>
      <c r="H1465" s="11" t="n">
        <v>0.01</v>
      </c>
      <c r="I1465" s="6" t="n">
        <v>20</v>
      </c>
      <c r="J1465" s="6" t="n">
        <v>20</v>
      </c>
      <c r="K1465" s="6" t="n">
        <v>0</v>
      </c>
      <c r="L1465" s="6" t="n">
        <v>0</v>
      </c>
      <c r="M1465" s="6" t="n">
        <v>20</v>
      </c>
      <c r="N1465" s="11" t="n">
        <f aca="false">J1465/(J1465+K1465)</f>
        <v>1</v>
      </c>
      <c r="O1465" s="11" t="n">
        <f aca="false">IF(J1465+L1465=0,"",J1465/(J1465+L1465))</f>
        <v>1</v>
      </c>
      <c r="P1465" s="11" t="n">
        <f aca="false">2*J1465/(2*J1465+L1465+K1465)</f>
        <v>1</v>
      </c>
      <c r="Q1465" s="11" t="n">
        <f aca="false">L1465/(L1465+M1465)</f>
        <v>0</v>
      </c>
      <c r="R1465" s="6" t="n">
        <v>18</v>
      </c>
      <c r="S1465" s="11" t="n">
        <v>1</v>
      </c>
      <c r="T1465" s="11" t="n">
        <v>1</v>
      </c>
      <c r="U1465" s="11" t="n">
        <v>0.85</v>
      </c>
      <c r="V1465" s="11" t="n">
        <v>0</v>
      </c>
    </row>
    <row r="1466" customFormat="false" ht="15" hidden="false" customHeight="false" outlineLevel="0" collapsed="false">
      <c r="A1466" s="6" t="s">
        <v>50</v>
      </c>
      <c r="B1466" s="6" t="s">
        <v>43</v>
      </c>
      <c r="C1466" s="6" t="s">
        <v>51</v>
      </c>
      <c r="D1466" s="6" t="s">
        <v>115</v>
      </c>
      <c r="E1466" s="6" t="n">
        <v>1</v>
      </c>
      <c r="F1466" s="6" t="n">
        <v>4</v>
      </c>
      <c r="G1466" s="6" t="s">
        <v>69</v>
      </c>
      <c r="H1466" s="11" t="n">
        <v>0.01</v>
      </c>
      <c r="I1466" s="6" t="n">
        <v>20</v>
      </c>
      <c r="J1466" s="6" t="n">
        <v>20</v>
      </c>
      <c r="K1466" s="6" t="n">
        <v>0</v>
      </c>
      <c r="L1466" s="6" t="n">
        <v>0</v>
      </c>
      <c r="M1466" s="6" t="n">
        <v>20</v>
      </c>
      <c r="N1466" s="11" t="n">
        <f aca="false">J1466/(J1466+K1466)</f>
        <v>1</v>
      </c>
      <c r="O1466" s="11" t="n">
        <f aca="false">IF(J1466+L1466=0,"",J1466/(J1466+L1466))</f>
        <v>1</v>
      </c>
      <c r="P1466" s="11" t="n">
        <f aca="false">2*J1466/(2*J1466+L1466+K1466)</f>
        <v>1</v>
      </c>
      <c r="Q1466" s="11" t="n">
        <f aca="false">L1466/(L1466+M1466)</f>
        <v>0</v>
      </c>
      <c r="R1466" s="6" t="n">
        <v>20</v>
      </c>
      <c r="S1466" s="11" t="n">
        <v>1</v>
      </c>
      <c r="T1466" s="11"/>
      <c r="U1466" s="11" t="n">
        <v>1</v>
      </c>
      <c r="V1466" s="11" t="n">
        <v>0</v>
      </c>
    </row>
    <row r="1467" customFormat="false" ht="15" hidden="false" customHeight="false" outlineLevel="0" collapsed="false">
      <c r="A1467" s="6" t="s">
        <v>50</v>
      </c>
      <c r="B1467" s="6" t="s">
        <v>43</v>
      </c>
      <c r="C1467" s="6" t="s">
        <v>51</v>
      </c>
      <c r="D1467" s="6" t="s">
        <v>115</v>
      </c>
      <c r="E1467" s="6" t="n">
        <v>1</v>
      </c>
      <c r="F1467" s="6" t="n">
        <v>4</v>
      </c>
      <c r="G1467" s="6" t="s">
        <v>70</v>
      </c>
      <c r="H1467" s="11" t="n">
        <v>0.01</v>
      </c>
      <c r="I1467" s="6" t="n">
        <v>20</v>
      </c>
      <c r="J1467" s="6" t="n">
        <v>20</v>
      </c>
      <c r="K1467" s="6" t="n">
        <v>0</v>
      </c>
      <c r="L1467" s="6" t="n">
        <v>0</v>
      </c>
      <c r="M1467" s="6" t="n">
        <v>20</v>
      </c>
      <c r="N1467" s="11" t="n">
        <f aca="false">J1467/(J1467+K1467)</f>
        <v>1</v>
      </c>
      <c r="O1467" s="11" t="n">
        <f aca="false">IF(J1467+L1467=0,"",J1467/(J1467+L1467))</f>
        <v>1</v>
      </c>
      <c r="P1467" s="11" t="n">
        <f aca="false">2*J1467/(2*J1467+L1467+K1467)</f>
        <v>1</v>
      </c>
      <c r="Q1467" s="11" t="n">
        <f aca="false">L1467/(L1467+M1467)</f>
        <v>0</v>
      </c>
      <c r="R1467" s="6" t="n">
        <v>20</v>
      </c>
      <c r="S1467" s="11" t="n">
        <v>1</v>
      </c>
      <c r="T1467" s="11"/>
      <c r="U1467" s="11" t="n">
        <v>0.9</v>
      </c>
      <c r="V1467" s="11" t="n">
        <v>0</v>
      </c>
    </row>
    <row r="1468" customFormat="false" ht="15" hidden="false" customHeight="false" outlineLevel="0" collapsed="false">
      <c r="A1468" s="6" t="s">
        <v>50</v>
      </c>
      <c r="B1468" s="6" t="s">
        <v>43</v>
      </c>
      <c r="C1468" s="6" t="s">
        <v>51</v>
      </c>
      <c r="D1468" s="6" t="s">
        <v>115</v>
      </c>
      <c r="E1468" s="6" t="n">
        <v>1</v>
      </c>
      <c r="F1468" s="6" t="n">
        <v>4</v>
      </c>
      <c r="G1468" s="6" t="s">
        <v>71</v>
      </c>
      <c r="H1468" s="11" t="n">
        <v>0.01</v>
      </c>
      <c r="I1468" s="6" t="n">
        <v>20</v>
      </c>
      <c r="J1468" s="6" t="n">
        <v>20</v>
      </c>
      <c r="K1468" s="6" t="n">
        <v>0</v>
      </c>
      <c r="L1468" s="6" t="n">
        <v>0</v>
      </c>
      <c r="M1468" s="6" t="n">
        <v>20</v>
      </c>
      <c r="N1468" s="11" t="n">
        <f aca="false">J1468/(J1468+K1468)</f>
        <v>1</v>
      </c>
      <c r="O1468" s="11" t="n">
        <f aca="false">IF(J1468+L1468=0,"",J1468/(J1468+L1468))</f>
        <v>1</v>
      </c>
      <c r="P1468" s="11" t="n">
        <f aca="false">2*J1468/(2*J1468+L1468+K1468)</f>
        <v>1</v>
      </c>
      <c r="Q1468" s="11" t="n">
        <f aca="false">L1468/(L1468+M1468)</f>
        <v>0</v>
      </c>
      <c r="R1468" s="6" t="n">
        <v>20</v>
      </c>
      <c r="S1468" s="11" t="n">
        <v>1</v>
      </c>
      <c r="T1468" s="11"/>
      <c r="U1468" s="11" t="n">
        <v>0.8</v>
      </c>
      <c r="V1468" s="11" t="n">
        <v>0</v>
      </c>
    </row>
    <row r="1469" customFormat="false" ht="15" hidden="false" customHeight="false" outlineLevel="0" collapsed="false">
      <c r="A1469" s="6" t="s">
        <v>50</v>
      </c>
      <c r="B1469" s="6" t="s">
        <v>43</v>
      </c>
      <c r="C1469" s="6" t="s">
        <v>51</v>
      </c>
      <c r="D1469" s="6" t="s">
        <v>115</v>
      </c>
      <c r="E1469" s="6" t="n">
        <v>1</v>
      </c>
      <c r="F1469" s="6" t="n">
        <v>4</v>
      </c>
      <c r="G1469" s="6" t="s">
        <v>72</v>
      </c>
      <c r="H1469" s="11" t="n">
        <v>0.01</v>
      </c>
      <c r="I1469" s="6" t="n">
        <v>20</v>
      </c>
      <c r="J1469" s="6" t="n">
        <v>20</v>
      </c>
      <c r="K1469" s="6" t="n">
        <v>0</v>
      </c>
      <c r="L1469" s="6" t="n">
        <v>0</v>
      </c>
      <c r="M1469" s="6" t="n">
        <v>20</v>
      </c>
      <c r="N1469" s="11" t="n">
        <f aca="false">J1469/(J1469+K1469)</f>
        <v>1</v>
      </c>
      <c r="O1469" s="11" t="n">
        <f aca="false">IF(J1469+L1469=0,"",J1469/(J1469+L1469))</f>
        <v>1</v>
      </c>
      <c r="P1469" s="11" t="n">
        <f aca="false">2*J1469/(2*J1469+L1469+K1469)</f>
        <v>1</v>
      </c>
      <c r="Q1469" s="11" t="n">
        <f aca="false">L1469/(L1469+M1469)</f>
        <v>0</v>
      </c>
      <c r="R1469" s="6" t="n">
        <v>20</v>
      </c>
      <c r="S1469" s="11" t="n">
        <v>1</v>
      </c>
      <c r="T1469" s="11"/>
      <c r="U1469" s="11" t="n">
        <v>0.9</v>
      </c>
      <c r="V1469" s="11" t="n">
        <v>0</v>
      </c>
    </row>
    <row r="1470" customFormat="false" ht="15" hidden="false" customHeight="false" outlineLevel="0" collapsed="false">
      <c r="A1470" s="6" t="s">
        <v>50</v>
      </c>
      <c r="B1470" s="6" t="s">
        <v>43</v>
      </c>
      <c r="C1470" s="6" t="s">
        <v>51</v>
      </c>
      <c r="D1470" s="6" t="s">
        <v>115</v>
      </c>
      <c r="E1470" s="6" t="n">
        <v>1</v>
      </c>
      <c r="F1470" s="6" t="n">
        <v>4</v>
      </c>
      <c r="G1470" s="6" t="s">
        <v>73</v>
      </c>
      <c r="H1470" s="11" t="n">
        <v>0.01</v>
      </c>
      <c r="I1470" s="6" t="n">
        <v>20</v>
      </c>
      <c r="J1470" s="6" t="n">
        <v>20</v>
      </c>
      <c r="K1470" s="6" t="n">
        <v>0</v>
      </c>
      <c r="L1470" s="6" t="n">
        <v>0</v>
      </c>
      <c r="M1470" s="6" t="n">
        <v>20</v>
      </c>
      <c r="N1470" s="11" t="n">
        <f aca="false">J1470/(J1470+K1470)</f>
        <v>1</v>
      </c>
      <c r="O1470" s="11" t="n">
        <f aca="false">IF(J1470+L1470=0,"",J1470/(J1470+L1470))</f>
        <v>1</v>
      </c>
      <c r="P1470" s="11" t="n">
        <f aca="false">2*J1470/(2*J1470+L1470+K1470)</f>
        <v>1</v>
      </c>
      <c r="Q1470" s="11" t="n">
        <f aca="false">L1470/(L1470+M1470)</f>
        <v>0</v>
      </c>
      <c r="R1470" s="6" t="n">
        <v>20</v>
      </c>
      <c r="S1470" s="11" t="n">
        <v>1</v>
      </c>
      <c r="T1470" s="11"/>
      <c r="U1470" s="11" t="n">
        <v>0.65</v>
      </c>
      <c r="V1470" s="11" t="n">
        <v>0</v>
      </c>
    </row>
    <row r="1471" customFormat="false" ht="15" hidden="false" customHeight="false" outlineLevel="0" collapsed="false">
      <c r="A1471" s="6" t="s">
        <v>50</v>
      </c>
      <c r="B1471" s="6" t="s">
        <v>43</v>
      </c>
      <c r="C1471" s="6" t="s">
        <v>51</v>
      </c>
      <c r="D1471" s="6" t="s">
        <v>115</v>
      </c>
      <c r="E1471" s="6" t="n">
        <v>1</v>
      </c>
      <c r="F1471" s="6" t="n">
        <v>4</v>
      </c>
      <c r="G1471" s="6" t="s">
        <v>74</v>
      </c>
      <c r="H1471" s="11" t="n">
        <v>0.01</v>
      </c>
      <c r="I1471" s="6" t="n">
        <v>20</v>
      </c>
      <c r="J1471" s="6" t="n">
        <v>20</v>
      </c>
      <c r="K1471" s="6" t="n">
        <v>0</v>
      </c>
      <c r="L1471" s="6" t="n">
        <v>0</v>
      </c>
      <c r="M1471" s="6" t="n">
        <v>20</v>
      </c>
      <c r="N1471" s="11" t="n">
        <f aca="false">J1471/(J1471+K1471)</f>
        <v>1</v>
      </c>
      <c r="O1471" s="11" t="n">
        <f aca="false">IF(J1471+L1471=0,"",J1471/(J1471+L1471))</f>
        <v>1</v>
      </c>
      <c r="P1471" s="11" t="n">
        <f aca="false">2*J1471/(2*J1471+L1471+K1471)</f>
        <v>1</v>
      </c>
      <c r="Q1471" s="11" t="n">
        <f aca="false">L1471/(L1471+M1471)</f>
        <v>0</v>
      </c>
      <c r="R1471" s="6" t="n">
        <v>20</v>
      </c>
      <c r="S1471" s="11" t="n">
        <v>1</v>
      </c>
      <c r="T1471" s="11"/>
      <c r="U1471" s="11" t="n">
        <v>0.85</v>
      </c>
      <c r="V1471" s="11" t="n">
        <v>0</v>
      </c>
    </row>
    <row r="1472" customFormat="false" ht="15" hidden="false" customHeight="false" outlineLevel="0" collapsed="false">
      <c r="A1472" s="6" t="s">
        <v>50</v>
      </c>
      <c r="B1472" s="6" t="s">
        <v>43</v>
      </c>
      <c r="C1472" s="6" t="s">
        <v>51</v>
      </c>
      <c r="D1472" s="6" t="s">
        <v>115</v>
      </c>
      <c r="E1472" s="6" t="n">
        <v>1</v>
      </c>
      <c r="F1472" s="6" t="n">
        <v>4</v>
      </c>
      <c r="G1472" s="6" t="s">
        <v>75</v>
      </c>
      <c r="H1472" s="11" t="n">
        <v>0.01</v>
      </c>
      <c r="I1472" s="6" t="n">
        <v>20</v>
      </c>
      <c r="J1472" s="6" t="n">
        <v>20</v>
      </c>
      <c r="K1472" s="6" t="n">
        <v>0</v>
      </c>
      <c r="L1472" s="6" t="n">
        <v>0</v>
      </c>
      <c r="M1472" s="6" t="n">
        <v>20</v>
      </c>
      <c r="N1472" s="11" t="n">
        <f aca="false">J1472/(J1472+K1472)</f>
        <v>1</v>
      </c>
      <c r="O1472" s="11" t="n">
        <f aca="false">IF(J1472+L1472=0,"",J1472/(J1472+L1472))</f>
        <v>1</v>
      </c>
      <c r="P1472" s="11" t="n">
        <f aca="false">2*J1472/(2*J1472+L1472+K1472)</f>
        <v>1</v>
      </c>
      <c r="Q1472" s="11" t="n">
        <f aca="false">L1472/(L1472+M1472)</f>
        <v>0</v>
      </c>
      <c r="R1472" s="6" t="n">
        <v>20</v>
      </c>
      <c r="S1472" s="11" t="n">
        <v>1</v>
      </c>
      <c r="T1472" s="11"/>
      <c r="U1472" s="11" t="n">
        <v>0.9</v>
      </c>
      <c r="V1472" s="11" t="n">
        <v>0</v>
      </c>
    </row>
    <row r="1473" customFormat="false" ht="15" hidden="false" customHeight="false" outlineLevel="0" collapsed="false">
      <c r="A1473" s="6" t="s">
        <v>50</v>
      </c>
      <c r="B1473" s="6" t="s">
        <v>43</v>
      </c>
      <c r="C1473" s="6" t="s">
        <v>51</v>
      </c>
      <c r="D1473" s="6" t="s">
        <v>115</v>
      </c>
      <c r="E1473" s="6" t="n">
        <v>1</v>
      </c>
      <c r="F1473" s="6" t="n">
        <v>4</v>
      </c>
      <c r="G1473" s="6" t="s">
        <v>76</v>
      </c>
      <c r="H1473" s="11" t="n">
        <v>0.01</v>
      </c>
      <c r="I1473" s="6" t="n">
        <v>20</v>
      </c>
      <c r="J1473" s="6" t="n">
        <v>20</v>
      </c>
      <c r="K1473" s="6" t="n">
        <v>0</v>
      </c>
      <c r="L1473" s="6" t="n">
        <v>0</v>
      </c>
      <c r="M1473" s="6" t="n">
        <v>20</v>
      </c>
      <c r="N1473" s="11" t="n">
        <f aca="false">J1473/(J1473+K1473)</f>
        <v>1</v>
      </c>
      <c r="O1473" s="11" t="n">
        <f aca="false">IF(J1473+L1473=0,"",J1473/(J1473+L1473))</f>
        <v>1</v>
      </c>
      <c r="P1473" s="11" t="n">
        <f aca="false">2*J1473/(2*J1473+L1473+K1473)</f>
        <v>1</v>
      </c>
      <c r="Q1473" s="11" t="n">
        <f aca="false">L1473/(L1473+M1473)</f>
        <v>0</v>
      </c>
      <c r="R1473" s="6" t="n">
        <v>1</v>
      </c>
      <c r="S1473" s="11" t="n">
        <v>1</v>
      </c>
      <c r="T1473" s="11" t="n">
        <v>1</v>
      </c>
      <c r="U1473" s="11" t="n">
        <v>0.95</v>
      </c>
      <c r="V1473" s="11" t="n">
        <v>1</v>
      </c>
    </row>
    <row r="1474" customFormat="false" ht="15" hidden="false" customHeight="false" outlineLevel="0" collapsed="false">
      <c r="A1474" s="6" t="s">
        <v>50</v>
      </c>
      <c r="B1474" s="6" t="s">
        <v>43</v>
      </c>
      <c r="C1474" s="6" t="s">
        <v>51</v>
      </c>
      <c r="D1474" s="6" t="s">
        <v>115</v>
      </c>
      <c r="E1474" s="6" t="n">
        <v>1</v>
      </c>
      <c r="F1474" s="6" t="n">
        <v>4</v>
      </c>
      <c r="G1474" s="6" t="s">
        <v>77</v>
      </c>
      <c r="H1474" s="11" t="n">
        <v>0.01</v>
      </c>
      <c r="I1474" s="6" t="n">
        <v>20</v>
      </c>
      <c r="J1474" s="6" t="n">
        <v>20</v>
      </c>
      <c r="K1474" s="6" t="n">
        <v>0</v>
      </c>
      <c r="L1474" s="6" t="n">
        <v>1</v>
      </c>
      <c r="M1474" s="6" t="n">
        <v>19</v>
      </c>
      <c r="N1474" s="11" t="n">
        <f aca="false">J1474/(J1474+K1474)</f>
        <v>1</v>
      </c>
      <c r="O1474" s="11" t="n">
        <f aca="false">IF(J1474+L1474=0,"",J1474/(J1474+L1474))</f>
        <v>0.952380952380952</v>
      </c>
      <c r="P1474" s="11" t="n">
        <f aca="false">2*J1474/(2*J1474+L1474+K1474)</f>
        <v>0.975609756097561</v>
      </c>
      <c r="Q1474" s="11" t="n">
        <f aca="false">L1474/(L1474+M1474)</f>
        <v>0.05</v>
      </c>
      <c r="R1474" s="6" t="n">
        <v>20</v>
      </c>
      <c r="S1474" s="11" t="n">
        <v>1</v>
      </c>
      <c r="T1474" s="11"/>
      <c r="U1474" s="11" t="n">
        <v>1</v>
      </c>
      <c r="V1474" s="11" t="n">
        <v>0</v>
      </c>
    </row>
    <row r="1475" customFormat="false" ht="15" hidden="false" customHeight="false" outlineLevel="0" collapsed="false">
      <c r="A1475" s="6" t="s">
        <v>50</v>
      </c>
      <c r="B1475" s="6" t="s">
        <v>43</v>
      </c>
      <c r="C1475" s="6" t="s">
        <v>51</v>
      </c>
      <c r="D1475" s="6" t="s">
        <v>115</v>
      </c>
      <c r="E1475" s="6" t="n">
        <v>1</v>
      </c>
      <c r="F1475" s="6" t="n">
        <v>4</v>
      </c>
      <c r="G1475" s="6" t="s">
        <v>78</v>
      </c>
      <c r="H1475" s="11" t="n">
        <v>0.01</v>
      </c>
      <c r="I1475" s="6" t="n">
        <v>200</v>
      </c>
      <c r="J1475" s="6" t="n">
        <v>200</v>
      </c>
      <c r="K1475" s="6" t="n">
        <v>0</v>
      </c>
      <c r="L1475" s="6" t="n">
        <v>1</v>
      </c>
      <c r="M1475" s="6" t="n">
        <v>199</v>
      </c>
      <c r="N1475" s="11" t="n">
        <f aca="false">J1475/(J1475+K1475)</f>
        <v>1</v>
      </c>
      <c r="O1475" s="11" t="n">
        <f aca="false">IF(J1475+L1475=0,"",J1475/(J1475+L1475))</f>
        <v>0.995024875621891</v>
      </c>
      <c r="P1475" s="11" t="n">
        <f aca="false">2*J1475/(2*J1475+L1475+K1475)</f>
        <v>0.997506234413965</v>
      </c>
      <c r="Q1475" s="11" t="n">
        <f aca="false">L1475/(L1475+M1475)</f>
        <v>0.005</v>
      </c>
      <c r="R1475" s="6" t="n">
        <v>179</v>
      </c>
      <c r="S1475" s="11" t="n">
        <v>1</v>
      </c>
      <c r="T1475" s="11" t="n">
        <v>1</v>
      </c>
      <c r="U1475" s="11" t="n">
        <v>0.88</v>
      </c>
      <c r="V1475" s="11" t="n">
        <v>0.1</v>
      </c>
    </row>
    <row r="1476" customFormat="false" ht="15" hidden="false" customHeight="false" outlineLevel="0" collapsed="false">
      <c r="A1476" s="6" t="s">
        <v>50</v>
      </c>
      <c r="B1476" s="6" t="s">
        <v>43</v>
      </c>
      <c r="C1476" s="6" t="s">
        <v>51</v>
      </c>
      <c r="D1476" s="6" t="s">
        <v>115</v>
      </c>
      <c r="E1476" s="6" t="n">
        <v>1</v>
      </c>
      <c r="F1476" s="6" t="n">
        <v>5</v>
      </c>
      <c r="G1476" s="6" t="s">
        <v>68</v>
      </c>
      <c r="H1476" s="11" t="n">
        <v>0.01</v>
      </c>
      <c r="I1476" s="6" t="n">
        <v>20</v>
      </c>
      <c r="J1476" s="6" t="n">
        <v>0</v>
      </c>
      <c r="K1476" s="6" t="n">
        <v>20</v>
      </c>
      <c r="L1476" s="6" t="n">
        <v>0</v>
      </c>
      <c r="M1476" s="6" t="n">
        <v>20</v>
      </c>
      <c r="N1476" s="11" t="n">
        <f aca="false">J1476/(J1476+K1476)</f>
        <v>0</v>
      </c>
      <c r="O1476" s="11" t="str">
        <f aca="false">IF(J1476+L1476=0,"",J1476/(J1476+L1476))</f>
        <v/>
      </c>
      <c r="P1476" s="11" t="n">
        <f aca="false">2*J1476/(2*J1476+L1476+K1476)</f>
        <v>0</v>
      </c>
      <c r="Q1476" s="11" t="n">
        <f aca="false">L1476/(L1476+M1476)</f>
        <v>0</v>
      </c>
      <c r="R1476" s="6" t="n">
        <v>0</v>
      </c>
      <c r="S1476" s="11"/>
      <c r="T1476" s="11" t="n">
        <v>0</v>
      </c>
      <c r="U1476" s="11" t="n">
        <v>0.85</v>
      </c>
      <c r="V1476" s="11" t="n">
        <v>0.85</v>
      </c>
    </row>
    <row r="1477" customFormat="false" ht="15" hidden="false" customHeight="false" outlineLevel="0" collapsed="false">
      <c r="A1477" s="6" t="s">
        <v>50</v>
      </c>
      <c r="B1477" s="6" t="s">
        <v>43</v>
      </c>
      <c r="C1477" s="6" t="s">
        <v>51</v>
      </c>
      <c r="D1477" s="6" t="s">
        <v>115</v>
      </c>
      <c r="E1477" s="6" t="n">
        <v>1</v>
      </c>
      <c r="F1477" s="6" t="n">
        <v>5</v>
      </c>
      <c r="G1477" s="6" t="s">
        <v>69</v>
      </c>
      <c r="H1477" s="11" t="n">
        <v>0.01</v>
      </c>
      <c r="I1477" s="6" t="n">
        <v>20</v>
      </c>
      <c r="J1477" s="6" t="n">
        <v>0</v>
      </c>
      <c r="K1477" s="6" t="n">
        <v>20</v>
      </c>
      <c r="L1477" s="6" t="n">
        <v>0</v>
      </c>
      <c r="M1477" s="6" t="n">
        <v>20</v>
      </c>
      <c r="N1477" s="11" t="n">
        <f aca="false">J1477/(J1477+K1477)</f>
        <v>0</v>
      </c>
      <c r="O1477" s="11" t="str">
        <f aca="false">IF(J1477+L1477=0,"",J1477/(J1477+L1477))</f>
        <v/>
      </c>
      <c r="P1477" s="11" t="n">
        <f aca="false">2*J1477/(2*J1477+L1477+K1477)</f>
        <v>0</v>
      </c>
      <c r="Q1477" s="11" t="n">
        <f aca="false">L1477/(L1477+M1477)</f>
        <v>0</v>
      </c>
      <c r="R1477" s="6" t="n">
        <v>0</v>
      </c>
      <c r="S1477" s="11"/>
      <c r="T1477" s="11" t="n">
        <v>0</v>
      </c>
      <c r="U1477" s="11" t="n">
        <v>1</v>
      </c>
      <c r="V1477" s="11" t="n">
        <v>1</v>
      </c>
    </row>
    <row r="1478" customFormat="false" ht="15" hidden="false" customHeight="false" outlineLevel="0" collapsed="false">
      <c r="A1478" s="6" t="s">
        <v>50</v>
      </c>
      <c r="B1478" s="6" t="s">
        <v>43</v>
      </c>
      <c r="C1478" s="6" t="s">
        <v>51</v>
      </c>
      <c r="D1478" s="6" t="s">
        <v>115</v>
      </c>
      <c r="E1478" s="6" t="n">
        <v>1</v>
      </c>
      <c r="F1478" s="6" t="n">
        <v>5</v>
      </c>
      <c r="G1478" s="6" t="s">
        <v>70</v>
      </c>
      <c r="H1478" s="11" t="n">
        <v>0.01</v>
      </c>
      <c r="I1478" s="6" t="n">
        <v>20</v>
      </c>
      <c r="J1478" s="6" t="n">
        <v>0</v>
      </c>
      <c r="K1478" s="6" t="n">
        <v>20</v>
      </c>
      <c r="L1478" s="6" t="n">
        <v>0</v>
      </c>
      <c r="M1478" s="6" t="n">
        <v>20</v>
      </c>
      <c r="N1478" s="11" t="n">
        <f aca="false">J1478/(J1478+K1478)</f>
        <v>0</v>
      </c>
      <c r="O1478" s="11" t="str">
        <f aca="false">IF(J1478+L1478=0,"",J1478/(J1478+L1478))</f>
        <v/>
      </c>
      <c r="P1478" s="11" t="n">
        <f aca="false">2*J1478/(2*J1478+L1478+K1478)</f>
        <v>0</v>
      </c>
      <c r="Q1478" s="11" t="n">
        <f aca="false">L1478/(L1478+M1478)</f>
        <v>0</v>
      </c>
      <c r="R1478" s="6" t="n">
        <v>0</v>
      </c>
      <c r="S1478" s="11"/>
      <c r="T1478" s="11" t="n">
        <v>0</v>
      </c>
      <c r="U1478" s="11" t="n">
        <v>0.9</v>
      </c>
      <c r="V1478" s="11" t="n">
        <v>0.9</v>
      </c>
    </row>
    <row r="1479" customFormat="false" ht="15" hidden="false" customHeight="false" outlineLevel="0" collapsed="false">
      <c r="A1479" s="6" t="s">
        <v>50</v>
      </c>
      <c r="B1479" s="6" t="s">
        <v>43</v>
      </c>
      <c r="C1479" s="6" t="s">
        <v>51</v>
      </c>
      <c r="D1479" s="6" t="s">
        <v>115</v>
      </c>
      <c r="E1479" s="6" t="n">
        <v>1</v>
      </c>
      <c r="F1479" s="6" t="n">
        <v>5</v>
      </c>
      <c r="G1479" s="6" t="s">
        <v>71</v>
      </c>
      <c r="H1479" s="11" t="n">
        <v>0.01</v>
      </c>
      <c r="I1479" s="6" t="n">
        <v>20</v>
      </c>
      <c r="J1479" s="6" t="n">
        <v>0</v>
      </c>
      <c r="K1479" s="6" t="n">
        <v>20</v>
      </c>
      <c r="L1479" s="6" t="n">
        <v>0</v>
      </c>
      <c r="M1479" s="6" t="n">
        <v>20</v>
      </c>
      <c r="N1479" s="11" t="n">
        <f aca="false">J1479/(J1479+K1479)</f>
        <v>0</v>
      </c>
      <c r="O1479" s="11" t="str">
        <f aca="false">IF(J1479+L1479=0,"",J1479/(J1479+L1479))</f>
        <v/>
      </c>
      <c r="P1479" s="11" t="n">
        <f aca="false">2*J1479/(2*J1479+L1479+K1479)</f>
        <v>0</v>
      </c>
      <c r="Q1479" s="11" t="n">
        <f aca="false">L1479/(L1479+M1479)</f>
        <v>0</v>
      </c>
      <c r="R1479" s="6" t="n">
        <v>0</v>
      </c>
      <c r="S1479" s="11"/>
      <c r="T1479" s="11" t="n">
        <v>0</v>
      </c>
      <c r="U1479" s="11" t="n">
        <v>0.8</v>
      </c>
      <c r="V1479" s="11" t="n">
        <v>0.8</v>
      </c>
    </row>
    <row r="1480" customFormat="false" ht="15" hidden="false" customHeight="false" outlineLevel="0" collapsed="false">
      <c r="A1480" s="6" t="s">
        <v>50</v>
      </c>
      <c r="B1480" s="6" t="s">
        <v>43</v>
      </c>
      <c r="C1480" s="6" t="s">
        <v>51</v>
      </c>
      <c r="D1480" s="6" t="s">
        <v>115</v>
      </c>
      <c r="E1480" s="6" t="n">
        <v>1</v>
      </c>
      <c r="F1480" s="6" t="n">
        <v>5</v>
      </c>
      <c r="G1480" s="6" t="s">
        <v>72</v>
      </c>
      <c r="H1480" s="11" t="n">
        <v>0.01</v>
      </c>
      <c r="I1480" s="6" t="n">
        <v>20</v>
      </c>
      <c r="J1480" s="6" t="n">
        <v>0</v>
      </c>
      <c r="K1480" s="6" t="n">
        <v>20</v>
      </c>
      <c r="L1480" s="6" t="n">
        <v>0</v>
      </c>
      <c r="M1480" s="6" t="n">
        <v>20</v>
      </c>
      <c r="N1480" s="11" t="n">
        <f aca="false">J1480/(J1480+K1480)</f>
        <v>0</v>
      </c>
      <c r="O1480" s="11" t="str">
        <f aca="false">IF(J1480+L1480=0,"",J1480/(J1480+L1480))</f>
        <v/>
      </c>
      <c r="P1480" s="11" t="n">
        <f aca="false">2*J1480/(2*J1480+L1480+K1480)</f>
        <v>0</v>
      </c>
      <c r="Q1480" s="11" t="n">
        <f aca="false">L1480/(L1480+M1480)</f>
        <v>0</v>
      </c>
      <c r="R1480" s="6" t="n">
        <v>0</v>
      </c>
      <c r="S1480" s="11"/>
      <c r="T1480" s="11" t="n">
        <v>0</v>
      </c>
      <c r="U1480" s="11" t="n">
        <v>0.9</v>
      </c>
      <c r="V1480" s="11" t="n">
        <v>0.9</v>
      </c>
    </row>
    <row r="1481" customFormat="false" ht="15" hidden="false" customHeight="false" outlineLevel="0" collapsed="false">
      <c r="A1481" s="6" t="s">
        <v>50</v>
      </c>
      <c r="B1481" s="6" t="s">
        <v>43</v>
      </c>
      <c r="C1481" s="6" t="s">
        <v>51</v>
      </c>
      <c r="D1481" s="6" t="s">
        <v>115</v>
      </c>
      <c r="E1481" s="6" t="n">
        <v>1</v>
      </c>
      <c r="F1481" s="6" t="n">
        <v>5</v>
      </c>
      <c r="G1481" s="6" t="s">
        <v>73</v>
      </c>
      <c r="H1481" s="11" t="n">
        <v>0.01</v>
      </c>
      <c r="I1481" s="6" t="n">
        <v>20</v>
      </c>
      <c r="J1481" s="6" t="n">
        <v>0</v>
      </c>
      <c r="K1481" s="6" t="n">
        <v>20</v>
      </c>
      <c r="L1481" s="6" t="n">
        <v>0</v>
      </c>
      <c r="M1481" s="6" t="n">
        <v>20</v>
      </c>
      <c r="N1481" s="11" t="n">
        <f aca="false">J1481/(J1481+K1481)</f>
        <v>0</v>
      </c>
      <c r="O1481" s="11" t="str">
        <f aca="false">IF(J1481+L1481=0,"",J1481/(J1481+L1481))</f>
        <v/>
      </c>
      <c r="P1481" s="11" t="n">
        <f aca="false">2*J1481/(2*J1481+L1481+K1481)</f>
        <v>0</v>
      </c>
      <c r="Q1481" s="11" t="n">
        <f aca="false">L1481/(L1481+M1481)</f>
        <v>0</v>
      </c>
      <c r="R1481" s="6" t="n">
        <v>0</v>
      </c>
      <c r="S1481" s="11"/>
      <c r="T1481" s="11" t="n">
        <v>0</v>
      </c>
      <c r="U1481" s="11" t="n">
        <v>0.65</v>
      </c>
      <c r="V1481" s="11" t="n">
        <v>0.65</v>
      </c>
    </row>
    <row r="1482" customFormat="false" ht="15" hidden="false" customHeight="false" outlineLevel="0" collapsed="false">
      <c r="A1482" s="6" t="s">
        <v>50</v>
      </c>
      <c r="B1482" s="6" t="s">
        <v>43</v>
      </c>
      <c r="C1482" s="6" t="s">
        <v>51</v>
      </c>
      <c r="D1482" s="6" t="s">
        <v>115</v>
      </c>
      <c r="E1482" s="6" t="n">
        <v>1</v>
      </c>
      <c r="F1482" s="6" t="n">
        <v>5</v>
      </c>
      <c r="G1482" s="6" t="s">
        <v>74</v>
      </c>
      <c r="H1482" s="11" t="n">
        <v>0.01</v>
      </c>
      <c r="I1482" s="6" t="n">
        <v>20</v>
      </c>
      <c r="J1482" s="6" t="n">
        <v>0</v>
      </c>
      <c r="K1482" s="6" t="n">
        <v>20</v>
      </c>
      <c r="L1482" s="6" t="n">
        <v>0</v>
      </c>
      <c r="M1482" s="6" t="n">
        <v>20</v>
      </c>
      <c r="N1482" s="11" t="n">
        <f aca="false">J1482/(J1482+K1482)</f>
        <v>0</v>
      </c>
      <c r="O1482" s="11" t="str">
        <f aca="false">IF(J1482+L1482=0,"",J1482/(J1482+L1482))</f>
        <v/>
      </c>
      <c r="P1482" s="11" t="n">
        <f aca="false">2*J1482/(2*J1482+L1482+K1482)</f>
        <v>0</v>
      </c>
      <c r="Q1482" s="11" t="n">
        <f aca="false">L1482/(L1482+M1482)</f>
        <v>0</v>
      </c>
      <c r="R1482" s="6" t="n">
        <v>0</v>
      </c>
      <c r="S1482" s="11"/>
      <c r="T1482" s="11" t="n">
        <v>0</v>
      </c>
      <c r="U1482" s="11" t="n">
        <v>0.85</v>
      </c>
      <c r="V1482" s="11" t="n">
        <v>0.85</v>
      </c>
    </row>
    <row r="1483" customFormat="false" ht="15" hidden="false" customHeight="false" outlineLevel="0" collapsed="false">
      <c r="A1483" s="6" t="s">
        <v>50</v>
      </c>
      <c r="B1483" s="6" t="s">
        <v>43</v>
      </c>
      <c r="C1483" s="6" t="s">
        <v>51</v>
      </c>
      <c r="D1483" s="6" t="s">
        <v>115</v>
      </c>
      <c r="E1483" s="6" t="n">
        <v>1</v>
      </c>
      <c r="F1483" s="6" t="n">
        <v>5</v>
      </c>
      <c r="G1483" s="6" t="s">
        <v>75</v>
      </c>
      <c r="H1483" s="11" t="n">
        <v>0.01</v>
      </c>
      <c r="I1483" s="6" t="n">
        <v>20</v>
      </c>
      <c r="J1483" s="6" t="n">
        <v>0</v>
      </c>
      <c r="K1483" s="6" t="n">
        <v>20</v>
      </c>
      <c r="L1483" s="6" t="n">
        <v>0</v>
      </c>
      <c r="M1483" s="6" t="n">
        <v>20</v>
      </c>
      <c r="N1483" s="11" t="n">
        <f aca="false">J1483/(J1483+K1483)</f>
        <v>0</v>
      </c>
      <c r="O1483" s="11" t="str">
        <f aca="false">IF(J1483+L1483=0,"",J1483/(J1483+L1483))</f>
        <v/>
      </c>
      <c r="P1483" s="11" t="n">
        <f aca="false">2*J1483/(2*J1483+L1483+K1483)</f>
        <v>0</v>
      </c>
      <c r="Q1483" s="11" t="n">
        <f aca="false">L1483/(L1483+M1483)</f>
        <v>0</v>
      </c>
      <c r="R1483" s="6" t="n">
        <v>0</v>
      </c>
      <c r="S1483" s="11"/>
      <c r="T1483" s="11" t="n">
        <v>0</v>
      </c>
      <c r="U1483" s="11" t="n">
        <v>0.9</v>
      </c>
      <c r="V1483" s="11" t="n">
        <v>0.9</v>
      </c>
    </row>
    <row r="1484" customFormat="false" ht="15" hidden="false" customHeight="false" outlineLevel="0" collapsed="false">
      <c r="A1484" s="6" t="s">
        <v>50</v>
      </c>
      <c r="B1484" s="6" t="s">
        <v>43</v>
      </c>
      <c r="C1484" s="6" t="s">
        <v>51</v>
      </c>
      <c r="D1484" s="6" t="s">
        <v>115</v>
      </c>
      <c r="E1484" s="6" t="n">
        <v>1</v>
      </c>
      <c r="F1484" s="6" t="n">
        <v>5</v>
      </c>
      <c r="G1484" s="6" t="s">
        <v>76</v>
      </c>
      <c r="H1484" s="11" t="n">
        <v>0.01</v>
      </c>
      <c r="I1484" s="6" t="n">
        <v>20</v>
      </c>
      <c r="J1484" s="6" t="n">
        <v>0</v>
      </c>
      <c r="K1484" s="6" t="n">
        <v>20</v>
      </c>
      <c r="L1484" s="6" t="n">
        <v>0</v>
      </c>
      <c r="M1484" s="6" t="n">
        <v>20</v>
      </c>
      <c r="N1484" s="11" t="n">
        <f aca="false">J1484/(J1484+K1484)</f>
        <v>0</v>
      </c>
      <c r="O1484" s="11" t="str">
        <f aca="false">IF(J1484+L1484=0,"",J1484/(J1484+L1484))</f>
        <v/>
      </c>
      <c r="P1484" s="11" t="n">
        <f aca="false">2*J1484/(2*J1484+L1484+K1484)</f>
        <v>0</v>
      </c>
      <c r="Q1484" s="11" t="n">
        <f aca="false">L1484/(L1484+M1484)</f>
        <v>0</v>
      </c>
      <c r="R1484" s="6" t="n">
        <v>0</v>
      </c>
      <c r="S1484" s="11"/>
      <c r="T1484" s="11" t="n">
        <v>0</v>
      </c>
      <c r="U1484" s="11" t="n">
        <v>0.95</v>
      </c>
      <c r="V1484" s="11" t="n">
        <v>0.95</v>
      </c>
    </row>
    <row r="1485" customFormat="false" ht="15" hidden="false" customHeight="false" outlineLevel="0" collapsed="false">
      <c r="A1485" s="6" t="s">
        <v>50</v>
      </c>
      <c r="B1485" s="6" t="s">
        <v>43</v>
      </c>
      <c r="C1485" s="6" t="s">
        <v>51</v>
      </c>
      <c r="D1485" s="6" t="s">
        <v>115</v>
      </c>
      <c r="E1485" s="6" t="n">
        <v>1</v>
      </c>
      <c r="F1485" s="6" t="n">
        <v>5</v>
      </c>
      <c r="G1485" s="6" t="s">
        <v>77</v>
      </c>
      <c r="H1485" s="11" t="n">
        <v>0.01</v>
      </c>
      <c r="I1485" s="6" t="n">
        <v>20</v>
      </c>
      <c r="J1485" s="6" t="n">
        <v>1</v>
      </c>
      <c r="K1485" s="6" t="n">
        <v>19</v>
      </c>
      <c r="L1485" s="6" t="n">
        <v>1</v>
      </c>
      <c r="M1485" s="6" t="n">
        <v>19</v>
      </c>
      <c r="N1485" s="11" t="n">
        <f aca="false">J1485/(J1485+K1485)</f>
        <v>0.05</v>
      </c>
      <c r="O1485" s="11" t="n">
        <f aca="false">IF(J1485+L1485=0,"",J1485/(J1485+L1485))</f>
        <v>0.5</v>
      </c>
      <c r="P1485" s="11" t="n">
        <f aca="false">2*J1485/(2*J1485+L1485+K1485)</f>
        <v>0.0909090909090909</v>
      </c>
      <c r="Q1485" s="11" t="n">
        <f aca="false">L1485/(L1485+M1485)</f>
        <v>0.05</v>
      </c>
      <c r="R1485" s="6" t="n">
        <v>0</v>
      </c>
      <c r="S1485" s="11"/>
      <c r="T1485" s="11" t="n">
        <v>0.05</v>
      </c>
      <c r="U1485" s="11" t="n">
        <v>1</v>
      </c>
      <c r="V1485" s="11" t="n">
        <v>1</v>
      </c>
    </row>
    <row r="1486" customFormat="false" ht="15" hidden="false" customHeight="false" outlineLevel="0" collapsed="false">
      <c r="A1486" s="6" t="s">
        <v>50</v>
      </c>
      <c r="B1486" s="6" t="s">
        <v>43</v>
      </c>
      <c r="C1486" s="6" t="s">
        <v>51</v>
      </c>
      <c r="D1486" s="6" t="s">
        <v>115</v>
      </c>
      <c r="E1486" s="6" t="n">
        <v>1</v>
      </c>
      <c r="F1486" s="6" t="n">
        <v>5</v>
      </c>
      <c r="G1486" s="6" t="s">
        <v>78</v>
      </c>
      <c r="H1486" s="11" t="n">
        <v>0.01</v>
      </c>
      <c r="I1486" s="6" t="n">
        <v>200</v>
      </c>
      <c r="J1486" s="6" t="n">
        <v>1</v>
      </c>
      <c r="K1486" s="6" t="n">
        <v>199</v>
      </c>
      <c r="L1486" s="6" t="n">
        <v>1</v>
      </c>
      <c r="M1486" s="6" t="n">
        <v>199</v>
      </c>
      <c r="N1486" s="11" t="n">
        <f aca="false">J1486/(J1486+K1486)</f>
        <v>0.005</v>
      </c>
      <c r="O1486" s="11" t="n">
        <f aca="false">IF(J1486+L1486=0,"",J1486/(J1486+L1486))</f>
        <v>0.5</v>
      </c>
      <c r="P1486" s="11" t="n">
        <f aca="false">2*J1486/(2*J1486+L1486+K1486)</f>
        <v>0.0099009900990099</v>
      </c>
      <c r="Q1486" s="11" t="n">
        <f aca="false">L1486/(L1486+M1486)</f>
        <v>0.005</v>
      </c>
      <c r="R1486" s="6" t="n">
        <v>0</v>
      </c>
      <c r="S1486" s="11"/>
      <c r="T1486" s="11" t="n">
        <v>0.005</v>
      </c>
      <c r="U1486" s="11" t="n">
        <v>0.88</v>
      </c>
      <c r="V1486" s="11" t="n">
        <v>0.88</v>
      </c>
    </row>
    <row r="1487" customFormat="false" ht="15" hidden="false" customHeight="false" outlineLevel="0" collapsed="false">
      <c r="A1487" s="6" t="s">
        <v>50</v>
      </c>
      <c r="B1487" s="6" t="s">
        <v>43</v>
      </c>
      <c r="C1487" s="6" t="s">
        <v>51</v>
      </c>
      <c r="D1487" s="6" t="s">
        <v>115</v>
      </c>
      <c r="E1487" s="6" t="n">
        <v>1</v>
      </c>
      <c r="F1487" s="6" t="n">
        <v>6</v>
      </c>
      <c r="G1487" s="6" t="s">
        <v>68</v>
      </c>
      <c r="H1487" s="11" t="n">
        <v>0.01</v>
      </c>
      <c r="I1487" s="6" t="n">
        <v>20</v>
      </c>
      <c r="J1487" s="6" t="n">
        <v>0</v>
      </c>
      <c r="K1487" s="6" t="n">
        <v>20</v>
      </c>
      <c r="L1487" s="6" t="n">
        <v>0</v>
      </c>
      <c r="M1487" s="6" t="n">
        <v>20</v>
      </c>
      <c r="N1487" s="11" t="n">
        <f aca="false">J1487/(J1487+K1487)</f>
        <v>0</v>
      </c>
      <c r="O1487" s="11" t="str">
        <f aca="false">IF(J1487+L1487=0,"",J1487/(J1487+L1487))</f>
        <v/>
      </c>
      <c r="P1487" s="11" t="n">
        <f aca="false">2*J1487/(2*J1487+L1487+K1487)</f>
        <v>0</v>
      </c>
      <c r="Q1487" s="11" t="n">
        <f aca="false">L1487/(L1487+M1487)</f>
        <v>0</v>
      </c>
      <c r="R1487" s="6" t="n">
        <v>0</v>
      </c>
      <c r="S1487" s="11"/>
      <c r="T1487" s="11" t="n">
        <v>0</v>
      </c>
      <c r="U1487" s="11" t="n">
        <v>0.85</v>
      </c>
      <c r="V1487" s="11" t="n">
        <v>0.85</v>
      </c>
    </row>
    <row r="1488" customFormat="false" ht="15" hidden="false" customHeight="false" outlineLevel="0" collapsed="false">
      <c r="A1488" s="6" t="s">
        <v>50</v>
      </c>
      <c r="B1488" s="6" t="s">
        <v>43</v>
      </c>
      <c r="C1488" s="6" t="s">
        <v>51</v>
      </c>
      <c r="D1488" s="6" t="s">
        <v>115</v>
      </c>
      <c r="E1488" s="6" t="n">
        <v>1</v>
      </c>
      <c r="F1488" s="6" t="n">
        <v>6</v>
      </c>
      <c r="G1488" s="6" t="s">
        <v>69</v>
      </c>
      <c r="H1488" s="11" t="n">
        <v>0.01</v>
      </c>
      <c r="I1488" s="6" t="n">
        <v>20</v>
      </c>
      <c r="J1488" s="6" t="n">
        <v>0</v>
      </c>
      <c r="K1488" s="6" t="n">
        <v>20</v>
      </c>
      <c r="L1488" s="6" t="n">
        <v>0</v>
      </c>
      <c r="M1488" s="6" t="n">
        <v>20</v>
      </c>
      <c r="N1488" s="11" t="n">
        <f aca="false">J1488/(J1488+K1488)</f>
        <v>0</v>
      </c>
      <c r="O1488" s="11" t="str">
        <f aca="false">IF(J1488+L1488=0,"",J1488/(J1488+L1488))</f>
        <v/>
      </c>
      <c r="P1488" s="11" t="n">
        <f aca="false">2*J1488/(2*J1488+L1488+K1488)</f>
        <v>0</v>
      </c>
      <c r="Q1488" s="11" t="n">
        <f aca="false">L1488/(L1488+M1488)</f>
        <v>0</v>
      </c>
      <c r="R1488" s="6" t="n">
        <v>0</v>
      </c>
      <c r="S1488" s="11"/>
      <c r="T1488" s="11" t="n">
        <v>0</v>
      </c>
      <c r="U1488" s="11" t="n">
        <v>1</v>
      </c>
      <c r="V1488" s="11" t="n">
        <v>1</v>
      </c>
    </row>
    <row r="1489" customFormat="false" ht="15" hidden="false" customHeight="false" outlineLevel="0" collapsed="false">
      <c r="A1489" s="6" t="s">
        <v>50</v>
      </c>
      <c r="B1489" s="6" t="s">
        <v>43</v>
      </c>
      <c r="C1489" s="6" t="s">
        <v>51</v>
      </c>
      <c r="D1489" s="6" t="s">
        <v>115</v>
      </c>
      <c r="E1489" s="6" t="n">
        <v>1</v>
      </c>
      <c r="F1489" s="6" t="n">
        <v>6</v>
      </c>
      <c r="G1489" s="6" t="s">
        <v>70</v>
      </c>
      <c r="H1489" s="11" t="n">
        <v>0.01</v>
      </c>
      <c r="I1489" s="6" t="n">
        <v>20</v>
      </c>
      <c r="J1489" s="6" t="n">
        <v>0</v>
      </c>
      <c r="K1489" s="6" t="n">
        <v>20</v>
      </c>
      <c r="L1489" s="6" t="n">
        <v>0</v>
      </c>
      <c r="M1489" s="6" t="n">
        <v>20</v>
      </c>
      <c r="N1489" s="11" t="n">
        <f aca="false">J1489/(J1489+K1489)</f>
        <v>0</v>
      </c>
      <c r="O1489" s="11" t="str">
        <f aca="false">IF(J1489+L1489=0,"",J1489/(J1489+L1489))</f>
        <v/>
      </c>
      <c r="P1489" s="11" t="n">
        <f aca="false">2*J1489/(2*J1489+L1489+K1489)</f>
        <v>0</v>
      </c>
      <c r="Q1489" s="11" t="n">
        <f aca="false">L1489/(L1489+M1489)</f>
        <v>0</v>
      </c>
      <c r="R1489" s="6" t="n">
        <v>0</v>
      </c>
      <c r="S1489" s="11"/>
      <c r="T1489" s="11" t="n">
        <v>0</v>
      </c>
      <c r="U1489" s="11" t="n">
        <v>0.9</v>
      </c>
      <c r="V1489" s="11" t="n">
        <v>0.9</v>
      </c>
    </row>
    <row r="1490" customFormat="false" ht="15" hidden="false" customHeight="false" outlineLevel="0" collapsed="false">
      <c r="A1490" s="6" t="s">
        <v>50</v>
      </c>
      <c r="B1490" s="6" t="s">
        <v>43</v>
      </c>
      <c r="C1490" s="6" t="s">
        <v>51</v>
      </c>
      <c r="D1490" s="6" t="s">
        <v>115</v>
      </c>
      <c r="E1490" s="6" t="n">
        <v>1</v>
      </c>
      <c r="F1490" s="6" t="n">
        <v>6</v>
      </c>
      <c r="G1490" s="6" t="s">
        <v>71</v>
      </c>
      <c r="H1490" s="11" t="n">
        <v>0.01</v>
      </c>
      <c r="I1490" s="6" t="n">
        <v>20</v>
      </c>
      <c r="J1490" s="6" t="n">
        <v>0</v>
      </c>
      <c r="K1490" s="6" t="n">
        <v>20</v>
      </c>
      <c r="L1490" s="6" t="n">
        <v>0</v>
      </c>
      <c r="M1490" s="6" t="n">
        <v>20</v>
      </c>
      <c r="N1490" s="11" t="n">
        <f aca="false">J1490/(J1490+K1490)</f>
        <v>0</v>
      </c>
      <c r="O1490" s="11" t="str">
        <f aca="false">IF(J1490+L1490=0,"",J1490/(J1490+L1490))</f>
        <v/>
      </c>
      <c r="P1490" s="11" t="n">
        <f aca="false">2*J1490/(2*J1490+L1490+K1490)</f>
        <v>0</v>
      </c>
      <c r="Q1490" s="11" t="n">
        <f aca="false">L1490/(L1490+M1490)</f>
        <v>0</v>
      </c>
      <c r="R1490" s="6" t="n">
        <v>0</v>
      </c>
      <c r="S1490" s="11"/>
      <c r="T1490" s="11" t="n">
        <v>0</v>
      </c>
      <c r="U1490" s="11" t="n">
        <v>0.8</v>
      </c>
      <c r="V1490" s="11" t="n">
        <v>0.8</v>
      </c>
    </row>
    <row r="1491" customFormat="false" ht="15" hidden="false" customHeight="false" outlineLevel="0" collapsed="false">
      <c r="A1491" s="6" t="s">
        <v>50</v>
      </c>
      <c r="B1491" s="6" t="s">
        <v>43</v>
      </c>
      <c r="C1491" s="6" t="s">
        <v>51</v>
      </c>
      <c r="D1491" s="6" t="s">
        <v>115</v>
      </c>
      <c r="E1491" s="6" t="n">
        <v>1</v>
      </c>
      <c r="F1491" s="6" t="n">
        <v>6</v>
      </c>
      <c r="G1491" s="6" t="s">
        <v>72</v>
      </c>
      <c r="H1491" s="11" t="n">
        <v>0.01</v>
      </c>
      <c r="I1491" s="6" t="n">
        <v>20</v>
      </c>
      <c r="J1491" s="6" t="n">
        <v>0</v>
      </c>
      <c r="K1491" s="6" t="n">
        <v>20</v>
      </c>
      <c r="L1491" s="6" t="n">
        <v>0</v>
      </c>
      <c r="M1491" s="6" t="n">
        <v>20</v>
      </c>
      <c r="N1491" s="11" t="n">
        <f aca="false">J1491/(J1491+K1491)</f>
        <v>0</v>
      </c>
      <c r="O1491" s="11" t="str">
        <f aca="false">IF(J1491+L1491=0,"",J1491/(J1491+L1491))</f>
        <v/>
      </c>
      <c r="P1491" s="11" t="n">
        <f aca="false">2*J1491/(2*J1491+L1491+K1491)</f>
        <v>0</v>
      </c>
      <c r="Q1491" s="11" t="n">
        <f aca="false">L1491/(L1491+M1491)</f>
        <v>0</v>
      </c>
      <c r="R1491" s="6" t="n">
        <v>0</v>
      </c>
      <c r="S1491" s="11"/>
      <c r="T1491" s="11" t="n">
        <v>0</v>
      </c>
      <c r="U1491" s="11" t="n">
        <v>0.9</v>
      </c>
      <c r="V1491" s="11" t="n">
        <v>0.9</v>
      </c>
    </row>
    <row r="1492" customFormat="false" ht="15" hidden="false" customHeight="false" outlineLevel="0" collapsed="false">
      <c r="A1492" s="6" t="s">
        <v>50</v>
      </c>
      <c r="B1492" s="6" t="s">
        <v>43</v>
      </c>
      <c r="C1492" s="6" t="s">
        <v>51</v>
      </c>
      <c r="D1492" s="6" t="s">
        <v>115</v>
      </c>
      <c r="E1492" s="6" t="n">
        <v>1</v>
      </c>
      <c r="F1492" s="6" t="n">
        <v>6</v>
      </c>
      <c r="G1492" s="6" t="s">
        <v>73</v>
      </c>
      <c r="H1492" s="11" t="n">
        <v>0.01</v>
      </c>
      <c r="I1492" s="6" t="n">
        <v>20</v>
      </c>
      <c r="J1492" s="6" t="n">
        <v>0</v>
      </c>
      <c r="K1492" s="6" t="n">
        <v>20</v>
      </c>
      <c r="L1492" s="6" t="n">
        <v>0</v>
      </c>
      <c r="M1492" s="6" t="n">
        <v>20</v>
      </c>
      <c r="N1492" s="11" t="n">
        <f aca="false">J1492/(J1492+K1492)</f>
        <v>0</v>
      </c>
      <c r="O1492" s="11" t="str">
        <f aca="false">IF(J1492+L1492=0,"",J1492/(J1492+L1492))</f>
        <v/>
      </c>
      <c r="P1492" s="11" t="n">
        <f aca="false">2*J1492/(2*J1492+L1492+K1492)</f>
        <v>0</v>
      </c>
      <c r="Q1492" s="11" t="n">
        <f aca="false">L1492/(L1492+M1492)</f>
        <v>0</v>
      </c>
      <c r="R1492" s="6" t="n">
        <v>0</v>
      </c>
      <c r="S1492" s="11"/>
      <c r="T1492" s="11" t="n">
        <v>0</v>
      </c>
      <c r="U1492" s="11" t="n">
        <v>0.65</v>
      </c>
      <c r="V1492" s="11" t="n">
        <v>0.65</v>
      </c>
    </row>
    <row r="1493" customFormat="false" ht="15" hidden="false" customHeight="false" outlineLevel="0" collapsed="false">
      <c r="A1493" s="6" t="s">
        <v>50</v>
      </c>
      <c r="B1493" s="6" t="s">
        <v>43</v>
      </c>
      <c r="C1493" s="6" t="s">
        <v>51</v>
      </c>
      <c r="D1493" s="6" t="s">
        <v>115</v>
      </c>
      <c r="E1493" s="6" t="n">
        <v>1</v>
      </c>
      <c r="F1493" s="6" t="n">
        <v>6</v>
      </c>
      <c r="G1493" s="6" t="s">
        <v>74</v>
      </c>
      <c r="H1493" s="11" t="n">
        <v>0.01</v>
      </c>
      <c r="I1493" s="6" t="n">
        <v>20</v>
      </c>
      <c r="J1493" s="6" t="n">
        <v>0</v>
      </c>
      <c r="K1493" s="6" t="n">
        <v>20</v>
      </c>
      <c r="L1493" s="6" t="n">
        <v>0</v>
      </c>
      <c r="M1493" s="6" t="n">
        <v>20</v>
      </c>
      <c r="N1493" s="11" t="n">
        <f aca="false">J1493/(J1493+K1493)</f>
        <v>0</v>
      </c>
      <c r="O1493" s="11" t="str">
        <f aca="false">IF(J1493+L1493=0,"",J1493/(J1493+L1493))</f>
        <v/>
      </c>
      <c r="P1493" s="11" t="n">
        <f aca="false">2*J1493/(2*J1493+L1493+K1493)</f>
        <v>0</v>
      </c>
      <c r="Q1493" s="11" t="n">
        <f aca="false">L1493/(L1493+M1493)</f>
        <v>0</v>
      </c>
      <c r="R1493" s="6" t="n">
        <v>0</v>
      </c>
      <c r="S1493" s="11"/>
      <c r="T1493" s="11" t="n">
        <v>0</v>
      </c>
      <c r="U1493" s="11" t="n">
        <v>0.85</v>
      </c>
      <c r="V1493" s="11" t="n">
        <v>0.85</v>
      </c>
    </row>
    <row r="1494" customFormat="false" ht="15" hidden="false" customHeight="false" outlineLevel="0" collapsed="false">
      <c r="A1494" s="6" t="s">
        <v>50</v>
      </c>
      <c r="B1494" s="6" t="s">
        <v>43</v>
      </c>
      <c r="C1494" s="6" t="s">
        <v>51</v>
      </c>
      <c r="D1494" s="6" t="s">
        <v>115</v>
      </c>
      <c r="E1494" s="6" t="n">
        <v>1</v>
      </c>
      <c r="F1494" s="6" t="n">
        <v>6</v>
      </c>
      <c r="G1494" s="6" t="s">
        <v>75</v>
      </c>
      <c r="H1494" s="11" t="n">
        <v>0.01</v>
      </c>
      <c r="I1494" s="6" t="n">
        <v>20</v>
      </c>
      <c r="J1494" s="6" t="n">
        <v>0</v>
      </c>
      <c r="K1494" s="6" t="n">
        <v>20</v>
      </c>
      <c r="L1494" s="6" t="n">
        <v>0</v>
      </c>
      <c r="M1494" s="6" t="n">
        <v>20</v>
      </c>
      <c r="N1494" s="11" t="n">
        <f aca="false">J1494/(J1494+K1494)</f>
        <v>0</v>
      </c>
      <c r="O1494" s="11" t="str">
        <f aca="false">IF(J1494+L1494=0,"",J1494/(J1494+L1494))</f>
        <v/>
      </c>
      <c r="P1494" s="11" t="n">
        <f aca="false">2*J1494/(2*J1494+L1494+K1494)</f>
        <v>0</v>
      </c>
      <c r="Q1494" s="11" t="n">
        <f aca="false">L1494/(L1494+M1494)</f>
        <v>0</v>
      </c>
      <c r="R1494" s="6" t="n">
        <v>0</v>
      </c>
      <c r="S1494" s="11"/>
      <c r="T1494" s="11" t="n">
        <v>0</v>
      </c>
      <c r="U1494" s="11" t="n">
        <v>0.9</v>
      </c>
      <c r="V1494" s="11" t="n">
        <v>0.9</v>
      </c>
    </row>
    <row r="1495" customFormat="false" ht="15" hidden="false" customHeight="false" outlineLevel="0" collapsed="false">
      <c r="A1495" s="6" t="s">
        <v>50</v>
      </c>
      <c r="B1495" s="6" t="s">
        <v>43</v>
      </c>
      <c r="C1495" s="6" t="s">
        <v>51</v>
      </c>
      <c r="D1495" s="6" t="s">
        <v>115</v>
      </c>
      <c r="E1495" s="6" t="n">
        <v>1</v>
      </c>
      <c r="F1495" s="6" t="n">
        <v>6</v>
      </c>
      <c r="G1495" s="6" t="s">
        <v>76</v>
      </c>
      <c r="H1495" s="11" t="n">
        <v>0.01</v>
      </c>
      <c r="I1495" s="6" t="n">
        <v>20</v>
      </c>
      <c r="J1495" s="6" t="n">
        <v>0</v>
      </c>
      <c r="K1495" s="6" t="n">
        <v>20</v>
      </c>
      <c r="L1495" s="6" t="n">
        <v>0</v>
      </c>
      <c r="M1495" s="6" t="n">
        <v>20</v>
      </c>
      <c r="N1495" s="11" t="n">
        <f aca="false">J1495/(J1495+K1495)</f>
        <v>0</v>
      </c>
      <c r="O1495" s="11" t="str">
        <f aca="false">IF(J1495+L1495=0,"",J1495/(J1495+L1495))</f>
        <v/>
      </c>
      <c r="P1495" s="11" t="n">
        <f aca="false">2*J1495/(2*J1495+L1495+K1495)</f>
        <v>0</v>
      </c>
      <c r="Q1495" s="11" t="n">
        <f aca="false">L1495/(L1495+M1495)</f>
        <v>0</v>
      </c>
      <c r="R1495" s="6" t="n">
        <v>0</v>
      </c>
      <c r="S1495" s="11"/>
      <c r="T1495" s="11" t="n">
        <v>0</v>
      </c>
      <c r="U1495" s="11" t="n">
        <v>0.95</v>
      </c>
      <c r="V1495" s="11" t="n">
        <v>0.95</v>
      </c>
    </row>
    <row r="1496" customFormat="false" ht="15" hidden="false" customHeight="false" outlineLevel="0" collapsed="false">
      <c r="A1496" s="6" t="s">
        <v>50</v>
      </c>
      <c r="B1496" s="6" t="s">
        <v>43</v>
      </c>
      <c r="C1496" s="6" t="s">
        <v>51</v>
      </c>
      <c r="D1496" s="6" t="s">
        <v>115</v>
      </c>
      <c r="E1496" s="6" t="n">
        <v>1</v>
      </c>
      <c r="F1496" s="6" t="n">
        <v>6</v>
      </c>
      <c r="G1496" s="6" t="s">
        <v>77</v>
      </c>
      <c r="H1496" s="11" t="n">
        <v>0.01</v>
      </c>
      <c r="I1496" s="6" t="n">
        <v>20</v>
      </c>
      <c r="J1496" s="6" t="n">
        <v>1</v>
      </c>
      <c r="K1496" s="6" t="n">
        <v>19</v>
      </c>
      <c r="L1496" s="6" t="n">
        <v>1</v>
      </c>
      <c r="M1496" s="6" t="n">
        <v>19</v>
      </c>
      <c r="N1496" s="11" t="n">
        <f aca="false">J1496/(J1496+K1496)</f>
        <v>0.05</v>
      </c>
      <c r="O1496" s="11" t="n">
        <f aca="false">IF(J1496+L1496=0,"",J1496/(J1496+L1496))</f>
        <v>0.5</v>
      </c>
      <c r="P1496" s="11" t="n">
        <f aca="false">2*J1496/(2*J1496+L1496+K1496)</f>
        <v>0.0909090909090909</v>
      </c>
      <c r="Q1496" s="11" t="n">
        <f aca="false">L1496/(L1496+M1496)</f>
        <v>0.05</v>
      </c>
      <c r="R1496" s="6" t="n">
        <v>0</v>
      </c>
      <c r="S1496" s="11"/>
      <c r="T1496" s="11" t="n">
        <v>0.05</v>
      </c>
      <c r="U1496" s="11" t="n">
        <v>1</v>
      </c>
      <c r="V1496" s="11" t="n">
        <v>1</v>
      </c>
    </row>
    <row r="1497" customFormat="false" ht="15" hidden="false" customHeight="false" outlineLevel="0" collapsed="false">
      <c r="A1497" s="6" t="s">
        <v>50</v>
      </c>
      <c r="B1497" s="6" t="s">
        <v>43</v>
      </c>
      <c r="C1497" s="6" t="s">
        <v>51</v>
      </c>
      <c r="D1497" s="6" t="s">
        <v>115</v>
      </c>
      <c r="E1497" s="6" t="n">
        <v>1</v>
      </c>
      <c r="F1497" s="6" t="n">
        <v>6</v>
      </c>
      <c r="G1497" s="6" t="s">
        <v>78</v>
      </c>
      <c r="H1497" s="11" t="n">
        <v>0.01</v>
      </c>
      <c r="I1497" s="6" t="n">
        <v>200</v>
      </c>
      <c r="J1497" s="6" t="n">
        <v>1</v>
      </c>
      <c r="K1497" s="6" t="n">
        <v>199</v>
      </c>
      <c r="L1497" s="6" t="n">
        <v>1</v>
      </c>
      <c r="M1497" s="6" t="n">
        <v>199</v>
      </c>
      <c r="N1497" s="11" t="n">
        <f aca="false">J1497/(J1497+K1497)</f>
        <v>0.005</v>
      </c>
      <c r="O1497" s="11" t="n">
        <f aca="false">IF(J1497+L1497=0,"",J1497/(J1497+L1497))</f>
        <v>0.5</v>
      </c>
      <c r="P1497" s="11" t="n">
        <f aca="false">2*J1497/(2*J1497+L1497+K1497)</f>
        <v>0.0099009900990099</v>
      </c>
      <c r="Q1497" s="11" t="n">
        <f aca="false">L1497/(L1497+M1497)</f>
        <v>0.005</v>
      </c>
      <c r="R1497" s="6" t="n">
        <v>0</v>
      </c>
      <c r="S1497" s="11"/>
      <c r="T1497" s="11" t="n">
        <v>0.005</v>
      </c>
      <c r="U1497" s="11" t="n">
        <v>0.88</v>
      </c>
      <c r="V1497" s="11" t="n">
        <v>0.88</v>
      </c>
    </row>
    <row r="1498" customFormat="false" ht="15" hidden="false" customHeight="false" outlineLevel="0" collapsed="false">
      <c r="A1498" s="6" t="s">
        <v>50</v>
      </c>
      <c r="B1498" s="6" t="s">
        <v>43</v>
      </c>
      <c r="C1498" s="6" t="s">
        <v>51</v>
      </c>
      <c r="D1498" s="6" t="s">
        <v>115</v>
      </c>
      <c r="E1498" s="6" t="n">
        <v>1</v>
      </c>
      <c r="F1498" s="6" t="n">
        <v>7</v>
      </c>
      <c r="G1498" s="6" t="s">
        <v>68</v>
      </c>
      <c r="H1498" s="11" t="n">
        <v>0.01</v>
      </c>
      <c r="I1498" s="6" t="n">
        <v>20</v>
      </c>
      <c r="J1498" s="6" t="n">
        <v>0</v>
      </c>
      <c r="K1498" s="6" t="n">
        <v>20</v>
      </c>
      <c r="L1498" s="6" t="n">
        <v>0</v>
      </c>
      <c r="M1498" s="6" t="n">
        <v>20</v>
      </c>
      <c r="N1498" s="11" t="n">
        <f aca="false">J1498/(J1498+K1498)</f>
        <v>0</v>
      </c>
      <c r="O1498" s="11" t="str">
        <f aca="false">IF(J1498+L1498=0,"",J1498/(J1498+L1498))</f>
        <v/>
      </c>
      <c r="P1498" s="11" t="n">
        <f aca="false">2*J1498/(2*J1498+L1498+K1498)</f>
        <v>0</v>
      </c>
      <c r="Q1498" s="11" t="n">
        <f aca="false">L1498/(L1498+M1498)</f>
        <v>0</v>
      </c>
      <c r="R1498" s="6" t="n">
        <v>0</v>
      </c>
      <c r="S1498" s="11"/>
      <c r="T1498" s="11" t="n">
        <v>0</v>
      </c>
      <c r="U1498" s="11" t="n">
        <v>0.85</v>
      </c>
      <c r="V1498" s="11" t="n">
        <v>0.85</v>
      </c>
    </row>
    <row r="1499" customFormat="false" ht="15" hidden="false" customHeight="false" outlineLevel="0" collapsed="false">
      <c r="A1499" s="6" t="s">
        <v>50</v>
      </c>
      <c r="B1499" s="6" t="s">
        <v>43</v>
      </c>
      <c r="C1499" s="6" t="s">
        <v>51</v>
      </c>
      <c r="D1499" s="6" t="s">
        <v>115</v>
      </c>
      <c r="E1499" s="6" t="n">
        <v>1</v>
      </c>
      <c r="F1499" s="6" t="n">
        <v>7</v>
      </c>
      <c r="G1499" s="6" t="s">
        <v>69</v>
      </c>
      <c r="H1499" s="11" t="n">
        <v>0.01</v>
      </c>
      <c r="I1499" s="6" t="n">
        <v>20</v>
      </c>
      <c r="J1499" s="6" t="n">
        <v>0</v>
      </c>
      <c r="K1499" s="6" t="n">
        <v>20</v>
      </c>
      <c r="L1499" s="6" t="n">
        <v>0</v>
      </c>
      <c r="M1499" s="6" t="n">
        <v>20</v>
      </c>
      <c r="N1499" s="11" t="n">
        <f aca="false">J1499/(J1499+K1499)</f>
        <v>0</v>
      </c>
      <c r="O1499" s="11" t="str">
        <f aca="false">IF(J1499+L1499=0,"",J1499/(J1499+L1499))</f>
        <v/>
      </c>
      <c r="P1499" s="11" t="n">
        <f aca="false">2*J1499/(2*J1499+L1499+K1499)</f>
        <v>0</v>
      </c>
      <c r="Q1499" s="11" t="n">
        <f aca="false">L1499/(L1499+M1499)</f>
        <v>0</v>
      </c>
      <c r="R1499" s="6" t="n">
        <v>0</v>
      </c>
      <c r="S1499" s="11"/>
      <c r="T1499" s="11" t="n">
        <v>0</v>
      </c>
      <c r="U1499" s="11" t="n">
        <v>1</v>
      </c>
      <c r="V1499" s="11" t="n">
        <v>1</v>
      </c>
    </row>
    <row r="1500" customFormat="false" ht="15" hidden="false" customHeight="false" outlineLevel="0" collapsed="false">
      <c r="A1500" s="6" t="s">
        <v>50</v>
      </c>
      <c r="B1500" s="6" t="s">
        <v>43</v>
      </c>
      <c r="C1500" s="6" t="s">
        <v>51</v>
      </c>
      <c r="D1500" s="6" t="s">
        <v>115</v>
      </c>
      <c r="E1500" s="6" t="n">
        <v>1</v>
      </c>
      <c r="F1500" s="6" t="n">
        <v>7</v>
      </c>
      <c r="G1500" s="6" t="s">
        <v>70</v>
      </c>
      <c r="H1500" s="11" t="n">
        <v>0.01</v>
      </c>
      <c r="I1500" s="6" t="n">
        <v>20</v>
      </c>
      <c r="J1500" s="6" t="n">
        <v>0</v>
      </c>
      <c r="K1500" s="6" t="n">
        <v>20</v>
      </c>
      <c r="L1500" s="6" t="n">
        <v>0</v>
      </c>
      <c r="M1500" s="6" t="n">
        <v>20</v>
      </c>
      <c r="N1500" s="11" t="n">
        <f aca="false">J1500/(J1500+K1500)</f>
        <v>0</v>
      </c>
      <c r="O1500" s="11" t="str">
        <f aca="false">IF(J1500+L1500=0,"",J1500/(J1500+L1500))</f>
        <v/>
      </c>
      <c r="P1500" s="11" t="n">
        <f aca="false">2*J1500/(2*J1500+L1500+K1500)</f>
        <v>0</v>
      </c>
      <c r="Q1500" s="11" t="n">
        <f aca="false">L1500/(L1500+M1500)</f>
        <v>0</v>
      </c>
      <c r="R1500" s="6" t="n">
        <v>0</v>
      </c>
      <c r="S1500" s="11"/>
      <c r="T1500" s="11" t="n">
        <v>0</v>
      </c>
      <c r="U1500" s="11" t="n">
        <v>0.9</v>
      </c>
      <c r="V1500" s="11" t="n">
        <v>0.9</v>
      </c>
    </row>
    <row r="1501" customFormat="false" ht="15" hidden="false" customHeight="false" outlineLevel="0" collapsed="false">
      <c r="A1501" s="6" t="s">
        <v>50</v>
      </c>
      <c r="B1501" s="6" t="s">
        <v>43</v>
      </c>
      <c r="C1501" s="6" t="s">
        <v>51</v>
      </c>
      <c r="D1501" s="6" t="s">
        <v>115</v>
      </c>
      <c r="E1501" s="6" t="n">
        <v>1</v>
      </c>
      <c r="F1501" s="6" t="n">
        <v>7</v>
      </c>
      <c r="G1501" s="6" t="s">
        <v>71</v>
      </c>
      <c r="H1501" s="11" t="n">
        <v>0.01</v>
      </c>
      <c r="I1501" s="6" t="n">
        <v>20</v>
      </c>
      <c r="J1501" s="6" t="n">
        <v>0</v>
      </c>
      <c r="K1501" s="6" t="n">
        <v>20</v>
      </c>
      <c r="L1501" s="6" t="n">
        <v>0</v>
      </c>
      <c r="M1501" s="6" t="n">
        <v>20</v>
      </c>
      <c r="N1501" s="11" t="n">
        <f aca="false">J1501/(J1501+K1501)</f>
        <v>0</v>
      </c>
      <c r="O1501" s="11" t="str">
        <f aca="false">IF(J1501+L1501=0,"",J1501/(J1501+L1501))</f>
        <v/>
      </c>
      <c r="P1501" s="11" t="n">
        <f aca="false">2*J1501/(2*J1501+L1501+K1501)</f>
        <v>0</v>
      </c>
      <c r="Q1501" s="11" t="n">
        <f aca="false">L1501/(L1501+M1501)</f>
        <v>0</v>
      </c>
      <c r="R1501" s="6" t="n">
        <v>0</v>
      </c>
      <c r="S1501" s="11"/>
      <c r="T1501" s="11" t="n">
        <v>0</v>
      </c>
      <c r="U1501" s="11" t="n">
        <v>0.8</v>
      </c>
      <c r="V1501" s="11" t="n">
        <v>0.8</v>
      </c>
    </row>
    <row r="1502" customFormat="false" ht="15" hidden="false" customHeight="false" outlineLevel="0" collapsed="false">
      <c r="A1502" s="6" t="s">
        <v>50</v>
      </c>
      <c r="B1502" s="6" t="s">
        <v>43</v>
      </c>
      <c r="C1502" s="6" t="s">
        <v>51</v>
      </c>
      <c r="D1502" s="6" t="s">
        <v>115</v>
      </c>
      <c r="E1502" s="6" t="n">
        <v>1</v>
      </c>
      <c r="F1502" s="6" t="n">
        <v>7</v>
      </c>
      <c r="G1502" s="6" t="s">
        <v>72</v>
      </c>
      <c r="H1502" s="11" t="n">
        <v>0.01</v>
      </c>
      <c r="I1502" s="6" t="n">
        <v>20</v>
      </c>
      <c r="J1502" s="6" t="n">
        <v>0</v>
      </c>
      <c r="K1502" s="6" t="n">
        <v>20</v>
      </c>
      <c r="L1502" s="6" t="n">
        <v>0</v>
      </c>
      <c r="M1502" s="6" t="n">
        <v>20</v>
      </c>
      <c r="N1502" s="11" t="n">
        <f aca="false">J1502/(J1502+K1502)</f>
        <v>0</v>
      </c>
      <c r="O1502" s="11" t="str">
        <f aca="false">IF(J1502+L1502=0,"",J1502/(J1502+L1502))</f>
        <v/>
      </c>
      <c r="P1502" s="11" t="n">
        <f aca="false">2*J1502/(2*J1502+L1502+K1502)</f>
        <v>0</v>
      </c>
      <c r="Q1502" s="11" t="n">
        <f aca="false">L1502/(L1502+M1502)</f>
        <v>0</v>
      </c>
      <c r="R1502" s="6" t="n">
        <v>0</v>
      </c>
      <c r="S1502" s="11"/>
      <c r="T1502" s="11" t="n">
        <v>0</v>
      </c>
      <c r="U1502" s="11" t="n">
        <v>0.9</v>
      </c>
      <c r="V1502" s="11" t="n">
        <v>0.9</v>
      </c>
    </row>
    <row r="1503" customFormat="false" ht="15" hidden="false" customHeight="false" outlineLevel="0" collapsed="false">
      <c r="A1503" s="6" t="s">
        <v>50</v>
      </c>
      <c r="B1503" s="6" t="s">
        <v>43</v>
      </c>
      <c r="C1503" s="6" t="s">
        <v>51</v>
      </c>
      <c r="D1503" s="6" t="s">
        <v>115</v>
      </c>
      <c r="E1503" s="6" t="n">
        <v>1</v>
      </c>
      <c r="F1503" s="6" t="n">
        <v>7</v>
      </c>
      <c r="G1503" s="6" t="s">
        <v>73</v>
      </c>
      <c r="H1503" s="11" t="n">
        <v>0.01</v>
      </c>
      <c r="I1503" s="6" t="n">
        <v>20</v>
      </c>
      <c r="J1503" s="6" t="n">
        <v>0</v>
      </c>
      <c r="K1503" s="6" t="n">
        <v>20</v>
      </c>
      <c r="L1503" s="6" t="n">
        <v>0</v>
      </c>
      <c r="M1503" s="6" t="n">
        <v>20</v>
      </c>
      <c r="N1503" s="11" t="n">
        <f aca="false">J1503/(J1503+K1503)</f>
        <v>0</v>
      </c>
      <c r="O1503" s="11" t="str">
        <f aca="false">IF(J1503+L1503=0,"",J1503/(J1503+L1503))</f>
        <v/>
      </c>
      <c r="P1503" s="11" t="n">
        <f aca="false">2*J1503/(2*J1503+L1503+K1503)</f>
        <v>0</v>
      </c>
      <c r="Q1503" s="11" t="n">
        <f aca="false">L1503/(L1503+M1503)</f>
        <v>0</v>
      </c>
      <c r="R1503" s="6" t="n">
        <v>0</v>
      </c>
      <c r="S1503" s="11"/>
      <c r="T1503" s="11" t="n">
        <v>0</v>
      </c>
      <c r="U1503" s="11" t="n">
        <v>0.65</v>
      </c>
      <c r="V1503" s="11" t="n">
        <v>0.65</v>
      </c>
    </row>
    <row r="1504" customFormat="false" ht="15" hidden="false" customHeight="false" outlineLevel="0" collapsed="false">
      <c r="A1504" s="6" t="s">
        <v>50</v>
      </c>
      <c r="B1504" s="6" t="s">
        <v>43</v>
      </c>
      <c r="C1504" s="6" t="s">
        <v>51</v>
      </c>
      <c r="D1504" s="6" t="s">
        <v>115</v>
      </c>
      <c r="E1504" s="6" t="n">
        <v>1</v>
      </c>
      <c r="F1504" s="6" t="n">
        <v>7</v>
      </c>
      <c r="G1504" s="6" t="s">
        <v>74</v>
      </c>
      <c r="H1504" s="11" t="n">
        <v>0.01</v>
      </c>
      <c r="I1504" s="6" t="n">
        <v>20</v>
      </c>
      <c r="J1504" s="6" t="n">
        <v>0</v>
      </c>
      <c r="K1504" s="6" t="n">
        <v>20</v>
      </c>
      <c r="L1504" s="6" t="n">
        <v>0</v>
      </c>
      <c r="M1504" s="6" t="n">
        <v>20</v>
      </c>
      <c r="N1504" s="11" t="n">
        <f aca="false">J1504/(J1504+K1504)</f>
        <v>0</v>
      </c>
      <c r="O1504" s="11" t="str">
        <f aca="false">IF(J1504+L1504=0,"",J1504/(J1504+L1504))</f>
        <v/>
      </c>
      <c r="P1504" s="11" t="n">
        <f aca="false">2*J1504/(2*J1504+L1504+K1504)</f>
        <v>0</v>
      </c>
      <c r="Q1504" s="11" t="n">
        <f aca="false">L1504/(L1504+M1504)</f>
        <v>0</v>
      </c>
      <c r="R1504" s="6" t="n">
        <v>0</v>
      </c>
      <c r="S1504" s="11"/>
      <c r="T1504" s="11" t="n">
        <v>0</v>
      </c>
      <c r="U1504" s="11" t="n">
        <v>0.85</v>
      </c>
      <c r="V1504" s="11" t="n">
        <v>0.85</v>
      </c>
    </row>
    <row r="1505" customFormat="false" ht="15" hidden="false" customHeight="false" outlineLevel="0" collapsed="false">
      <c r="A1505" s="6" t="s">
        <v>50</v>
      </c>
      <c r="B1505" s="6" t="s">
        <v>43</v>
      </c>
      <c r="C1505" s="6" t="s">
        <v>51</v>
      </c>
      <c r="D1505" s="6" t="s">
        <v>115</v>
      </c>
      <c r="E1505" s="6" t="n">
        <v>1</v>
      </c>
      <c r="F1505" s="6" t="n">
        <v>7</v>
      </c>
      <c r="G1505" s="6" t="s">
        <v>75</v>
      </c>
      <c r="H1505" s="11" t="n">
        <v>0.01</v>
      </c>
      <c r="I1505" s="6" t="n">
        <v>20</v>
      </c>
      <c r="J1505" s="6" t="n">
        <v>0</v>
      </c>
      <c r="K1505" s="6" t="n">
        <v>20</v>
      </c>
      <c r="L1505" s="6" t="n">
        <v>0</v>
      </c>
      <c r="M1505" s="6" t="n">
        <v>20</v>
      </c>
      <c r="N1505" s="11" t="n">
        <f aca="false">J1505/(J1505+K1505)</f>
        <v>0</v>
      </c>
      <c r="O1505" s="11" t="str">
        <f aca="false">IF(J1505+L1505=0,"",J1505/(J1505+L1505))</f>
        <v/>
      </c>
      <c r="P1505" s="11" t="n">
        <f aca="false">2*J1505/(2*J1505+L1505+K1505)</f>
        <v>0</v>
      </c>
      <c r="Q1505" s="11" t="n">
        <f aca="false">L1505/(L1505+M1505)</f>
        <v>0</v>
      </c>
      <c r="R1505" s="6" t="n">
        <v>0</v>
      </c>
      <c r="S1505" s="11"/>
      <c r="T1505" s="11" t="n">
        <v>0</v>
      </c>
      <c r="U1505" s="11" t="n">
        <v>0.9</v>
      </c>
      <c r="V1505" s="11" t="n">
        <v>0.9</v>
      </c>
    </row>
    <row r="1506" customFormat="false" ht="15" hidden="false" customHeight="false" outlineLevel="0" collapsed="false">
      <c r="A1506" s="6" t="s">
        <v>50</v>
      </c>
      <c r="B1506" s="6" t="s">
        <v>43</v>
      </c>
      <c r="C1506" s="6" t="s">
        <v>51</v>
      </c>
      <c r="D1506" s="6" t="s">
        <v>115</v>
      </c>
      <c r="E1506" s="6" t="n">
        <v>1</v>
      </c>
      <c r="F1506" s="6" t="n">
        <v>7</v>
      </c>
      <c r="G1506" s="6" t="s">
        <v>76</v>
      </c>
      <c r="H1506" s="11" t="n">
        <v>0.01</v>
      </c>
      <c r="I1506" s="6" t="n">
        <v>20</v>
      </c>
      <c r="J1506" s="6" t="n">
        <v>0</v>
      </c>
      <c r="K1506" s="6" t="n">
        <v>20</v>
      </c>
      <c r="L1506" s="6" t="n">
        <v>0</v>
      </c>
      <c r="M1506" s="6" t="n">
        <v>20</v>
      </c>
      <c r="N1506" s="11" t="n">
        <f aca="false">J1506/(J1506+K1506)</f>
        <v>0</v>
      </c>
      <c r="O1506" s="11" t="str">
        <f aca="false">IF(J1506+L1506=0,"",J1506/(J1506+L1506))</f>
        <v/>
      </c>
      <c r="P1506" s="11" t="n">
        <f aca="false">2*J1506/(2*J1506+L1506+K1506)</f>
        <v>0</v>
      </c>
      <c r="Q1506" s="11" t="n">
        <f aca="false">L1506/(L1506+M1506)</f>
        <v>0</v>
      </c>
      <c r="R1506" s="6" t="n">
        <v>0</v>
      </c>
      <c r="S1506" s="11"/>
      <c r="T1506" s="11" t="n">
        <v>0</v>
      </c>
      <c r="U1506" s="11" t="n">
        <v>0.95</v>
      </c>
      <c r="V1506" s="11" t="n">
        <v>0.95</v>
      </c>
    </row>
    <row r="1507" customFormat="false" ht="15" hidden="false" customHeight="false" outlineLevel="0" collapsed="false">
      <c r="A1507" s="6" t="s">
        <v>50</v>
      </c>
      <c r="B1507" s="6" t="s">
        <v>43</v>
      </c>
      <c r="C1507" s="6" t="s">
        <v>51</v>
      </c>
      <c r="D1507" s="6" t="s">
        <v>115</v>
      </c>
      <c r="E1507" s="6" t="n">
        <v>1</v>
      </c>
      <c r="F1507" s="6" t="n">
        <v>7</v>
      </c>
      <c r="G1507" s="6" t="s">
        <v>77</v>
      </c>
      <c r="H1507" s="11" t="n">
        <v>0.01</v>
      </c>
      <c r="I1507" s="6" t="n">
        <v>20</v>
      </c>
      <c r="J1507" s="6" t="n">
        <v>1</v>
      </c>
      <c r="K1507" s="6" t="n">
        <v>19</v>
      </c>
      <c r="L1507" s="6" t="n">
        <v>1</v>
      </c>
      <c r="M1507" s="6" t="n">
        <v>19</v>
      </c>
      <c r="N1507" s="11" t="n">
        <f aca="false">J1507/(J1507+K1507)</f>
        <v>0.05</v>
      </c>
      <c r="O1507" s="11" t="n">
        <f aca="false">IF(J1507+L1507=0,"",J1507/(J1507+L1507))</f>
        <v>0.5</v>
      </c>
      <c r="P1507" s="11" t="n">
        <f aca="false">2*J1507/(2*J1507+L1507+K1507)</f>
        <v>0.0909090909090909</v>
      </c>
      <c r="Q1507" s="11" t="n">
        <f aca="false">L1507/(L1507+M1507)</f>
        <v>0.05</v>
      </c>
      <c r="R1507" s="6" t="n">
        <v>0</v>
      </c>
      <c r="S1507" s="11"/>
      <c r="T1507" s="11" t="n">
        <v>0.05</v>
      </c>
      <c r="U1507" s="11" t="n">
        <v>1</v>
      </c>
      <c r="V1507" s="11" t="n">
        <v>1</v>
      </c>
    </row>
    <row r="1508" customFormat="false" ht="15" hidden="false" customHeight="false" outlineLevel="0" collapsed="false">
      <c r="A1508" s="6" t="s">
        <v>50</v>
      </c>
      <c r="B1508" s="6" t="s">
        <v>43</v>
      </c>
      <c r="C1508" s="6" t="s">
        <v>51</v>
      </c>
      <c r="D1508" s="6" t="s">
        <v>115</v>
      </c>
      <c r="E1508" s="6" t="n">
        <v>1</v>
      </c>
      <c r="F1508" s="6" t="n">
        <v>7</v>
      </c>
      <c r="G1508" s="6" t="s">
        <v>78</v>
      </c>
      <c r="H1508" s="11" t="n">
        <v>0.01</v>
      </c>
      <c r="I1508" s="6" t="n">
        <v>200</v>
      </c>
      <c r="J1508" s="6" t="n">
        <v>1</v>
      </c>
      <c r="K1508" s="6" t="n">
        <v>199</v>
      </c>
      <c r="L1508" s="6" t="n">
        <v>1</v>
      </c>
      <c r="M1508" s="6" t="n">
        <v>199</v>
      </c>
      <c r="N1508" s="11" t="n">
        <f aca="false">J1508/(J1508+K1508)</f>
        <v>0.005</v>
      </c>
      <c r="O1508" s="11" t="n">
        <f aca="false">IF(J1508+L1508=0,"",J1508/(J1508+L1508))</f>
        <v>0.5</v>
      </c>
      <c r="P1508" s="11" t="n">
        <f aca="false">2*J1508/(2*J1508+L1508+K1508)</f>
        <v>0.0099009900990099</v>
      </c>
      <c r="Q1508" s="11" t="n">
        <f aca="false">L1508/(L1508+M1508)</f>
        <v>0.005</v>
      </c>
      <c r="R1508" s="6" t="n">
        <v>0</v>
      </c>
      <c r="S1508" s="11"/>
      <c r="T1508" s="11" t="n">
        <v>0.005</v>
      </c>
      <c r="U1508" s="11" t="n">
        <v>0.88</v>
      </c>
      <c r="V1508" s="11" t="n">
        <v>0.88</v>
      </c>
    </row>
    <row r="1509" customFormat="false" ht="15" hidden="false" customHeight="false" outlineLevel="0" collapsed="false">
      <c r="A1509" s="6" t="s">
        <v>50</v>
      </c>
      <c r="B1509" s="6" t="s">
        <v>43</v>
      </c>
      <c r="C1509" s="6" t="s">
        <v>51</v>
      </c>
      <c r="D1509" s="6" t="s">
        <v>115</v>
      </c>
      <c r="E1509" s="6" t="n">
        <v>1</v>
      </c>
      <c r="F1509" s="6" t="n">
        <v>8</v>
      </c>
      <c r="G1509" s="6" t="s">
        <v>68</v>
      </c>
      <c r="H1509" s="11" t="n">
        <v>0.01</v>
      </c>
      <c r="I1509" s="6" t="n">
        <v>20</v>
      </c>
      <c r="J1509" s="6" t="n">
        <v>0</v>
      </c>
      <c r="K1509" s="6" t="n">
        <v>20</v>
      </c>
      <c r="L1509" s="6" t="n">
        <v>0</v>
      </c>
      <c r="M1509" s="6" t="n">
        <v>20</v>
      </c>
      <c r="N1509" s="11" t="n">
        <f aca="false">J1509/(J1509+K1509)</f>
        <v>0</v>
      </c>
      <c r="O1509" s="11" t="str">
        <f aca="false">IF(J1509+L1509=0,"",J1509/(J1509+L1509))</f>
        <v/>
      </c>
      <c r="P1509" s="11" t="n">
        <f aca="false">2*J1509/(2*J1509+L1509+K1509)</f>
        <v>0</v>
      </c>
      <c r="Q1509" s="11" t="n">
        <f aca="false">L1509/(L1509+M1509)</f>
        <v>0</v>
      </c>
      <c r="R1509" s="6" t="n">
        <v>0</v>
      </c>
      <c r="S1509" s="11"/>
      <c r="T1509" s="11" t="n">
        <v>0</v>
      </c>
      <c r="U1509" s="11" t="n">
        <v>0.85</v>
      </c>
      <c r="V1509" s="11" t="n">
        <v>0.85</v>
      </c>
    </row>
    <row r="1510" customFormat="false" ht="15" hidden="false" customHeight="false" outlineLevel="0" collapsed="false">
      <c r="A1510" s="6" t="s">
        <v>50</v>
      </c>
      <c r="B1510" s="6" t="s">
        <v>43</v>
      </c>
      <c r="C1510" s="6" t="s">
        <v>51</v>
      </c>
      <c r="D1510" s="6" t="s">
        <v>115</v>
      </c>
      <c r="E1510" s="6" t="n">
        <v>1</v>
      </c>
      <c r="F1510" s="6" t="n">
        <v>8</v>
      </c>
      <c r="G1510" s="6" t="s">
        <v>69</v>
      </c>
      <c r="H1510" s="11" t="n">
        <v>0.01</v>
      </c>
      <c r="I1510" s="6" t="n">
        <v>20</v>
      </c>
      <c r="J1510" s="6" t="n">
        <v>0</v>
      </c>
      <c r="K1510" s="6" t="n">
        <v>20</v>
      </c>
      <c r="L1510" s="6" t="n">
        <v>0</v>
      </c>
      <c r="M1510" s="6" t="n">
        <v>20</v>
      </c>
      <c r="N1510" s="11" t="n">
        <f aca="false">J1510/(J1510+K1510)</f>
        <v>0</v>
      </c>
      <c r="O1510" s="11" t="str">
        <f aca="false">IF(J1510+L1510=0,"",J1510/(J1510+L1510))</f>
        <v/>
      </c>
      <c r="P1510" s="11" t="n">
        <f aca="false">2*J1510/(2*J1510+L1510+K1510)</f>
        <v>0</v>
      </c>
      <c r="Q1510" s="11" t="n">
        <f aca="false">L1510/(L1510+M1510)</f>
        <v>0</v>
      </c>
      <c r="R1510" s="6" t="n">
        <v>0</v>
      </c>
      <c r="S1510" s="11"/>
      <c r="T1510" s="11" t="n">
        <v>0</v>
      </c>
      <c r="U1510" s="11" t="n">
        <v>1</v>
      </c>
      <c r="V1510" s="11" t="n">
        <v>1</v>
      </c>
    </row>
    <row r="1511" customFormat="false" ht="15" hidden="false" customHeight="false" outlineLevel="0" collapsed="false">
      <c r="A1511" s="6" t="s">
        <v>50</v>
      </c>
      <c r="B1511" s="6" t="s">
        <v>43</v>
      </c>
      <c r="C1511" s="6" t="s">
        <v>51</v>
      </c>
      <c r="D1511" s="6" t="s">
        <v>115</v>
      </c>
      <c r="E1511" s="6" t="n">
        <v>1</v>
      </c>
      <c r="F1511" s="6" t="n">
        <v>8</v>
      </c>
      <c r="G1511" s="6" t="s">
        <v>70</v>
      </c>
      <c r="H1511" s="11" t="n">
        <v>0.01</v>
      </c>
      <c r="I1511" s="6" t="n">
        <v>20</v>
      </c>
      <c r="J1511" s="6" t="n">
        <v>0</v>
      </c>
      <c r="K1511" s="6" t="n">
        <v>20</v>
      </c>
      <c r="L1511" s="6" t="n">
        <v>0</v>
      </c>
      <c r="M1511" s="6" t="n">
        <v>20</v>
      </c>
      <c r="N1511" s="11" t="n">
        <f aca="false">J1511/(J1511+K1511)</f>
        <v>0</v>
      </c>
      <c r="O1511" s="11" t="str">
        <f aca="false">IF(J1511+L1511=0,"",J1511/(J1511+L1511))</f>
        <v/>
      </c>
      <c r="P1511" s="11" t="n">
        <f aca="false">2*J1511/(2*J1511+L1511+K1511)</f>
        <v>0</v>
      </c>
      <c r="Q1511" s="11" t="n">
        <f aca="false">L1511/(L1511+M1511)</f>
        <v>0</v>
      </c>
      <c r="R1511" s="6" t="n">
        <v>0</v>
      </c>
      <c r="S1511" s="11"/>
      <c r="T1511" s="11" t="n">
        <v>0</v>
      </c>
      <c r="U1511" s="11" t="n">
        <v>0.9</v>
      </c>
      <c r="V1511" s="11" t="n">
        <v>0.9</v>
      </c>
    </row>
    <row r="1512" customFormat="false" ht="15" hidden="false" customHeight="false" outlineLevel="0" collapsed="false">
      <c r="A1512" s="6" t="s">
        <v>50</v>
      </c>
      <c r="B1512" s="6" t="s">
        <v>43</v>
      </c>
      <c r="C1512" s="6" t="s">
        <v>51</v>
      </c>
      <c r="D1512" s="6" t="s">
        <v>115</v>
      </c>
      <c r="E1512" s="6" t="n">
        <v>1</v>
      </c>
      <c r="F1512" s="6" t="n">
        <v>8</v>
      </c>
      <c r="G1512" s="6" t="s">
        <v>71</v>
      </c>
      <c r="H1512" s="11" t="n">
        <v>0.01</v>
      </c>
      <c r="I1512" s="6" t="n">
        <v>20</v>
      </c>
      <c r="J1512" s="6" t="n">
        <v>0</v>
      </c>
      <c r="K1512" s="6" t="n">
        <v>20</v>
      </c>
      <c r="L1512" s="6" t="n">
        <v>0</v>
      </c>
      <c r="M1512" s="6" t="n">
        <v>20</v>
      </c>
      <c r="N1512" s="11" t="n">
        <f aca="false">J1512/(J1512+K1512)</f>
        <v>0</v>
      </c>
      <c r="O1512" s="11" t="str">
        <f aca="false">IF(J1512+L1512=0,"",J1512/(J1512+L1512))</f>
        <v/>
      </c>
      <c r="P1512" s="11" t="n">
        <f aca="false">2*J1512/(2*J1512+L1512+K1512)</f>
        <v>0</v>
      </c>
      <c r="Q1512" s="11" t="n">
        <f aca="false">L1512/(L1512+M1512)</f>
        <v>0</v>
      </c>
      <c r="R1512" s="6" t="n">
        <v>0</v>
      </c>
      <c r="S1512" s="11"/>
      <c r="T1512" s="11" t="n">
        <v>0</v>
      </c>
      <c r="U1512" s="11" t="n">
        <v>0.8</v>
      </c>
      <c r="V1512" s="11" t="n">
        <v>0.8</v>
      </c>
    </row>
    <row r="1513" customFormat="false" ht="15" hidden="false" customHeight="false" outlineLevel="0" collapsed="false">
      <c r="A1513" s="6" t="s">
        <v>50</v>
      </c>
      <c r="B1513" s="6" t="s">
        <v>43</v>
      </c>
      <c r="C1513" s="6" t="s">
        <v>51</v>
      </c>
      <c r="D1513" s="6" t="s">
        <v>115</v>
      </c>
      <c r="E1513" s="6" t="n">
        <v>1</v>
      </c>
      <c r="F1513" s="6" t="n">
        <v>8</v>
      </c>
      <c r="G1513" s="6" t="s">
        <v>72</v>
      </c>
      <c r="H1513" s="11" t="n">
        <v>0.01</v>
      </c>
      <c r="I1513" s="6" t="n">
        <v>20</v>
      </c>
      <c r="J1513" s="6" t="n">
        <v>0</v>
      </c>
      <c r="K1513" s="6" t="n">
        <v>20</v>
      </c>
      <c r="L1513" s="6" t="n">
        <v>0</v>
      </c>
      <c r="M1513" s="6" t="n">
        <v>20</v>
      </c>
      <c r="N1513" s="11" t="n">
        <f aca="false">J1513/(J1513+K1513)</f>
        <v>0</v>
      </c>
      <c r="O1513" s="11" t="str">
        <f aca="false">IF(J1513+L1513=0,"",J1513/(J1513+L1513))</f>
        <v/>
      </c>
      <c r="P1513" s="11" t="n">
        <f aca="false">2*J1513/(2*J1513+L1513+K1513)</f>
        <v>0</v>
      </c>
      <c r="Q1513" s="11" t="n">
        <f aca="false">L1513/(L1513+M1513)</f>
        <v>0</v>
      </c>
      <c r="R1513" s="6" t="n">
        <v>0</v>
      </c>
      <c r="S1513" s="11"/>
      <c r="T1513" s="11" t="n">
        <v>0</v>
      </c>
      <c r="U1513" s="11" t="n">
        <v>0.9</v>
      </c>
      <c r="V1513" s="11" t="n">
        <v>0.9</v>
      </c>
    </row>
    <row r="1514" customFormat="false" ht="15" hidden="false" customHeight="false" outlineLevel="0" collapsed="false">
      <c r="A1514" s="6" t="s">
        <v>50</v>
      </c>
      <c r="B1514" s="6" t="s">
        <v>43</v>
      </c>
      <c r="C1514" s="6" t="s">
        <v>51</v>
      </c>
      <c r="D1514" s="6" t="s">
        <v>115</v>
      </c>
      <c r="E1514" s="6" t="n">
        <v>1</v>
      </c>
      <c r="F1514" s="6" t="n">
        <v>8</v>
      </c>
      <c r="G1514" s="6" t="s">
        <v>73</v>
      </c>
      <c r="H1514" s="11" t="n">
        <v>0.01</v>
      </c>
      <c r="I1514" s="6" t="n">
        <v>20</v>
      </c>
      <c r="J1514" s="6" t="n">
        <v>0</v>
      </c>
      <c r="K1514" s="6" t="n">
        <v>20</v>
      </c>
      <c r="L1514" s="6" t="n">
        <v>0</v>
      </c>
      <c r="M1514" s="6" t="n">
        <v>20</v>
      </c>
      <c r="N1514" s="11" t="n">
        <f aca="false">J1514/(J1514+K1514)</f>
        <v>0</v>
      </c>
      <c r="O1514" s="11" t="str">
        <f aca="false">IF(J1514+L1514=0,"",J1514/(J1514+L1514))</f>
        <v/>
      </c>
      <c r="P1514" s="11" t="n">
        <f aca="false">2*J1514/(2*J1514+L1514+K1514)</f>
        <v>0</v>
      </c>
      <c r="Q1514" s="11" t="n">
        <f aca="false">L1514/(L1514+M1514)</f>
        <v>0</v>
      </c>
      <c r="R1514" s="6" t="n">
        <v>0</v>
      </c>
      <c r="S1514" s="11"/>
      <c r="T1514" s="11" t="n">
        <v>0</v>
      </c>
      <c r="U1514" s="11" t="n">
        <v>0.65</v>
      </c>
      <c r="V1514" s="11" t="n">
        <v>0.65</v>
      </c>
    </row>
    <row r="1515" customFormat="false" ht="15" hidden="false" customHeight="false" outlineLevel="0" collapsed="false">
      <c r="A1515" s="6" t="s">
        <v>50</v>
      </c>
      <c r="B1515" s="6" t="s">
        <v>43</v>
      </c>
      <c r="C1515" s="6" t="s">
        <v>51</v>
      </c>
      <c r="D1515" s="6" t="s">
        <v>115</v>
      </c>
      <c r="E1515" s="6" t="n">
        <v>1</v>
      </c>
      <c r="F1515" s="6" t="n">
        <v>8</v>
      </c>
      <c r="G1515" s="6" t="s">
        <v>74</v>
      </c>
      <c r="H1515" s="11" t="n">
        <v>0.01</v>
      </c>
      <c r="I1515" s="6" t="n">
        <v>20</v>
      </c>
      <c r="J1515" s="6" t="n">
        <v>0</v>
      </c>
      <c r="K1515" s="6" t="n">
        <v>20</v>
      </c>
      <c r="L1515" s="6" t="n">
        <v>0</v>
      </c>
      <c r="M1515" s="6" t="n">
        <v>20</v>
      </c>
      <c r="N1515" s="11" t="n">
        <f aca="false">J1515/(J1515+K1515)</f>
        <v>0</v>
      </c>
      <c r="O1515" s="11" t="str">
        <f aca="false">IF(J1515+L1515=0,"",J1515/(J1515+L1515))</f>
        <v/>
      </c>
      <c r="P1515" s="11" t="n">
        <f aca="false">2*J1515/(2*J1515+L1515+K1515)</f>
        <v>0</v>
      </c>
      <c r="Q1515" s="11" t="n">
        <f aca="false">L1515/(L1515+M1515)</f>
        <v>0</v>
      </c>
      <c r="R1515" s="6" t="n">
        <v>0</v>
      </c>
      <c r="S1515" s="11"/>
      <c r="T1515" s="11" t="n">
        <v>0</v>
      </c>
      <c r="U1515" s="11" t="n">
        <v>0.85</v>
      </c>
      <c r="V1515" s="11" t="n">
        <v>0.85</v>
      </c>
    </row>
    <row r="1516" customFormat="false" ht="15" hidden="false" customHeight="false" outlineLevel="0" collapsed="false">
      <c r="A1516" s="6" t="s">
        <v>50</v>
      </c>
      <c r="B1516" s="6" t="s">
        <v>43</v>
      </c>
      <c r="C1516" s="6" t="s">
        <v>51</v>
      </c>
      <c r="D1516" s="6" t="s">
        <v>115</v>
      </c>
      <c r="E1516" s="6" t="n">
        <v>1</v>
      </c>
      <c r="F1516" s="6" t="n">
        <v>8</v>
      </c>
      <c r="G1516" s="6" t="s">
        <v>75</v>
      </c>
      <c r="H1516" s="11" t="n">
        <v>0.01</v>
      </c>
      <c r="I1516" s="6" t="n">
        <v>20</v>
      </c>
      <c r="J1516" s="6" t="n">
        <v>0</v>
      </c>
      <c r="K1516" s="6" t="n">
        <v>20</v>
      </c>
      <c r="L1516" s="6" t="n">
        <v>0</v>
      </c>
      <c r="M1516" s="6" t="n">
        <v>20</v>
      </c>
      <c r="N1516" s="11" t="n">
        <f aca="false">J1516/(J1516+K1516)</f>
        <v>0</v>
      </c>
      <c r="O1516" s="11" t="str">
        <f aca="false">IF(J1516+L1516=0,"",J1516/(J1516+L1516))</f>
        <v/>
      </c>
      <c r="P1516" s="11" t="n">
        <f aca="false">2*J1516/(2*J1516+L1516+K1516)</f>
        <v>0</v>
      </c>
      <c r="Q1516" s="11" t="n">
        <f aca="false">L1516/(L1516+M1516)</f>
        <v>0</v>
      </c>
      <c r="R1516" s="6" t="n">
        <v>0</v>
      </c>
      <c r="S1516" s="11"/>
      <c r="T1516" s="11" t="n">
        <v>0</v>
      </c>
      <c r="U1516" s="11" t="n">
        <v>0.9</v>
      </c>
      <c r="V1516" s="11" t="n">
        <v>0.9</v>
      </c>
    </row>
    <row r="1517" customFormat="false" ht="15" hidden="false" customHeight="false" outlineLevel="0" collapsed="false">
      <c r="A1517" s="6" t="s">
        <v>50</v>
      </c>
      <c r="B1517" s="6" t="s">
        <v>43</v>
      </c>
      <c r="C1517" s="6" t="s">
        <v>51</v>
      </c>
      <c r="D1517" s="6" t="s">
        <v>115</v>
      </c>
      <c r="E1517" s="6" t="n">
        <v>1</v>
      </c>
      <c r="F1517" s="6" t="n">
        <v>8</v>
      </c>
      <c r="G1517" s="6" t="s">
        <v>76</v>
      </c>
      <c r="H1517" s="11" t="n">
        <v>0.01</v>
      </c>
      <c r="I1517" s="6" t="n">
        <v>20</v>
      </c>
      <c r="J1517" s="6" t="n">
        <v>0</v>
      </c>
      <c r="K1517" s="6" t="n">
        <v>20</v>
      </c>
      <c r="L1517" s="6" t="n">
        <v>0</v>
      </c>
      <c r="M1517" s="6" t="n">
        <v>20</v>
      </c>
      <c r="N1517" s="11" t="n">
        <f aca="false">J1517/(J1517+K1517)</f>
        <v>0</v>
      </c>
      <c r="O1517" s="11" t="str">
        <f aca="false">IF(J1517+L1517=0,"",J1517/(J1517+L1517))</f>
        <v/>
      </c>
      <c r="P1517" s="11" t="n">
        <f aca="false">2*J1517/(2*J1517+L1517+K1517)</f>
        <v>0</v>
      </c>
      <c r="Q1517" s="11" t="n">
        <f aca="false">L1517/(L1517+M1517)</f>
        <v>0</v>
      </c>
      <c r="R1517" s="6" t="n">
        <v>0</v>
      </c>
      <c r="S1517" s="11"/>
      <c r="T1517" s="11" t="n">
        <v>0</v>
      </c>
      <c r="U1517" s="11" t="n">
        <v>0.95</v>
      </c>
      <c r="V1517" s="11" t="n">
        <v>0.95</v>
      </c>
    </row>
    <row r="1518" customFormat="false" ht="15" hidden="false" customHeight="false" outlineLevel="0" collapsed="false">
      <c r="A1518" s="6" t="s">
        <v>50</v>
      </c>
      <c r="B1518" s="6" t="s">
        <v>43</v>
      </c>
      <c r="C1518" s="6" t="s">
        <v>51</v>
      </c>
      <c r="D1518" s="6" t="s">
        <v>115</v>
      </c>
      <c r="E1518" s="6" t="n">
        <v>1</v>
      </c>
      <c r="F1518" s="6" t="n">
        <v>8</v>
      </c>
      <c r="G1518" s="6" t="s">
        <v>77</v>
      </c>
      <c r="H1518" s="11" t="n">
        <v>0.01</v>
      </c>
      <c r="I1518" s="6" t="n">
        <v>20</v>
      </c>
      <c r="J1518" s="6" t="n">
        <v>1</v>
      </c>
      <c r="K1518" s="6" t="n">
        <v>19</v>
      </c>
      <c r="L1518" s="6" t="n">
        <v>1</v>
      </c>
      <c r="M1518" s="6" t="n">
        <v>19</v>
      </c>
      <c r="N1518" s="11" t="n">
        <f aca="false">J1518/(J1518+K1518)</f>
        <v>0.05</v>
      </c>
      <c r="O1518" s="11" t="n">
        <f aca="false">IF(J1518+L1518=0,"",J1518/(J1518+L1518))</f>
        <v>0.5</v>
      </c>
      <c r="P1518" s="11" t="n">
        <f aca="false">2*J1518/(2*J1518+L1518+K1518)</f>
        <v>0.0909090909090909</v>
      </c>
      <c r="Q1518" s="11" t="n">
        <f aca="false">L1518/(L1518+M1518)</f>
        <v>0.05</v>
      </c>
      <c r="R1518" s="6" t="n">
        <v>0</v>
      </c>
      <c r="S1518" s="11"/>
      <c r="T1518" s="11" t="n">
        <v>0.05</v>
      </c>
      <c r="U1518" s="11" t="n">
        <v>1</v>
      </c>
      <c r="V1518" s="11" t="n">
        <v>1</v>
      </c>
    </row>
    <row r="1519" customFormat="false" ht="15" hidden="false" customHeight="false" outlineLevel="0" collapsed="false">
      <c r="A1519" s="6" t="s">
        <v>50</v>
      </c>
      <c r="B1519" s="6" t="s">
        <v>43</v>
      </c>
      <c r="C1519" s="6" t="s">
        <v>51</v>
      </c>
      <c r="D1519" s="6" t="s">
        <v>115</v>
      </c>
      <c r="E1519" s="6" t="n">
        <v>1</v>
      </c>
      <c r="F1519" s="6" t="n">
        <v>8</v>
      </c>
      <c r="G1519" s="6" t="s">
        <v>78</v>
      </c>
      <c r="H1519" s="11" t="n">
        <v>0.01</v>
      </c>
      <c r="I1519" s="6" t="n">
        <v>200</v>
      </c>
      <c r="J1519" s="6" t="n">
        <v>1</v>
      </c>
      <c r="K1519" s="6" t="n">
        <v>199</v>
      </c>
      <c r="L1519" s="6" t="n">
        <v>1</v>
      </c>
      <c r="M1519" s="6" t="n">
        <v>199</v>
      </c>
      <c r="N1519" s="11" t="n">
        <f aca="false">J1519/(J1519+K1519)</f>
        <v>0.005</v>
      </c>
      <c r="O1519" s="11" t="n">
        <f aca="false">IF(J1519+L1519=0,"",J1519/(J1519+L1519))</f>
        <v>0.5</v>
      </c>
      <c r="P1519" s="11" t="n">
        <f aca="false">2*J1519/(2*J1519+L1519+K1519)</f>
        <v>0.0099009900990099</v>
      </c>
      <c r="Q1519" s="11" t="n">
        <f aca="false">L1519/(L1519+M1519)</f>
        <v>0.005</v>
      </c>
      <c r="R1519" s="6" t="n">
        <v>0</v>
      </c>
      <c r="S1519" s="11"/>
      <c r="T1519" s="11" t="n">
        <v>0.005</v>
      </c>
      <c r="U1519" s="11" t="n">
        <v>0.88</v>
      </c>
      <c r="V1519" s="11" t="n">
        <v>0.88</v>
      </c>
    </row>
    <row r="1520" customFormat="false" ht="15" hidden="false" customHeight="false" outlineLevel="0" collapsed="false">
      <c r="A1520" s="6" t="s">
        <v>50</v>
      </c>
      <c r="B1520" s="6" t="s">
        <v>43</v>
      </c>
      <c r="C1520" s="6" t="s">
        <v>51</v>
      </c>
      <c r="D1520" s="6" t="s">
        <v>115</v>
      </c>
      <c r="E1520" s="6" t="n">
        <v>1</v>
      </c>
      <c r="F1520" s="6" t="n">
        <v>9</v>
      </c>
      <c r="G1520" s="6" t="s">
        <v>68</v>
      </c>
      <c r="H1520" s="11" t="n">
        <v>0.01</v>
      </c>
      <c r="I1520" s="6" t="n">
        <v>20</v>
      </c>
      <c r="J1520" s="6" t="n">
        <v>20</v>
      </c>
      <c r="K1520" s="6" t="n">
        <v>0</v>
      </c>
      <c r="L1520" s="6" t="n">
        <v>0</v>
      </c>
      <c r="M1520" s="6" t="n">
        <v>20</v>
      </c>
      <c r="N1520" s="11" t="n">
        <f aca="false">J1520/(J1520+K1520)</f>
        <v>1</v>
      </c>
      <c r="O1520" s="11" t="n">
        <f aca="false">IF(J1520+L1520=0,"",J1520/(J1520+L1520))</f>
        <v>1</v>
      </c>
      <c r="P1520" s="11" t="n">
        <f aca="false">2*J1520/(2*J1520+L1520+K1520)</f>
        <v>1</v>
      </c>
      <c r="Q1520" s="11" t="n">
        <f aca="false">L1520/(L1520+M1520)</f>
        <v>0</v>
      </c>
      <c r="R1520" s="6" t="n">
        <v>20</v>
      </c>
      <c r="S1520" s="11" t="n">
        <v>1</v>
      </c>
      <c r="T1520" s="11"/>
      <c r="U1520" s="11" t="n">
        <v>0.85</v>
      </c>
      <c r="V1520" s="11" t="n">
        <v>0</v>
      </c>
    </row>
    <row r="1521" customFormat="false" ht="15" hidden="false" customHeight="false" outlineLevel="0" collapsed="false">
      <c r="A1521" s="6" t="s">
        <v>50</v>
      </c>
      <c r="B1521" s="6" t="s">
        <v>43</v>
      </c>
      <c r="C1521" s="6" t="s">
        <v>51</v>
      </c>
      <c r="D1521" s="6" t="s">
        <v>115</v>
      </c>
      <c r="E1521" s="6" t="n">
        <v>1</v>
      </c>
      <c r="F1521" s="6" t="n">
        <v>9</v>
      </c>
      <c r="G1521" s="6" t="s">
        <v>69</v>
      </c>
      <c r="H1521" s="11" t="n">
        <v>0.01</v>
      </c>
      <c r="I1521" s="6" t="n">
        <v>20</v>
      </c>
      <c r="J1521" s="6" t="n">
        <v>20</v>
      </c>
      <c r="K1521" s="6" t="n">
        <v>0</v>
      </c>
      <c r="L1521" s="6" t="n">
        <v>0</v>
      </c>
      <c r="M1521" s="6" t="n">
        <v>20</v>
      </c>
      <c r="N1521" s="11" t="n">
        <f aca="false">J1521/(J1521+K1521)</f>
        <v>1</v>
      </c>
      <c r="O1521" s="11" t="n">
        <f aca="false">IF(J1521+L1521=0,"",J1521/(J1521+L1521))</f>
        <v>1</v>
      </c>
      <c r="P1521" s="11" t="n">
        <f aca="false">2*J1521/(2*J1521+L1521+K1521)</f>
        <v>1</v>
      </c>
      <c r="Q1521" s="11" t="n">
        <f aca="false">L1521/(L1521+M1521)</f>
        <v>0</v>
      </c>
      <c r="R1521" s="6" t="n">
        <v>20</v>
      </c>
      <c r="S1521" s="11" t="n">
        <v>1</v>
      </c>
      <c r="T1521" s="11"/>
      <c r="U1521" s="11" t="n">
        <v>1</v>
      </c>
      <c r="V1521" s="11" t="n">
        <v>0</v>
      </c>
    </row>
    <row r="1522" customFormat="false" ht="15" hidden="false" customHeight="false" outlineLevel="0" collapsed="false">
      <c r="A1522" s="6" t="s">
        <v>50</v>
      </c>
      <c r="B1522" s="6" t="s">
        <v>43</v>
      </c>
      <c r="C1522" s="6" t="s">
        <v>51</v>
      </c>
      <c r="D1522" s="6" t="s">
        <v>115</v>
      </c>
      <c r="E1522" s="6" t="n">
        <v>1</v>
      </c>
      <c r="F1522" s="6" t="n">
        <v>9</v>
      </c>
      <c r="G1522" s="6" t="s">
        <v>70</v>
      </c>
      <c r="H1522" s="11" t="n">
        <v>0.01</v>
      </c>
      <c r="I1522" s="6" t="n">
        <v>20</v>
      </c>
      <c r="J1522" s="6" t="n">
        <v>20</v>
      </c>
      <c r="K1522" s="6" t="n">
        <v>0</v>
      </c>
      <c r="L1522" s="6" t="n">
        <v>0</v>
      </c>
      <c r="M1522" s="6" t="n">
        <v>20</v>
      </c>
      <c r="N1522" s="11" t="n">
        <f aca="false">J1522/(J1522+K1522)</f>
        <v>1</v>
      </c>
      <c r="O1522" s="11" t="n">
        <f aca="false">IF(J1522+L1522=0,"",J1522/(J1522+L1522))</f>
        <v>1</v>
      </c>
      <c r="P1522" s="11" t="n">
        <f aca="false">2*J1522/(2*J1522+L1522+K1522)</f>
        <v>1</v>
      </c>
      <c r="Q1522" s="11" t="n">
        <f aca="false">L1522/(L1522+M1522)</f>
        <v>0</v>
      </c>
      <c r="R1522" s="6" t="n">
        <v>20</v>
      </c>
      <c r="S1522" s="11" t="n">
        <v>1</v>
      </c>
      <c r="T1522" s="11"/>
      <c r="U1522" s="11" t="n">
        <v>0.9</v>
      </c>
      <c r="V1522" s="11" t="n">
        <v>0</v>
      </c>
    </row>
    <row r="1523" customFormat="false" ht="15" hidden="false" customHeight="false" outlineLevel="0" collapsed="false">
      <c r="A1523" s="6" t="s">
        <v>50</v>
      </c>
      <c r="B1523" s="6" t="s">
        <v>43</v>
      </c>
      <c r="C1523" s="6" t="s">
        <v>51</v>
      </c>
      <c r="D1523" s="6" t="s">
        <v>115</v>
      </c>
      <c r="E1523" s="6" t="n">
        <v>1</v>
      </c>
      <c r="F1523" s="6" t="n">
        <v>9</v>
      </c>
      <c r="G1523" s="6" t="s">
        <v>71</v>
      </c>
      <c r="H1523" s="11" t="n">
        <v>0.01</v>
      </c>
      <c r="I1523" s="6" t="n">
        <v>20</v>
      </c>
      <c r="J1523" s="6" t="n">
        <v>20</v>
      </c>
      <c r="K1523" s="6" t="n">
        <v>0</v>
      </c>
      <c r="L1523" s="6" t="n">
        <v>0</v>
      </c>
      <c r="M1523" s="6" t="n">
        <v>20</v>
      </c>
      <c r="N1523" s="11" t="n">
        <f aca="false">J1523/(J1523+K1523)</f>
        <v>1</v>
      </c>
      <c r="O1523" s="11" t="n">
        <f aca="false">IF(J1523+L1523=0,"",J1523/(J1523+L1523))</f>
        <v>1</v>
      </c>
      <c r="P1523" s="11" t="n">
        <f aca="false">2*J1523/(2*J1523+L1523+K1523)</f>
        <v>1</v>
      </c>
      <c r="Q1523" s="11" t="n">
        <f aca="false">L1523/(L1523+M1523)</f>
        <v>0</v>
      </c>
      <c r="R1523" s="6" t="n">
        <v>20</v>
      </c>
      <c r="S1523" s="11" t="n">
        <v>1</v>
      </c>
      <c r="T1523" s="11"/>
      <c r="U1523" s="11" t="n">
        <v>0.8</v>
      </c>
      <c r="V1523" s="11" t="n">
        <v>0</v>
      </c>
    </row>
    <row r="1524" customFormat="false" ht="15" hidden="false" customHeight="false" outlineLevel="0" collapsed="false">
      <c r="A1524" s="6" t="s">
        <v>50</v>
      </c>
      <c r="B1524" s="6" t="s">
        <v>43</v>
      </c>
      <c r="C1524" s="6" t="s">
        <v>51</v>
      </c>
      <c r="D1524" s="6" t="s">
        <v>115</v>
      </c>
      <c r="E1524" s="6" t="n">
        <v>1</v>
      </c>
      <c r="F1524" s="6" t="n">
        <v>9</v>
      </c>
      <c r="G1524" s="6" t="s">
        <v>72</v>
      </c>
      <c r="H1524" s="11" t="n">
        <v>0.01</v>
      </c>
      <c r="I1524" s="6" t="n">
        <v>20</v>
      </c>
      <c r="J1524" s="6" t="n">
        <v>18</v>
      </c>
      <c r="K1524" s="6" t="n">
        <v>2</v>
      </c>
      <c r="L1524" s="6" t="n">
        <v>0</v>
      </c>
      <c r="M1524" s="6" t="n">
        <v>20</v>
      </c>
      <c r="N1524" s="11" t="n">
        <f aca="false">J1524/(J1524+K1524)</f>
        <v>0.9</v>
      </c>
      <c r="O1524" s="11" t="n">
        <f aca="false">IF(J1524+L1524=0,"",J1524/(J1524+L1524))</f>
        <v>1</v>
      </c>
      <c r="P1524" s="11" t="n">
        <f aca="false">2*J1524/(2*J1524+L1524+K1524)</f>
        <v>0.947368421052632</v>
      </c>
      <c r="Q1524" s="11" t="n">
        <f aca="false">L1524/(L1524+M1524)</f>
        <v>0</v>
      </c>
      <c r="R1524" s="6" t="n">
        <v>18</v>
      </c>
      <c r="S1524" s="11" t="n">
        <v>1</v>
      </c>
      <c r="T1524" s="11" t="n">
        <v>0</v>
      </c>
      <c r="U1524" s="11" t="n">
        <v>0.9</v>
      </c>
      <c r="V1524" s="11" t="n">
        <v>0.05</v>
      </c>
    </row>
    <row r="1525" customFormat="false" ht="15" hidden="false" customHeight="false" outlineLevel="0" collapsed="false">
      <c r="A1525" s="6" t="s">
        <v>50</v>
      </c>
      <c r="B1525" s="6" t="s">
        <v>43</v>
      </c>
      <c r="C1525" s="6" t="s">
        <v>51</v>
      </c>
      <c r="D1525" s="6" t="s">
        <v>115</v>
      </c>
      <c r="E1525" s="6" t="n">
        <v>1</v>
      </c>
      <c r="F1525" s="6" t="n">
        <v>9</v>
      </c>
      <c r="G1525" s="6" t="s">
        <v>73</v>
      </c>
      <c r="H1525" s="11" t="n">
        <v>0.01</v>
      </c>
      <c r="I1525" s="6" t="n">
        <v>20</v>
      </c>
      <c r="J1525" s="6" t="n">
        <v>19</v>
      </c>
      <c r="K1525" s="6" t="n">
        <v>1</v>
      </c>
      <c r="L1525" s="6" t="n">
        <v>0</v>
      </c>
      <c r="M1525" s="6" t="n">
        <v>20</v>
      </c>
      <c r="N1525" s="11" t="n">
        <f aca="false">J1525/(J1525+K1525)</f>
        <v>0.95</v>
      </c>
      <c r="O1525" s="11" t="n">
        <f aca="false">IF(J1525+L1525=0,"",J1525/(J1525+L1525))</f>
        <v>1</v>
      </c>
      <c r="P1525" s="11" t="n">
        <f aca="false">2*J1525/(2*J1525+L1525+K1525)</f>
        <v>0.974358974358974</v>
      </c>
      <c r="Q1525" s="11" t="n">
        <f aca="false">L1525/(L1525+M1525)</f>
        <v>0</v>
      </c>
      <c r="R1525" s="6" t="n">
        <v>19</v>
      </c>
      <c r="S1525" s="11" t="n">
        <v>1</v>
      </c>
      <c r="T1525" s="11" t="n">
        <v>0</v>
      </c>
      <c r="U1525" s="11" t="n">
        <v>0.65</v>
      </c>
      <c r="V1525" s="11" t="n">
        <v>0.05</v>
      </c>
    </row>
    <row r="1526" customFormat="false" ht="15" hidden="false" customHeight="false" outlineLevel="0" collapsed="false">
      <c r="A1526" s="6" t="s">
        <v>50</v>
      </c>
      <c r="B1526" s="6" t="s">
        <v>43</v>
      </c>
      <c r="C1526" s="6" t="s">
        <v>51</v>
      </c>
      <c r="D1526" s="6" t="s">
        <v>115</v>
      </c>
      <c r="E1526" s="6" t="n">
        <v>1</v>
      </c>
      <c r="F1526" s="6" t="n">
        <v>9</v>
      </c>
      <c r="G1526" s="6" t="s">
        <v>74</v>
      </c>
      <c r="H1526" s="11" t="n">
        <v>0.01</v>
      </c>
      <c r="I1526" s="6" t="n">
        <v>20</v>
      </c>
      <c r="J1526" s="6" t="n">
        <v>18</v>
      </c>
      <c r="K1526" s="6" t="n">
        <v>2</v>
      </c>
      <c r="L1526" s="6" t="n">
        <v>0</v>
      </c>
      <c r="M1526" s="6" t="n">
        <v>20</v>
      </c>
      <c r="N1526" s="11" t="n">
        <f aca="false">J1526/(J1526+K1526)</f>
        <v>0.9</v>
      </c>
      <c r="O1526" s="11" t="n">
        <f aca="false">IF(J1526+L1526=0,"",J1526/(J1526+L1526))</f>
        <v>1</v>
      </c>
      <c r="P1526" s="11" t="n">
        <f aca="false">2*J1526/(2*J1526+L1526+K1526)</f>
        <v>0.947368421052632</v>
      </c>
      <c r="Q1526" s="11" t="n">
        <f aca="false">L1526/(L1526+M1526)</f>
        <v>0</v>
      </c>
      <c r="R1526" s="6" t="n">
        <v>18</v>
      </c>
      <c r="S1526" s="11" t="n">
        <v>1</v>
      </c>
      <c r="T1526" s="11" t="n">
        <v>0</v>
      </c>
      <c r="U1526" s="11" t="n">
        <v>0.85</v>
      </c>
      <c r="V1526" s="11" t="n">
        <v>0.1</v>
      </c>
    </row>
    <row r="1527" customFormat="false" ht="15" hidden="false" customHeight="false" outlineLevel="0" collapsed="false">
      <c r="A1527" s="6" t="s">
        <v>50</v>
      </c>
      <c r="B1527" s="6" t="s">
        <v>43</v>
      </c>
      <c r="C1527" s="6" t="s">
        <v>51</v>
      </c>
      <c r="D1527" s="6" t="s">
        <v>115</v>
      </c>
      <c r="E1527" s="6" t="n">
        <v>1</v>
      </c>
      <c r="F1527" s="6" t="n">
        <v>9</v>
      </c>
      <c r="G1527" s="6" t="s">
        <v>75</v>
      </c>
      <c r="H1527" s="11" t="n">
        <v>0.01</v>
      </c>
      <c r="I1527" s="6" t="n">
        <v>20</v>
      </c>
      <c r="J1527" s="6" t="n">
        <v>20</v>
      </c>
      <c r="K1527" s="6" t="n">
        <v>0</v>
      </c>
      <c r="L1527" s="6" t="n">
        <v>0</v>
      </c>
      <c r="M1527" s="6" t="n">
        <v>20</v>
      </c>
      <c r="N1527" s="11" t="n">
        <f aca="false">J1527/(J1527+K1527)</f>
        <v>1</v>
      </c>
      <c r="O1527" s="11" t="n">
        <f aca="false">IF(J1527+L1527=0,"",J1527/(J1527+L1527))</f>
        <v>1</v>
      </c>
      <c r="P1527" s="11" t="n">
        <f aca="false">2*J1527/(2*J1527+L1527+K1527)</f>
        <v>1</v>
      </c>
      <c r="Q1527" s="11" t="n">
        <f aca="false">L1527/(L1527+M1527)</f>
        <v>0</v>
      </c>
      <c r="R1527" s="6" t="n">
        <v>5</v>
      </c>
      <c r="S1527" s="11" t="n">
        <v>1</v>
      </c>
      <c r="T1527" s="11" t="n">
        <v>1</v>
      </c>
      <c r="U1527" s="11" t="n">
        <v>0.9</v>
      </c>
      <c r="V1527" s="11" t="n">
        <v>0.85</v>
      </c>
    </row>
    <row r="1528" customFormat="false" ht="15" hidden="false" customHeight="false" outlineLevel="0" collapsed="false">
      <c r="A1528" s="6" t="s">
        <v>50</v>
      </c>
      <c r="B1528" s="6" t="s">
        <v>43</v>
      </c>
      <c r="C1528" s="6" t="s">
        <v>51</v>
      </c>
      <c r="D1528" s="6" t="s">
        <v>115</v>
      </c>
      <c r="E1528" s="6" t="n">
        <v>1</v>
      </c>
      <c r="F1528" s="6" t="n">
        <v>9</v>
      </c>
      <c r="G1528" s="6" t="s">
        <v>76</v>
      </c>
      <c r="H1528" s="11" t="n">
        <v>0.01</v>
      </c>
      <c r="I1528" s="6" t="n">
        <v>20</v>
      </c>
      <c r="J1528" s="6" t="n">
        <v>18</v>
      </c>
      <c r="K1528" s="6" t="n">
        <v>2</v>
      </c>
      <c r="L1528" s="6" t="n">
        <v>0</v>
      </c>
      <c r="M1528" s="6" t="n">
        <v>20</v>
      </c>
      <c r="N1528" s="11" t="n">
        <f aca="false">J1528/(J1528+K1528)</f>
        <v>0.9</v>
      </c>
      <c r="O1528" s="11" t="n">
        <f aca="false">IF(J1528+L1528=0,"",J1528/(J1528+L1528))</f>
        <v>1</v>
      </c>
      <c r="P1528" s="11" t="n">
        <f aca="false">2*J1528/(2*J1528+L1528+K1528)</f>
        <v>0.947368421052632</v>
      </c>
      <c r="Q1528" s="11" t="n">
        <f aca="false">L1528/(L1528+M1528)</f>
        <v>0</v>
      </c>
      <c r="R1528" s="6" t="n">
        <v>18</v>
      </c>
      <c r="S1528" s="11" t="n">
        <v>1</v>
      </c>
      <c r="T1528" s="11" t="n">
        <v>0</v>
      </c>
      <c r="U1528" s="11" t="n">
        <v>0.95</v>
      </c>
      <c r="V1528" s="11" t="n">
        <v>0.1</v>
      </c>
    </row>
    <row r="1529" customFormat="false" ht="15" hidden="false" customHeight="false" outlineLevel="0" collapsed="false">
      <c r="A1529" s="6" t="s">
        <v>50</v>
      </c>
      <c r="B1529" s="6" t="s">
        <v>43</v>
      </c>
      <c r="C1529" s="6" t="s">
        <v>51</v>
      </c>
      <c r="D1529" s="6" t="s">
        <v>115</v>
      </c>
      <c r="E1529" s="6" t="n">
        <v>1</v>
      </c>
      <c r="F1529" s="6" t="n">
        <v>9</v>
      </c>
      <c r="G1529" s="6" t="s">
        <v>77</v>
      </c>
      <c r="H1529" s="11" t="n">
        <v>0.01</v>
      </c>
      <c r="I1529" s="6" t="n">
        <v>20</v>
      </c>
      <c r="J1529" s="6" t="n">
        <v>19</v>
      </c>
      <c r="K1529" s="6" t="n">
        <v>1</v>
      </c>
      <c r="L1529" s="6" t="n">
        <v>1</v>
      </c>
      <c r="M1529" s="6" t="n">
        <v>19</v>
      </c>
      <c r="N1529" s="11" t="n">
        <f aca="false">J1529/(J1529+K1529)</f>
        <v>0.95</v>
      </c>
      <c r="O1529" s="11" t="n">
        <f aca="false">IF(J1529+L1529=0,"",J1529/(J1529+L1529))</f>
        <v>0.95</v>
      </c>
      <c r="P1529" s="11" t="n">
        <f aca="false">2*J1529/(2*J1529+L1529+K1529)</f>
        <v>0.95</v>
      </c>
      <c r="Q1529" s="11" t="n">
        <f aca="false">L1529/(L1529+M1529)</f>
        <v>0.05</v>
      </c>
      <c r="R1529" s="6" t="n">
        <v>19</v>
      </c>
      <c r="S1529" s="11" t="n">
        <v>1</v>
      </c>
      <c r="T1529" s="11" t="n">
        <v>0</v>
      </c>
      <c r="U1529" s="11" t="n">
        <v>1</v>
      </c>
      <c r="V1529" s="11" t="n">
        <v>0.05</v>
      </c>
    </row>
    <row r="1530" customFormat="false" ht="15" hidden="false" customHeight="false" outlineLevel="0" collapsed="false">
      <c r="A1530" s="6" t="s">
        <v>50</v>
      </c>
      <c r="B1530" s="6" t="s">
        <v>43</v>
      </c>
      <c r="C1530" s="6" t="s">
        <v>51</v>
      </c>
      <c r="D1530" s="6" t="s">
        <v>115</v>
      </c>
      <c r="E1530" s="6" t="n">
        <v>1</v>
      </c>
      <c r="F1530" s="6" t="n">
        <v>9</v>
      </c>
      <c r="G1530" s="6" t="s">
        <v>78</v>
      </c>
      <c r="H1530" s="11" t="n">
        <v>0.01</v>
      </c>
      <c r="I1530" s="6" t="n">
        <v>200</v>
      </c>
      <c r="J1530" s="6" t="n">
        <v>192</v>
      </c>
      <c r="K1530" s="6" t="n">
        <v>8</v>
      </c>
      <c r="L1530" s="6" t="n">
        <v>1</v>
      </c>
      <c r="M1530" s="6" t="n">
        <v>199</v>
      </c>
      <c r="N1530" s="11" t="n">
        <f aca="false">J1530/(J1530+K1530)</f>
        <v>0.96</v>
      </c>
      <c r="O1530" s="11" t="n">
        <f aca="false">IF(J1530+L1530=0,"",J1530/(J1530+L1530))</f>
        <v>0.994818652849741</v>
      </c>
      <c r="P1530" s="11" t="n">
        <f aca="false">2*J1530/(2*J1530+L1530+K1530)</f>
        <v>0.977099236641221</v>
      </c>
      <c r="Q1530" s="11" t="n">
        <f aca="false">L1530/(L1530+M1530)</f>
        <v>0.005</v>
      </c>
      <c r="R1530" s="6" t="n">
        <v>177</v>
      </c>
      <c r="S1530" s="11" t="n">
        <v>1</v>
      </c>
      <c r="T1530" s="11" t="n">
        <v>0.652173913043478</v>
      </c>
      <c r="U1530" s="11" t="n">
        <v>0.88</v>
      </c>
      <c r="V1530" s="11" t="n">
        <v>0.12</v>
      </c>
    </row>
    <row r="1531" customFormat="false" ht="15" hidden="false" customHeight="false" outlineLevel="0" collapsed="false">
      <c r="A1531" s="6" t="s">
        <v>50</v>
      </c>
      <c r="B1531" s="6" t="s">
        <v>43</v>
      </c>
      <c r="C1531" s="6" t="s">
        <v>51</v>
      </c>
      <c r="D1531" s="6" t="s">
        <v>115</v>
      </c>
      <c r="E1531" s="6" t="n">
        <v>1</v>
      </c>
      <c r="F1531" s="6" t="n">
        <v>10</v>
      </c>
      <c r="G1531" s="6" t="s">
        <v>68</v>
      </c>
      <c r="H1531" s="11" t="n">
        <v>0.01</v>
      </c>
      <c r="I1531" s="6" t="n">
        <v>20</v>
      </c>
      <c r="J1531" s="6" t="n">
        <v>0</v>
      </c>
      <c r="K1531" s="6" t="n">
        <v>20</v>
      </c>
      <c r="L1531" s="6" t="n">
        <v>0</v>
      </c>
      <c r="M1531" s="6" t="n">
        <v>20</v>
      </c>
      <c r="N1531" s="11" t="n">
        <f aca="false">J1531/(J1531+K1531)</f>
        <v>0</v>
      </c>
      <c r="O1531" s="11" t="str">
        <f aca="false">IF(J1531+L1531=0,"",J1531/(J1531+L1531))</f>
        <v/>
      </c>
      <c r="P1531" s="11" t="n">
        <f aca="false">2*J1531/(2*J1531+L1531+K1531)</f>
        <v>0</v>
      </c>
      <c r="Q1531" s="11" t="n">
        <f aca="false">L1531/(L1531+M1531)</f>
        <v>0</v>
      </c>
      <c r="R1531" s="6" t="n">
        <v>0</v>
      </c>
      <c r="S1531" s="11"/>
      <c r="T1531" s="11" t="n">
        <v>0</v>
      </c>
      <c r="U1531" s="11" t="n">
        <v>0.85</v>
      </c>
      <c r="V1531" s="11" t="n">
        <v>0.85</v>
      </c>
    </row>
    <row r="1532" customFormat="false" ht="15" hidden="false" customHeight="false" outlineLevel="0" collapsed="false">
      <c r="A1532" s="6" t="s">
        <v>50</v>
      </c>
      <c r="B1532" s="6" t="s">
        <v>43</v>
      </c>
      <c r="C1532" s="6" t="s">
        <v>51</v>
      </c>
      <c r="D1532" s="6" t="s">
        <v>115</v>
      </c>
      <c r="E1532" s="6" t="n">
        <v>1</v>
      </c>
      <c r="F1532" s="6" t="n">
        <v>10</v>
      </c>
      <c r="G1532" s="6" t="s">
        <v>69</v>
      </c>
      <c r="H1532" s="11" t="n">
        <v>0.01</v>
      </c>
      <c r="I1532" s="6" t="n">
        <v>20</v>
      </c>
      <c r="J1532" s="6" t="n">
        <v>0</v>
      </c>
      <c r="K1532" s="6" t="n">
        <v>20</v>
      </c>
      <c r="L1532" s="6" t="n">
        <v>0</v>
      </c>
      <c r="M1532" s="6" t="n">
        <v>20</v>
      </c>
      <c r="N1532" s="11" t="n">
        <f aca="false">J1532/(J1532+K1532)</f>
        <v>0</v>
      </c>
      <c r="O1532" s="11" t="str">
        <f aca="false">IF(J1532+L1532=0,"",J1532/(J1532+L1532))</f>
        <v/>
      </c>
      <c r="P1532" s="11" t="n">
        <f aca="false">2*J1532/(2*J1532+L1532+K1532)</f>
        <v>0</v>
      </c>
      <c r="Q1532" s="11" t="n">
        <f aca="false">L1532/(L1532+M1532)</f>
        <v>0</v>
      </c>
      <c r="R1532" s="6" t="n">
        <v>0</v>
      </c>
      <c r="S1532" s="11"/>
      <c r="T1532" s="11" t="n">
        <v>0</v>
      </c>
      <c r="U1532" s="11" t="n">
        <v>1</v>
      </c>
      <c r="V1532" s="11" t="n">
        <v>1</v>
      </c>
    </row>
    <row r="1533" customFormat="false" ht="15" hidden="false" customHeight="false" outlineLevel="0" collapsed="false">
      <c r="A1533" s="6" t="s">
        <v>50</v>
      </c>
      <c r="B1533" s="6" t="s">
        <v>43</v>
      </c>
      <c r="C1533" s="6" t="s">
        <v>51</v>
      </c>
      <c r="D1533" s="6" t="s">
        <v>115</v>
      </c>
      <c r="E1533" s="6" t="n">
        <v>1</v>
      </c>
      <c r="F1533" s="6" t="n">
        <v>10</v>
      </c>
      <c r="G1533" s="6" t="s">
        <v>70</v>
      </c>
      <c r="H1533" s="11" t="n">
        <v>0.01</v>
      </c>
      <c r="I1533" s="6" t="n">
        <v>20</v>
      </c>
      <c r="J1533" s="6" t="n">
        <v>0</v>
      </c>
      <c r="K1533" s="6" t="n">
        <v>20</v>
      </c>
      <c r="L1533" s="6" t="n">
        <v>0</v>
      </c>
      <c r="M1533" s="6" t="n">
        <v>20</v>
      </c>
      <c r="N1533" s="11" t="n">
        <f aca="false">J1533/(J1533+K1533)</f>
        <v>0</v>
      </c>
      <c r="O1533" s="11" t="str">
        <f aca="false">IF(J1533+L1533=0,"",J1533/(J1533+L1533))</f>
        <v/>
      </c>
      <c r="P1533" s="11" t="n">
        <f aca="false">2*J1533/(2*J1533+L1533+K1533)</f>
        <v>0</v>
      </c>
      <c r="Q1533" s="11" t="n">
        <f aca="false">L1533/(L1533+M1533)</f>
        <v>0</v>
      </c>
      <c r="R1533" s="6" t="n">
        <v>0</v>
      </c>
      <c r="S1533" s="11"/>
      <c r="T1533" s="11" t="n">
        <v>0</v>
      </c>
      <c r="U1533" s="11" t="n">
        <v>0.9</v>
      </c>
      <c r="V1533" s="11" t="n">
        <v>0.9</v>
      </c>
    </row>
    <row r="1534" customFormat="false" ht="15" hidden="false" customHeight="false" outlineLevel="0" collapsed="false">
      <c r="A1534" s="6" t="s">
        <v>50</v>
      </c>
      <c r="B1534" s="6" t="s">
        <v>43</v>
      </c>
      <c r="C1534" s="6" t="s">
        <v>51</v>
      </c>
      <c r="D1534" s="6" t="s">
        <v>115</v>
      </c>
      <c r="E1534" s="6" t="n">
        <v>1</v>
      </c>
      <c r="F1534" s="6" t="n">
        <v>10</v>
      </c>
      <c r="G1534" s="6" t="s">
        <v>71</v>
      </c>
      <c r="H1534" s="11" t="n">
        <v>0.01</v>
      </c>
      <c r="I1534" s="6" t="n">
        <v>20</v>
      </c>
      <c r="J1534" s="6" t="n">
        <v>0</v>
      </c>
      <c r="K1534" s="6" t="n">
        <v>20</v>
      </c>
      <c r="L1534" s="6" t="n">
        <v>0</v>
      </c>
      <c r="M1534" s="6" t="n">
        <v>20</v>
      </c>
      <c r="N1534" s="11" t="n">
        <f aca="false">J1534/(J1534+K1534)</f>
        <v>0</v>
      </c>
      <c r="O1534" s="11" t="str">
        <f aca="false">IF(J1534+L1534=0,"",J1534/(J1534+L1534))</f>
        <v/>
      </c>
      <c r="P1534" s="11" t="n">
        <f aca="false">2*J1534/(2*J1534+L1534+K1534)</f>
        <v>0</v>
      </c>
      <c r="Q1534" s="11" t="n">
        <f aca="false">L1534/(L1534+M1534)</f>
        <v>0</v>
      </c>
      <c r="R1534" s="6" t="n">
        <v>0</v>
      </c>
      <c r="S1534" s="11"/>
      <c r="T1534" s="11" t="n">
        <v>0</v>
      </c>
      <c r="U1534" s="11" t="n">
        <v>0.8</v>
      </c>
      <c r="V1534" s="11" t="n">
        <v>0.8</v>
      </c>
    </row>
    <row r="1535" customFormat="false" ht="15" hidden="false" customHeight="false" outlineLevel="0" collapsed="false">
      <c r="A1535" s="6" t="s">
        <v>50</v>
      </c>
      <c r="B1535" s="6" t="s">
        <v>43</v>
      </c>
      <c r="C1535" s="6" t="s">
        <v>51</v>
      </c>
      <c r="D1535" s="6" t="s">
        <v>115</v>
      </c>
      <c r="E1535" s="6" t="n">
        <v>1</v>
      </c>
      <c r="F1535" s="6" t="n">
        <v>10</v>
      </c>
      <c r="G1535" s="6" t="s">
        <v>72</v>
      </c>
      <c r="H1535" s="11" t="n">
        <v>0.01</v>
      </c>
      <c r="I1535" s="6" t="n">
        <v>20</v>
      </c>
      <c r="J1535" s="6" t="n">
        <v>0</v>
      </c>
      <c r="K1535" s="6" t="n">
        <v>20</v>
      </c>
      <c r="L1535" s="6" t="n">
        <v>0</v>
      </c>
      <c r="M1535" s="6" t="n">
        <v>20</v>
      </c>
      <c r="N1535" s="11" t="n">
        <f aca="false">J1535/(J1535+K1535)</f>
        <v>0</v>
      </c>
      <c r="O1535" s="11" t="str">
        <f aca="false">IF(J1535+L1535=0,"",J1535/(J1535+L1535))</f>
        <v/>
      </c>
      <c r="P1535" s="11" t="n">
        <f aca="false">2*J1535/(2*J1535+L1535+K1535)</f>
        <v>0</v>
      </c>
      <c r="Q1535" s="11" t="n">
        <f aca="false">L1535/(L1535+M1535)</f>
        <v>0</v>
      </c>
      <c r="R1535" s="6" t="n">
        <v>0</v>
      </c>
      <c r="S1535" s="11"/>
      <c r="T1535" s="11" t="n">
        <v>0</v>
      </c>
      <c r="U1535" s="11" t="n">
        <v>0.9</v>
      </c>
      <c r="V1535" s="11" t="n">
        <v>0.9</v>
      </c>
    </row>
    <row r="1536" customFormat="false" ht="15" hidden="false" customHeight="false" outlineLevel="0" collapsed="false">
      <c r="A1536" s="6" t="s">
        <v>50</v>
      </c>
      <c r="B1536" s="6" t="s">
        <v>43</v>
      </c>
      <c r="C1536" s="6" t="s">
        <v>51</v>
      </c>
      <c r="D1536" s="6" t="s">
        <v>115</v>
      </c>
      <c r="E1536" s="6" t="n">
        <v>1</v>
      </c>
      <c r="F1536" s="6" t="n">
        <v>10</v>
      </c>
      <c r="G1536" s="6" t="s">
        <v>73</v>
      </c>
      <c r="H1536" s="11" t="n">
        <v>0.01</v>
      </c>
      <c r="I1536" s="6" t="n">
        <v>20</v>
      </c>
      <c r="J1536" s="6" t="n">
        <v>0</v>
      </c>
      <c r="K1536" s="6" t="n">
        <v>20</v>
      </c>
      <c r="L1536" s="6" t="n">
        <v>0</v>
      </c>
      <c r="M1536" s="6" t="n">
        <v>20</v>
      </c>
      <c r="N1536" s="11" t="n">
        <f aca="false">J1536/(J1536+K1536)</f>
        <v>0</v>
      </c>
      <c r="O1536" s="11" t="str">
        <f aca="false">IF(J1536+L1536=0,"",J1536/(J1536+L1536))</f>
        <v/>
      </c>
      <c r="P1536" s="11" t="n">
        <f aca="false">2*J1536/(2*J1536+L1536+K1536)</f>
        <v>0</v>
      </c>
      <c r="Q1536" s="11" t="n">
        <f aca="false">L1536/(L1536+M1536)</f>
        <v>0</v>
      </c>
      <c r="R1536" s="6" t="n">
        <v>0</v>
      </c>
      <c r="S1536" s="11"/>
      <c r="T1536" s="11" t="n">
        <v>0</v>
      </c>
      <c r="U1536" s="11" t="n">
        <v>0.65</v>
      </c>
      <c r="V1536" s="11" t="n">
        <v>0.65</v>
      </c>
    </row>
    <row r="1537" customFormat="false" ht="15" hidden="false" customHeight="false" outlineLevel="0" collapsed="false">
      <c r="A1537" s="6" t="s">
        <v>50</v>
      </c>
      <c r="B1537" s="6" t="s">
        <v>43</v>
      </c>
      <c r="C1537" s="6" t="s">
        <v>51</v>
      </c>
      <c r="D1537" s="6" t="s">
        <v>115</v>
      </c>
      <c r="E1537" s="6" t="n">
        <v>1</v>
      </c>
      <c r="F1537" s="6" t="n">
        <v>10</v>
      </c>
      <c r="G1537" s="6" t="s">
        <v>74</v>
      </c>
      <c r="H1537" s="11" t="n">
        <v>0.01</v>
      </c>
      <c r="I1537" s="6" t="n">
        <v>20</v>
      </c>
      <c r="J1537" s="6" t="n">
        <v>0</v>
      </c>
      <c r="K1537" s="6" t="n">
        <v>20</v>
      </c>
      <c r="L1537" s="6" t="n">
        <v>0</v>
      </c>
      <c r="M1537" s="6" t="n">
        <v>20</v>
      </c>
      <c r="N1537" s="11" t="n">
        <f aca="false">J1537/(J1537+K1537)</f>
        <v>0</v>
      </c>
      <c r="O1537" s="11" t="str">
        <f aca="false">IF(J1537+L1537=0,"",J1537/(J1537+L1537))</f>
        <v/>
      </c>
      <c r="P1537" s="11" t="n">
        <f aca="false">2*J1537/(2*J1537+L1537+K1537)</f>
        <v>0</v>
      </c>
      <c r="Q1537" s="11" t="n">
        <f aca="false">L1537/(L1537+M1537)</f>
        <v>0</v>
      </c>
      <c r="R1537" s="6" t="n">
        <v>0</v>
      </c>
      <c r="S1537" s="11"/>
      <c r="T1537" s="11" t="n">
        <v>0</v>
      </c>
      <c r="U1537" s="11" t="n">
        <v>0.85</v>
      </c>
      <c r="V1537" s="11" t="n">
        <v>0.85</v>
      </c>
    </row>
    <row r="1538" customFormat="false" ht="15" hidden="false" customHeight="false" outlineLevel="0" collapsed="false">
      <c r="A1538" s="6" t="s">
        <v>50</v>
      </c>
      <c r="B1538" s="6" t="s">
        <v>43</v>
      </c>
      <c r="C1538" s="6" t="s">
        <v>51</v>
      </c>
      <c r="D1538" s="6" t="s">
        <v>115</v>
      </c>
      <c r="E1538" s="6" t="n">
        <v>1</v>
      </c>
      <c r="F1538" s="6" t="n">
        <v>10</v>
      </c>
      <c r="G1538" s="6" t="s">
        <v>75</v>
      </c>
      <c r="H1538" s="11" t="n">
        <v>0.01</v>
      </c>
      <c r="I1538" s="6" t="n">
        <v>20</v>
      </c>
      <c r="J1538" s="6" t="n">
        <v>0</v>
      </c>
      <c r="K1538" s="6" t="n">
        <v>20</v>
      </c>
      <c r="L1538" s="6" t="n">
        <v>0</v>
      </c>
      <c r="M1538" s="6" t="n">
        <v>20</v>
      </c>
      <c r="N1538" s="11" t="n">
        <f aca="false">J1538/(J1538+K1538)</f>
        <v>0</v>
      </c>
      <c r="O1538" s="11" t="str">
        <f aca="false">IF(J1538+L1538=0,"",J1538/(J1538+L1538))</f>
        <v/>
      </c>
      <c r="P1538" s="11" t="n">
        <f aca="false">2*J1538/(2*J1538+L1538+K1538)</f>
        <v>0</v>
      </c>
      <c r="Q1538" s="11" t="n">
        <f aca="false">L1538/(L1538+M1538)</f>
        <v>0</v>
      </c>
      <c r="R1538" s="6" t="n">
        <v>0</v>
      </c>
      <c r="S1538" s="11"/>
      <c r="T1538" s="11" t="n">
        <v>0</v>
      </c>
      <c r="U1538" s="11" t="n">
        <v>0.9</v>
      </c>
      <c r="V1538" s="11" t="n">
        <v>0.9</v>
      </c>
    </row>
    <row r="1539" customFormat="false" ht="15" hidden="false" customHeight="false" outlineLevel="0" collapsed="false">
      <c r="A1539" s="6" t="s">
        <v>50</v>
      </c>
      <c r="B1539" s="6" t="s">
        <v>43</v>
      </c>
      <c r="C1539" s="6" t="s">
        <v>51</v>
      </c>
      <c r="D1539" s="6" t="s">
        <v>115</v>
      </c>
      <c r="E1539" s="6" t="n">
        <v>1</v>
      </c>
      <c r="F1539" s="6" t="n">
        <v>10</v>
      </c>
      <c r="G1539" s="6" t="s">
        <v>76</v>
      </c>
      <c r="H1539" s="11" t="n">
        <v>0.01</v>
      </c>
      <c r="I1539" s="6" t="n">
        <v>20</v>
      </c>
      <c r="J1539" s="6" t="n">
        <v>0</v>
      </c>
      <c r="K1539" s="6" t="n">
        <v>20</v>
      </c>
      <c r="L1539" s="6" t="n">
        <v>0</v>
      </c>
      <c r="M1539" s="6" t="n">
        <v>20</v>
      </c>
      <c r="N1539" s="11" t="n">
        <f aca="false">J1539/(J1539+K1539)</f>
        <v>0</v>
      </c>
      <c r="O1539" s="11" t="str">
        <f aca="false">IF(J1539+L1539=0,"",J1539/(J1539+L1539))</f>
        <v/>
      </c>
      <c r="P1539" s="11" t="n">
        <f aca="false">2*J1539/(2*J1539+L1539+K1539)</f>
        <v>0</v>
      </c>
      <c r="Q1539" s="11" t="n">
        <f aca="false">L1539/(L1539+M1539)</f>
        <v>0</v>
      </c>
      <c r="R1539" s="6" t="n">
        <v>0</v>
      </c>
      <c r="S1539" s="11"/>
      <c r="T1539" s="11" t="n">
        <v>0</v>
      </c>
      <c r="U1539" s="11" t="n">
        <v>0.95</v>
      </c>
      <c r="V1539" s="11" t="n">
        <v>0.95</v>
      </c>
    </row>
    <row r="1540" customFormat="false" ht="15" hidden="false" customHeight="false" outlineLevel="0" collapsed="false">
      <c r="A1540" s="6" t="s">
        <v>50</v>
      </c>
      <c r="B1540" s="6" t="s">
        <v>43</v>
      </c>
      <c r="C1540" s="6" t="s">
        <v>51</v>
      </c>
      <c r="D1540" s="6" t="s">
        <v>115</v>
      </c>
      <c r="E1540" s="6" t="n">
        <v>1</v>
      </c>
      <c r="F1540" s="6" t="n">
        <v>10</v>
      </c>
      <c r="G1540" s="6" t="s">
        <v>77</v>
      </c>
      <c r="H1540" s="11" t="n">
        <v>0.01</v>
      </c>
      <c r="I1540" s="6" t="n">
        <v>20</v>
      </c>
      <c r="J1540" s="6" t="n">
        <v>1</v>
      </c>
      <c r="K1540" s="6" t="n">
        <v>19</v>
      </c>
      <c r="L1540" s="6" t="n">
        <v>1</v>
      </c>
      <c r="M1540" s="6" t="n">
        <v>19</v>
      </c>
      <c r="N1540" s="11" t="n">
        <f aca="false">J1540/(J1540+K1540)</f>
        <v>0.05</v>
      </c>
      <c r="O1540" s="11" t="n">
        <f aca="false">IF(J1540+L1540=0,"",J1540/(J1540+L1540))</f>
        <v>0.5</v>
      </c>
      <c r="P1540" s="11" t="n">
        <f aca="false">2*J1540/(2*J1540+L1540+K1540)</f>
        <v>0.0909090909090909</v>
      </c>
      <c r="Q1540" s="11" t="n">
        <f aca="false">L1540/(L1540+M1540)</f>
        <v>0.05</v>
      </c>
      <c r="R1540" s="6" t="n">
        <v>0</v>
      </c>
      <c r="S1540" s="11"/>
      <c r="T1540" s="11" t="n">
        <v>0.05</v>
      </c>
      <c r="U1540" s="11" t="n">
        <v>1</v>
      </c>
      <c r="V1540" s="11" t="n">
        <v>1</v>
      </c>
    </row>
    <row r="1541" customFormat="false" ht="15" hidden="false" customHeight="false" outlineLevel="0" collapsed="false">
      <c r="A1541" s="6" t="s">
        <v>50</v>
      </c>
      <c r="B1541" s="6" t="s">
        <v>43</v>
      </c>
      <c r="C1541" s="6" t="s">
        <v>51</v>
      </c>
      <c r="D1541" s="6" t="s">
        <v>115</v>
      </c>
      <c r="E1541" s="6" t="n">
        <v>1</v>
      </c>
      <c r="F1541" s="6" t="n">
        <v>10</v>
      </c>
      <c r="G1541" s="6" t="s">
        <v>78</v>
      </c>
      <c r="H1541" s="11" t="n">
        <v>0.01</v>
      </c>
      <c r="I1541" s="6" t="n">
        <v>200</v>
      </c>
      <c r="J1541" s="6" t="n">
        <v>1</v>
      </c>
      <c r="K1541" s="6" t="n">
        <v>199</v>
      </c>
      <c r="L1541" s="6" t="n">
        <v>1</v>
      </c>
      <c r="M1541" s="6" t="n">
        <v>199</v>
      </c>
      <c r="N1541" s="11" t="n">
        <f aca="false">J1541/(J1541+K1541)</f>
        <v>0.005</v>
      </c>
      <c r="O1541" s="11" t="n">
        <f aca="false">IF(J1541+L1541=0,"",J1541/(J1541+L1541))</f>
        <v>0.5</v>
      </c>
      <c r="P1541" s="11" t="n">
        <f aca="false">2*J1541/(2*J1541+L1541+K1541)</f>
        <v>0.0099009900990099</v>
      </c>
      <c r="Q1541" s="11" t="n">
        <f aca="false">L1541/(L1541+M1541)</f>
        <v>0.005</v>
      </c>
      <c r="R1541" s="6" t="n">
        <v>0</v>
      </c>
      <c r="S1541" s="11"/>
      <c r="T1541" s="11" t="n">
        <v>0.005</v>
      </c>
      <c r="U1541" s="11" t="n">
        <v>0.88</v>
      </c>
      <c r="V1541" s="11" t="n">
        <v>0.88</v>
      </c>
    </row>
    <row r="1542" customFormat="false" ht="15" hidden="false" customHeight="false" outlineLevel="0" collapsed="false">
      <c r="A1542" s="6" t="s">
        <v>52</v>
      </c>
      <c r="B1542" s="6" t="s">
        <v>43</v>
      </c>
      <c r="C1542" s="6" t="s">
        <v>51</v>
      </c>
      <c r="D1542" s="6" t="s">
        <v>116</v>
      </c>
      <c r="E1542" s="6" t="n">
        <v>16</v>
      </c>
      <c r="F1542" s="6" t="n">
        <v>1</v>
      </c>
      <c r="G1542" s="6" t="s">
        <v>68</v>
      </c>
      <c r="H1542" s="11" t="n">
        <v>0.01</v>
      </c>
      <c r="I1542" s="6" t="n">
        <v>20</v>
      </c>
      <c r="J1542" s="6" t="n">
        <v>0</v>
      </c>
      <c r="K1542" s="6" t="n">
        <v>20</v>
      </c>
      <c r="L1542" s="6" t="n">
        <v>0</v>
      </c>
      <c r="M1542" s="6" t="n">
        <v>20</v>
      </c>
      <c r="N1542" s="11" t="n">
        <f aca="false">J1542/(J1542+K1542)</f>
        <v>0</v>
      </c>
      <c r="O1542" s="11" t="str">
        <f aca="false">IF(J1542+L1542=0,"",J1542/(J1542+L1542))</f>
        <v/>
      </c>
      <c r="P1542" s="11" t="n">
        <f aca="false">2*J1542/(2*J1542+L1542+K1542)</f>
        <v>0</v>
      </c>
      <c r="Q1542" s="11" t="n">
        <f aca="false">L1542/(L1542+M1542)</f>
        <v>0</v>
      </c>
      <c r="R1542" s="6" t="n">
        <v>0</v>
      </c>
      <c r="S1542" s="11"/>
      <c r="T1542" s="11" t="n">
        <v>0</v>
      </c>
      <c r="U1542" s="11" t="n">
        <v>0.85</v>
      </c>
      <c r="V1542" s="11" t="n">
        <v>0.85</v>
      </c>
    </row>
    <row r="1543" customFormat="false" ht="15" hidden="false" customHeight="false" outlineLevel="0" collapsed="false">
      <c r="A1543" s="6" t="s">
        <v>52</v>
      </c>
      <c r="B1543" s="6" t="s">
        <v>43</v>
      </c>
      <c r="C1543" s="6" t="s">
        <v>51</v>
      </c>
      <c r="D1543" s="6" t="s">
        <v>116</v>
      </c>
      <c r="E1543" s="6" t="n">
        <v>16</v>
      </c>
      <c r="F1543" s="6" t="n">
        <v>1</v>
      </c>
      <c r="G1543" s="6" t="s">
        <v>69</v>
      </c>
      <c r="H1543" s="11" t="n">
        <v>0.01</v>
      </c>
      <c r="I1543" s="6" t="n">
        <v>20</v>
      </c>
      <c r="J1543" s="6" t="n">
        <v>0</v>
      </c>
      <c r="K1543" s="6" t="n">
        <v>20</v>
      </c>
      <c r="L1543" s="6" t="n">
        <v>0</v>
      </c>
      <c r="M1543" s="6" t="n">
        <v>20</v>
      </c>
      <c r="N1543" s="11" t="n">
        <f aca="false">J1543/(J1543+K1543)</f>
        <v>0</v>
      </c>
      <c r="O1543" s="11" t="str">
        <f aca="false">IF(J1543+L1543=0,"",J1543/(J1543+L1543))</f>
        <v/>
      </c>
      <c r="P1543" s="11" t="n">
        <f aca="false">2*J1543/(2*J1543+L1543+K1543)</f>
        <v>0</v>
      </c>
      <c r="Q1543" s="11" t="n">
        <f aca="false">L1543/(L1543+M1543)</f>
        <v>0</v>
      </c>
      <c r="R1543" s="6" t="n">
        <v>0</v>
      </c>
      <c r="S1543" s="11"/>
      <c r="T1543" s="11" t="n">
        <v>0</v>
      </c>
      <c r="U1543" s="11" t="n">
        <v>1</v>
      </c>
      <c r="V1543" s="11" t="n">
        <v>1</v>
      </c>
    </row>
    <row r="1544" customFormat="false" ht="15" hidden="false" customHeight="false" outlineLevel="0" collapsed="false">
      <c r="A1544" s="6" t="s">
        <v>52</v>
      </c>
      <c r="B1544" s="6" t="s">
        <v>43</v>
      </c>
      <c r="C1544" s="6" t="s">
        <v>51</v>
      </c>
      <c r="D1544" s="6" t="s">
        <v>116</v>
      </c>
      <c r="E1544" s="6" t="n">
        <v>16</v>
      </c>
      <c r="F1544" s="6" t="n">
        <v>1</v>
      </c>
      <c r="G1544" s="6" t="s">
        <v>70</v>
      </c>
      <c r="H1544" s="11" t="n">
        <v>0.01</v>
      </c>
      <c r="I1544" s="6" t="n">
        <v>20</v>
      </c>
      <c r="J1544" s="6" t="n">
        <v>0</v>
      </c>
      <c r="K1544" s="6" t="n">
        <v>20</v>
      </c>
      <c r="L1544" s="6" t="n">
        <v>0</v>
      </c>
      <c r="M1544" s="6" t="n">
        <v>20</v>
      </c>
      <c r="N1544" s="11" t="n">
        <f aca="false">J1544/(J1544+K1544)</f>
        <v>0</v>
      </c>
      <c r="O1544" s="11" t="str">
        <f aca="false">IF(J1544+L1544=0,"",J1544/(J1544+L1544))</f>
        <v/>
      </c>
      <c r="P1544" s="11" t="n">
        <f aca="false">2*J1544/(2*J1544+L1544+K1544)</f>
        <v>0</v>
      </c>
      <c r="Q1544" s="11" t="n">
        <f aca="false">L1544/(L1544+M1544)</f>
        <v>0</v>
      </c>
      <c r="R1544" s="6" t="n">
        <v>0</v>
      </c>
      <c r="S1544" s="11"/>
      <c r="T1544" s="11" t="n">
        <v>0</v>
      </c>
      <c r="U1544" s="11" t="n">
        <v>0.9</v>
      </c>
      <c r="V1544" s="11" t="n">
        <v>0.9</v>
      </c>
    </row>
    <row r="1545" customFormat="false" ht="15" hidden="false" customHeight="false" outlineLevel="0" collapsed="false">
      <c r="A1545" s="6" t="s">
        <v>52</v>
      </c>
      <c r="B1545" s="6" t="s">
        <v>43</v>
      </c>
      <c r="C1545" s="6" t="s">
        <v>51</v>
      </c>
      <c r="D1545" s="6" t="s">
        <v>116</v>
      </c>
      <c r="E1545" s="6" t="n">
        <v>16</v>
      </c>
      <c r="F1545" s="6" t="n">
        <v>1</v>
      </c>
      <c r="G1545" s="6" t="s">
        <v>71</v>
      </c>
      <c r="H1545" s="11" t="n">
        <v>0.01</v>
      </c>
      <c r="I1545" s="6" t="n">
        <v>20</v>
      </c>
      <c r="J1545" s="6" t="n">
        <v>0</v>
      </c>
      <c r="K1545" s="6" t="n">
        <v>20</v>
      </c>
      <c r="L1545" s="6" t="n">
        <v>0</v>
      </c>
      <c r="M1545" s="6" t="n">
        <v>20</v>
      </c>
      <c r="N1545" s="11" t="n">
        <f aca="false">J1545/(J1545+K1545)</f>
        <v>0</v>
      </c>
      <c r="O1545" s="11" t="str">
        <f aca="false">IF(J1545+L1545=0,"",J1545/(J1545+L1545))</f>
        <v/>
      </c>
      <c r="P1545" s="11" t="n">
        <f aca="false">2*J1545/(2*J1545+L1545+K1545)</f>
        <v>0</v>
      </c>
      <c r="Q1545" s="11" t="n">
        <f aca="false">L1545/(L1545+M1545)</f>
        <v>0</v>
      </c>
      <c r="R1545" s="6" t="n">
        <v>0</v>
      </c>
      <c r="S1545" s="11"/>
      <c r="T1545" s="11" t="n">
        <v>0</v>
      </c>
      <c r="U1545" s="11" t="n">
        <v>0.8</v>
      </c>
      <c r="V1545" s="11" t="n">
        <v>0.8</v>
      </c>
    </row>
    <row r="1546" customFormat="false" ht="15" hidden="false" customHeight="false" outlineLevel="0" collapsed="false">
      <c r="A1546" s="6" t="s">
        <v>52</v>
      </c>
      <c r="B1546" s="6" t="s">
        <v>43</v>
      </c>
      <c r="C1546" s="6" t="s">
        <v>51</v>
      </c>
      <c r="D1546" s="6" t="s">
        <v>116</v>
      </c>
      <c r="E1546" s="6" t="n">
        <v>16</v>
      </c>
      <c r="F1546" s="6" t="n">
        <v>1</v>
      </c>
      <c r="G1546" s="6" t="s">
        <v>72</v>
      </c>
      <c r="H1546" s="11" t="n">
        <v>0.01</v>
      </c>
      <c r="I1546" s="6" t="n">
        <v>20</v>
      </c>
      <c r="J1546" s="6" t="n">
        <v>0</v>
      </c>
      <c r="K1546" s="6" t="n">
        <v>20</v>
      </c>
      <c r="L1546" s="6" t="n">
        <v>0</v>
      </c>
      <c r="M1546" s="6" t="n">
        <v>20</v>
      </c>
      <c r="N1546" s="11" t="n">
        <f aca="false">J1546/(J1546+K1546)</f>
        <v>0</v>
      </c>
      <c r="O1546" s="11" t="str">
        <f aca="false">IF(J1546+L1546=0,"",J1546/(J1546+L1546))</f>
        <v/>
      </c>
      <c r="P1546" s="11" t="n">
        <f aca="false">2*J1546/(2*J1546+L1546+K1546)</f>
        <v>0</v>
      </c>
      <c r="Q1546" s="11" t="n">
        <f aca="false">L1546/(L1546+M1546)</f>
        <v>0</v>
      </c>
      <c r="R1546" s="6" t="n">
        <v>0</v>
      </c>
      <c r="S1546" s="11"/>
      <c r="T1546" s="11" t="n">
        <v>0</v>
      </c>
      <c r="U1546" s="11" t="n">
        <v>0.9</v>
      </c>
      <c r="V1546" s="11" t="n">
        <v>0.9</v>
      </c>
    </row>
    <row r="1547" customFormat="false" ht="15" hidden="false" customHeight="false" outlineLevel="0" collapsed="false">
      <c r="A1547" s="6" t="s">
        <v>52</v>
      </c>
      <c r="B1547" s="6" t="s">
        <v>43</v>
      </c>
      <c r="C1547" s="6" t="s">
        <v>51</v>
      </c>
      <c r="D1547" s="6" t="s">
        <v>116</v>
      </c>
      <c r="E1547" s="6" t="n">
        <v>16</v>
      </c>
      <c r="F1547" s="6" t="n">
        <v>1</v>
      </c>
      <c r="G1547" s="6" t="s">
        <v>73</v>
      </c>
      <c r="H1547" s="11" t="n">
        <v>0.01</v>
      </c>
      <c r="I1547" s="6" t="n">
        <v>20</v>
      </c>
      <c r="J1547" s="6" t="n">
        <v>0</v>
      </c>
      <c r="K1547" s="6" t="n">
        <v>20</v>
      </c>
      <c r="L1547" s="6" t="n">
        <v>0</v>
      </c>
      <c r="M1547" s="6" t="n">
        <v>20</v>
      </c>
      <c r="N1547" s="11" t="n">
        <f aca="false">J1547/(J1547+K1547)</f>
        <v>0</v>
      </c>
      <c r="O1547" s="11" t="str">
        <f aca="false">IF(J1547+L1547=0,"",J1547/(J1547+L1547))</f>
        <v/>
      </c>
      <c r="P1547" s="11" t="n">
        <f aca="false">2*J1547/(2*J1547+L1547+K1547)</f>
        <v>0</v>
      </c>
      <c r="Q1547" s="11" t="n">
        <f aca="false">L1547/(L1547+M1547)</f>
        <v>0</v>
      </c>
      <c r="R1547" s="6" t="n">
        <v>1</v>
      </c>
      <c r="S1547" s="11" t="n">
        <v>0</v>
      </c>
      <c r="T1547" s="11" t="n">
        <v>0</v>
      </c>
      <c r="U1547" s="11" t="n">
        <v>0.65</v>
      </c>
      <c r="V1547" s="11" t="n">
        <v>0.65</v>
      </c>
    </row>
    <row r="1548" customFormat="false" ht="15" hidden="false" customHeight="false" outlineLevel="0" collapsed="false">
      <c r="A1548" s="6" t="s">
        <v>52</v>
      </c>
      <c r="B1548" s="6" t="s">
        <v>43</v>
      </c>
      <c r="C1548" s="6" t="s">
        <v>51</v>
      </c>
      <c r="D1548" s="6" t="s">
        <v>116</v>
      </c>
      <c r="E1548" s="6" t="n">
        <v>16</v>
      </c>
      <c r="F1548" s="6" t="n">
        <v>1</v>
      </c>
      <c r="G1548" s="6" t="s">
        <v>74</v>
      </c>
      <c r="H1548" s="11" t="n">
        <v>0.01</v>
      </c>
      <c r="I1548" s="6" t="n">
        <v>20</v>
      </c>
      <c r="J1548" s="6" t="n">
        <v>0</v>
      </c>
      <c r="K1548" s="6" t="n">
        <v>20</v>
      </c>
      <c r="L1548" s="6" t="n">
        <v>0</v>
      </c>
      <c r="M1548" s="6" t="n">
        <v>20</v>
      </c>
      <c r="N1548" s="11" t="n">
        <f aca="false">J1548/(J1548+K1548)</f>
        <v>0</v>
      </c>
      <c r="O1548" s="11" t="str">
        <f aca="false">IF(J1548+L1548=0,"",J1548/(J1548+L1548))</f>
        <v/>
      </c>
      <c r="P1548" s="11" t="n">
        <f aca="false">2*J1548/(2*J1548+L1548+K1548)</f>
        <v>0</v>
      </c>
      <c r="Q1548" s="11" t="n">
        <f aca="false">L1548/(L1548+M1548)</f>
        <v>0</v>
      </c>
      <c r="R1548" s="6" t="n">
        <v>3</v>
      </c>
      <c r="S1548" s="11" t="n">
        <v>0</v>
      </c>
      <c r="T1548" s="11" t="n">
        <v>0</v>
      </c>
      <c r="U1548" s="11" t="n">
        <v>0.85</v>
      </c>
      <c r="V1548" s="11" t="n">
        <v>0.95</v>
      </c>
    </row>
    <row r="1549" customFormat="false" ht="15" hidden="false" customHeight="false" outlineLevel="0" collapsed="false">
      <c r="A1549" s="6" t="s">
        <v>52</v>
      </c>
      <c r="B1549" s="6" t="s">
        <v>43</v>
      </c>
      <c r="C1549" s="6" t="s">
        <v>51</v>
      </c>
      <c r="D1549" s="6" t="s">
        <v>116</v>
      </c>
      <c r="E1549" s="6" t="n">
        <v>16</v>
      </c>
      <c r="F1549" s="6" t="n">
        <v>1</v>
      </c>
      <c r="G1549" s="6" t="s">
        <v>75</v>
      </c>
      <c r="H1549" s="11" t="n">
        <v>0.01</v>
      </c>
      <c r="I1549" s="6" t="n">
        <v>20</v>
      </c>
      <c r="J1549" s="6" t="n">
        <v>0</v>
      </c>
      <c r="K1549" s="6" t="n">
        <v>20</v>
      </c>
      <c r="L1549" s="6" t="n">
        <v>0</v>
      </c>
      <c r="M1549" s="6" t="n">
        <v>20</v>
      </c>
      <c r="N1549" s="11" t="n">
        <f aca="false">J1549/(J1549+K1549)</f>
        <v>0</v>
      </c>
      <c r="O1549" s="11" t="str">
        <f aca="false">IF(J1549+L1549=0,"",J1549/(J1549+L1549))</f>
        <v/>
      </c>
      <c r="P1549" s="11" t="n">
        <f aca="false">2*J1549/(2*J1549+L1549+K1549)</f>
        <v>0</v>
      </c>
      <c r="Q1549" s="11" t="n">
        <f aca="false">L1549/(L1549+M1549)</f>
        <v>0</v>
      </c>
      <c r="R1549" s="6" t="n">
        <v>0</v>
      </c>
      <c r="S1549" s="11"/>
      <c r="T1549" s="11" t="n">
        <v>0</v>
      </c>
      <c r="U1549" s="11" t="n">
        <v>0.9</v>
      </c>
      <c r="V1549" s="11" t="n">
        <v>0.9</v>
      </c>
    </row>
    <row r="1550" customFormat="false" ht="15" hidden="false" customHeight="false" outlineLevel="0" collapsed="false">
      <c r="A1550" s="6" t="s">
        <v>52</v>
      </c>
      <c r="B1550" s="6" t="s">
        <v>43</v>
      </c>
      <c r="C1550" s="6" t="s">
        <v>51</v>
      </c>
      <c r="D1550" s="6" t="s">
        <v>116</v>
      </c>
      <c r="E1550" s="6" t="n">
        <v>16</v>
      </c>
      <c r="F1550" s="6" t="n">
        <v>1</v>
      </c>
      <c r="G1550" s="6" t="s">
        <v>76</v>
      </c>
      <c r="H1550" s="11" t="n">
        <v>0.01</v>
      </c>
      <c r="I1550" s="6" t="n">
        <v>20</v>
      </c>
      <c r="J1550" s="6" t="n">
        <v>0</v>
      </c>
      <c r="K1550" s="6" t="n">
        <v>20</v>
      </c>
      <c r="L1550" s="6" t="n">
        <v>0</v>
      </c>
      <c r="M1550" s="6" t="n">
        <v>20</v>
      </c>
      <c r="N1550" s="11" t="n">
        <f aca="false">J1550/(J1550+K1550)</f>
        <v>0</v>
      </c>
      <c r="O1550" s="11" t="str">
        <f aca="false">IF(J1550+L1550=0,"",J1550/(J1550+L1550))</f>
        <v/>
      </c>
      <c r="P1550" s="11" t="n">
        <f aca="false">2*J1550/(2*J1550+L1550+K1550)</f>
        <v>0</v>
      </c>
      <c r="Q1550" s="11" t="n">
        <f aca="false">L1550/(L1550+M1550)</f>
        <v>0</v>
      </c>
      <c r="R1550" s="6" t="n">
        <v>0</v>
      </c>
      <c r="S1550" s="11"/>
      <c r="T1550" s="11" t="n">
        <v>0</v>
      </c>
      <c r="U1550" s="11" t="n">
        <v>0.95</v>
      </c>
      <c r="V1550" s="11" t="n">
        <v>0.95</v>
      </c>
    </row>
    <row r="1551" customFormat="false" ht="15" hidden="false" customHeight="false" outlineLevel="0" collapsed="false">
      <c r="A1551" s="6" t="s">
        <v>52</v>
      </c>
      <c r="B1551" s="6" t="s">
        <v>43</v>
      </c>
      <c r="C1551" s="6" t="s">
        <v>51</v>
      </c>
      <c r="D1551" s="6" t="s">
        <v>116</v>
      </c>
      <c r="E1551" s="6" t="n">
        <v>16</v>
      </c>
      <c r="F1551" s="6" t="n">
        <v>1</v>
      </c>
      <c r="G1551" s="6" t="s">
        <v>77</v>
      </c>
      <c r="H1551" s="11" t="n">
        <v>0.01</v>
      </c>
      <c r="I1551" s="6" t="n">
        <v>20</v>
      </c>
      <c r="J1551" s="6" t="n">
        <v>1</v>
      </c>
      <c r="K1551" s="6" t="n">
        <v>19</v>
      </c>
      <c r="L1551" s="6" t="n">
        <v>1</v>
      </c>
      <c r="M1551" s="6" t="n">
        <v>19</v>
      </c>
      <c r="N1551" s="11" t="n">
        <f aca="false">J1551/(J1551+K1551)</f>
        <v>0.05</v>
      </c>
      <c r="O1551" s="11" t="n">
        <f aca="false">IF(J1551+L1551=0,"",J1551/(J1551+L1551))</f>
        <v>0.5</v>
      </c>
      <c r="P1551" s="11" t="n">
        <f aca="false">2*J1551/(2*J1551+L1551+K1551)</f>
        <v>0.0909090909090909</v>
      </c>
      <c r="Q1551" s="11" t="n">
        <f aca="false">L1551/(L1551+M1551)</f>
        <v>0.05</v>
      </c>
      <c r="R1551" s="6" t="n">
        <v>0</v>
      </c>
      <c r="S1551" s="11"/>
      <c r="T1551" s="11" t="n">
        <v>0.05</v>
      </c>
      <c r="U1551" s="11" t="n">
        <v>1</v>
      </c>
      <c r="V1551" s="11" t="n">
        <v>1</v>
      </c>
    </row>
    <row r="1552" customFormat="false" ht="15" hidden="false" customHeight="false" outlineLevel="0" collapsed="false">
      <c r="A1552" s="6" t="s">
        <v>52</v>
      </c>
      <c r="B1552" s="6" t="s">
        <v>43</v>
      </c>
      <c r="C1552" s="6" t="s">
        <v>51</v>
      </c>
      <c r="D1552" s="6" t="s">
        <v>116</v>
      </c>
      <c r="E1552" s="6" t="n">
        <v>16</v>
      </c>
      <c r="F1552" s="6" t="n">
        <v>1</v>
      </c>
      <c r="G1552" s="6" t="s">
        <v>78</v>
      </c>
      <c r="H1552" s="11" t="n">
        <v>0.01</v>
      </c>
      <c r="I1552" s="6" t="n">
        <v>200</v>
      </c>
      <c r="J1552" s="6" t="n">
        <v>1</v>
      </c>
      <c r="K1552" s="6" t="n">
        <v>199</v>
      </c>
      <c r="L1552" s="6" t="n">
        <v>1</v>
      </c>
      <c r="M1552" s="6" t="n">
        <v>199</v>
      </c>
      <c r="N1552" s="11" t="n">
        <f aca="false">J1552/(J1552+K1552)</f>
        <v>0.005</v>
      </c>
      <c r="O1552" s="11" t="n">
        <f aca="false">IF(J1552+L1552=0,"",J1552/(J1552+L1552))</f>
        <v>0.5</v>
      </c>
      <c r="P1552" s="11" t="n">
        <f aca="false">2*J1552/(2*J1552+L1552+K1552)</f>
        <v>0.0099009900990099</v>
      </c>
      <c r="Q1552" s="11" t="n">
        <f aca="false">L1552/(L1552+M1552)</f>
        <v>0.005</v>
      </c>
      <c r="R1552" s="6" t="n">
        <v>4</v>
      </c>
      <c r="S1552" s="11" t="n">
        <v>0</v>
      </c>
      <c r="T1552" s="11" t="n">
        <v>0.00510204081632653</v>
      </c>
      <c r="U1552" s="11" t="n">
        <v>0.88</v>
      </c>
      <c r="V1552" s="11" t="n">
        <v>0.89</v>
      </c>
    </row>
    <row r="1553" customFormat="false" ht="15" hidden="false" customHeight="false" outlineLevel="0" collapsed="false">
      <c r="A1553" s="6" t="s">
        <v>52</v>
      </c>
      <c r="B1553" s="6" t="s">
        <v>43</v>
      </c>
      <c r="C1553" s="6" t="s">
        <v>51</v>
      </c>
      <c r="D1553" s="6" t="s">
        <v>116</v>
      </c>
      <c r="E1553" s="6" t="n">
        <v>16</v>
      </c>
      <c r="F1553" s="6" t="n">
        <v>2</v>
      </c>
      <c r="G1553" s="6" t="s">
        <v>68</v>
      </c>
      <c r="H1553" s="11" t="n">
        <v>0.01</v>
      </c>
      <c r="I1553" s="6" t="n">
        <v>20</v>
      </c>
      <c r="J1553" s="6" t="n">
        <v>0</v>
      </c>
      <c r="K1553" s="6" t="n">
        <v>20</v>
      </c>
      <c r="L1553" s="6" t="n">
        <v>0</v>
      </c>
      <c r="M1553" s="6" t="n">
        <v>20</v>
      </c>
      <c r="N1553" s="11" t="n">
        <f aca="false">J1553/(J1553+K1553)</f>
        <v>0</v>
      </c>
      <c r="O1553" s="11" t="str">
        <f aca="false">IF(J1553+L1553=0,"",J1553/(J1553+L1553))</f>
        <v/>
      </c>
      <c r="P1553" s="11" t="n">
        <f aca="false">2*J1553/(2*J1553+L1553+K1553)</f>
        <v>0</v>
      </c>
      <c r="Q1553" s="11" t="n">
        <f aca="false">L1553/(L1553+M1553)</f>
        <v>0</v>
      </c>
      <c r="R1553" s="6" t="n">
        <v>0</v>
      </c>
      <c r="S1553" s="11"/>
      <c r="T1553" s="11" t="n">
        <v>0</v>
      </c>
      <c r="U1553" s="11" t="n">
        <v>0.85</v>
      </c>
      <c r="V1553" s="11" t="n">
        <v>0.85</v>
      </c>
    </row>
    <row r="1554" customFormat="false" ht="15" hidden="false" customHeight="false" outlineLevel="0" collapsed="false">
      <c r="A1554" s="6" t="s">
        <v>52</v>
      </c>
      <c r="B1554" s="6" t="s">
        <v>43</v>
      </c>
      <c r="C1554" s="6" t="s">
        <v>51</v>
      </c>
      <c r="D1554" s="6" t="s">
        <v>116</v>
      </c>
      <c r="E1554" s="6" t="n">
        <v>16</v>
      </c>
      <c r="F1554" s="6" t="n">
        <v>2</v>
      </c>
      <c r="G1554" s="6" t="s">
        <v>69</v>
      </c>
      <c r="H1554" s="11" t="n">
        <v>0.01</v>
      </c>
      <c r="I1554" s="6" t="n">
        <v>20</v>
      </c>
      <c r="J1554" s="6" t="n">
        <v>0</v>
      </c>
      <c r="K1554" s="6" t="n">
        <v>20</v>
      </c>
      <c r="L1554" s="6" t="n">
        <v>0</v>
      </c>
      <c r="M1554" s="6" t="n">
        <v>20</v>
      </c>
      <c r="N1554" s="11" t="n">
        <f aca="false">J1554/(J1554+K1554)</f>
        <v>0</v>
      </c>
      <c r="O1554" s="11" t="str">
        <f aca="false">IF(J1554+L1554=0,"",J1554/(J1554+L1554))</f>
        <v/>
      </c>
      <c r="P1554" s="11" t="n">
        <f aca="false">2*J1554/(2*J1554+L1554+K1554)</f>
        <v>0</v>
      </c>
      <c r="Q1554" s="11" t="n">
        <f aca="false">L1554/(L1554+M1554)</f>
        <v>0</v>
      </c>
      <c r="R1554" s="6" t="n">
        <v>0</v>
      </c>
      <c r="S1554" s="11"/>
      <c r="T1554" s="11" t="n">
        <v>0</v>
      </c>
      <c r="U1554" s="11" t="n">
        <v>1</v>
      </c>
      <c r="V1554" s="11" t="n">
        <v>1</v>
      </c>
    </row>
    <row r="1555" customFormat="false" ht="15" hidden="false" customHeight="false" outlineLevel="0" collapsed="false">
      <c r="A1555" s="6" t="s">
        <v>52</v>
      </c>
      <c r="B1555" s="6" t="s">
        <v>43</v>
      </c>
      <c r="C1555" s="6" t="s">
        <v>51</v>
      </c>
      <c r="D1555" s="6" t="s">
        <v>116</v>
      </c>
      <c r="E1555" s="6" t="n">
        <v>16</v>
      </c>
      <c r="F1555" s="6" t="n">
        <v>2</v>
      </c>
      <c r="G1555" s="6" t="s">
        <v>70</v>
      </c>
      <c r="H1555" s="11" t="n">
        <v>0.01</v>
      </c>
      <c r="I1555" s="6" t="n">
        <v>20</v>
      </c>
      <c r="J1555" s="6" t="n">
        <v>0</v>
      </c>
      <c r="K1555" s="6" t="n">
        <v>20</v>
      </c>
      <c r="L1555" s="6" t="n">
        <v>0</v>
      </c>
      <c r="M1555" s="6" t="n">
        <v>20</v>
      </c>
      <c r="N1555" s="11" t="n">
        <f aca="false">J1555/(J1555+K1555)</f>
        <v>0</v>
      </c>
      <c r="O1555" s="11" t="str">
        <f aca="false">IF(J1555+L1555=0,"",J1555/(J1555+L1555))</f>
        <v/>
      </c>
      <c r="P1555" s="11" t="n">
        <f aca="false">2*J1555/(2*J1555+L1555+K1555)</f>
        <v>0</v>
      </c>
      <c r="Q1555" s="11" t="n">
        <f aca="false">L1555/(L1555+M1555)</f>
        <v>0</v>
      </c>
      <c r="R1555" s="6" t="n">
        <v>0</v>
      </c>
      <c r="S1555" s="11"/>
      <c r="T1555" s="11" t="n">
        <v>0</v>
      </c>
      <c r="U1555" s="11" t="n">
        <v>0.9</v>
      </c>
      <c r="V1555" s="11" t="n">
        <v>0.9</v>
      </c>
    </row>
    <row r="1556" customFormat="false" ht="15" hidden="false" customHeight="false" outlineLevel="0" collapsed="false">
      <c r="A1556" s="6" t="s">
        <v>52</v>
      </c>
      <c r="B1556" s="6" t="s">
        <v>43</v>
      </c>
      <c r="C1556" s="6" t="s">
        <v>51</v>
      </c>
      <c r="D1556" s="6" t="s">
        <v>116</v>
      </c>
      <c r="E1556" s="6" t="n">
        <v>16</v>
      </c>
      <c r="F1556" s="6" t="n">
        <v>2</v>
      </c>
      <c r="G1556" s="6" t="s">
        <v>71</v>
      </c>
      <c r="H1556" s="11" t="n">
        <v>0.01</v>
      </c>
      <c r="I1556" s="6" t="n">
        <v>20</v>
      </c>
      <c r="J1556" s="6" t="n">
        <v>0</v>
      </c>
      <c r="K1556" s="6" t="n">
        <v>20</v>
      </c>
      <c r="L1556" s="6" t="n">
        <v>0</v>
      </c>
      <c r="M1556" s="6" t="n">
        <v>20</v>
      </c>
      <c r="N1556" s="11" t="n">
        <f aca="false">J1556/(J1556+K1556)</f>
        <v>0</v>
      </c>
      <c r="O1556" s="11" t="str">
        <f aca="false">IF(J1556+L1556=0,"",J1556/(J1556+L1556))</f>
        <v/>
      </c>
      <c r="P1556" s="11" t="n">
        <f aca="false">2*J1556/(2*J1556+L1556+K1556)</f>
        <v>0</v>
      </c>
      <c r="Q1556" s="11" t="n">
        <f aca="false">L1556/(L1556+M1556)</f>
        <v>0</v>
      </c>
      <c r="R1556" s="6" t="n">
        <v>0</v>
      </c>
      <c r="S1556" s="11"/>
      <c r="T1556" s="11" t="n">
        <v>0</v>
      </c>
      <c r="U1556" s="11" t="n">
        <v>0.8</v>
      </c>
      <c r="V1556" s="11" t="n">
        <v>0.8</v>
      </c>
    </row>
    <row r="1557" customFormat="false" ht="15" hidden="false" customHeight="false" outlineLevel="0" collapsed="false">
      <c r="A1557" s="6" t="s">
        <v>52</v>
      </c>
      <c r="B1557" s="6" t="s">
        <v>43</v>
      </c>
      <c r="C1557" s="6" t="s">
        <v>51</v>
      </c>
      <c r="D1557" s="6" t="s">
        <v>116</v>
      </c>
      <c r="E1557" s="6" t="n">
        <v>16</v>
      </c>
      <c r="F1557" s="6" t="n">
        <v>2</v>
      </c>
      <c r="G1557" s="6" t="s">
        <v>72</v>
      </c>
      <c r="H1557" s="11" t="n">
        <v>0.01</v>
      </c>
      <c r="I1557" s="6" t="n">
        <v>20</v>
      </c>
      <c r="J1557" s="6" t="n">
        <v>0</v>
      </c>
      <c r="K1557" s="6" t="n">
        <v>20</v>
      </c>
      <c r="L1557" s="6" t="n">
        <v>0</v>
      </c>
      <c r="M1557" s="6" t="n">
        <v>20</v>
      </c>
      <c r="N1557" s="11" t="n">
        <f aca="false">J1557/(J1557+K1557)</f>
        <v>0</v>
      </c>
      <c r="O1557" s="11" t="str">
        <f aca="false">IF(J1557+L1557=0,"",J1557/(J1557+L1557))</f>
        <v/>
      </c>
      <c r="P1557" s="11" t="n">
        <f aca="false">2*J1557/(2*J1557+L1557+K1557)</f>
        <v>0</v>
      </c>
      <c r="Q1557" s="11" t="n">
        <f aca="false">L1557/(L1557+M1557)</f>
        <v>0</v>
      </c>
      <c r="R1557" s="6" t="n">
        <v>0</v>
      </c>
      <c r="S1557" s="11"/>
      <c r="T1557" s="11" t="n">
        <v>0</v>
      </c>
      <c r="U1557" s="11" t="n">
        <v>0.9</v>
      </c>
      <c r="V1557" s="11" t="n">
        <v>0.9</v>
      </c>
    </row>
    <row r="1558" customFormat="false" ht="15" hidden="false" customHeight="false" outlineLevel="0" collapsed="false">
      <c r="A1558" s="6" t="s">
        <v>52</v>
      </c>
      <c r="B1558" s="6" t="s">
        <v>43</v>
      </c>
      <c r="C1558" s="6" t="s">
        <v>51</v>
      </c>
      <c r="D1558" s="6" t="s">
        <v>116</v>
      </c>
      <c r="E1558" s="6" t="n">
        <v>16</v>
      </c>
      <c r="F1558" s="6" t="n">
        <v>2</v>
      </c>
      <c r="G1558" s="6" t="s">
        <v>73</v>
      </c>
      <c r="H1558" s="11" t="n">
        <v>0.01</v>
      </c>
      <c r="I1558" s="6" t="n">
        <v>20</v>
      </c>
      <c r="J1558" s="6" t="n">
        <v>0</v>
      </c>
      <c r="K1558" s="6" t="n">
        <v>20</v>
      </c>
      <c r="L1558" s="6" t="n">
        <v>0</v>
      </c>
      <c r="M1558" s="6" t="n">
        <v>20</v>
      </c>
      <c r="N1558" s="11" t="n">
        <f aca="false">J1558/(J1558+K1558)</f>
        <v>0</v>
      </c>
      <c r="O1558" s="11" t="str">
        <f aca="false">IF(J1558+L1558=0,"",J1558/(J1558+L1558))</f>
        <v/>
      </c>
      <c r="P1558" s="11" t="n">
        <f aca="false">2*J1558/(2*J1558+L1558+K1558)</f>
        <v>0</v>
      </c>
      <c r="Q1558" s="11" t="n">
        <f aca="false">L1558/(L1558+M1558)</f>
        <v>0</v>
      </c>
      <c r="R1558" s="6" t="n">
        <v>1</v>
      </c>
      <c r="S1558" s="11" t="n">
        <v>0</v>
      </c>
      <c r="T1558" s="11" t="n">
        <v>0</v>
      </c>
      <c r="U1558" s="11" t="n">
        <v>0.65</v>
      </c>
      <c r="V1558" s="11" t="n">
        <v>0.65</v>
      </c>
    </row>
    <row r="1559" customFormat="false" ht="15" hidden="false" customHeight="false" outlineLevel="0" collapsed="false">
      <c r="A1559" s="6" t="s">
        <v>52</v>
      </c>
      <c r="B1559" s="6" t="s">
        <v>43</v>
      </c>
      <c r="C1559" s="6" t="s">
        <v>51</v>
      </c>
      <c r="D1559" s="6" t="s">
        <v>116</v>
      </c>
      <c r="E1559" s="6" t="n">
        <v>16</v>
      </c>
      <c r="F1559" s="6" t="n">
        <v>2</v>
      </c>
      <c r="G1559" s="6" t="s">
        <v>74</v>
      </c>
      <c r="H1559" s="11" t="n">
        <v>0.01</v>
      </c>
      <c r="I1559" s="6" t="n">
        <v>20</v>
      </c>
      <c r="J1559" s="6" t="n">
        <v>0</v>
      </c>
      <c r="K1559" s="6" t="n">
        <v>20</v>
      </c>
      <c r="L1559" s="6" t="n">
        <v>0</v>
      </c>
      <c r="M1559" s="6" t="n">
        <v>20</v>
      </c>
      <c r="N1559" s="11" t="n">
        <f aca="false">J1559/(J1559+K1559)</f>
        <v>0</v>
      </c>
      <c r="O1559" s="11" t="str">
        <f aca="false">IF(J1559+L1559=0,"",J1559/(J1559+L1559))</f>
        <v/>
      </c>
      <c r="P1559" s="11" t="n">
        <f aca="false">2*J1559/(2*J1559+L1559+K1559)</f>
        <v>0</v>
      </c>
      <c r="Q1559" s="11" t="n">
        <f aca="false">L1559/(L1559+M1559)</f>
        <v>0</v>
      </c>
      <c r="R1559" s="6" t="n">
        <v>0</v>
      </c>
      <c r="S1559" s="11"/>
      <c r="T1559" s="11" t="n">
        <v>0</v>
      </c>
      <c r="U1559" s="11" t="n">
        <v>0.85</v>
      </c>
      <c r="V1559" s="11" t="n">
        <v>0.85</v>
      </c>
    </row>
    <row r="1560" customFormat="false" ht="15" hidden="false" customHeight="false" outlineLevel="0" collapsed="false">
      <c r="A1560" s="6" t="s">
        <v>52</v>
      </c>
      <c r="B1560" s="6" t="s">
        <v>43</v>
      </c>
      <c r="C1560" s="6" t="s">
        <v>51</v>
      </c>
      <c r="D1560" s="6" t="s">
        <v>116</v>
      </c>
      <c r="E1560" s="6" t="n">
        <v>16</v>
      </c>
      <c r="F1560" s="6" t="n">
        <v>2</v>
      </c>
      <c r="G1560" s="6" t="s">
        <v>75</v>
      </c>
      <c r="H1560" s="11" t="n">
        <v>0.01</v>
      </c>
      <c r="I1560" s="6" t="n">
        <v>20</v>
      </c>
      <c r="J1560" s="6" t="n">
        <v>0</v>
      </c>
      <c r="K1560" s="6" t="n">
        <v>20</v>
      </c>
      <c r="L1560" s="6" t="n">
        <v>0</v>
      </c>
      <c r="M1560" s="6" t="n">
        <v>20</v>
      </c>
      <c r="N1560" s="11" t="n">
        <f aca="false">J1560/(J1560+K1560)</f>
        <v>0</v>
      </c>
      <c r="O1560" s="11" t="str">
        <f aca="false">IF(J1560+L1560=0,"",J1560/(J1560+L1560))</f>
        <v/>
      </c>
      <c r="P1560" s="11" t="n">
        <f aca="false">2*J1560/(2*J1560+L1560+K1560)</f>
        <v>0</v>
      </c>
      <c r="Q1560" s="11" t="n">
        <f aca="false">L1560/(L1560+M1560)</f>
        <v>0</v>
      </c>
      <c r="R1560" s="6" t="n">
        <v>0</v>
      </c>
      <c r="S1560" s="11"/>
      <c r="T1560" s="11" t="n">
        <v>0</v>
      </c>
      <c r="U1560" s="11" t="n">
        <v>0.9</v>
      </c>
      <c r="V1560" s="11" t="n">
        <v>0.9</v>
      </c>
    </row>
    <row r="1561" customFormat="false" ht="15" hidden="false" customHeight="false" outlineLevel="0" collapsed="false">
      <c r="A1561" s="6" t="s">
        <v>52</v>
      </c>
      <c r="B1561" s="6" t="s">
        <v>43</v>
      </c>
      <c r="C1561" s="6" t="s">
        <v>51</v>
      </c>
      <c r="D1561" s="6" t="s">
        <v>116</v>
      </c>
      <c r="E1561" s="6" t="n">
        <v>16</v>
      </c>
      <c r="F1561" s="6" t="n">
        <v>2</v>
      </c>
      <c r="G1561" s="6" t="s">
        <v>76</v>
      </c>
      <c r="H1561" s="11" t="n">
        <v>0.01</v>
      </c>
      <c r="I1561" s="6" t="n">
        <v>20</v>
      </c>
      <c r="J1561" s="6" t="n">
        <v>0</v>
      </c>
      <c r="K1561" s="6" t="n">
        <v>20</v>
      </c>
      <c r="L1561" s="6" t="n">
        <v>0</v>
      </c>
      <c r="M1561" s="6" t="n">
        <v>20</v>
      </c>
      <c r="N1561" s="11" t="n">
        <f aca="false">J1561/(J1561+K1561)</f>
        <v>0</v>
      </c>
      <c r="O1561" s="11" t="str">
        <f aca="false">IF(J1561+L1561=0,"",J1561/(J1561+L1561))</f>
        <v/>
      </c>
      <c r="P1561" s="11" t="n">
        <f aca="false">2*J1561/(2*J1561+L1561+K1561)</f>
        <v>0</v>
      </c>
      <c r="Q1561" s="11" t="n">
        <f aca="false">L1561/(L1561+M1561)</f>
        <v>0</v>
      </c>
      <c r="R1561" s="6" t="n">
        <v>0</v>
      </c>
      <c r="S1561" s="11"/>
      <c r="T1561" s="11" t="n">
        <v>0</v>
      </c>
      <c r="U1561" s="11" t="n">
        <v>0.95</v>
      </c>
      <c r="V1561" s="11" t="n">
        <v>0.95</v>
      </c>
    </row>
    <row r="1562" customFormat="false" ht="15" hidden="false" customHeight="false" outlineLevel="0" collapsed="false">
      <c r="A1562" s="6" t="s">
        <v>52</v>
      </c>
      <c r="B1562" s="6" t="s">
        <v>43</v>
      </c>
      <c r="C1562" s="6" t="s">
        <v>51</v>
      </c>
      <c r="D1562" s="6" t="s">
        <v>116</v>
      </c>
      <c r="E1562" s="6" t="n">
        <v>16</v>
      </c>
      <c r="F1562" s="6" t="n">
        <v>2</v>
      </c>
      <c r="G1562" s="6" t="s">
        <v>77</v>
      </c>
      <c r="H1562" s="11" t="n">
        <v>0.01</v>
      </c>
      <c r="I1562" s="6" t="n">
        <v>20</v>
      </c>
      <c r="J1562" s="6" t="n">
        <v>1</v>
      </c>
      <c r="K1562" s="6" t="n">
        <v>19</v>
      </c>
      <c r="L1562" s="6" t="n">
        <v>1</v>
      </c>
      <c r="M1562" s="6" t="n">
        <v>19</v>
      </c>
      <c r="N1562" s="11" t="n">
        <f aca="false">J1562/(J1562+K1562)</f>
        <v>0.05</v>
      </c>
      <c r="O1562" s="11" t="n">
        <f aca="false">IF(J1562+L1562=0,"",J1562/(J1562+L1562))</f>
        <v>0.5</v>
      </c>
      <c r="P1562" s="11" t="n">
        <f aca="false">2*J1562/(2*J1562+L1562+K1562)</f>
        <v>0.0909090909090909</v>
      </c>
      <c r="Q1562" s="11" t="n">
        <f aca="false">L1562/(L1562+M1562)</f>
        <v>0.05</v>
      </c>
      <c r="R1562" s="6" t="n">
        <v>0</v>
      </c>
      <c r="S1562" s="11"/>
      <c r="T1562" s="11" t="n">
        <v>0.05</v>
      </c>
      <c r="U1562" s="11" t="n">
        <v>1</v>
      </c>
      <c r="V1562" s="11" t="n">
        <v>1</v>
      </c>
    </row>
    <row r="1563" customFormat="false" ht="15" hidden="false" customHeight="false" outlineLevel="0" collapsed="false">
      <c r="A1563" s="6" t="s">
        <v>52</v>
      </c>
      <c r="B1563" s="6" t="s">
        <v>43</v>
      </c>
      <c r="C1563" s="6" t="s">
        <v>51</v>
      </c>
      <c r="D1563" s="6" t="s">
        <v>116</v>
      </c>
      <c r="E1563" s="6" t="n">
        <v>16</v>
      </c>
      <c r="F1563" s="6" t="n">
        <v>2</v>
      </c>
      <c r="G1563" s="6" t="s">
        <v>78</v>
      </c>
      <c r="H1563" s="11" t="n">
        <v>0.01</v>
      </c>
      <c r="I1563" s="6" t="n">
        <v>200</v>
      </c>
      <c r="J1563" s="6" t="n">
        <v>1</v>
      </c>
      <c r="K1563" s="6" t="n">
        <v>199</v>
      </c>
      <c r="L1563" s="6" t="n">
        <v>1</v>
      </c>
      <c r="M1563" s="6" t="n">
        <v>199</v>
      </c>
      <c r="N1563" s="11" t="n">
        <f aca="false">J1563/(J1563+K1563)</f>
        <v>0.005</v>
      </c>
      <c r="O1563" s="11" t="n">
        <f aca="false">IF(J1563+L1563=0,"",J1563/(J1563+L1563))</f>
        <v>0.5</v>
      </c>
      <c r="P1563" s="11" t="n">
        <f aca="false">2*J1563/(2*J1563+L1563+K1563)</f>
        <v>0.0099009900990099</v>
      </c>
      <c r="Q1563" s="11" t="n">
        <f aca="false">L1563/(L1563+M1563)</f>
        <v>0.005</v>
      </c>
      <c r="R1563" s="6" t="n">
        <v>1</v>
      </c>
      <c r="S1563" s="11" t="n">
        <v>0</v>
      </c>
      <c r="T1563" s="11" t="n">
        <v>0.0050251256281407</v>
      </c>
      <c r="U1563" s="11" t="n">
        <v>0.88</v>
      </c>
      <c r="V1563" s="11" t="n">
        <v>0.88</v>
      </c>
    </row>
    <row r="1564" customFormat="false" ht="15" hidden="false" customHeight="false" outlineLevel="0" collapsed="false">
      <c r="A1564" s="6" t="s">
        <v>52</v>
      </c>
      <c r="B1564" s="6" t="s">
        <v>43</v>
      </c>
      <c r="C1564" s="6" t="s">
        <v>51</v>
      </c>
      <c r="D1564" s="6" t="s">
        <v>116</v>
      </c>
      <c r="E1564" s="6" t="n">
        <v>16</v>
      </c>
      <c r="F1564" s="6" t="n">
        <v>3</v>
      </c>
      <c r="G1564" s="6" t="s">
        <v>68</v>
      </c>
      <c r="H1564" s="11" t="n">
        <v>0.01</v>
      </c>
      <c r="I1564" s="6" t="n">
        <v>20</v>
      </c>
      <c r="J1564" s="6" t="n">
        <v>0</v>
      </c>
      <c r="K1564" s="6" t="n">
        <v>20</v>
      </c>
      <c r="L1564" s="6" t="n">
        <v>0</v>
      </c>
      <c r="M1564" s="6" t="n">
        <v>20</v>
      </c>
      <c r="N1564" s="11" t="n">
        <f aca="false">J1564/(J1564+K1564)</f>
        <v>0</v>
      </c>
      <c r="O1564" s="11" t="str">
        <f aca="false">IF(J1564+L1564=0,"",J1564/(J1564+L1564))</f>
        <v/>
      </c>
      <c r="P1564" s="11" t="n">
        <f aca="false">2*J1564/(2*J1564+L1564+K1564)</f>
        <v>0</v>
      </c>
      <c r="Q1564" s="11" t="n">
        <f aca="false">L1564/(L1564+M1564)</f>
        <v>0</v>
      </c>
      <c r="R1564" s="6" t="n">
        <v>0</v>
      </c>
      <c r="S1564" s="11"/>
      <c r="T1564" s="11" t="n">
        <v>0</v>
      </c>
      <c r="U1564" s="11" t="n">
        <v>0.85</v>
      </c>
      <c r="V1564" s="11" t="n">
        <v>0.85</v>
      </c>
    </row>
    <row r="1565" customFormat="false" ht="15" hidden="false" customHeight="false" outlineLevel="0" collapsed="false">
      <c r="A1565" s="6" t="s">
        <v>52</v>
      </c>
      <c r="B1565" s="6" t="s">
        <v>43</v>
      </c>
      <c r="C1565" s="6" t="s">
        <v>51</v>
      </c>
      <c r="D1565" s="6" t="s">
        <v>116</v>
      </c>
      <c r="E1565" s="6" t="n">
        <v>16</v>
      </c>
      <c r="F1565" s="6" t="n">
        <v>3</v>
      </c>
      <c r="G1565" s="6" t="s">
        <v>69</v>
      </c>
      <c r="H1565" s="11" t="n">
        <v>0.01</v>
      </c>
      <c r="I1565" s="6" t="n">
        <v>20</v>
      </c>
      <c r="J1565" s="6" t="n">
        <v>0</v>
      </c>
      <c r="K1565" s="6" t="n">
        <v>20</v>
      </c>
      <c r="L1565" s="6" t="n">
        <v>0</v>
      </c>
      <c r="M1565" s="6" t="n">
        <v>20</v>
      </c>
      <c r="N1565" s="11" t="n">
        <f aca="false">J1565/(J1565+K1565)</f>
        <v>0</v>
      </c>
      <c r="O1565" s="11" t="str">
        <f aca="false">IF(J1565+L1565=0,"",J1565/(J1565+L1565))</f>
        <v/>
      </c>
      <c r="P1565" s="11" t="n">
        <f aca="false">2*J1565/(2*J1565+L1565+K1565)</f>
        <v>0</v>
      </c>
      <c r="Q1565" s="11" t="n">
        <f aca="false">L1565/(L1565+M1565)</f>
        <v>0</v>
      </c>
      <c r="R1565" s="6" t="n">
        <v>0</v>
      </c>
      <c r="S1565" s="11"/>
      <c r="T1565" s="11" t="n">
        <v>0</v>
      </c>
      <c r="U1565" s="11" t="n">
        <v>1</v>
      </c>
      <c r="V1565" s="11" t="n">
        <v>1</v>
      </c>
    </row>
    <row r="1566" customFormat="false" ht="15" hidden="false" customHeight="false" outlineLevel="0" collapsed="false">
      <c r="A1566" s="6" t="s">
        <v>52</v>
      </c>
      <c r="B1566" s="6" t="s">
        <v>43</v>
      </c>
      <c r="C1566" s="6" t="s">
        <v>51</v>
      </c>
      <c r="D1566" s="6" t="s">
        <v>116</v>
      </c>
      <c r="E1566" s="6" t="n">
        <v>16</v>
      </c>
      <c r="F1566" s="6" t="n">
        <v>3</v>
      </c>
      <c r="G1566" s="6" t="s">
        <v>70</v>
      </c>
      <c r="H1566" s="11" t="n">
        <v>0.01</v>
      </c>
      <c r="I1566" s="6" t="n">
        <v>20</v>
      </c>
      <c r="J1566" s="6" t="n">
        <v>0</v>
      </c>
      <c r="K1566" s="6" t="n">
        <v>20</v>
      </c>
      <c r="L1566" s="6" t="n">
        <v>0</v>
      </c>
      <c r="M1566" s="6" t="n">
        <v>20</v>
      </c>
      <c r="N1566" s="11" t="n">
        <f aca="false">J1566/(J1566+K1566)</f>
        <v>0</v>
      </c>
      <c r="O1566" s="11" t="str">
        <f aca="false">IF(J1566+L1566=0,"",J1566/(J1566+L1566))</f>
        <v/>
      </c>
      <c r="P1566" s="11" t="n">
        <f aca="false">2*J1566/(2*J1566+L1566+K1566)</f>
        <v>0</v>
      </c>
      <c r="Q1566" s="11" t="n">
        <f aca="false">L1566/(L1566+M1566)</f>
        <v>0</v>
      </c>
      <c r="R1566" s="6" t="n">
        <v>0</v>
      </c>
      <c r="S1566" s="11"/>
      <c r="T1566" s="11" t="n">
        <v>0</v>
      </c>
      <c r="U1566" s="11" t="n">
        <v>0.9</v>
      </c>
      <c r="V1566" s="11" t="n">
        <v>0.9</v>
      </c>
    </row>
    <row r="1567" customFormat="false" ht="15" hidden="false" customHeight="false" outlineLevel="0" collapsed="false">
      <c r="A1567" s="6" t="s">
        <v>52</v>
      </c>
      <c r="B1567" s="6" t="s">
        <v>43</v>
      </c>
      <c r="C1567" s="6" t="s">
        <v>51</v>
      </c>
      <c r="D1567" s="6" t="s">
        <v>116</v>
      </c>
      <c r="E1567" s="6" t="n">
        <v>16</v>
      </c>
      <c r="F1567" s="6" t="n">
        <v>3</v>
      </c>
      <c r="G1567" s="6" t="s">
        <v>71</v>
      </c>
      <c r="H1567" s="11" t="n">
        <v>0.01</v>
      </c>
      <c r="I1567" s="6" t="n">
        <v>20</v>
      </c>
      <c r="J1567" s="6" t="n">
        <v>0</v>
      </c>
      <c r="K1567" s="6" t="n">
        <v>20</v>
      </c>
      <c r="L1567" s="6" t="n">
        <v>0</v>
      </c>
      <c r="M1567" s="6" t="n">
        <v>20</v>
      </c>
      <c r="N1567" s="11" t="n">
        <f aca="false">J1567/(J1567+K1567)</f>
        <v>0</v>
      </c>
      <c r="O1567" s="11" t="str">
        <f aca="false">IF(J1567+L1567=0,"",J1567/(J1567+L1567))</f>
        <v/>
      </c>
      <c r="P1567" s="11" t="n">
        <f aca="false">2*J1567/(2*J1567+L1567+K1567)</f>
        <v>0</v>
      </c>
      <c r="Q1567" s="11" t="n">
        <f aca="false">L1567/(L1567+M1567)</f>
        <v>0</v>
      </c>
      <c r="R1567" s="6" t="n">
        <v>0</v>
      </c>
      <c r="S1567" s="11"/>
      <c r="T1567" s="11" t="n">
        <v>0</v>
      </c>
      <c r="U1567" s="11" t="n">
        <v>0.8</v>
      </c>
      <c r="V1567" s="11" t="n">
        <v>0.8</v>
      </c>
    </row>
    <row r="1568" customFormat="false" ht="15" hidden="false" customHeight="false" outlineLevel="0" collapsed="false">
      <c r="A1568" s="6" t="s">
        <v>52</v>
      </c>
      <c r="B1568" s="6" t="s">
        <v>43</v>
      </c>
      <c r="C1568" s="6" t="s">
        <v>51</v>
      </c>
      <c r="D1568" s="6" t="s">
        <v>116</v>
      </c>
      <c r="E1568" s="6" t="n">
        <v>16</v>
      </c>
      <c r="F1568" s="6" t="n">
        <v>3</v>
      </c>
      <c r="G1568" s="6" t="s">
        <v>72</v>
      </c>
      <c r="H1568" s="11" t="n">
        <v>0.01</v>
      </c>
      <c r="I1568" s="6" t="n">
        <v>20</v>
      </c>
      <c r="J1568" s="6" t="n">
        <v>0</v>
      </c>
      <c r="K1568" s="6" t="n">
        <v>20</v>
      </c>
      <c r="L1568" s="6" t="n">
        <v>0</v>
      </c>
      <c r="M1568" s="6" t="n">
        <v>20</v>
      </c>
      <c r="N1568" s="11" t="n">
        <f aca="false">J1568/(J1568+K1568)</f>
        <v>0</v>
      </c>
      <c r="O1568" s="11" t="str">
        <f aca="false">IF(J1568+L1568=0,"",J1568/(J1568+L1568))</f>
        <v/>
      </c>
      <c r="P1568" s="11" t="n">
        <f aca="false">2*J1568/(2*J1568+L1568+K1568)</f>
        <v>0</v>
      </c>
      <c r="Q1568" s="11" t="n">
        <f aca="false">L1568/(L1568+M1568)</f>
        <v>0</v>
      </c>
      <c r="R1568" s="6" t="n">
        <v>0</v>
      </c>
      <c r="S1568" s="11"/>
      <c r="T1568" s="11" t="n">
        <v>0</v>
      </c>
      <c r="U1568" s="11" t="n">
        <v>0.9</v>
      </c>
      <c r="V1568" s="11" t="n">
        <v>0.9</v>
      </c>
    </row>
    <row r="1569" customFormat="false" ht="15" hidden="false" customHeight="false" outlineLevel="0" collapsed="false">
      <c r="A1569" s="6" t="s">
        <v>52</v>
      </c>
      <c r="B1569" s="6" t="s">
        <v>43</v>
      </c>
      <c r="C1569" s="6" t="s">
        <v>51</v>
      </c>
      <c r="D1569" s="6" t="s">
        <v>116</v>
      </c>
      <c r="E1569" s="6" t="n">
        <v>16</v>
      </c>
      <c r="F1569" s="6" t="n">
        <v>3</v>
      </c>
      <c r="G1569" s="6" t="s">
        <v>73</v>
      </c>
      <c r="H1569" s="11" t="n">
        <v>0.01</v>
      </c>
      <c r="I1569" s="6" t="n">
        <v>20</v>
      </c>
      <c r="J1569" s="6" t="n">
        <v>0</v>
      </c>
      <c r="K1569" s="6" t="n">
        <v>20</v>
      </c>
      <c r="L1569" s="6" t="n">
        <v>0</v>
      </c>
      <c r="M1569" s="6" t="n">
        <v>20</v>
      </c>
      <c r="N1569" s="11" t="n">
        <f aca="false">J1569/(J1569+K1569)</f>
        <v>0</v>
      </c>
      <c r="O1569" s="11" t="str">
        <f aca="false">IF(J1569+L1569=0,"",J1569/(J1569+L1569))</f>
        <v/>
      </c>
      <c r="P1569" s="11" t="n">
        <f aca="false">2*J1569/(2*J1569+L1569+K1569)</f>
        <v>0</v>
      </c>
      <c r="Q1569" s="11" t="n">
        <f aca="false">L1569/(L1569+M1569)</f>
        <v>0</v>
      </c>
      <c r="R1569" s="6" t="n">
        <v>2</v>
      </c>
      <c r="S1569" s="11" t="n">
        <v>0</v>
      </c>
      <c r="T1569" s="11" t="n">
        <v>0</v>
      </c>
      <c r="U1569" s="11" t="n">
        <v>0.65</v>
      </c>
      <c r="V1569" s="11" t="n">
        <v>0.65</v>
      </c>
    </row>
    <row r="1570" customFormat="false" ht="15" hidden="false" customHeight="false" outlineLevel="0" collapsed="false">
      <c r="A1570" s="6" t="s">
        <v>52</v>
      </c>
      <c r="B1570" s="6" t="s">
        <v>43</v>
      </c>
      <c r="C1570" s="6" t="s">
        <v>51</v>
      </c>
      <c r="D1570" s="6" t="s">
        <v>116</v>
      </c>
      <c r="E1570" s="6" t="n">
        <v>16</v>
      </c>
      <c r="F1570" s="6" t="n">
        <v>3</v>
      </c>
      <c r="G1570" s="6" t="s">
        <v>74</v>
      </c>
      <c r="H1570" s="11" t="n">
        <v>0.01</v>
      </c>
      <c r="I1570" s="6" t="n">
        <v>20</v>
      </c>
      <c r="J1570" s="6" t="n">
        <v>0</v>
      </c>
      <c r="K1570" s="6" t="n">
        <v>20</v>
      </c>
      <c r="L1570" s="6" t="n">
        <v>0</v>
      </c>
      <c r="M1570" s="6" t="n">
        <v>20</v>
      </c>
      <c r="N1570" s="11" t="n">
        <f aca="false">J1570/(J1570+K1570)</f>
        <v>0</v>
      </c>
      <c r="O1570" s="11" t="str">
        <f aca="false">IF(J1570+L1570=0,"",J1570/(J1570+L1570))</f>
        <v/>
      </c>
      <c r="P1570" s="11" t="n">
        <f aca="false">2*J1570/(2*J1570+L1570+K1570)</f>
        <v>0</v>
      </c>
      <c r="Q1570" s="11" t="n">
        <f aca="false">L1570/(L1570+M1570)</f>
        <v>0</v>
      </c>
      <c r="R1570" s="6" t="n">
        <v>2</v>
      </c>
      <c r="S1570" s="11" t="n">
        <v>0</v>
      </c>
      <c r="T1570" s="11" t="n">
        <v>0</v>
      </c>
      <c r="U1570" s="11" t="n">
        <v>0.85</v>
      </c>
      <c r="V1570" s="11" t="n">
        <v>0.8</v>
      </c>
    </row>
    <row r="1571" customFormat="false" ht="15" hidden="false" customHeight="false" outlineLevel="0" collapsed="false">
      <c r="A1571" s="6" t="s">
        <v>52</v>
      </c>
      <c r="B1571" s="6" t="s">
        <v>43</v>
      </c>
      <c r="C1571" s="6" t="s">
        <v>51</v>
      </c>
      <c r="D1571" s="6" t="s">
        <v>116</v>
      </c>
      <c r="E1571" s="6" t="n">
        <v>16</v>
      </c>
      <c r="F1571" s="6" t="n">
        <v>3</v>
      </c>
      <c r="G1571" s="6" t="s">
        <v>75</v>
      </c>
      <c r="H1571" s="11" t="n">
        <v>0.01</v>
      </c>
      <c r="I1571" s="6" t="n">
        <v>20</v>
      </c>
      <c r="J1571" s="6" t="n">
        <v>0</v>
      </c>
      <c r="K1571" s="6" t="n">
        <v>20</v>
      </c>
      <c r="L1571" s="6" t="n">
        <v>0</v>
      </c>
      <c r="M1571" s="6" t="n">
        <v>20</v>
      </c>
      <c r="N1571" s="11" t="n">
        <f aca="false">J1571/(J1571+K1571)</f>
        <v>0</v>
      </c>
      <c r="O1571" s="11" t="str">
        <f aca="false">IF(J1571+L1571=0,"",J1571/(J1571+L1571))</f>
        <v/>
      </c>
      <c r="P1571" s="11" t="n">
        <f aca="false">2*J1571/(2*J1571+L1571+K1571)</f>
        <v>0</v>
      </c>
      <c r="Q1571" s="11" t="n">
        <f aca="false">L1571/(L1571+M1571)</f>
        <v>0</v>
      </c>
      <c r="R1571" s="6" t="n">
        <v>1</v>
      </c>
      <c r="S1571" s="11" t="n">
        <v>0</v>
      </c>
      <c r="T1571" s="11" t="n">
        <v>0</v>
      </c>
      <c r="U1571" s="11" t="n">
        <v>0.9</v>
      </c>
      <c r="V1571" s="11" t="n">
        <v>0.95</v>
      </c>
    </row>
    <row r="1572" customFormat="false" ht="15" hidden="false" customHeight="false" outlineLevel="0" collapsed="false">
      <c r="A1572" s="6" t="s">
        <v>52</v>
      </c>
      <c r="B1572" s="6" t="s">
        <v>43</v>
      </c>
      <c r="C1572" s="6" t="s">
        <v>51</v>
      </c>
      <c r="D1572" s="6" t="s">
        <v>116</v>
      </c>
      <c r="E1572" s="6" t="n">
        <v>16</v>
      </c>
      <c r="F1572" s="6" t="n">
        <v>3</v>
      </c>
      <c r="G1572" s="6" t="s">
        <v>76</v>
      </c>
      <c r="H1572" s="11" t="n">
        <v>0.01</v>
      </c>
      <c r="I1572" s="6" t="n">
        <v>20</v>
      </c>
      <c r="J1572" s="6" t="n">
        <v>0</v>
      </c>
      <c r="K1572" s="6" t="n">
        <v>20</v>
      </c>
      <c r="L1572" s="6" t="n">
        <v>0</v>
      </c>
      <c r="M1572" s="6" t="n">
        <v>20</v>
      </c>
      <c r="N1572" s="11" t="n">
        <f aca="false">J1572/(J1572+K1572)</f>
        <v>0</v>
      </c>
      <c r="O1572" s="11" t="str">
        <f aca="false">IF(J1572+L1572=0,"",J1572/(J1572+L1572))</f>
        <v/>
      </c>
      <c r="P1572" s="11" t="n">
        <f aca="false">2*J1572/(2*J1572+L1572+K1572)</f>
        <v>0</v>
      </c>
      <c r="Q1572" s="11" t="n">
        <f aca="false">L1572/(L1572+M1572)</f>
        <v>0</v>
      </c>
      <c r="R1572" s="6" t="n">
        <v>0</v>
      </c>
      <c r="S1572" s="11"/>
      <c r="T1572" s="11" t="n">
        <v>0</v>
      </c>
      <c r="U1572" s="11" t="n">
        <v>0.95</v>
      </c>
      <c r="V1572" s="11" t="n">
        <v>0.95</v>
      </c>
    </row>
    <row r="1573" customFormat="false" ht="15" hidden="false" customHeight="false" outlineLevel="0" collapsed="false">
      <c r="A1573" s="6" t="s">
        <v>52</v>
      </c>
      <c r="B1573" s="6" t="s">
        <v>43</v>
      </c>
      <c r="C1573" s="6" t="s">
        <v>51</v>
      </c>
      <c r="D1573" s="6" t="s">
        <v>116</v>
      </c>
      <c r="E1573" s="6" t="n">
        <v>16</v>
      </c>
      <c r="F1573" s="6" t="n">
        <v>3</v>
      </c>
      <c r="G1573" s="6" t="s">
        <v>77</v>
      </c>
      <c r="H1573" s="11" t="n">
        <v>0.01</v>
      </c>
      <c r="I1573" s="6" t="n">
        <v>20</v>
      </c>
      <c r="J1573" s="6" t="n">
        <v>1</v>
      </c>
      <c r="K1573" s="6" t="n">
        <v>19</v>
      </c>
      <c r="L1573" s="6" t="n">
        <v>1</v>
      </c>
      <c r="M1573" s="6" t="n">
        <v>19</v>
      </c>
      <c r="N1573" s="11" t="n">
        <f aca="false">J1573/(J1573+K1573)</f>
        <v>0.05</v>
      </c>
      <c r="O1573" s="11" t="n">
        <f aca="false">IF(J1573+L1573=0,"",J1573/(J1573+L1573))</f>
        <v>0.5</v>
      </c>
      <c r="P1573" s="11" t="n">
        <f aca="false">2*J1573/(2*J1573+L1573+K1573)</f>
        <v>0.0909090909090909</v>
      </c>
      <c r="Q1573" s="11" t="n">
        <f aca="false">L1573/(L1573+M1573)</f>
        <v>0.05</v>
      </c>
      <c r="R1573" s="6" t="n">
        <v>0</v>
      </c>
      <c r="S1573" s="11"/>
      <c r="T1573" s="11" t="n">
        <v>0.05</v>
      </c>
      <c r="U1573" s="11" t="n">
        <v>1</v>
      </c>
      <c r="V1573" s="11" t="n">
        <v>1</v>
      </c>
    </row>
    <row r="1574" customFormat="false" ht="15" hidden="false" customHeight="false" outlineLevel="0" collapsed="false">
      <c r="A1574" s="6" t="s">
        <v>52</v>
      </c>
      <c r="B1574" s="6" t="s">
        <v>43</v>
      </c>
      <c r="C1574" s="6" t="s">
        <v>51</v>
      </c>
      <c r="D1574" s="6" t="s">
        <v>116</v>
      </c>
      <c r="E1574" s="6" t="n">
        <v>16</v>
      </c>
      <c r="F1574" s="6" t="n">
        <v>3</v>
      </c>
      <c r="G1574" s="6" t="s">
        <v>78</v>
      </c>
      <c r="H1574" s="11" t="n">
        <v>0.01</v>
      </c>
      <c r="I1574" s="6" t="n">
        <v>200</v>
      </c>
      <c r="J1574" s="6" t="n">
        <v>1</v>
      </c>
      <c r="K1574" s="6" t="n">
        <v>199</v>
      </c>
      <c r="L1574" s="6" t="n">
        <v>1</v>
      </c>
      <c r="M1574" s="6" t="n">
        <v>199</v>
      </c>
      <c r="N1574" s="11" t="n">
        <f aca="false">J1574/(J1574+K1574)</f>
        <v>0.005</v>
      </c>
      <c r="O1574" s="11" t="n">
        <f aca="false">IF(J1574+L1574=0,"",J1574/(J1574+L1574))</f>
        <v>0.5</v>
      </c>
      <c r="P1574" s="11" t="n">
        <f aca="false">2*J1574/(2*J1574+L1574+K1574)</f>
        <v>0.0099009900990099</v>
      </c>
      <c r="Q1574" s="11" t="n">
        <f aca="false">L1574/(L1574+M1574)</f>
        <v>0.005</v>
      </c>
      <c r="R1574" s="6" t="n">
        <v>5</v>
      </c>
      <c r="S1574" s="11" t="n">
        <v>0</v>
      </c>
      <c r="T1574" s="11" t="n">
        <v>0.00512820512820513</v>
      </c>
      <c r="U1574" s="11" t="n">
        <v>0.88</v>
      </c>
      <c r="V1574" s="11" t="n">
        <v>0.88</v>
      </c>
    </row>
    <row r="1575" customFormat="false" ht="15" hidden="false" customHeight="false" outlineLevel="0" collapsed="false">
      <c r="A1575" s="6" t="s">
        <v>52</v>
      </c>
      <c r="B1575" s="6" t="s">
        <v>43</v>
      </c>
      <c r="C1575" s="6" t="s">
        <v>51</v>
      </c>
      <c r="D1575" s="6" t="s">
        <v>116</v>
      </c>
      <c r="E1575" s="6" t="n">
        <v>16</v>
      </c>
      <c r="F1575" s="6" t="n">
        <v>4</v>
      </c>
      <c r="G1575" s="6" t="s">
        <v>68</v>
      </c>
      <c r="H1575" s="11" t="n">
        <v>0.01</v>
      </c>
      <c r="I1575" s="6" t="n">
        <v>20</v>
      </c>
      <c r="J1575" s="6" t="n">
        <v>0</v>
      </c>
      <c r="K1575" s="6" t="n">
        <v>20</v>
      </c>
      <c r="L1575" s="6" t="n">
        <v>0</v>
      </c>
      <c r="M1575" s="6" t="n">
        <v>20</v>
      </c>
      <c r="N1575" s="11" t="n">
        <f aca="false">J1575/(J1575+K1575)</f>
        <v>0</v>
      </c>
      <c r="O1575" s="11" t="str">
        <f aca="false">IF(J1575+L1575=0,"",J1575/(J1575+L1575))</f>
        <v/>
      </c>
      <c r="P1575" s="11" t="n">
        <f aca="false">2*J1575/(2*J1575+L1575+K1575)</f>
        <v>0</v>
      </c>
      <c r="Q1575" s="11" t="n">
        <f aca="false">L1575/(L1575+M1575)</f>
        <v>0</v>
      </c>
      <c r="R1575" s="6" t="n">
        <v>0</v>
      </c>
      <c r="S1575" s="11"/>
      <c r="T1575" s="11" t="n">
        <v>0</v>
      </c>
      <c r="U1575" s="11" t="n">
        <v>0.85</v>
      </c>
      <c r="V1575" s="11" t="n">
        <v>0.85</v>
      </c>
    </row>
    <row r="1576" customFormat="false" ht="15" hidden="false" customHeight="false" outlineLevel="0" collapsed="false">
      <c r="A1576" s="6" t="s">
        <v>52</v>
      </c>
      <c r="B1576" s="6" t="s">
        <v>43</v>
      </c>
      <c r="C1576" s="6" t="s">
        <v>51</v>
      </c>
      <c r="D1576" s="6" t="s">
        <v>116</v>
      </c>
      <c r="E1576" s="6" t="n">
        <v>16</v>
      </c>
      <c r="F1576" s="6" t="n">
        <v>4</v>
      </c>
      <c r="G1576" s="6" t="s">
        <v>69</v>
      </c>
      <c r="H1576" s="11" t="n">
        <v>0.01</v>
      </c>
      <c r="I1576" s="6" t="n">
        <v>20</v>
      </c>
      <c r="J1576" s="6" t="n">
        <v>0</v>
      </c>
      <c r="K1576" s="6" t="n">
        <v>20</v>
      </c>
      <c r="L1576" s="6" t="n">
        <v>0</v>
      </c>
      <c r="M1576" s="6" t="n">
        <v>20</v>
      </c>
      <c r="N1576" s="11" t="n">
        <f aca="false">J1576/(J1576+K1576)</f>
        <v>0</v>
      </c>
      <c r="O1576" s="11" t="str">
        <f aca="false">IF(J1576+L1576=0,"",J1576/(J1576+L1576))</f>
        <v/>
      </c>
      <c r="P1576" s="11" t="n">
        <f aca="false">2*J1576/(2*J1576+L1576+K1576)</f>
        <v>0</v>
      </c>
      <c r="Q1576" s="11" t="n">
        <f aca="false">L1576/(L1576+M1576)</f>
        <v>0</v>
      </c>
      <c r="R1576" s="6" t="n">
        <v>0</v>
      </c>
      <c r="S1576" s="11"/>
      <c r="T1576" s="11" t="n">
        <v>0</v>
      </c>
      <c r="U1576" s="11" t="n">
        <v>1</v>
      </c>
      <c r="V1576" s="11" t="n">
        <v>1</v>
      </c>
    </row>
    <row r="1577" customFormat="false" ht="15" hidden="false" customHeight="false" outlineLevel="0" collapsed="false">
      <c r="A1577" s="6" t="s">
        <v>52</v>
      </c>
      <c r="B1577" s="6" t="s">
        <v>43</v>
      </c>
      <c r="C1577" s="6" t="s">
        <v>51</v>
      </c>
      <c r="D1577" s="6" t="s">
        <v>116</v>
      </c>
      <c r="E1577" s="6" t="n">
        <v>16</v>
      </c>
      <c r="F1577" s="6" t="n">
        <v>4</v>
      </c>
      <c r="G1577" s="6" t="s">
        <v>70</v>
      </c>
      <c r="H1577" s="11" t="n">
        <v>0.01</v>
      </c>
      <c r="I1577" s="6" t="n">
        <v>20</v>
      </c>
      <c r="J1577" s="6" t="n">
        <v>0</v>
      </c>
      <c r="K1577" s="6" t="n">
        <v>20</v>
      </c>
      <c r="L1577" s="6" t="n">
        <v>0</v>
      </c>
      <c r="M1577" s="6" t="n">
        <v>20</v>
      </c>
      <c r="N1577" s="11" t="n">
        <f aca="false">J1577/(J1577+K1577)</f>
        <v>0</v>
      </c>
      <c r="O1577" s="11" t="str">
        <f aca="false">IF(J1577+L1577=0,"",J1577/(J1577+L1577))</f>
        <v/>
      </c>
      <c r="P1577" s="11" t="n">
        <f aca="false">2*J1577/(2*J1577+L1577+K1577)</f>
        <v>0</v>
      </c>
      <c r="Q1577" s="11" t="n">
        <f aca="false">L1577/(L1577+M1577)</f>
        <v>0</v>
      </c>
      <c r="R1577" s="6" t="n">
        <v>0</v>
      </c>
      <c r="S1577" s="11"/>
      <c r="T1577" s="11" t="n">
        <v>0</v>
      </c>
      <c r="U1577" s="11" t="n">
        <v>0.9</v>
      </c>
      <c r="V1577" s="11" t="n">
        <v>0.9</v>
      </c>
    </row>
    <row r="1578" customFormat="false" ht="15" hidden="false" customHeight="false" outlineLevel="0" collapsed="false">
      <c r="A1578" s="6" t="s">
        <v>52</v>
      </c>
      <c r="B1578" s="6" t="s">
        <v>43</v>
      </c>
      <c r="C1578" s="6" t="s">
        <v>51</v>
      </c>
      <c r="D1578" s="6" t="s">
        <v>116</v>
      </c>
      <c r="E1578" s="6" t="n">
        <v>16</v>
      </c>
      <c r="F1578" s="6" t="n">
        <v>4</v>
      </c>
      <c r="G1578" s="6" t="s">
        <v>71</v>
      </c>
      <c r="H1578" s="11" t="n">
        <v>0.01</v>
      </c>
      <c r="I1578" s="6" t="n">
        <v>20</v>
      </c>
      <c r="J1578" s="6" t="n">
        <v>0</v>
      </c>
      <c r="K1578" s="6" t="n">
        <v>20</v>
      </c>
      <c r="L1578" s="6" t="n">
        <v>0</v>
      </c>
      <c r="M1578" s="6" t="n">
        <v>20</v>
      </c>
      <c r="N1578" s="11" t="n">
        <f aca="false">J1578/(J1578+K1578)</f>
        <v>0</v>
      </c>
      <c r="O1578" s="11" t="str">
        <f aca="false">IF(J1578+L1578=0,"",J1578/(J1578+L1578))</f>
        <v/>
      </c>
      <c r="P1578" s="11" t="n">
        <f aca="false">2*J1578/(2*J1578+L1578+K1578)</f>
        <v>0</v>
      </c>
      <c r="Q1578" s="11" t="n">
        <f aca="false">L1578/(L1578+M1578)</f>
        <v>0</v>
      </c>
      <c r="R1578" s="6" t="n">
        <v>0</v>
      </c>
      <c r="S1578" s="11"/>
      <c r="T1578" s="11" t="n">
        <v>0</v>
      </c>
      <c r="U1578" s="11" t="n">
        <v>0.8</v>
      </c>
      <c r="V1578" s="11" t="n">
        <v>0.8</v>
      </c>
    </row>
    <row r="1579" customFormat="false" ht="15" hidden="false" customHeight="false" outlineLevel="0" collapsed="false">
      <c r="A1579" s="6" t="s">
        <v>52</v>
      </c>
      <c r="B1579" s="6" t="s">
        <v>43</v>
      </c>
      <c r="C1579" s="6" t="s">
        <v>51</v>
      </c>
      <c r="D1579" s="6" t="s">
        <v>116</v>
      </c>
      <c r="E1579" s="6" t="n">
        <v>16</v>
      </c>
      <c r="F1579" s="6" t="n">
        <v>4</v>
      </c>
      <c r="G1579" s="6" t="s">
        <v>72</v>
      </c>
      <c r="H1579" s="11" t="n">
        <v>0.01</v>
      </c>
      <c r="I1579" s="6" t="n">
        <v>20</v>
      </c>
      <c r="J1579" s="6" t="n">
        <v>0</v>
      </c>
      <c r="K1579" s="6" t="n">
        <v>20</v>
      </c>
      <c r="L1579" s="6" t="n">
        <v>0</v>
      </c>
      <c r="M1579" s="6" t="n">
        <v>20</v>
      </c>
      <c r="N1579" s="11" t="n">
        <f aca="false">J1579/(J1579+K1579)</f>
        <v>0</v>
      </c>
      <c r="O1579" s="11" t="str">
        <f aca="false">IF(J1579+L1579=0,"",J1579/(J1579+L1579))</f>
        <v/>
      </c>
      <c r="P1579" s="11" t="n">
        <f aca="false">2*J1579/(2*J1579+L1579+K1579)</f>
        <v>0</v>
      </c>
      <c r="Q1579" s="11" t="n">
        <f aca="false">L1579/(L1579+M1579)</f>
        <v>0</v>
      </c>
      <c r="R1579" s="6" t="n">
        <v>0</v>
      </c>
      <c r="S1579" s="11"/>
      <c r="T1579" s="11" t="n">
        <v>0</v>
      </c>
      <c r="U1579" s="11" t="n">
        <v>0.9</v>
      </c>
      <c r="V1579" s="11" t="n">
        <v>0.9</v>
      </c>
    </row>
    <row r="1580" customFormat="false" ht="15" hidden="false" customHeight="false" outlineLevel="0" collapsed="false">
      <c r="A1580" s="6" t="s">
        <v>52</v>
      </c>
      <c r="B1580" s="6" t="s">
        <v>43</v>
      </c>
      <c r="C1580" s="6" t="s">
        <v>51</v>
      </c>
      <c r="D1580" s="6" t="s">
        <v>116</v>
      </c>
      <c r="E1580" s="6" t="n">
        <v>16</v>
      </c>
      <c r="F1580" s="6" t="n">
        <v>4</v>
      </c>
      <c r="G1580" s="6" t="s">
        <v>73</v>
      </c>
      <c r="H1580" s="11" t="n">
        <v>0.01</v>
      </c>
      <c r="I1580" s="6" t="n">
        <v>20</v>
      </c>
      <c r="J1580" s="6" t="n">
        <v>0</v>
      </c>
      <c r="K1580" s="6" t="n">
        <v>20</v>
      </c>
      <c r="L1580" s="6" t="n">
        <v>0</v>
      </c>
      <c r="M1580" s="6" t="n">
        <v>20</v>
      </c>
      <c r="N1580" s="11" t="n">
        <f aca="false">J1580/(J1580+K1580)</f>
        <v>0</v>
      </c>
      <c r="O1580" s="11" t="str">
        <f aca="false">IF(J1580+L1580=0,"",J1580/(J1580+L1580))</f>
        <v/>
      </c>
      <c r="P1580" s="11" t="n">
        <f aca="false">2*J1580/(2*J1580+L1580+K1580)</f>
        <v>0</v>
      </c>
      <c r="Q1580" s="11" t="n">
        <f aca="false">L1580/(L1580+M1580)</f>
        <v>0</v>
      </c>
      <c r="R1580" s="6" t="n">
        <v>0</v>
      </c>
      <c r="S1580" s="11"/>
      <c r="T1580" s="11" t="n">
        <v>0</v>
      </c>
      <c r="U1580" s="11" t="n">
        <v>0.65</v>
      </c>
      <c r="V1580" s="11" t="n">
        <v>0.65</v>
      </c>
    </row>
    <row r="1581" customFormat="false" ht="15" hidden="false" customHeight="false" outlineLevel="0" collapsed="false">
      <c r="A1581" s="6" t="s">
        <v>52</v>
      </c>
      <c r="B1581" s="6" t="s">
        <v>43</v>
      </c>
      <c r="C1581" s="6" t="s">
        <v>51</v>
      </c>
      <c r="D1581" s="6" t="s">
        <v>116</v>
      </c>
      <c r="E1581" s="6" t="n">
        <v>16</v>
      </c>
      <c r="F1581" s="6" t="n">
        <v>4</v>
      </c>
      <c r="G1581" s="6" t="s">
        <v>74</v>
      </c>
      <c r="H1581" s="11" t="n">
        <v>0.01</v>
      </c>
      <c r="I1581" s="6" t="n">
        <v>20</v>
      </c>
      <c r="J1581" s="6" t="n">
        <v>0</v>
      </c>
      <c r="K1581" s="6" t="n">
        <v>20</v>
      </c>
      <c r="L1581" s="6" t="n">
        <v>0</v>
      </c>
      <c r="M1581" s="6" t="n">
        <v>20</v>
      </c>
      <c r="N1581" s="11" t="n">
        <f aca="false">J1581/(J1581+K1581)</f>
        <v>0</v>
      </c>
      <c r="O1581" s="11" t="str">
        <f aca="false">IF(J1581+L1581=0,"",J1581/(J1581+L1581))</f>
        <v/>
      </c>
      <c r="P1581" s="11" t="n">
        <f aca="false">2*J1581/(2*J1581+L1581+K1581)</f>
        <v>0</v>
      </c>
      <c r="Q1581" s="11" t="n">
        <f aca="false">L1581/(L1581+M1581)</f>
        <v>0</v>
      </c>
      <c r="R1581" s="6" t="n">
        <v>1</v>
      </c>
      <c r="S1581" s="11" t="n">
        <v>0</v>
      </c>
      <c r="T1581" s="11" t="n">
        <v>0</v>
      </c>
      <c r="U1581" s="11" t="n">
        <v>0.85</v>
      </c>
      <c r="V1581" s="11" t="n">
        <v>0.9</v>
      </c>
    </row>
    <row r="1582" customFormat="false" ht="15" hidden="false" customHeight="false" outlineLevel="0" collapsed="false">
      <c r="A1582" s="6" t="s">
        <v>52</v>
      </c>
      <c r="B1582" s="6" t="s">
        <v>43</v>
      </c>
      <c r="C1582" s="6" t="s">
        <v>51</v>
      </c>
      <c r="D1582" s="6" t="s">
        <v>116</v>
      </c>
      <c r="E1582" s="6" t="n">
        <v>16</v>
      </c>
      <c r="F1582" s="6" t="n">
        <v>4</v>
      </c>
      <c r="G1582" s="6" t="s">
        <v>75</v>
      </c>
      <c r="H1582" s="11" t="n">
        <v>0.01</v>
      </c>
      <c r="I1582" s="6" t="n">
        <v>20</v>
      </c>
      <c r="J1582" s="6" t="n">
        <v>0</v>
      </c>
      <c r="K1582" s="6" t="n">
        <v>20</v>
      </c>
      <c r="L1582" s="6" t="n">
        <v>0</v>
      </c>
      <c r="M1582" s="6" t="n">
        <v>20</v>
      </c>
      <c r="N1582" s="11" t="n">
        <f aca="false">J1582/(J1582+K1582)</f>
        <v>0</v>
      </c>
      <c r="O1582" s="11" t="str">
        <f aca="false">IF(J1582+L1582=0,"",J1582/(J1582+L1582))</f>
        <v/>
      </c>
      <c r="P1582" s="11" t="n">
        <f aca="false">2*J1582/(2*J1582+L1582+K1582)</f>
        <v>0</v>
      </c>
      <c r="Q1582" s="11" t="n">
        <f aca="false">L1582/(L1582+M1582)</f>
        <v>0</v>
      </c>
      <c r="R1582" s="6" t="n">
        <v>0</v>
      </c>
      <c r="S1582" s="11"/>
      <c r="T1582" s="11" t="n">
        <v>0</v>
      </c>
      <c r="U1582" s="11" t="n">
        <v>0.9</v>
      </c>
      <c r="V1582" s="11" t="n">
        <v>0.9</v>
      </c>
    </row>
    <row r="1583" customFormat="false" ht="15" hidden="false" customHeight="false" outlineLevel="0" collapsed="false">
      <c r="A1583" s="6" t="s">
        <v>52</v>
      </c>
      <c r="B1583" s="6" t="s">
        <v>43</v>
      </c>
      <c r="C1583" s="6" t="s">
        <v>51</v>
      </c>
      <c r="D1583" s="6" t="s">
        <v>116</v>
      </c>
      <c r="E1583" s="6" t="n">
        <v>16</v>
      </c>
      <c r="F1583" s="6" t="n">
        <v>4</v>
      </c>
      <c r="G1583" s="6" t="s">
        <v>76</v>
      </c>
      <c r="H1583" s="11" t="n">
        <v>0.01</v>
      </c>
      <c r="I1583" s="6" t="n">
        <v>20</v>
      </c>
      <c r="J1583" s="6" t="n">
        <v>0</v>
      </c>
      <c r="K1583" s="6" t="n">
        <v>20</v>
      </c>
      <c r="L1583" s="6" t="n">
        <v>0</v>
      </c>
      <c r="M1583" s="6" t="n">
        <v>20</v>
      </c>
      <c r="N1583" s="11" t="n">
        <f aca="false">J1583/(J1583+K1583)</f>
        <v>0</v>
      </c>
      <c r="O1583" s="11" t="str">
        <f aca="false">IF(J1583+L1583=0,"",J1583/(J1583+L1583))</f>
        <v/>
      </c>
      <c r="P1583" s="11" t="n">
        <f aca="false">2*J1583/(2*J1583+L1583+K1583)</f>
        <v>0</v>
      </c>
      <c r="Q1583" s="11" t="n">
        <f aca="false">L1583/(L1583+M1583)</f>
        <v>0</v>
      </c>
      <c r="R1583" s="6" t="n">
        <v>0</v>
      </c>
      <c r="S1583" s="11"/>
      <c r="T1583" s="11" t="n">
        <v>0</v>
      </c>
      <c r="U1583" s="11" t="n">
        <v>0.95</v>
      </c>
      <c r="V1583" s="11" t="n">
        <v>0.95</v>
      </c>
    </row>
    <row r="1584" customFormat="false" ht="15" hidden="false" customHeight="false" outlineLevel="0" collapsed="false">
      <c r="A1584" s="6" t="s">
        <v>52</v>
      </c>
      <c r="B1584" s="6" t="s">
        <v>43</v>
      </c>
      <c r="C1584" s="6" t="s">
        <v>51</v>
      </c>
      <c r="D1584" s="6" t="s">
        <v>116</v>
      </c>
      <c r="E1584" s="6" t="n">
        <v>16</v>
      </c>
      <c r="F1584" s="6" t="n">
        <v>4</v>
      </c>
      <c r="G1584" s="6" t="s">
        <v>77</v>
      </c>
      <c r="H1584" s="11" t="n">
        <v>0.01</v>
      </c>
      <c r="I1584" s="6" t="n">
        <v>20</v>
      </c>
      <c r="J1584" s="6" t="n">
        <v>1</v>
      </c>
      <c r="K1584" s="6" t="n">
        <v>19</v>
      </c>
      <c r="L1584" s="6" t="n">
        <v>1</v>
      </c>
      <c r="M1584" s="6" t="n">
        <v>19</v>
      </c>
      <c r="N1584" s="11" t="n">
        <f aca="false">J1584/(J1584+K1584)</f>
        <v>0.05</v>
      </c>
      <c r="O1584" s="11" t="n">
        <f aca="false">IF(J1584+L1584=0,"",J1584/(J1584+L1584))</f>
        <v>0.5</v>
      </c>
      <c r="P1584" s="11" t="n">
        <f aca="false">2*J1584/(2*J1584+L1584+K1584)</f>
        <v>0.0909090909090909</v>
      </c>
      <c r="Q1584" s="11" t="n">
        <f aca="false">L1584/(L1584+M1584)</f>
        <v>0.05</v>
      </c>
      <c r="R1584" s="6" t="n">
        <v>0</v>
      </c>
      <c r="S1584" s="11"/>
      <c r="T1584" s="11" t="n">
        <v>0.05</v>
      </c>
      <c r="U1584" s="11" t="n">
        <v>1</v>
      </c>
      <c r="V1584" s="11" t="n">
        <v>1</v>
      </c>
    </row>
    <row r="1585" customFormat="false" ht="15" hidden="false" customHeight="false" outlineLevel="0" collapsed="false">
      <c r="A1585" s="6" t="s">
        <v>52</v>
      </c>
      <c r="B1585" s="6" t="s">
        <v>43</v>
      </c>
      <c r="C1585" s="6" t="s">
        <v>51</v>
      </c>
      <c r="D1585" s="6" t="s">
        <v>116</v>
      </c>
      <c r="E1585" s="6" t="n">
        <v>16</v>
      </c>
      <c r="F1585" s="6" t="n">
        <v>4</v>
      </c>
      <c r="G1585" s="6" t="s">
        <v>78</v>
      </c>
      <c r="H1585" s="11" t="n">
        <v>0.01</v>
      </c>
      <c r="I1585" s="6" t="n">
        <v>200</v>
      </c>
      <c r="J1585" s="6" t="n">
        <v>1</v>
      </c>
      <c r="K1585" s="6" t="n">
        <v>199</v>
      </c>
      <c r="L1585" s="6" t="n">
        <v>1</v>
      </c>
      <c r="M1585" s="6" t="n">
        <v>199</v>
      </c>
      <c r="N1585" s="11" t="n">
        <f aca="false">J1585/(J1585+K1585)</f>
        <v>0.005</v>
      </c>
      <c r="O1585" s="11" t="n">
        <f aca="false">IF(J1585+L1585=0,"",J1585/(J1585+L1585))</f>
        <v>0.5</v>
      </c>
      <c r="P1585" s="11" t="n">
        <f aca="false">2*J1585/(2*J1585+L1585+K1585)</f>
        <v>0.0099009900990099</v>
      </c>
      <c r="Q1585" s="11" t="n">
        <f aca="false">L1585/(L1585+M1585)</f>
        <v>0.005</v>
      </c>
      <c r="R1585" s="6" t="n">
        <v>1</v>
      </c>
      <c r="S1585" s="11" t="n">
        <v>0</v>
      </c>
      <c r="T1585" s="11" t="n">
        <v>0.0050251256281407</v>
      </c>
      <c r="U1585" s="11" t="n">
        <v>0.88</v>
      </c>
      <c r="V1585" s="11" t="n">
        <v>0.885</v>
      </c>
    </row>
    <row r="1586" customFormat="false" ht="15" hidden="false" customHeight="false" outlineLevel="0" collapsed="false">
      <c r="A1586" s="6" t="s">
        <v>52</v>
      </c>
      <c r="B1586" s="6" t="s">
        <v>43</v>
      </c>
      <c r="C1586" s="6" t="s">
        <v>51</v>
      </c>
      <c r="D1586" s="6" t="s">
        <v>116</v>
      </c>
      <c r="E1586" s="6" t="n">
        <v>16</v>
      </c>
      <c r="F1586" s="6" t="n">
        <v>5</v>
      </c>
      <c r="G1586" s="6" t="s">
        <v>68</v>
      </c>
      <c r="H1586" s="11" t="n">
        <v>0.01</v>
      </c>
      <c r="I1586" s="6" t="n">
        <v>20</v>
      </c>
      <c r="J1586" s="6" t="n">
        <v>0</v>
      </c>
      <c r="K1586" s="6" t="n">
        <v>20</v>
      </c>
      <c r="L1586" s="6" t="n">
        <v>0</v>
      </c>
      <c r="M1586" s="6" t="n">
        <v>20</v>
      </c>
      <c r="N1586" s="11" t="n">
        <f aca="false">J1586/(J1586+K1586)</f>
        <v>0</v>
      </c>
      <c r="O1586" s="11" t="str">
        <f aca="false">IF(J1586+L1586=0,"",J1586/(J1586+L1586))</f>
        <v/>
      </c>
      <c r="P1586" s="11" t="n">
        <f aca="false">2*J1586/(2*J1586+L1586+K1586)</f>
        <v>0</v>
      </c>
      <c r="Q1586" s="11" t="n">
        <f aca="false">L1586/(L1586+M1586)</f>
        <v>0</v>
      </c>
      <c r="R1586" s="6" t="n">
        <v>3</v>
      </c>
      <c r="S1586" s="11" t="n">
        <v>0</v>
      </c>
      <c r="T1586" s="11" t="n">
        <v>0</v>
      </c>
      <c r="U1586" s="11" t="n">
        <v>0.85</v>
      </c>
      <c r="V1586" s="11" t="n">
        <v>0.75</v>
      </c>
    </row>
    <row r="1587" customFormat="false" ht="15" hidden="false" customHeight="false" outlineLevel="0" collapsed="false">
      <c r="A1587" s="6" t="s">
        <v>52</v>
      </c>
      <c r="B1587" s="6" t="s">
        <v>43</v>
      </c>
      <c r="C1587" s="6" t="s">
        <v>51</v>
      </c>
      <c r="D1587" s="6" t="s">
        <v>116</v>
      </c>
      <c r="E1587" s="6" t="n">
        <v>16</v>
      </c>
      <c r="F1587" s="6" t="n">
        <v>5</v>
      </c>
      <c r="G1587" s="6" t="s">
        <v>69</v>
      </c>
      <c r="H1587" s="11" t="n">
        <v>0.01</v>
      </c>
      <c r="I1587" s="6" t="n">
        <v>20</v>
      </c>
      <c r="J1587" s="6" t="n">
        <v>10</v>
      </c>
      <c r="K1587" s="6" t="n">
        <v>10</v>
      </c>
      <c r="L1587" s="6" t="n">
        <v>0</v>
      </c>
      <c r="M1587" s="6" t="n">
        <v>20</v>
      </c>
      <c r="N1587" s="11" t="n">
        <f aca="false">J1587/(J1587+K1587)</f>
        <v>0.5</v>
      </c>
      <c r="O1587" s="11" t="n">
        <f aca="false">IF(J1587+L1587=0,"",J1587/(J1587+L1587))</f>
        <v>1</v>
      </c>
      <c r="P1587" s="11" t="n">
        <f aca="false">2*J1587/(2*J1587+L1587+K1587)</f>
        <v>0.666666666666667</v>
      </c>
      <c r="Q1587" s="11" t="n">
        <f aca="false">L1587/(L1587+M1587)</f>
        <v>0</v>
      </c>
      <c r="R1587" s="6" t="n">
        <v>4</v>
      </c>
      <c r="S1587" s="11" t="n">
        <v>0.25</v>
      </c>
      <c r="T1587" s="11" t="n">
        <v>0.5625</v>
      </c>
      <c r="U1587" s="11" t="n">
        <v>1</v>
      </c>
      <c r="V1587" s="11" t="n">
        <v>0.8</v>
      </c>
    </row>
    <row r="1588" customFormat="false" ht="15" hidden="false" customHeight="false" outlineLevel="0" collapsed="false">
      <c r="A1588" s="6" t="s">
        <v>52</v>
      </c>
      <c r="B1588" s="6" t="s">
        <v>43</v>
      </c>
      <c r="C1588" s="6" t="s">
        <v>51</v>
      </c>
      <c r="D1588" s="6" t="s">
        <v>116</v>
      </c>
      <c r="E1588" s="6" t="n">
        <v>16</v>
      </c>
      <c r="F1588" s="6" t="n">
        <v>5</v>
      </c>
      <c r="G1588" s="6" t="s">
        <v>70</v>
      </c>
      <c r="H1588" s="11" t="n">
        <v>0.01</v>
      </c>
      <c r="I1588" s="6" t="n">
        <v>20</v>
      </c>
      <c r="J1588" s="6" t="n">
        <v>0</v>
      </c>
      <c r="K1588" s="6" t="n">
        <v>20</v>
      </c>
      <c r="L1588" s="6" t="n">
        <v>0</v>
      </c>
      <c r="M1588" s="6" t="n">
        <v>20</v>
      </c>
      <c r="N1588" s="11" t="n">
        <f aca="false">J1588/(J1588+K1588)</f>
        <v>0</v>
      </c>
      <c r="O1588" s="11" t="str">
        <f aca="false">IF(J1588+L1588=0,"",J1588/(J1588+L1588))</f>
        <v/>
      </c>
      <c r="P1588" s="11" t="n">
        <f aca="false">2*J1588/(2*J1588+L1588+K1588)</f>
        <v>0</v>
      </c>
      <c r="Q1588" s="11" t="n">
        <f aca="false">L1588/(L1588+M1588)</f>
        <v>0</v>
      </c>
      <c r="R1588" s="6" t="n">
        <v>2</v>
      </c>
      <c r="S1588" s="11" t="n">
        <v>0</v>
      </c>
      <c r="T1588" s="11" t="n">
        <v>0</v>
      </c>
      <c r="U1588" s="11" t="n">
        <v>0.9</v>
      </c>
      <c r="V1588" s="11" t="n">
        <v>0.9</v>
      </c>
    </row>
    <row r="1589" customFormat="false" ht="15" hidden="false" customHeight="false" outlineLevel="0" collapsed="false">
      <c r="A1589" s="6" t="s">
        <v>52</v>
      </c>
      <c r="B1589" s="6" t="s">
        <v>43</v>
      </c>
      <c r="C1589" s="6" t="s">
        <v>51</v>
      </c>
      <c r="D1589" s="6" t="s">
        <v>116</v>
      </c>
      <c r="E1589" s="6" t="n">
        <v>16</v>
      </c>
      <c r="F1589" s="6" t="n">
        <v>5</v>
      </c>
      <c r="G1589" s="6" t="s">
        <v>71</v>
      </c>
      <c r="H1589" s="11" t="n">
        <v>0.01</v>
      </c>
      <c r="I1589" s="6" t="n">
        <v>20</v>
      </c>
      <c r="J1589" s="6" t="n">
        <v>0</v>
      </c>
      <c r="K1589" s="6" t="n">
        <v>20</v>
      </c>
      <c r="L1589" s="6" t="n">
        <v>0</v>
      </c>
      <c r="M1589" s="6" t="n">
        <v>20</v>
      </c>
      <c r="N1589" s="11" t="n">
        <f aca="false">J1589/(J1589+K1589)</f>
        <v>0</v>
      </c>
      <c r="O1589" s="11" t="str">
        <f aca="false">IF(J1589+L1589=0,"",J1589/(J1589+L1589))</f>
        <v/>
      </c>
      <c r="P1589" s="11" t="n">
        <f aca="false">2*J1589/(2*J1589+L1589+K1589)</f>
        <v>0</v>
      </c>
      <c r="Q1589" s="11" t="n">
        <f aca="false">L1589/(L1589+M1589)</f>
        <v>0</v>
      </c>
      <c r="R1589" s="6" t="n">
        <v>3</v>
      </c>
      <c r="S1589" s="11" t="n">
        <v>0</v>
      </c>
      <c r="T1589" s="11" t="n">
        <v>0</v>
      </c>
      <c r="U1589" s="11" t="n">
        <v>0.8</v>
      </c>
      <c r="V1589" s="11" t="n">
        <v>0.65</v>
      </c>
    </row>
    <row r="1590" customFormat="false" ht="15" hidden="false" customHeight="false" outlineLevel="0" collapsed="false">
      <c r="A1590" s="6" t="s">
        <v>52</v>
      </c>
      <c r="B1590" s="6" t="s">
        <v>43</v>
      </c>
      <c r="C1590" s="6" t="s">
        <v>51</v>
      </c>
      <c r="D1590" s="6" t="s">
        <v>116</v>
      </c>
      <c r="E1590" s="6" t="n">
        <v>16</v>
      </c>
      <c r="F1590" s="6" t="n">
        <v>5</v>
      </c>
      <c r="G1590" s="6" t="s">
        <v>72</v>
      </c>
      <c r="H1590" s="11" t="n">
        <v>0.01</v>
      </c>
      <c r="I1590" s="6" t="n">
        <v>20</v>
      </c>
      <c r="J1590" s="6" t="n">
        <v>0</v>
      </c>
      <c r="K1590" s="6" t="n">
        <v>20</v>
      </c>
      <c r="L1590" s="6" t="n">
        <v>0</v>
      </c>
      <c r="M1590" s="6" t="n">
        <v>20</v>
      </c>
      <c r="N1590" s="11" t="n">
        <f aca="false">J1590/(J1590+K1590)</f>
        <v>0</v>
      </c>
      <c r="O1590" s="11" t="str">
        <f aca="false">IF(J1590+L1590=0,"",J1590/(J1590+L1590))</f>
        <v/>
      </c>
      <c r="P1590" s="11" t="n">
        <f aca="false">2*J1590/(2*J1590+L1590+K1590)</f>
        <v>0</v>
      </c>
      <c r="Q1590" s="11" t="n">
        <f aca="false">L1590/(L1590+M1590)</f>
        <v>0</v>
      </c>
      <c r="R1590" s="6" t="n">
        <v>3</v>
      </c>
      <c r="S1590" s="11" t="n">
        <v>0</v>
      </c>
      <c r="T1590" s="11" t="n">
        <v>0</v>
      </c>
      <c r="U1590" s="11" t="n">
        <v>0.9</v>
      </c>
      <c r="V1590" s="11" t="n">
        <v>0.85</v>
      </c>
    </row>
    <row r="1591" customFormat="false" ht="15" hidden="false" customHeight="false" outlineLevel="0" collapsed="false">
      <c r="A1591" s="6" t="s">
        <v>52</v>
      </c>
      <c r="B1591" s="6" t="s">
        <v>43</v>
      </c>
      <c r="C1591" s="6" t="s">
        <v>51</v>
      </c>
      <c r="D1591" s="6" t="s">
        <v>116</v>
      </c>
      <c r="E1591" s="6" t="n">
        <v>16</v>
      </c>
      <c r="F1591" s="6" t="n">
        <v>5</v>
      </c>
      <c r="G1591" s="6" t="s">
        <v>73</v>
      </c>
      <c r="H1591" s="11" t="n">
        <v>0.01</v>
      </c>
      <c r="I1591" s="6" t="n">
        <v>20</v>
      </c>
      <c r="J1591" s="6" t="n">
        <v>0</v>
      </c>
      <c r="K1591" s="6" t="n">
        <v>20</v>
      </c>
      <c r="L1591" s="6" t="n">
        <v>0</v>
      </c>
      <c r="M1591" s="6" t="n">
        <v>20</v>
      </c>
      <c r="N1591" s="11" t="n">
        <f aca="false">J1591/(J1591+K1591)</f>
        <v>0</v>
      </c>
      <c r="O1591" s="11" t="str">
        <f aca="false">IF(J1591+L1591=0,"",J1591/(J1591+L1591))</f>
        <v/>
      </c>
      <c r="P1591" s="11" t="n">
        <f aca="false">2*J1591/(2*J1591+L1591+K1591)</f>
        <v>0</v>
      </c>
      <c r="Q1591" s="11" t="n">
        <f aca="false">L1591/(L1591+M1591)</f>
        <v>0</v>
      </c>
      <c r="R1591" s="6" t="n">
        <v>2</v>
      </c>
      <c r="S1591" s="11" t="n">
        <v>0</v>
      </c>
      <c r="T1591" s="11" t="n">
        <v>0</v>
      </c>
      <c r="U1591" s="11" t="n">
        <v>0.65</v>
      </c>
      <c r="V1591" s="11" t="n">
        <v>0.75</v>
      </c>
    </row>
    <row r="1592" customFormat="false" ht="15" hidden="false" customHeight="false" outlineLevel="0" collapsed="false">
      <c r="A1592" s="6" t="s">
        <v>52</v>
      </c>
      <c r="B1592" s="6" t="s">
        <v>43</v>
      </c>
      <c r="C1592" s="6" t="s">
        <v>51</v>
      </c>
      <c r="D1592" s="6" t="s">
        <v>116</v>
      </c>
      <c r="E1592" s="6" t="n">
        <v>16</v>
      </c>
      <c r="F1592" s="6" t="n">
        <v>5</v>
      </c>
      <c r="G1592" s="6" t="s">
        <v>74</v>
      </c>
      <c r="H1592" s="11" t="n">
        <v>0.01</v>
      </c>
      <c r="I1592" s="6" t="n">
        <v>20</v>
      </c>
      <c r="J1592" s="6" t="n">
        <v>0</v>
      </c>
      <c r="K1592" s="6" t="n">
        <v>20</v>
      </c>
      <c r="L1592" s="6" t="n">
        <v>0</v>
      </c>
      <c r="M1592" s="6" t="n">
        <v>20</v>
      </c>
      <c r="N1592" s="11" t="n">
        <f aca="false">J1592/(J1592+K1592)</f>
        <v>0</v>
      </c>
      <c r="O1592" s="11" t="str">
        <f aca="false">IF(J1592+L1592=0,"",J1592/(J1592+L1592))</f>
        <v/>
      </c>
      <c r="P1592" s="11" t="n">
        <f aca="false">2*J1592/(2*J1592+L1592+K1592)</f>
        <v>0</v>
      </c>
      <c r="Q1592" s="11" t="n">
        <f aca="false">L1592/(L1592+M1592)</f>
        <v>0</v>
      </c>
      <c r="R1592" s="6" t="n">
        <v>3</v>
      </c>
      <c r="S1592" s="11" t="n">
        <v>0</v>
      </c>
      <c r="T1592" s="11" t="n">
        <v>0</v>
      </c>
      <c r="U1592" s="11" t="n">
        <v>0.85</v>
      </c>
      <c r="V1592" s="11" t="n">
        <v>0.95</v>
      </c>
    </row>
    <row r="1593" customFormat="false" ht="15" hidden="false" customHeight="false" outlineLevel="0" collapsed="false">
      <c r="A1593" s="6" t="s">
        <v>52</v>
      </c>
      <c r="B1593" s="6" t="s">
        <v>43</v>
      </c>
      <c r="C1593" s="6" t="s">
        <v>51</v>
      </c>
      <c r="D1593" s="6" t="s">
        <v>116</v>
      </c>
      <c r="E1593" s="6" t="n">
        <v>16</v>
      </c>
      <c r="F1593" s="6" t="n">
        <v>5</v>
      </c>
      <c r="G1593" s="6" t="s">
        <v>75</v>
      </c>
      <c r="H1593" s="11" t="n">
        <v>0.01</v>
      </c>
      <c r="I1593" s="6" t="n">
        <v>20</v>
      </c>
      <c r="J1593" s="6" t="n">
        <v>0</v>
      </c>
      <c r="K1593" s="6" t="n">
        <v>20</v>
      </c>
      <c r="L1593" s="6" t="n">
        <v>0</v>
      </c>
      <c r="M1593" s="6" t="n">
        <v>20</v>
      </c>
      <c r="N1593" s="11" t="n">
        <f aca="false">J1593/(J1593+K1593)</f>
        <v>0</v>
      </c>
      <c r="O1593" s="11" t="str">
        <f aca="false">IF(J1593+L1593=0,"",J1593/(J1593+L1593))</f>
        <v/>
      </c>
      <c r="P1593" s="11" t="n">
        <f aca="false">2*J1593/(2*J1593+L1593+K1593)</f>
        <v>0</v>
      </c>
      <c r="Q1593" s="11" t="n">
        <f aca="false">L1593/(L1593+M1593)</f>
        <v>0</v>
      </c>
      <c r="R1593" s="6" t="n">
        <v>3</v>
      </c>
      <c r="S1593" s="11" t="n">
        <v>0</v>
      </c>
      <c r="T1593" s="11" t="n">
        <v>0</v>
      </c>
      <c r="U1593" s="11" t="n">
        <v>0.9</v>
      </c>
      <c r="V1593" s="11" t="n">
        <v>0.85</v>
      </c>
    </row>
    <row r="1594" customFormat="false" ht="15" hidden="false" customHeight="false" outlineLevel="0" collapsed="false">
      <c r="A1594" s="6" t="s">
        <v>52</v>
      </c>
      <c r="B1594" s="6" t="s">
        <v>43</v>
      </c>
      <c r="C1594" s="6" t="s">
        <v>51</v>
      </c>
      <c r="D1594" s="6" t="s">
        <v>116</v>
      </c>
      <c r="E1594" s="6" t="n">
        <v>16</v>
      </c>
      <c r="F1594" s="6" t="n">
        <v>5</v>
      </c>
      <c r="G1594" s="6" t="s">
        <v>76</v>
      </c>
      <c r="H1594" s="11" t="n">
        <v>0.01</v>
      </c>
      <c r="I1594" s="6" t="n">
        <v>20</v>
      </c>
      <c r="J1594" s="6" t="n">
        <v>1</v>
      </c>
      <c r="K1594" s="6" t="n">
        <v>19</v>
      </c>
      <c r="L1594" s="6" t="n">
        <v>0</v>
      </c>
      <c r="M1594" s="6" t="n">
        <v>20</v>
      </c>
      <c r="N1594" s="11" t="n">
        <f aca="false">J1594/(J1594+K1594)</f>
        <v>0.05</v>
      </c>
      <c r="O1594" s="11" t="n">
        <f aca="false">IF(J1594+L1594=0,"",J1594/(J1594+L1594))</f>
        <v>1</v>
      </c>
      <c r="P1594" s="11" t="n">
        <f aca="false">2*J1594/(2*J1594+L1594+K1594)</f>
        <v>0.0952380952380952</v>
      </c>
      <c r="Q1594" s="11" t="n">
        <f aca="false">L1594/(L1594+M1594)</f>
        <v>0</v>
      </c>
      <c r="R1594" s="6" t="n">
        <v>0</v>
      </c>
      <c r="S1594" s="11"/>
      <c r="T1594" s="11" t="n">
        <v>0.05</v>
      </c>
      <c r="U1594" s="11" t="n">
        <v>0.95</v>
      </c>
      <c r="V1594" s="11" t="n">
        <v>0.95</v>
      </c>
    </row>
    <row r="1595" customFormat="false" ht="15" hidden="false" customHeight="false" outlineLevel="0" collapsed="false">
      <c r="A1595" s="6" t="s">
        <v>52</v>
      </c>
      <c r="B1595" s="6" t="s">
        <v>43</v>
      </c>
      <c r="C1595" s="6" t="s">
        <v>51</v>
      </c>
      <c r="D1595" s="6" t="s">
        <v>116</v>
      </c>
      <c r="E1595" s="6" t="n">
        <v>16</v>
      </c>
      <c r="F1595" s="6" t="n">
        <v>5</v>
      </c>
      <c r="G1595" s="6" t="s">
        <v>77</v>
      </c>
      <c r="H1595" s="11" t="n">
        <v>0.01</v>
      </c>
      <c r="I1595" s="6" t="n">
        <v>20</v>
      </c>
      <c r="J1595" s="6" t="n">
        <v>2</v>
      </c>
      <c r="K1595" s="6" t="n">
        <v>18</v>
      </c>
      <c r="L1595" s="6" t="n">
        <v>1</v>
      </c>
      <c r="M1595" s="6" t="n">
        <v>19</v>
      </c>
      <c r="N1595" s="11" t="n">
        <f aca="false">J1595/(J1595+K1595)</f>
        <v>0.1</v>
      </c>
      <c r="O1595" s="11" t="n">
        <f aca="false">IF(J1595+L1595=0,"",J1595/(J1595+L1595))</f>
        <v>0.666666666666667</v>
      </c>
      <c r="P1595" s="11" t="n">
        <f aca="false">2*J1595/(2*J1595+L1595+K1595)</f>
        <v>0.173913043478261</v>
      </c>
      <c r="Q1595" s="11" t="n">
        <f aca="false">L1595/(L1595+M1595)</f>
        <v>0.05</v>
      </c>
      <c r="R1595" s="6" t="n">
        <v>0</v>
      </c>
      <c r="S1595" s="11"/>
      <c r="T1595" s="11" t="n">
        <v>0.1</v>
      </c>
      <c r="U1595" s="11" t="n">
        <v>1</v>
      </c>
      <c r="V1595" s="11" t="n">
        <v>1</v>
      </c>
    </row>
    <row r="1596" customFormat="false" ht="15" hidden="false" customHeight="false" outlineLevel="0" collapsed="false">
      <c r="A1596" s="6" t="s">
        <v>52</v>
      </c>
      <c r="B1596" s="6" t="s">
        <v>43</v>
      </c>
      <c r="C1596" s="6" t="s">
        <v>51</v>
      </c>
      <c r="D1596" s="6" t="s">
        <v>116</v>
      </c>
      <c r="E1596" s="6" t="n">
        <v>16</v>
      </c>
      <c r="F1596" s="6" t="n">
        <v>5</v>
      </c>
      <c r="G1596" s="6" t="s">
        <v>78</v>
      </c>
      <c r="H1596" s="11" t="n">
        <v>0.01</v>
      </c>
      <c r="I1596" s="6" t="n">
        <v>200</v>
      </c>
      <c r="J1596" s="6" t="n">
        <v>13</v>
      </c>
      <c r="K1596" s="6" t="n">
        <v>187</v>
      </c>
      <c r="L1596" s="6" t="n">
        <v>1</v>
      </c>
      <c r="M1596" s="6" t="n">
        <v>199</v>
      </c>
      <c r="N1596" s="11" t="n">
        <f aca="false">J1596/(J1596+K1596)</f>
        <v>0.065</v>
      </c>
      <c r="O1596" s="11" t="n">
        <f aca="false">IF(J1596+L1596=0,"",J1596/(J1596+L1596))</f>
        <v>0.928571428571429</v>
      </c>
      <c r="P1596" s="11" t="n">
        <f aca="false">2*J1596/(2*J1596+L1596+K1596)</f>
        <v>0.121495327102804</v>
      </c>
      <c r="Q1596" s="11" t="n">
        <f aca="false">L1596/(L1596+M1596)</f>
        <v>0.005</v>
      </c>
      <c r="R1596" s="6" t="n">
        <v>23</v>
      </c>
      <c r="S1596" s="11" t="n">
        <v>0.0434782608695652</v>
      </c>
      <c r="T1596" s="11" t="n">
        <v>0.0677966101694915</v>
      </c>
      <c r="U1596" s="11" t="n">
        <v>0.88</v>
      </c>
      <c r="V1596" s="11" t="n">
        <v>0.845</v>
      </c>
    </row>
    <row r="1597" customFormat="false" ht="15" hidden="false" customHeight="false" outlineLevel="0" collapsed="false">
      <c r="A1597" s="6" t="s">
        <v>52</v>
      </c>
      <c r="B1597" s="6" t="s">
        <v>43</v>
      </c>
      <c r="C1597" s="6" t="s">
        <v>51</v>
      </c>
      <c r="D1597" s="6" t="s">
        <v>116</v>
      </c>
      <c r="E1597" s="6" t="n">
        <v>16</v>
      </c>
      <c r="F1597" s="6" t="n">
        <v>6</v>
      </c>
      <c r="G1597" s="6" t="s">
        <v>68</v>
      </c>
      <c r="H1597" s="11" t="n">
        <v>0.01</v>
      </c>
      <c r="I1597" s="6" t="n">
        <v>20</v>
      </c>
      <c r="J1597" s="6" t="n">
        <v>0</v>
      </c>
      <c r="K1597" s="6" t="n">
        <v>20</v>
      </c>
      <c r="L1597" s="6" t="n">
        <v>0</v>
      </c>
      <c r="M1597" s="6" t="n">
        <v>20</v>
      </c>
      <c r="N1597" s="11" t="n">
        <f aca="false">J1597/(J1597+K1597)</f>
        <v>0</v>
      </c>
      <c r="O1597" s="11" t="str">
        <f aca="false">IF(J1597+L1597=0,"",J1597/(J1597+L1597))</f>
        <v/>
      </c>
      <c r="P1597" s="11" t="n">
        <f aca="false">2*J1597/(2*J1597+L1597+K1597)</f>
        <v>0</v>
      </c>
      <c r="Q1597" s="11" t="n">
        <f aca="false">L1597/(L1597+M1597)</f>
        <v>0</v>
      </c>
      <c r="R1597" s="6" t="n">
        <v>0</v>
      </c>
      <c r="S1597" s="11"/>
      <c r="T1597" s="11" t="n">
        <v>0</v>
      </c>
      <c r="U1597" s="11" t="n">
        <v>0.85</v>
      </c>
      <c r="V1597" s="11" t="n">
        <v>0.85</v>
      </c>
    </row>
    <row r="1598" customFormat="false" ht="15" hidden="false" customHeight="false" outlineLevel="0" collapsed="false">
      <c r="A1598" s="6" t="s">
        <v>52</v>
      </c>
      <c r="B1598" s="6" t="s">
        <v>43</v>
      </c>
      <c r="C1598" s="6" t="s">
        <v>51</v>
      </c>
      <c r="D1598" s="6" t="s">
        <v>116</v>
      </c>
      <c r="E1598" s="6" t="n">
        <v>16</v>
      </c>
      <c r="F1598" s="6" t="n">
        <v>6</v>
      </c>
      <c r="G1598" s="6" t="s">
        <v>69</v>
      </c>
      <c r="H1598" s="11" t="n">
        <v>0.01</v>
      </c>
      <c r="I1598" s="6" t="n">
        <v>20</v>
      </c>
      <c r="J1598" s="6" t="n">
        <v>0</v>
      </c>
      <c r="K1598" s="6" t="n">
        <v>20</v>
      </c>
      <c r="L1598" s="6" t="n">
        <v>0</v>
      </c>
      <c r="M1598" s="6" t="n">
        <v>20</v>
      </c>
      <c r="N1598" s="11" t="n">
        <f aca="false">J1598/(J1598+K1598)</f>
        <v>0</v>
      </c>
      <c r="O1598" s="11" t="str">
        <f aca="false">IF(J1598+L1598=0,"",J1598/(J1598+L1598))</f>
        <v/>
      </c>
      <c r="P1598" s="11" t="n">
        <f aca="false">2*J1598/(2*J1598+L1598+K1598)</f>
        <v>0</v>
      </c>
      <c r="Q1598" s="11" t="n">
        <f aca="false">L1598/(L1598+M1598)</f>
        <v>0</v>
      </c>
      <c r="R1598" s="6" t="n">
        <v>0</v>
      </c>
      <c r="S1598" s="11"/>
      <c r="T1598" s="11" t="n">
        <v>0</v>
      </c>
      <c r="U1598" s="11" t="n">
        <v>1</v>
      </c>
      <c r="V1598" s="11" t="n">
        <v>1</v>
      </c>
    </row>
    <row r="1599" customFormat="false" ht="15" hidden="false" customHeight="false" outlineLevel="0" collapsed="false">
      <c r="A1599" s="6" t="s">
        <v>52</v>
      </c>
      <c r="B1599" s="6" t="s">
        <v>43</v>
      </c>
      <c r="C1599" s="6" t="s">
        <v>51</v>
      </c>
      <c r="D1599" s="6" t="s">
        <v>116</v>
      </c>
      <c r="E1599" s="6" t="n">
        <v>16</v>
      </c>
      <c r="F1599" s="6" t="n">
        <v>6</v>
      </c>
      <c r="G1599" s="6" t="s">
        <v>70</v>
      </c>
      <c r="H1599" s="11" t="n">
        <v>0.01</v>
      </c>
      <c r="I1599" s="6" t="n">
        <v>20</v>
      </c>
      <c r="J1599" s="6" t="n">
        <v>0</v>
      </c>
      <c r="K1599" s="6" t="n">
        <v>20</v>
      </c>
      <c r="L1599" s="6" t="n">
        <v>0</v>
      </c>
      <c r="M1599" s="6" t="n">
        <v>20</v>
      </c>
      <c r="N1599" s="11" t="n">
        <f aca="false">J1599/(J1599+K1599)</f>
        <v>0</v>
      </c>
      <c r="O1599" s="11" t="str">
        <f aca="false">IF(J1599+L1599=0,"",J1599/(J1599+L1599))</f>
        <v/>
      </c>
      <c r="P1599" s="11" t="n">
        <f aca="false">2*J1599/(2*J1599+L1599+K1599)</f>
        <v>0</v>
      </c>
      <c r="Q1599" s="11" t="n">
        <f aca="false">L1599/(L1599+M1599)</f>
        <v>0</v>
      </c>
      <c r="R1599" s="6" t="n">
        <v>0</v>
      </c>
      <c r="S1599" s="11"/>
      <c r="T1599" s="11" t="n">
        <v>0</v>
      </c>
      <c r="U1599" s="11" t="n">
        <v>0.9</v>
      </c>
      <c r="V1599" s="11" t="n">
        <v>0.9</v>
      </c>
    </row>
    <row r="1600" customFormat="false" ht="15" hidden="false" customHeight="false" outlineLevel="0" collapsed="false">
      <c r="A1600" s="6" t="s">
        <v>52</v>
      </c>
      <c r="B1600" s="6" t="s">
        <v>43</v>
      </c>
      <c r="C1600" s="6" t="s">
        <v>51</v>
      </c>
      <c r="D1600" s="6" t="s">
        <v>116</v>
      </c>
      <c r="E1600" s="6" t="n">
        <v>16</v>
      </c>
      <c r="F1600" s="6" t="n">
        <v>6</v>
      </c>
      <c r="G1600" s="6" t="s">
        <v>71</v>
      </c>
      <c r="H1600" s="11" t="n">
        <v>0.01</v>
      </c>
      <c r="I1600" s="6" t="n">
        <v>20</v>
      </c>
      <c r="J1600" s="6" t="n">
        <v>0</v>
      </c>
      <c r="K1600" s="6" t="n">
        <v>20</v>
      </c>
      <c r="L1600" s="6" t="n">
        <v>0</v>
      </c>
      <c r="M1600" s="6" t="n">
        <v>20</v>
      </c>
      <c r="N1600" s="11" t="n">
        <f aca="false">J1600/(J1600+K1600)</f>
        <v>0</v>
      </c>
      <c r="O1600" s="11" t="str">
        <f aca="false">IF(J1600+L1600=0,"",J1600/(J1600+L1600))</f>
        <v/>
      </c>
      <c r="P1600" s="11" t="n">
        <f aca="false">2*J1600/(2*J1600+L1600+K1600)</f>
        <v>0</v>
      </c>
      <c r="Q1600" s="11" t="n">
        <f aca="false">L1600/(L1600+M1600)</f>
        <v>0</v>
      </c>
      <c r="R1600" s="6" t="n">
        <v>0</v>
      </c>
      <c r="S1600" s="11"/>
      <c r="T1600" s="11" t="n">
        <v>0</v>
      </c>
      <c r="U1600" s="11" t="n">
        <v>0.8</v>
      </c>
      <c r="V1600" s="11" t="n">
        <v>0.8</v>
      </c>
    </row>
    <row r="1601" customFormat="false" ht="15" hidden="false" customHeight="false" outlineLevel="0" collapsed="false">
      <c r="A1601" s="6" t="s">
        <v>52</v>
      </c>
      <c r="B1601" s="6" t="s">
        <v>43</v>
      </c>
      <c r="C1601" s="6" t="s">
        <v>51</v>
      </c>
      <c r="D1601" s="6" t="s">
        <v>116</v>
      </c>
      <c r="E1601" s="6" t="n">
        <v>16</v>
      </c>
      <c r="F1601" s="6" t="n">
        <v>6</v>
      </c>
      <c r="G1601" s="6" t="s">
        <v>72</v>
      </c>
      <c r="H1601" s="11" t="n">
        <v>0.01</v>
      </c>
      <c r="I1601" s="6" t="n">
        <v>20</v>
      </c>
      <c r="J1601" s="6" t="n">
        <v>0</v>
      </c>
      <c r="K1601" s="6" t="n">
        <v>20</v>
      </c>
      <c r="L1601" s="6" t="n">
        <v>0</v>
      </c>
      <c r="M1601" s="6" t="n">
        <v>20</v>
      </c>
      <c r="N1601" s="11" t="n">
        <f aca="false">J1601/(J1601+K1601)</f>
        <v>0</v>
      </c>
      <c r="O1601" s="11" t="str">
        <f aca="false">IF(J1601+L1601=0,"",J1601/(J1601+L1601))</f>
        <v/>
      </c>
      <c r="P1601" s="11" t="n">
        <f aca="false">2*J1601/(2*J1601+L1601+K1601)</f>
        <v>0</v>
      </c>
      <c r="Q1601" s="11" t="n">
        <f aca="false">L1601/(L1601+M1601)</f>
        <v>0</v>
      </c>
      <c r="R1601" s="6" t="n">
        <v>0</v>
      </c>
      <c r="S1601" s="11"/>
      <c r="T1601" s="11" t="n">
        <v>0</v>
      </c>
      <c r="U1601" s="11" t="n">
        <v>0.9</v>
      </c>
      <c r="V1601" s="11" t="n">
        <v>0.9</v>
      </c>
    </row>
    <row r="1602" customFormat="false" ht="15" hidden="false" customHeight="false" outlineLevel="0" collapsed="false">
      <c r="A1602" s="6" t="s">
        <v>52</v>
      </c>
      <c r="B1602" s="6" t="s">
        <v>43</v>
      </c>
      <c r="C1602" s="6" t="s">
        <v>51</v>
      </c>
      <c r="D1602" s="6" t="s">
        <v>116</v>
      </c>
      <c r="E1602" s="6" t="n">
        <v>16</v>
      </c>
      <c r="F1602" s="6" t="n">
        <v>6</v>
      </c>
      <c r="G1602" s="6" t="s">
        <v>73</v>
      </c>
      <c r="H1602" s="11" t="n">
        <v>0.01</v>
      </c>
      <c r="I1602" s="6" t="n">
        <v>20</v>
      </c>
      <c r="J1602" s="6" t="n">
        <v>0</v>
      </c>
      <c r="K1602" s="6" t="n">
        <v>20</v>
      </c>
      <c r="L1602" s="6" t="n">
        <v>0</v>
      </c>
      <c r="M1602" s="6" t="n">
        <v>20</v>
      </c>
      <c r="N1602" s="11" t="n">
        <f aca="false">J1602/(J1602+K1602)</f>
        <v>0</v>
      </c>
      <c r="O1602" s="11" t="str">
        <f aca="false">IF(J1602+L1602=0,"",J1602/(J1602+L1602))</f>
        <v/>
      </c>
      <c r="P1602" s="11" t="n">
        <f aca="false">2*J1602/(2*J1602+L1602+K1602)</f>
        <v>0</v>
      </c>
      <c r="Q1602" s="11" t="n">
        <f aca="false">L1602/(L1602+M1602)</f>
        <v>0</v>
      </c>
      <c r="R1602" s="6" t="n">
        <v>0</v>
      </c>
      <c r="S1602" s="11"/>
      <c r="T1602" s="11" t="n">
        <v>0</v>
      </c>
      <c r="U1602" s="11" t="n">
        <v>0.65</v>
      </c>
      <c r="V1602" s="11" t="n">
        <v>0.65</v>
      </c>
    </row>
    <row r="1603" customFormat="false" ht="15" hidden="false" customHeight="false" outlineLevel="0" collapsed="false">
      <c r="A1603" s="6" t="s">
        <v>52</v>
      </c>
      <c r="B1603" s="6" t="s">
        <v>43</v>
      </c>
      <c r="C1603" s="6" t="s">
        <v>51</v>
      </c>
      <c r="D1603" s="6" t="s">
        <v>116</v>
      </c>
      <c r="E1603" s="6" t="n">
        <v>16</v>
      </c>
      <c r="F1603" s="6" t="n">
        <v>6</v>
      </c>
      <c r="G1603" s="6" t="s">
        <v>74</v>
      </c>
      <c r="H1603" s="11" t="n">
        <v>0.01</v>
      </c>
      <c r="I1603" s="6" t="n">
        <v>20</v>
      </c>
      <c r="J1603" s="6" t="n">
        <v>0</v>
      </c>
      <c r="K1603" s="6" t="n">
        <v>20</v>
      </c>
      <c r="L1603" s="6" t="n">
        <v>0</v>
      </c>
      <c r="M1603" s="6" t="n">
        <v>20</v>
      </c>
      <c r="N1603" s="11" t="n">
        <f aca="false">J1603/(J1603+K1603)</f>
        <v>0</v>
      </c>
      <c r="O1603" s="11" t="str">
        <f aca="false">IF(J1603+L1603=0,"",J1603/(J1603+L1603))</f>
        <v/>
      </c>
      <c r="P1603" s="11" t="n">
        <f aca="false">2*J1603/(2*J1603+L1603+K1603)</f>
        <v>0</v>
      </c>
      <c r="Q1603" s="11" t="n">
        <f aca="false">L1603/(L1603+M1603)</f>
        <v>0</v>
      </c>
      <c r="R1603" s="6" t="n">
        <v>1</v>
      </c>
      <c r="S1603" s="11" t="n">
        <v>0</v>
      </c>
      <c r="T1603" s="11" t="n">
        <v>0</v>
      </c>
      <c r="U1603" s="11" t="n">
        <v>0.85</v>
      </c>
      <c r="V1603" s="11" t="n">
        <v>0.9</v>
      </c>
    </row>
    <row r="1604" customFormat="false" ht="15" hidden="false" customHeight="false" outlineLevel="0" collapsed="false">
      <c r="A1604" s="6" t="s">
        <v>52</v>
      </c>
      <c r="B1604" s="6" t="s">
        <v>43</v>
      </c>
      <c r="C1604" s="6" t="s">
        <v>51</v>
      </c>
      <c r="D1604" s="6" t="s">
        <v>116</v>
      </c>
      <c r="E1604" s="6" t="n">
        <v>16</v>
      </c>
      <c r="F1604" s="6" t="n">
        <v>6</v>
      </c>
      <c r="G1604" s="6" t="s">
        <v>75</v>
      </c>
      <c r="H1604" s="11" t="n">
        <v>0.01</v>
      </c>
      <c r="I1604" s="6" t="n">
        <v>20</v>
      </c>
      <c r="J1604" s="6" t="n">
        <v>0</v>
      </c>
      <c r="K1604" s="6" t="n">
        <v>20</v>
      </c>
      <c r="L1604" s="6" t="n">
        <v>0</v>
      </c>
      <c r="M1604" s="6" t="n">
        <v>20</v>
      </c>
      <c r="N1604" s="11" t="n">
        <f aca="false">J1604/(J1604+K1604)</f>
        <v>0</v>
      </c>
      <c r="O1604" s="11" t="str">
        <f aca="false">IF(J1604+L1604=0,"",J1604/(J1604+L1604))</f>
        <v/>
      </c>
      <c r="P1604" s="11" t="n">
        <f aca="false">2*J1604/(2*J1604+L1604+K1604)</f>
        <v>0</v>
      </c>
      <c r="Q1604" s="11" t="n">
        <f aca="false">L1604/(L1604+M1604)</f>
        <v>0</v>
      </c>
      <c r="R1604" s="6" t="n">
        <v>0</v>
      </c>
      <c r="S1604" s="11"/>
      <c r="T1604" s="11" t="n">
        <v>0</v>
      </c>
      <c r="U1604" s="11" t="n">
        <v>0.9</v>
      </c>
      <c r="V1604" s="11" t="n">
        <v>0.9</v>
      </c>
    </row>
    <row r="1605" customFormat="false" ht="15" hidden="false" customHeight="false" outlineLevel="0" collapsed="false">
      <c r="A1605" s="6" t="s">
        <v>52</v>
      </c>
      <c r="B1605" s="6" t="s">
        <v>43</v>
      </c>
      <c r="C1605" s="6" t="s">
        <v>51</v>
      </c>
      <c r="D1605" s="6" t="s">
        <v>116</v>
      </c>
      <c r="E1605" s="6" t="n">
        <v>16</v>
      </c>
      <c r="F1605" s="6" t="n">
        <v>6</v>
      </c>
      <c r="G1605" s="6" t="s">
        <v>76</v>
      </c>
      <c r="H1605" s="11" t="n">
        <v>0.01</v>
      </c>
      <c r="I1605" s="6" t="n">
        <v>20</v>
      </c>
      <c r="J1605" s="6" t="n">
        <v>0</v>
      </c>
      <c r="K1605" s="6" t="n">
        <v>20</v>
      </c>
      <c r="L1605" s="6" t="n">
        <v>0</v>
      </c>
      <c r="M1605" s="6" t="n">
        <v>20</v>
      </c>
      <c r="N1605" s="11" t="n">
        <f aca="false">J1605/(J1605+K1605)</f>
        <v>0</v>
      </c>
      <c r="O1605" s="11" t="str">
        <f aca="false">IF(J1605+L1605=0,"",J1605/(J1605+L1605))</f>
        <v/>
      </c>
      <c r="P1605" s="11" t="n">
        <f aca="false">2*J1605/(2*J1605+L1605+K1605)</f>
        <v>0</v>
      </c>
      <c r="Q1605" s="11" t="n">
        <f aca="false">L1605/(L1605+M1605)</f>
        <v>0</v>
      </c>
      <c r="R1605" s="6" t="n">
        <v>0</v>
      </c>
      <c r="S1605" s="11"/>
      <c r="T1605" s="11" t="n">
        <v>0</v>
      </c>
      <c r="U1605" s="11" t="n">
        <v>0.95</v>
      </c>
      <c r="V1605" s="11" t="n">
        <v>0.95</v>
      </c>
    </row>
    <row r="1606" customFormat="false" ht="15" hidden="false" customHeight="false" outlineLevel="0" collapsed="false">
      <c r="A1606" s="6" t="s">
        <v>52</v>
      </c>
      <c r="B1606" s="6" t="s">
        <v>43</v>
      </c>
      <c r="C1606" s="6" t="s">
        <v>51</v>
      </c>
      <c r="D1606" s="6" t="s">
        <v>116</v>
      </c>
      <c r="E1606" s="6" t="n">
        <v>16</v>
      </c>
      <c r="F1606" s="6" t="n">
        <v>6</v>
      </c>
      <c r="G1606" s="6" t="s">
        <v>77</v>
      </c>
      <c r="H1606" s="11" t="n">
        <v>0.01</v>
      </c>
      <c r="I1606" s="6" t="n">
        <v>20</v>
      </c>
      <c r="J1606" s="6" t="n">
        <v>1</v>
      </c>
      <c r="K1606" s="6" t="n">
        <v>19</v>
      </c>
      <c r="L1606" s="6" t="n">
        <v>1</v>
      </c>
      <c r="M1606" s="6" t="n">
        <v>19</v>
      </c>
      <c r="N1606" s="11" t="n">
        <f aca="false">J1606/(J1606+K1606)</f>
        <v>0.05</v>
      </c>
      <c r="O1606" s="11" t="n">
        <f aca="false">IF(J1606+L1606=0,"",J1606/(J1606+L1606))</f>
        <v>0.5</v>
      </c>
      <c r="P1606" s="11" t="n">
        <f aca="false">2*J1606/(2*J1606+L1606+K1606)</f>
        <v>0.0909090909090909</v>
      </c>
      <c r="Q1606" s="11" t="n">
        <f aca="false">L1606/(L1606+M1606)</f>
        <v>0.05</v>
      </c>
      <c r="R1606" s="6" t="n">
        <v>0</v>
      </c>
      <c r="S1606" s="11"/>
      <c r="T1606" s="11" t="n">
        <v>0.05</v>
      </c>
      <c r="U1606" s="11" t="n">
        <v>1</v>
      </c>
      <c r="V1606" s="11" t="n">
        <v>1</v>
      </c>
    </row>
    <row r="1607" customFormat="false" ht="15" hidden="false" customHeight="false" outlineLevel="0" collapsed="false">
      <c r="A1607" s="6" t="s">
        <v>52</v>
      </c>
      <c r="B1607" s="6" t="s">
        <v>43</v>
      </c>
      <c r="C1607" s="6" t="s">
        <v>51</v>
      </c>
      <c r="D1607" s="6" t="s">
        <v>116</v>
      </c>
      <c r="E1607" s="6" t="n">
        <v>16</v>
      </c>
      <c r="F1607" s="6" t="n">
        <v>6</v>
      </c>
      <c r="G1607" s="6" t="s">
        <v>78</v>
      </c>
      <c r="H1607" s="11" t="n">
        <v>0.01</v>
      </c>
      <c r="I1607" s="6" t="n">
        <v>200</v>
      </c>
      <c r="J1607" s="6" t="n">
        <v>1</v>
      </c>
      <c r="K1607" s="6" t="n">
        <v>199</v>
      </c>
      <c r="L1607" s="6" t="n">
        <v>1</v>
      </c>
      <c r="M1607" s="6" t="n">
        <v>199</v>
      </c>
      <c r="N1607" s="11" t="n">
        <f aca="false">J1607/(J1607+K1607)</f>
        <v>0.005</v>
      </c>
      <c r="O1607" s="11" t="n">
        <f aca="false">IF(J1607+L1607=0,"",J1607/(J1607+L1607))</f>
        <v>0.5</v>
      </c>
      <c r="P1607" s="11" t="n">
        <f aca="false">2*J1607/(2*J1607+L1607+K1607)</f>
        <v>0.0099009900990099</v>
      </c>
      <c r="Q1607" s="11" t="n">
        <f aca="false">L1607/(L1607+M1607)</f>
        <v>0.005</v>
      </c>
      <c r="R1607" s="6" t="n">
        <v>1</v>
      </c>
      <c r="S1607" s="11" t="n">
        <v>0</v>
      </c>
      <c r="T1607" s="11" t="n">
        <v>0.0050251256281407</v>
      </c>
      <c r="U1607" s="11" t="n">
        <v>0.88</v>
      </c>
      <c r="V1607" s="11" t="n">
        <v>0.885</v>
      </c>
    </row>
    <row r="1608" customFormat="false" ht="15" hidden="false" customHeight="false" outlineLevel="0" collapsed="false">
      <c r="A1608" s="6" t="s">
        <v>52</v>
      </c>
      <c r="B1608" s="6" t="s">
        <v>43</v>
      </c>
      <c r="C1608" s="6" t="s">
        <v>51</v>
      </c>
      <c r="D1608" s="6" t="s">
        <v>116</v>
      </c>
      <c r="E1608" s="6" t="n">
        <v>16</v>
      </c>
      <c r="F1608" s="6" t="n">
        <v>7</v>
      </c>
      <c r="G1608" s="6" t="s">
        <v>68</v>
      </c>
      <c r="H1608" s="11" t="n">
        <v>0.01</v>
      </c>
      <c r="I1608" s="6" t="n">
        <v>20</v>
      </c>
      <c r="J1608" s="6" t="n">
        <v>0</v>
      </c>
      <c r="K1608" s="6" t="n">
        <v>20</v>
      </c>
      <c r="L1608" s="6" t="n">
        <v>0</v>
      </c>
      <c r="M1608" s="6" t="n">
        <v>20</v>
      </c>
      <c r="N1608" s="11" t="n">
        <f aca="false">J1608/(J1608+K1608)</f>
        <v>0</v>
      </c>
      <c r="O1608" s="11" t="str">
        <f aca="false">IF(J1608+L1608=0,"",J1608/(J1608+L1608))</f>
        <v/>
      </c>
      <c r="P1608" s="11" t="n">
        <f aca="false">2*J1608/(2*J1608+L1608+K1608)</f>
        <v>0</v>
      </c>
      <c r="Q1608" s="11" t="n">
        <f aca="false">L1608/(L1608+M1608)</f>
        <v>0</v>
      </c>
      <c r="R1608" s="6" t="n">
        <v>1</v>
      </c>
      <c r="S1608" s="11" t="n">
        <v>0</v>
      </c>
      <c r="T1608" s="11" t="n">
        <v>0</v>
      </c>
      <c r="U1608" s="11" t="n">
        <v>0.85</v>
      </c>
      <c r="V1608" s="11" t="n">
        <v>0.85</v>
      </c>
    </row>
    <row r="1609" customFormat="false" ht="15" hidden="false" customHeight="false" outlineLevel="0" collapsed="false">
      <c r="A1609" s="6" t="s">
        <v>52</v>
      </c>
      <c r="B1609" s="6" t="s">
        <v>43</v>
      </c>
      <c r="C1609" s="6" t="s">
        <v>51</v>
      </c>
      <c r="D1609" s="6" t="s">
        <v>116</v>
      </c>
      <c r="E1609" s="6" t="n">
        <v>16</v>
      </c>
      <c r="F1609" s="6" t="n">
        <v>7</v>
      </c>
      <c r="G1609" s="6" t="s">
        <v>69</v>
      </c>
      <c r="H1609" s="11" t="n">
        <v>0.01</v>
      </c>
      <c r="I1609" s="6" t="n">
        <v>20</v>
      </c>
      <c r="J1609" s="6" t="n">
        <v>0</v>
      </c>
      <c r="K1609" s="6" t="n">
        <v>20</v>
      </c>
      <c r="L1609" s="6" t="n">
        <v>0</v>
      </c>
      <c r="M1609" s="6" t="n">
        <v>20</v>
      </c>
      <c r="N1609" s="11" t="n">
        <f aca="false">J1609/(J1609+K1609)</f>
        <v>0</v>
      </c>
      <c r="O1609" s="11" t="str">
        <f aca="false">IF(J1609+L1609=0,"",J1609/(J1609+L1609))</f>
        <v/>
      </c>
      <c r="P1609" s="11" t="n">
        <f aca="false">2*J1609/(2*J1609+L1609+K1609)</f>
        <v>0</v>
      </c>
      <c r="Q1609" s="11" t="n">
        <f aca="false">L1609/(L1609+M1609)</f>
        <v>0</v>
      </c>
      <c r="R1609" s="6" t="n">
        <v>0</v>
      </c>
      <c r="S1609" s="11"/>
      <c r="T1609" s="11" t="n">
        <v>0</v>
      </c>
      <c r="U1609" s="11" t="n">
        <v>1</v>
      </c>
      <c r="V1609" s="11" t="n">
        <v>1</v>
      </c>
    </row>
    <row r="1610" customFormat="false" ht="15" hidden="false" customHeight="false" outlineLevel="0" collapsed="false">
      <c r="A1610" s="6" t="s">
        <v>52</v>
      </c>
      <c r="B1610" s="6" t="s">
        <v>43</v>
      </c>
      <c r="C1610" s="6" t="s">
        <v>51</v>
      </c>
      <c r="D1610" s="6" t="s">
        <v>116</v>
      </c>
      <c r="E1610" s="6" t="n">
        <v>16</v>
      </c>
      <c r="F1610" s="6" t="n">
        <v>7</v>
      </c>
      <c r="G1610" s="6" t="s">
        <v>70</v>
      </c>
      <c r="H1610" s="11" t="n">
        <v>0.01</v>
      </c>
      <c r="I1610" s="6" t="n">
        <v>20</v>
      </c>
      <c r="J1610" s="6" t="n">
        <v>0</v>
      </c>
      <c r="K1610" s="6" t="n">
        <v>20</v>
      </c>
      <c r="L1610" s="6" t="n">
        <v>0</v>
      </c>
      <c r="M1610" s="6" t="n">
        <v>20</v>
      </c>
      <c r="N1610" s="11" t="n">
        <f aca="false">J1610/(J1610+K1610)</f>
        <v>0</v>
      </c>
      <c r="O1610" s="11" t="str">
        <f aca="false">IF(J1610+L1610=0,"",J1610/(J1610+L1610))</f>
        <v/>
      </c>
      <c r="P1610" s="11" t="n">
        <f aca="false">2*J1610/(2*J1610+L1610+K1610)</f>
        <v>0</v>
      </c>
      <c r="Q1610" s="11" t="n">
        <f aca="false">L1610/(L1610+M1610)</f>
        <v>0</v>
      </c>
      <c r="R1610" s="6" t="n">
        <v>1</v>
      </c>
      <c r="S1610" s="11" t="n">
        <v>0</v>
      </c>
      <c r="T1610" s="11" t="n">
        <v>0</v>
      </c>
      <c r="U1610" s="11" t="n">
        <v>0.9</v>
      </c>
      <c r="V1610" s="11" t="n">
        <v>0.95</v>
      </c>
    </row>
    <row r="1611" customFormat="false" ht="15" hidden="false" customHeight="false" outlineLevel="0" collapsed="false">
      <c r="A1611" s="6" t="s">
        <v>52</v>
      </c>
      <c r="B1611" s="6" t="s">
        <v>43</v>
      </c>
      <c r="C1611" s="6" t="s">
        <v>51</v>
      </c>
      <c r="D1611" s="6" t="s">
        <v>116</v>
      </c>
      <c r="E1611" s="6" t="n">
        <v>16</v>
      </c>
      <c r="F1611" s="6" t="n">
        <v>7</v>
      </c>
      <c r="G1611" s="6" t="s">
        <v>71</v>
      </c>
      <c r="H1611" s="11" t="n">
        <v>0.01</v>
      </c>
      <c r="I1611" s="6" t="n">
        <v>20</v>
      </c>
      <c r="J1611" s="6" t="n">
        <v>6</v>
      </c>
      <c r="K1611" s="6" t="n">
        <v>14</v>
      </c>
      <c r="L1611" s="6" t="n">
        <v>0</v>
      </c>
      <c r="M1611" s="6" t="n">
        <v>20</v>
      </c>
      <c r="N1611" s="11" t="n">
        <f aca="false">J1611/(J1611+K1611)</f>
        <v>0.3</v>
      </c>
      <c r="O1611" s="11" t="n">
        <f aca="false">IF(J1611+L1611=0,"",J1611/(J1611+L1611))</f>
        <v>1</v>
      </c>
      <c r="P1611" s="11" t="n">
        <f aca="false">2*J1611/(2*J1611+L1611+K1611)</f>
        <v>0.461538461538462</v>
      </c>
      <c r="Q1611" s="11" t="n">
        <f aca="false">L1611/(L1611+M1611)</f>
        <v>0</v>
      </c>
      <c r="R1611" s="6" t="n">
        <v>0</v>
      </c>
      <c r="S1611" s="11"/>
      <c r="T1611" s="11" t="n">
        <v>0.3</v>
      </c>
      <c r="U1611" s="11" t="n">
        <v>0.8</v>
      </c>
      <c r="V1611" s="11" t="n">
        <v>0.8</v>
      </c>
    </row>
    <row r="1612" customFormat="false" ht="15" hidden="false" customHeight="false" outlineLevel="0" collapsed="false">
      <c r="A1612" s="6" t="s">
        <v>52</v>
      </c>
      <c r="B1612" s="6" t="s">
        <v>43</v>
      </c>
      <c r="C1612" s="6" t="s">
        <v>51</v>
      </c>
      <c r="D1612" s="6" t="s">
        <v>116</v>
      </c>
      <c r="E1612" s="6" t="n">
        <v>16</v>
      </c>
      <c r="F1612" s="6" t="n">
        <v>7</v>
      </c>
      <c r="G1612" s="6" t="s">
        <v>72</v>
      </c>
      <c r="H1612" s="11" t="n">
        <v>0.01</v>
      </c>
      <c r="I1612" s="6" t="n">
        <v>20</v>
      </c>
      <c r="J1612" s="6" t="n">
        <v>0</v>
      </c>
      <c r="K1612" s="6" t="n">
        <v>20</v>
      </c>
      <c r="L1612" s="6" t="n">
        <v>0</v>
      </c>
      <c r="M1612" s="6" t="n">
        <v>20</v>
      </c>
      <c r="N1612" s="11" t="n">
        <f aca="false">J1612/(J1612+K1612)</f>
        <v>0</v>
      </c>
      <c r="O1612" s="11" t="str">
        <f aca="false">IF(J1612+L1612=0,"",J1612/(J1612+L1612))</f>
        <v/>
      </c>
      <c r="P1612" s="11" t="n">
        <f aca="false">2*J1612/(2*J1612+L1612+K1612)</f>
        <v>0</v>
      </c>
      <c r="Q1612" s="11" t="n">
        <f aca="false">L1612/(L1612+M1612)</f>
        <v>0</v>
      </c>
      <c r="R1612" s="6" t="n">
        <v>1</v>
      </c>
      <c r="S1612" s="11" t="n">
        <v>0</v>
      </c>
      <c r="T1612" s="11" t="n">
        <v>0</v>
      </c>
      <c r="U1612" s="11" t="n">
        <v>0.9</v>
      </c>
      <c r="V1612" s="11" t="n">
        <v>0.85</v>
      </c>
    </row>
    <row r="1613" customFormat="false" ht="15" hidden="false" customHeight="false" outlineLevel="0" collapsed="false">
      <c r="A1613" s="6" t="s">
        <v>52</v>
      </c>
      <c r="B1613" s="6" t="s">
        <v>43</v>
      </c>
      <c r="C1613" s="6" t="s">
        <v>51</v>
      </c>
      <c r="D1613" s="6" t="s">
        <v>116</v>
      </c>
      <c r="E1613" s="6" t="n">
        <v>16</v>
      </c>
      <c r="F1613" s="6" t="n">
        <v>7</v>
      </c>
      <c r="G1613" s="6" t="s">
        <v>73</v>
      </c>
      <c r="H1613" s="11" t="n">
        <v>0.01</v>
      </c>
      <c r="I1613" s="6" t="n">
        <v>20</v>
      </c>
      <c r="J1613" s="6" t="n">
        <v>3</v>
      </c>
      <c r="K1613" s="6" t="n">
        <v>17</v>
      </c>
      <c r="L1613" s="6" t="n">
        <v>0</v>
      </c>
      <c r="M1613" s="6" t="n">
        <v>20</v>
      </c>
      <c r="N1613" s="11" t="n">
        <f aca="false">J1613/(J1613+K1613)</f>
        <v>0.15</v>
      </c>
      <c r="O1613" s="11" t="n">
        <f aca="false">IF(J1613+L1613=0,"",J1613/(J1613+L1613))</f>
        <v>1</v>
      </c>
      <c r="P1613" s="11" t="n">
        <f aca="false">2*J1613/(2*J1613+L1613+K1613)</f>
        <v>0.260869565217391</v>
      </c>
      <c r="Q1613" s="11" t="n">
        <f aca="false">L1613/(L1613+M1613)</f>
        <v>0</v>
      </c>
      <c r="R1613" s="6" t="n">
        <v>1</v>
      </c>
      <c r="S1613" s="11" t="n">
        <v>0</v>
      </c>
      <c r="T1613" s="11" t="n">
        <v>0.157894736842105</v>
      </c>
      <c r="U1613" s="11" t="n">
        <v>0.65</v>
      </c>
      <c r="V1613" s="11" t="n">
        <v>0.65</v>
      </c>
    </row>
    <row r="1614" customFormat="false" ht="15" hidden="false" customHeight="false" outlineLevel="0" collapsed="false">
      <c r="A1614" s="6" t="s">
        <v>52</v>
      </c>
      <c r="B1614" s="6" t="s">
        <v>43</v>
      </c>
      <c r="C1614" s="6" t="s">
        <v>51</v>
      </c>
      <c r="D1614" s="6" t="s">
        <v>116</v>
      </c>
      <c r="E1614" s="6" t="n">
        <v>16</v>
      </c>
      <c r="F1614" s="6" t="n">
        <v>7</v>
      </c>
      <c r="G1614" s="6" t="s">
        <v>74</v>
      </c>
      <c r="H1614" s="11" t="n">
        <v>0.01</v>
      </c>
      <c r="I1614" s="6" t="n">
        <v>20</v>
      </c>
      <c r="J1614" s="6" t="n">
        <v>1</v>
      </c>
      <c r="K1614" s="6" t="n">
        <v>19</v>
      </c>
      <c r="L1614" s="6" t="n">
        <v>0</v>
      </c>
      <c r="M1614" s="6" t="n">
        <v>20</v>
      </c>
      <c r="N1614" s="11" t="n">
        <f aca="false">J1614/(J1614+K1614)</f>
        <v>0.05</v>
      </c>
      <c r="O1614" s="11" t="n">
        <f aca="false">IF(J1614+L1614=0,"",J1614/(J1614+L1614))</f>
        <v>1</v>
      </c>
      <c r="P1614" s="11" t="n">
        <f aca="false">2*J1614/(2*J1614+L1614+K1614)</f>
        <v>0.0952380952380952</v>
      </c>
      <c r="Q1614" s="11" t="n">
        <f aca="false">L1614/(L1614+M1614)</f>
        <v>0</v>
      </c>
      <c r="R1614" s="6" t="n">
        <v>2</v>
      </c>
      <c r="S1614" s="11" t="n">
        <v>0</v>
      </c>
      <c r="T1614" s="11" t="n">
        <v>0.0555555555555556</v>
      </c>
      <c r="U1614" s="11" t="n">
        <v>0.85</v>
      </c>
      <c r="V1614" s="11" t="n">
        <v>0.8</v>
      </c>
    </row>
    <row r="1615" customFormat="false" ht="15" hidden="false" customHeight="false" outlineLevel="0" collapsed="false">
      <c r="A1615" s="6" t="s">
        <v>52</v>
      </c>
      <c r="B1615" s="6" t="s">
        <v>43</v>
      </c>
      <c r="C1615" s="6" t="s">
        <v>51</v>
      </c>
      <c r="D1615" s="6" t="s">
        <v>116</v>
      </c>
      <c r="E1615" s="6" t="n">
        <v>16</v>
      </c>
      <c r="F1615" s="6" t="n">
        <v>7</v>
      </c>
      <c r="G1615" s="6" t="s">
        <v>75</v>
      </c>
      <c r="H1615" s="11" t="n">
        <v>0.01</v>
      </c>
      <c r="I1615" s="6" t="n">
        <v>20</v>
      </c>
      <c r="J1615" s="6" t="n">
        <v>0</v>
      </c>
      <c r="K1615" s="6" t="n">
        <v>20</v>
      </c>
      <c r="L1615" s="6" t="n">
        <v>0</v>
      </c>
      <c r="M1615" s="6" t="n">
        <v>20</v>
      </c>
      <c r="N1615" s="11" t="n">
        <f aca="false">J1615/(J1615+K1615)</f>
        <v>0</v>
      </c>
      <c r="O1615" s="11" t="str">
        <f aca="false">IF(J1615+L1615=0,"",J1615/(J1615+L1615))</f>
        <v/>
      </c>
      <c r="P1615" s="11" t="n">
        <f aca="false">2*J1615/(2*J1615+L1615+K1615)</f>
        <v>0</v>
      </c>
      <c r="Q1615" s="11" t="n">
        <f aca="false">L1615/(L1615+M1615)</f>
        <v>0</v>
      </c>
      <c r="R1615" s="6" t="n">
        <v>1</v>
      </c>
      <c r="S1615" s="11" t="n">
        <v>0</v>
      </c>
      <c r="T1615" s="11" t="n">
        <v>0</v>
      </c>
      <c r="U1615" s="11" t="n">
        <v>0.9</v>
      </c>
      <c r="V1615" s="11" t="n">
        <v>0.9</v>
      </c>
    </row>
    <row r="1616" customFormat="false" ht="15" hidden="false" customHeight="false" outlineLevel="0" collapsed="false">
      <c r="A1616" s="6" t="s">
        <v>52</v>
      </c>
      <c r="B1616" s="6" t="s">
        <v>43</v>
      </c>
      <c r="C1616" s="6" t="s">
        <v>51</v>
      </c>
      <c r="D1616" s="6" t="s">
        <v>116</v>
      </c>
      <c r="E1616" s="6" t="n">
        <v>16</v>
      </c>
      <c r="F1616" s="6" t="n">
        <v>7</v>
      </c>
      <c r="G1616" s="6" t="s">
        <v>76</v>
      </c>
      <c r="H1616" s="11" t="n">
        <v>0.01</v>
      </c>
      <c r="I1616" s="6" t="n">
        <v>20</v>
      </c>
      <c r="J1616" s="6" t="n">
        <v>0</v>
      </c>
      <c r="K1616" s="6" t="n">
        <v>20</v>
      </c>
      <c r="L1616" s="6" t="n">
        <v>0</v>
      </c>
      <c r="M1616" s="6" t="n">
        <v>20</v>
      </c>
      <c r="N1616" s="11" t="n">
        <f aca="false">J1616/(J1616+K1616)</f>
        <v>0</v>
      </c>
      <c r="O1616" s="11" t="str">
        <f aca="false">IF(J1616+L1616=0,"",J1616/(J1616+L1616))</f>
        <v/>
      </c>
      <c r="P1616" s="11" t="n">
        <f aca="false">2*J1616/(2*J1616+L1616+K1616)</f>
        <v>0</v>
      </c>
      <c r="Q1616" s="11" t="n">
        <f aca="false">L1616/(L1616+M1616)</f>
        <v>0</v>
      </c>
      <c r="R1616" s="6" t="n">
        <v>0</v>
      </c>
      <c r="S1616" s="11"/>
      <c r="T1616" s="11" t="n">
        <v>0</v>
      </c>
      <c r="U1616" s="11" t="n">
        <v>0.95</v>
      </c>
      <c r="V1616" s="11" t="n">
        <v>0.95</v>
      </c>
    </row>
    <row r="1617" customFormat="false" ht="15" hidden="false" customHeight="false" outlineLevel="0" collapsed="false">
      <c r="A1617" s="6" t="s">
        <v>52</v>
      </c>
      <c r="B1617" s="6" t="s">
        <v>43</v>
      </c>
      <c r="C1617" s="6" t="s">
        <v>51</v>
      </c>
      <c r="D1617" s="6" t="s">
        <v>116</v>
      </c>
      <c r="E1617" s="6" t="n">
        <v>16</v>
      </c>
      <c r="F1617" s="6" t="n">
        <v>7</v>
      </c>
      <c r="G1617" s="6" t="s">
        <v>77</v>
      </c>
      <c r="H1617" s="11" t="n">
        <v>0.01</v>
      </c>
      <c r="I1617" s="6" t="n">
        <v>20</v>
      </c>
      <c r="J1617" s="6" t="n">
        <v>1</v>
      </c>
      <c r="K1617" s="6" t="n">
        <v>19</v>
      </c>
      <c r="L1617" s="6" t="n">
        <v>1</v>
      </c>
      <c r="M1617" s="6" t="n">
        <v>19</v>
      </c>
      <c r="N1617" s="11" t="n">
        <f aca="false">J1617/(J1617+K1617)</f>
        <v>0.05</v>
      </c>
      <c r="O1617" s="11" t="n">
        <f aca="false">IF(J1617+L1617=0,"",J1617/(J1617+L1617))</f>
        <v>0.5</v>
      </c>
      <c r="P1617" s="11" t="n">
        <f aca="false">2*J1617/(2*J1617+L1617+K1617)</f>
        <v>0.0909090909090909</v>
      </c>
      <c r="Q1617" s="11" t="n">
        <f aca="false">L1617/(L1617+M1617)</f>
        <v>0.05</v>
      </c>
      <c r="R1617" s="6" t="n">
        <v>0</v>
      </c>
      <c r="S1617" s="11"/>
      <c r="T1617" s="11" t="n">
        <v>0.05</v>
      </c>
      <c r="U1617" s="11" t="n">
        <v>1</v>
      </c>
      <c r="V1617" s="11" t="n">
        <v>1</v>
      </c>
    </row>
    <row r="1618" customFormat="false" ht="15" hidden="false" customHeight="false" outlineLevel="0" collapsed="false">
      <c r="A1618" s="6" t="s">
        <v>52</v>
      </c>
      <c r="B1618" s="6" t="s">
        <v>43</v>
      </c>
      <c r="C1618" s="6" t="s">
        <v>51</v>
      </c>
      <c r="D1618" s="6" t="s">
        <v>116</v>
      </c>
      <c r="E1618" s="6" t="n">
        <v>16</v>
      </c>
      <c r="F1618" s="6" t="n">
        <v>7</v>
      </c>
      <c r="G1618" s="6" t="s">
        <v>78</v>
      </c>
      <c r="H1618" s="11" t="n">
        <v>0.01</v>
      </c>
      <c r="I1618" s="6" t="n">
        <v>200</v>
      </c>
      <c r="J1618" s="6" t="n">
        <v>11</v>
      </c>
      <c r="K1618" s="6" t="n">
        <v>189</v>
      </c>
      <c r="L1618" s="6" t="n">
        <v>1</v>
      </c>
      <c r="M1618" s="6" t="n">
        <v>199</v>
      </c>
      <c r="N1618" s="11" t="n">
        <f aca="false">J1618/(J1618+K1618)</f>
        <v>0.055</v>
      </c>
      <c r="O1618" s="11" t="n">
        <f aca="false">IF(J1618+L1618=0,"",J1618/(J1618+L1618))</f>
        <v>0.916666666666667</v>
      </c>
      <c r="P1618" s="11" t="n">
        <f aca="false">2*J1618/(2*J1618+L1618+K1618)</f>
        <v>0.10377358490566</v>
      </c>
      <c r="Q1618" s="11" t="n">
        <f aca="false">L1618/(L1618+M1618)</f>
        <v>0.005</v>
      </c>
      <c r="R1618" s="6" t="n">
        <v>7</v>
      </c>
      <c r="S1618" s="11" t="n">
        <v>0</v>
      </c>
      <c r="T1618" s="11" t="n">
        <v>0.0569948186528497</v>
      </c>
      <c r="U1618" s="11" t="n">
        <v>0.88</v>
      </c>
      <c r="V1618" s="11" t="n">
        <v>0.875</v>
      </c>
    </row>
    <row r="1619" customFormat="false" ht="15" hidden="false" customHeight="false" outlineLevel="0" collapsed="false">
      <c r="A1619" s="6" t="s">
        <v>52</v>
      </c>
      <c r="B1619" s="6" t="s">
        <v>43</v>
      </c>
      <c r="C1619" s="6" t="s">
        <v>51</v>
      </c>
      <c r="D1619" s="6" t="s">
        <v>116</v>
      </c>
      <c r="E1619" s="6" t="n">
        <v>16</v>
      </c>
      <c r="F1619" s="6" t="n">
        <v>8</v>
      </c>
      <c r="G1619" s="6" t="s">
        <v>68</v>
      </c>
      <c r="H1619" s="11" t="n">
        <v>0.01</v>
      </c>
      <c r="I1619" s="6" t="n">
        <v>20</v>
      </c>
      <c r="J1619" s="6" t="n">
        <v>0</v>
      </c>
      <c r="K1619" s="6" t="n">
        <v>20</v>
      </c>
      <c r="L1619" s="6" t="n">
        <v>0</v>
      </c>
      <c r="M1619" s="6" t="n">
        <v>20</v>
      </c>
      <c r="N1619" s="11" t="n">
        <f aca="false">J1619/(J1619+K1619)</f>
        <v>0</v>
      </c>
      <c r="O1619" s="11" t="str">
        <f aca="false">IF(J1619+L1619=0,"",J1619/(J1619+L1619))</f>
        <v/>
      </c>
      <c r="P1619" s="11" t="n">
        <f aca="false">2*J1619/(2*J1619+L1619+K1619)</f>
        <v>0</v>
      </c>
      <c r="Q1619" s="11" t="n">
        <f aca="false">L1619/(L1619+M1619)</f>
        <v>0</v>
      </c>
      <c r="R1619" s="6" t="n">
        <v>1</v>
      </c>
      <c r="S1619" s="11" t="n">
        <v>0</v>
      </c>
      <c r="T1619" s="11" t="n">
        <v>0</v>
      </c>
      <c r="U1619" s="11" t="n">
        <v>0.85</v>
      </c>
      <c r="V1619" s="11" t="n">
        <v>0.9</v>
      </c>
    </row>
    <row r="1620" customFormat="false" ht="15" hidden="false" customHeight="false" outlineLevel="0" collapsed="false">
      <c r="A1620" s="6" t="s">
        <v>52</v>
      </c>
      <c r="B1620" s="6" t="s">
        <v>43</v>
      </c>
      <c r="C1620" s="6" t="s">
        <v>51</v>
      </c>
      <c r="D1620" s="6" t="s">
        <v>116</v>
      </c>
      <c r="E1620" s="6" t="n">
        <v>16</v>
      </c>
      <c r="F1620" s="6" t="n">
        <v>8</v>
      </c>
      <c r="G1620" s="6" t="s">
        <v>69</v>
      </c>
      <c r="H1620" s="11" t="n">
        <v>0.01</v>
      </c>
      <c r="I1620" s="6" t="n">
        <v>20</v>
      </c>
      <c r="J1620" s="6" t="n">
        <v>0</v>
      </c>
      <c r="K1620" s="6" t="n">
        <v>20</v>
      </c>
      <c r="L1620" s="6" t="n">
        <v>0</v>
      </c>
      <c r="M1620" s="6" t="n">
        <v>20</v>
      </c>
      <c r="N1620" s="11" t="n">
        <f aca="false">J1620/(J1620+K1620)</f>
        <v>0</v>
      </c>
      <c r="O1620" s="11" t="str">
        <f aca="false">IF(J1620+L1620=0,"",J1620/(J1620+L1620))</f>
        <v/>
      </c>
      <c r="P1620" s="11" t="n">
        <f aca="false">2*J1620/(2*J1620+L1620+K1620)</f>
        <v>0</v>
      </c>
      <c r="Q1620" s="11" t="n">
        <f aca="false">L1620/(L1620+M1620)</f>
        <v>0</v>
      </c>
      <c r="R1620" s="6" t="n">
        <v>0</v>
      </c>
      <c r="S1620" s="11"/>
      <c r="T1620" s="11" t="n">
        <v>0</v>
      </c>
      <c r="U1620" s="11" t="n">
        <v>1</v>
      </c>
      <c r="V1620" s="11" t="n">
        <v>1</v>
      </c>
    </row>
    <row r="1621" customFormat="false" ht="15" hidden="false" customHeight="false" outlineLevel="0" collapsed="false">
      <c r="A1621" s="6" t="s">
        <v>52</v>
      </c>
      <c r="B1621" s="6" t="s">
        <v>43</v>
      </c>
      <c r="C1621" s="6" t="s">
        <v>51</v>
      </c>
      <c r="D1621" s="6" t="s">
        <v>116</v>
      </c>
      <c r="E1621" s="6" t="n">
        <v>16</v>
      </c>
      <c r="F1621" s="6" t="n">
        <v>8</v>
      </c>
      <c r="G1621" s="6" t="s">
        <v>70</v>
      </c>
      <c r="H1621" s="11" t="n">
        <v>0.01</v>
      </c>
      <c r="I1621" s="6" t="n">
        <v>20</v>
      </c>
      <c r="J1621" s="6" t="n">
        <v>1</v>
      </c>
      <c r="K1621" s="6" t="n">
        <v>19</v>
      </c>
      <c r="L1621" s="6" t="n">
        <v>0</v>
      </c>
      <c r="M1621" s="6" t="n">
        <v>20</v>
      </c>
      <c r="N1621" s="11" t="n">
        <f aca="false">J1621/(J1621+K1621)</f>
        <v>0.05</v>
      </c>
      <c r="O1621" s="11" t="n">
        <f aca="false">IF(J1621+L1621=0,"",J1621/(J1621+L1621))</f>
        <v>1</v>
      </c>
      <c r="P1621" s="11" t="n">
        <f aca="false">2*J1621/(2*J1621+L1621+K1621)</f>
        <v>0.0952380952380952</v>
      </c>
      <c r="Q1621" s="11" t="n">
        <f aca="false">L1621/(L1621+M1621)</f>
        <v>0</v>
      </c>
      <c r="R1621" s="6" t="n">
        <v>1</v>
      </c>
      <c r="S1621" s="11" t="n">
        <v>0</v>
      </c>
      <c r="T1621" s="11" t="n">
        <v>0.0526315789473684</v>
      </c>
      <c r="U1621" s="11" t="n">
        <v>0.9</v>
      </c>
      <c r="V1621" s="11" t="n">
        <v>0.95</v>
      </c>
    </row>
    <row r="1622" customFormat="false" ht="15" hidden="false" customHeight="false" outlineLevel="0" collapsed="false">
      <c r="A1622" s="6" t="s">
        <v>52</v>
      </c>
      <c r="B1622" s="6" t="s">
        <v>43</v>
      </c>
      <c r="C1622" s="6" t="s">
        <v>51</v>
      </c>
      <c r="D1622" s="6" t="s">
        <v>116</v>
      </c>
      <c r="E1622" s="6" t="n">
        <v>16</v>
      </c>
      <c r="F1622" s="6" t="n">
        <v>8</v>
      </c>
      <c r="G1622" s="6" t="s">
        <v>71</v>
      </c>
      <c r="H1622" s="11" t="n">
        <v>0.01</v>
      </c>
      <c r="I1622" s="6" t="n">
        <v>20</v>
      </c>
      <c r="J1622" s="6" t="n">
        <v>0</v>
      </c>
      <c r="K1622" s="6" t="n">
        <v>20</v>
      </c>
      <c r="L1622" s="6" t="n">
        <v>0</v>
      </c>
      <c r="M1622" s="6" t="n">
        <v>20</v>
      </c>
      <c r="N1622" s="11" t="n">
        <f aca="false">J1622/(J1622+K1622)</f>
        <v>0</v>
      </c>
      <c r="O1622" s="11" t="str">
        <f aca="false">IF(J1622+L1622=0,"",J1622/(J1622+L1622))</f>
        <v/>
      </c>
      <c r="P1622" s="11" t="n">
        <f aca="false">2*J1622/(2*J1622+L1622+K1622)</f>
        <v>0</v>
      </c>
      <c r="Q1622" s="11" t="n">
        <f aca="false">L1622/(L1622+M1622)</f>
        <v>0</v>
      </c>
      <c r="R1622" s="6" t="n">
        <v>0</v>
      </c>
      <c r="S1622" s="11"/>
      <c r="T1622" s="11" t="n">
        <v>0</v>
      </c>
      <c r="U1622" s="11" t="n">
        <v>0.8</v>
      </c>
      <c r="V1622" s="11" t="n">
        <v>0.8</v>
      </c>
    </row>
    <row r="1623" customFormat="false" ht="15" hidden="false" customHeight="false" outlineLevel="0" collapsed="false">
      <c r="A1623" s="6" t="s">
        <v>52</v>
      </c>
      <c r="B1623" s="6" t="s">
        <v>43</v>
      </c>
      <c r="C1623" s="6" t="s">
        <v>51</v>
      </c>
      <c r="D1623" s="6" t="s">
        <v>116</v>
      </c>
      <c r="E1623" s="6" t="n">
        <v>16</v>
      </c>
      <c r="F1623" s="6" t="n">
        <v>8</v>
      </c>
      <c r="G1623" s="6" t="s">
        <v>72</v>
      </c>
      <c r="H1623" s="11" t="n">
        <v>0.01</v>
      </c>
      <c r="I1623" s="6" t="n">
        <v>20</v>
      </c>
      <c r="J1623" s="6" t="n">
        <v>0</v>
      </c>
      <c r="K1623" s="6" t="n">
        <v>20</v>
      </c>
      <c r="L1623" s="6" t="n">
        <v>0</v>
      </c>
      <c r="M1623" s="6" t="n">
        <v>20</v>
      </c>
      <c r="N1623" s="11" t="n">
        <f aca="false">J1623/(J1623+K1623)</f>
        <v>0</v>
      </c>
      <c r="O1623" s="11" t="str">
        <f aca="false">IF(J1623+L1623=0,"",J1623/(J1623+L1623))</f>
        <v/>
      </c>
      <c r="P1623" s="11" t="n">
        <f aca="false">2*J1623/(2*J1623+L1623+K1623)</f>
        <v>0</v>
      </c>
      <c r="Q1623" s="11" t="n">
        <f aca="false">L1623/(L1623+M1623)</f>
        <v>0</v>
      </c>
      <c r="R1623" s="6" t="n">
        <v>0</v>
      </c>
      <c r="S1623" s="11"/>
      <c r="T1623" s="11" t="n">
        <v>0</v>
      </c>
      <c r="U1623" s="11" t="n">
        <v>0.9</v>
      </c>
      <c r="V1623" s="11" t="n">
        <v>0.9</v>
      </c>
    </row>
    <row r="1624" customFormat="false" ht="15" hidden="false" customHeight="false" outlineLevel="0" collapsed="false">
      <c r="A1624" s="6" t="s">
        <v>52</v>
      </c>
      <c r="B1624" s="6" t="s">
        <v>43</v>
      </c>
      <c r="C1624" s="6" t="s">
        <v>51</v>
      </c>
      <c r="D1624" s="6" t="s">
        <v>116</v>
      </c>
      <c r="E1624" s="6" t="n">
        <v>16</v>
      </c>
      <c r="F1624" s="6" t="n">
        <v>8</v>
      </c>
      <c r="G1624" s="6" t="s">
        <v>73</v>
      </c>
      <c r="H1624" s="11" t="n">
        <v>0.01</v>
      </c>
      <c r="I1624" s="6" t="n">
        <v>20</v>
      </c>
      <c r="J1624" s="6" t="n">
        <v>0</v>
      </c>
      <c r="K1624" s="6" t="n">
        <v>20</v>
      </c>
      <c r="L1624" s="6" t="n">
        <v>0</v>
      </c>
      <c r="M1624" s="6" t="n">
        <v>20</v>
      </c>
      <c r="N1624" s="11" t="n">
        <f aca="false">J1624/(J1624+K1624)</f>
        <v>0</v>
      </c>
      <c r="O1624" s="11" t="str">
        <f aca="false">IF(J1624+L1624=0,"",J1624/(J1624+L1624))</f>
        <v/>
      </c>
      <c r="P1624" s="11" t="n">
        <f aca="false">2*J1624/(2*J1624+L1624+K1624)</f>
        <v>0</v>
      </c>
      <c r="Q1624" s="11" t="n">
        <f aca="false">L1624/(L1624+M1624)</f>
        <v>0</v>
      </c>
      <c r="R1624" s="6" t="n">
        <v>3</v>
      </c>
      <c r="S1624" s="11" t="n">
        <v>0</v>
      </c>
      <c r="T1624" s="11" t="n">
        <v>0</v>
      </c>
      <c r="U1624" s="11" t="n">
        <v>0.65</v>
      </c>
      <c r="V1624" s="11" t="n">
        <v>0.55</v>
      </c>
    </row>
    <row r="1625" customFormat="false" ht="15" hidden="false" customHeight="false" outlineLevel="0" collapsed="false">
      <c r="A1625" s="6" t="s">
        <v>52</v>
      </c>
      <c r="B1625" s="6" t="s">
        <v>43</v>
      </c>
      <c r="C1625" s="6" t="s">
        <v>51</v>
      </c>
      <c r="D1625" s="6" t="s">
        <v>116</v>
      </c>
      <c r="E1625" s="6" t="n">
        <v>16</v>
      </c>
      <c r="F1625" s="6" t="n">
        <v>8</v>
      </c>
      <c r="G1625" s="6" t="s">
        <v>74</v>
      </c>
      <c r="H1625" s="11" t="n">
        <v>0.01</v>
      </c>
      <c r="I1625" s="6" t="n">
        <v>20</v>
      </c>
      <c r="J1625" s="6" t="n">
        <v>1</v>
      </c>
      <c r="K1625" s="6" t="n">
        <v>19</v>
      </c>
      <c r="L1625" s="6" t="n">
        <v>0</v>
      </c>
      <c r="M1625" s="6" t="n">
        <v>20</v>
      </c>
      <c r="N1625" s="11" t="n">
        <f aca="false">J1625/(J1625+K1625)</f>
        <v>0.05</v>
      </c>
      <c r="O1625" s="11" t="n">
        <f aca="false">IF(J1625+L1625=0,"",J1625/(J1625+L1625))</f>
        <v>1</v>
      </c>
      <c r="P1625" s="11" t="n">
        <f aca="false">2*J1625/(2*J1625+L1625+K1625)</f>
        <v>0.0952380952380952</v>
      </c>
      <c r="Q1625" s="11" t="n">
        <f aca="false">L1625/(L1625+M1625)</f>
        <v>0</v>
      </c>
      <c r="R1625" s="6" t="n">
        <v>3</v>
      </c>
      <c r="S1625" s="11" t="n">
        <v>0.333333333333333</v>
      </c>
      <c r="T1625" s="11" t="n">
        <v>0</v>
      </c>
      <c r="U1625" s="11" t="n">
        <v>0.85</v>
      </c>
      <c r="V1625" s="11" t="n">
        <v>0.7</v>
      </c>
    </row>
    <row r="1626" customFormat="false" ht="15" hidden="false" customHeight="false" outlineLevel="0" collapsed="false">
      <c r="A1626" s="6" t="s">
        <v>52</v>
      </c>
      <c r="B1626" s="6" t="s">
        <v>43</v>
      </c>
      <c r="C1626" s="6" t="s">
        <v>51</v>
      </c>
      <c r="D1626" s="6" t="s">
        <v>116</v>
      </c>
      <c r="E1626" s="6" t="n">
        <v>16</v>
      </c>
      <c r="F1626" s="6" t="n">
        <v>8</v>
      </c>
      <c r="G1626" s="6" t="s">
        <v>75</v>
      </c>
      <c r="H1626" s="11" t="n">
        <v>0.01</v>
      </c>
      <c r="I1626" s="6" t="n">
        <v>20</v>
      </c>
      <c r="J1626" s="6" t="n">
        <v>0</v>
      </c>
      <c r="K1626" s="6" t="n">
        <v>20</v>
      </c>
      <c r="L1626" s="6" t="n">
        <v>0</v>
      </c>
      <c r="M1626" s="6" t="n">
        <v>20</v>
      </c>
      <c r="N1626" s="11" t="n">
        <f aca="false">J1626/(J1626+K1626)</f>
        <v>0</v>
      </c>
      <c r="O1626" s="11" t="str">
        <f aca="false">IF(J1626+L1626=0,"",J1626/(J1626+L1626))</f>
        <v/>
      </c>
      <c r="P1626" s="11" t="n">
        <f aca="false">2*J1626/(2*J1626+L1626+K1626)</f>
        <v>0</v>
      </c>
      <c r="Q1626" s="11" t="n">
        <f aca="false">L1626/(L1626+M1626)</f>
        <v>0</v>
      </c>
      <c r="R1626" s="6" t="n">
        <v>1</v>
      </c>
      <c r="S1626" s="11" t="n">
        <v>0</v>
      </c>
      <c r="T1626" s="11" t="n">
        <v>0</v>
      </c>
      <c r="U1626" s="11" t="n">
        <v>0.9</v>
      </c>
      <c r="V1626" s="11" t="n">
        <v>0.85</v>
      </c>
    </row>
    <row r="1627" customFormat="false" ht="15" hidden="false" customHeight="false" outlineLevel="0" collapsed="false">
      <c r="A1627" s="6" t="s">
        <v>52</v>
      </c>
      <c r="B1627" s="6" t="s">
        <v>43</v>
      </c>
      <c r="C1627" s="6" t="s">
        <v>51</v>
      </c>
      <c r="D1627" s="6" t="s">
        <v>116</v>
      </c>
      <c r="E1627" s="6" t="n">
        <v>16</v>
      </c>
      <c r="F1627" s="6" t="n">
        <v>8</v>
      </c>
      <c r="G1627" s="6" t="s">
        <v>76</v>
      </c>
      <c r="H1627" s="11" t="n">
        <v>0.01</v>
      </c>
      <c r="I1627" s="6" t="n">
        <v>20</v>
      </c>
      <c r="J1627" s="6" t="n">
        <v>0</v>
      </c>
      <c r="K1627" s="6" t="n">
        <v>20</v>
      </c>
      <c r="L1627" s="6" t="n">
        <v>0</v>
      </c>
      <c r="M1627" s="6" t="n">
        <v>20</v>
      </c>
      <c r="N1627" s="11" t="n">
        <f aca="false">J1627/(J1627+K1627)</f>
        <v>0</v>
      </c>
      <c r="O1627" s="11" t="str">
        <f aca="false">IF(J1627+L1627=0,"",J1627/(J1627+L1627))</f>
        <v/>
      </c>
      <c r="P1627" s="11" t="n">
        <f aca="false">2*J1627/(2*J1627+L1627+K1627)</f>
        <v>0</v>
      </c>
      <c r="Q1627" s="11" t="n">
        <f aca="false">L1627/(L1627+M1627)</f>
        <v>0</v>
      </c>
      <c r="R1627" s="6" t="n">
        <v>0</v>
      </c>
      <c r="S1627" s="11"/>
      <c r="T1627" s="11" t="n">
        <v>0</v>
      </c>
      <c r="U1627" s="11" t="n">
        <v>0.95</v>
      </c>
      <c r="V1627" s="11" t="n">
        <v>0.95</v>
      </c>
    </row>
    <row r="1628" customFormat="false" ht="15" hidden="false" customHeight="false" outlineLevel="0" collapsed="false">
      <c r="A1628" s="6" t="s">
        <v>52</v>
      </c>
      <c r="B1628" s="6" t="s">
        <v>43</v>
      </c>
      <c r="C1628" s="6" t="s">
        <v>51</v>
      </c>
      <c r="D1628" s="6" t="s">
        <v>116</v>
      </c>
      <c r="E1628" s="6" t="n">
        <v>16</v>
      </c>
      <c r="F1628" s="6" t="n">
        <v>8</v>
      </c>
      <c r="G1628" s="6" t="s">
        <v>77</v>
      </c>
      <c r="H1628" s="11" t="n">
        <v>0.01</v>
      </c>
      <c r="I1628" s="6" t="n">
        <v>20</v>
      </c>
      <c r="J1628" s="6" t="n">
        <v>0</v>
      </c>
      <c r="K1628" s="6" t="n">
        <v>20</v>
      </c>
      <c r="L1628" s="6" t="n">
        <v>1</v>
      </c>
      <c r="M1628" s="6" t="n">
        <v>19</v>
      </c>
      <c r="N1628" s="11" t="n">
        <f aca="false">J1628/(J1628+K1628)</f>
        <v>0</v>
      </c>
      <c r="O1628" s="11" t="n">
        <f aca="false">IF(J1628+L1628=0,"",J1628/(J1628+L1628))</f>
        <v>0</v>
      </c>
      <c r="P1628" s="11" t="n">
        <f aca="false">2*J1628/(2*J1628+L1628+K1628)</f>
        <v>0</v>
      </c>
      <c r="Q1628" s="11" t="n">
        <f aca="false">L1628/(L1628+M1628)</f>
        <v>0.05</v>
      </c>
      <c r="R1628" s="6" t="n">
        <v>0</v>
      </c>
      <c r="S1628" s="11"/>
      <c r="T1628" s="11" t="n">
        <v>0</v>
      </c>
      <c r="U1628" s="11" t="n">
        <v>1</v>
      </c>
      <c r="V1628" s="11" t="n">
        <v>1</v>
      </c>
    </row>
    <row r="1629" customFormat="false" ht="15" hidden="false" customHeight="false" outlineLevel="0" collapsed="false">
      <c r="A1629" s="6" t="s">
        <v>52</v>
      </c>
      <c r="B1629" s="6" t="s">
        <v>43</v>
      </c>
      <c r="C1629" s="6" t="s">
        <v>51</v>
      </c>
      <c r="D1629" s="6" t="s">
        <v>116</v>
      </c>
      <c r="E1629" s="6" t="n">
        <v>16</v>
      </c>
      <c r="F1629" s="6" t="n">
        <v>8</v>
      </c>
      <c r="G1629" s="6" t="s">
        <v>78</v>
      </c>
      <c r="H1629" s="11" t="n">
        <v>0.01</v>
      </c>
      <c r="I1629" s="6" t="n">
        <v>200</v>
      </c>
      <c r="J1629" s="6" t="n">
        <v>2</v>
      </c>
      <c r="K1629" s="6" t="n">
        <v>198</v>
      </c>
      <c r="L1629" s="6" t="n">
        <v>1</v>
      </c>
      <c r="M1629" s="6" t="n">
        <v>199</v>
      </c>
      <c r="N1629" s="11" t="n">
        <f aca="false">J1629/(J1629+K1629)</f>
        <v>0.01</v>
      </c>
      <c r="O1629" s="11" t="n">
        <f aca="false">IF(J1629+L1629=0,"",J1629/(J1629+L1629))</f>
        <v>0.666666666666667</v>
      </c>
      <c r="P1629" s="11" t="n">
        <f aca="false">2*J1629/(2*J1629+L1629+K1629)</f>
        <v>0.0197044334975369</v>
      </c>
      <c r="Q1629" s="11" t="n">
        <f aca="false">L1629/(L1629+M1629)</f>
        <v>0.005</v>
      </c>
      <c r="R1629" s="6" t="n">
        <v>9</v>
      </c>
      <c r="S1629" s="11" t="n">
        <v>0.111111111111111</v>
      </c>
      <c r="T1629" s="11" t="n">
        <v>0.00523560209424084</v>
      </c>
      <c r="U1629" s="11" t="n">
        <v>0.88</v>
      </c>
      <c r="V1629" s="11" t="n">
        <v>0.86</v>
      </c>
    </row>
    <row r="1630" customFormat="false" ht="15" hidden="false" customHeight="false" outlineLevel="0" collapsed="false">
      <c r="A1630" s="6" t="s">
        <v>52</v>
      </c>
      <c r="B1630" s="6" t="s">
        <v>43</v>
      </c>
      <c r="C1630" s="6" t="s">
        <v>51</v>
      </c>
      <c r="D1630" s="6" t="s">
        <v>116</v>
      </c>
      <c r="E1630" s="6" t="n">
        <v>16</v>
      </c>
      <c r="F1630" s="6" t="n">
        <v>9</v>
      </c>
      <c r="G1630" s="6" t="s">
        <v>68</v>
      </c>
      <c r="H1630" s="11" t="n">
        <v>0.01</v>
      </c>
      <c r="I1630" s="6" t="n">
        <v>20</v>
      </c>
      <c r="J1630" s="6" t="n">
        <v>0</v>
      </c>
      <c r="K1630" s="6" t="n">
        <v>20</v>
      </c>
      <c r="L1630" s="6" t="n">
        <v>0</v>
      </c>
      <c r="M1630" s="6" t="n">
        <v>20</v>
      </c>
      <c r="N1630" s="11" t="n">
        <f aca="false">J1630/(J1630+K1630)</f>
        <v>0</v>
      </c>
      <c r="O1630" s="11" t="str">
        <f aca="false">IF(J1630+L1630=0,"",J1630/(J1630+L1630))</f>
        <v/>
      </c>
      <c r="P1630" s="11" t="n">
        <f aca="false">2*J1630/(2*J1630+L1630+K1630)</f>
        <v>0</v>
      </c>
      <c r="Q1630" s="11" t="n">
        <f aca="false">L1630/(L1630+M1630)</f>
        <v>0</v>
      </c>
      <c r="R1630" s="6" t="n">
        <v>0</v>
      </c>
      <c r="S1630" s="11"/>
      <c r="T1630" s="11" t="n">
        <v>0</v>
      </c>
      <c r="U1630" s="11" t="n">
        <v>0.85</v>
      </c>
      <c r="V1630" s="11" t="n">
        <v>0.85</v>
      </c>
    </row>
    <row r="1631" customFormat="false" ht="15" hidden="false" customHeight="false" outlineLevel="0" collapsed="false">
      <c r="A1631" s="6" t="s">
        <v>52</v>
      </c>
      <c r="B1631" s="6" t="s">
        <v>43</v>
      </c>
      <c r="C1631" s="6" t="s">
        <v>51</v>
      </c>
      <c r="D1631" s="6" t="s">
        <v>116</v>
      </c>
      <c r="E1631" s="6" t="n">
        <v>16</v>
      </c>
      <c r="F1631" s="6" t="n">
        <v>9</v>
      </c>
      <c r="G1631" s="6" t="s">
        <v>69</v>
      </c>
      <c r="H1631" s="11" t="n">
        <v>0.01</v>
      </c>
      <c r="I1631" s="6" t="n">
        <v>20</v>
      </c>
      <c r="J1631" s="6" t="n">
        <v>0</v>
      </c>
      <c r="K1631" s="6" t="n">
        <v>20</v>
      </c>
      <c r="L1631" s="6" t="n">
        <v>0</v>
      </c>
      <c r="M1631" s="6" t="n">
        <v>20</v>
      </c>
      <c r="N1631" s="11" t="n">
        <f aca="false">J1631/(J1631+K1631)</f>
        <v>0</v>
      </c>
      <c r="O1631" s="11" t="str">
        <f aca="false">IF(J1631+L1631=0,"",J1631/(J1631+L1631))</f>
        <v/>
      </c>
      <c r="P1631" s="11" t="n">
        <f aca="false">2*J1631/(2*J1631+L1631+K1631)</f>
        <v>0</v>
      </c>
      <c r="Q1631" s="11" t="n">
        <f aca="false">L1631/(L1631+M1631)</f>
        <v>0</v>
      </c>
      <c r="R1631" s="6" t="n">
        <v>0</v>
      </c>
      <c r="S1631" s="11"/>
      <c r="T1631" s="11" t="n">
        <v>0</v>
      </c>
      <c r="U1631" s="11" t="n">
        <v>1</v>
      </c>
      <c r="V1631" s="11" t="n">
        <v>1</v>
      </c>
    </row>
    <row r="1632" customFormat="false" ht="15" hidden="false" customHeight="false" outlineLevel="0" collapsed="false">
      <c r="A1632" s="6" t="s">
        <v>52</v>
      </c>
      <c r="B1632" s="6" t="s">
        <v>43</v>
      </c>
      <c r="C1632" s="6" t="s">
        <v>51</v>
      </c>
      <c r="D1632" s="6" t="s">
        <v>116</v>
      </c>
      <c r="E1632" s="6" t="n">
        <v>16</v>
      </c>
      <c r="F1632" s="6" t="n">
        <v>9</v>
      </c>
      <c r="G1632" s="6" t="s">
        <v>70</v>
      </c>
      <c r="H1632" s="11" t="n">
        <v>0.01</v>
      </c>
      <c r="I1632" s="6" t="n">
        <v>20</v>
      </c>
      <c r="J1632" s="6" t="n">
        <v>0</v>
      </c>
      <c r="K1632" s="6" t="n">
        <v>20</v>
      </c>
      <c r="L1632" s="6" t="n">
        <v>0</v>
      </c>
      <c r="M1632" s="6" t="n">
        <v>20</v>
      </c>
      <c r="N1632" s="11" t="n">
        <f aca="false">J1632/(J1632+K1632)</f>
        <v>0</v>
      </c>
      <c r="O1632" s="11" t="str">
        <f aca="false">IF(J1632+L1632=0,"",J1632/(J1632+L1632))</f>
        <v/>
      </c>
      <c r="P1632" s="11" t="n">
        <f aca="false">2*J1632/(2*J1632+L1632+K1632)</f>
        <v>0</v>
      </c>
      <c r="Q1632" s="11" t="n">
        <f aca="false">L1632/(L1632+M1632)</f>
        <v>0</v>
      </c>
      <c r="R1632" s="6" t="n">
        <v>0</v>
      </c>
      <c r="S1632" s="11"/>
      <c r="T1632" s="11" t="n">
        <v>0</v>
      </c>
      <c r="U1632" s="11" t="n">
        <v>0.9</v>
      </c>
      <c r="V1632" s="11" t="n">
        <v>0.9</v>
      </c>
    </row>
    <row r="1633" customFormat="false" ht="15" hidden="false" customHeight="false" outlineLevel="0" collapsed="false">
      <c r="A1633" s="6" t="s">
        <v>52</v>
      </c>
      <c r="B1633" s="6" t="s">
        <v>43</v>
      </c>
      <c r="C1633" s="6" t="s">
        <v>51</v>
      </c>
      <c r="D1633" s="6" t="s">
        <v>116</v>
      </c>
      <c r="E1633" s="6" t="n">
        <v>16</v>
      </c>
      <c r="F1633" s="6" t="n">
        <v>9</v>
      </c>
      <c r="G1633" s="6" t="s">
        <v>71</v>
      </c>
      <c r="H1633" s="11" t="n">
        <v>0.01</v>
      </c>
      <c r="I1633" s="6" t="n">
        <v>20</v>
      </c>
      <c r="J1633" s="6" t="n">
        <v>0</v>
      </c>
      <c r="K1633" s="6" t="n">
        <v>20</v>
      </c>
      <c r="L1633" s="6" t="n">
        <v>0</v>
      </c>
      <c r="M1633" s="6" t="n">
        <v>20</v>
      </c>
      <c r="N1633" s="11" t="n">
        <f aca="false">J1633/(J1633+K1633)</f>
        <v>0</v>
      </c>
      <c r="O1633" s="11" t="str">
        <f aca="false">IF(J1633+L1633=0,"",J1633/(J1633+L1633))</f>
        <v/>
      </c>
      <c r="P1633" s="11" t="n">
        <f aca="false">2*J1633/(2*J1633+L1633+K1633)</f>
        <v>0</v>
      </c>
      <c r="Q1633" s="11" t="n">
        <f aca="false">L1633/(L1633+M1633)</f>
        <v>0</v>
      </c>
      <c r="R1633" s="6" t="n">
        <v>1</v>
      </c>
      <c r="S1633" s="11" t="n">
        <v>0</v>
      </c>
      <c r="T1633" s="11" t="n">
        <v>0</v>
      </c>
      <c r="U1633" s="11" t="n">
        <v>0.8</v>
      </c>
      <c r="V1633" s="11" t="n">
        <v>0.75</v>
      </c>
    </row>
    <row r="1634" customFormat="false" ht="15" hidden="false" customHeight="false" outlineLevel="0" collapsed="false">
      <c r="A1634" s="6" t="s">
        <v>52</v>
      </c>
      <c r="B1634" s="6" t="s">
        <v>43</v>
      </c>
      <c r="C1634" s="6" t="s">
        <v>51</v>
      </c>
      <c r="D1634" s="6" t="s">
        <v>116</v>
      </c>
      <c r="E1634" s="6" t="n">
        <v>16</v>
      </c>
      <c r="F1634" s="6" t="n">
        <v>9</v>
      </c>
      <c r="G1634" s="6" t="s">
        <v>72</v>
      </c>
      <c r="H1634" s="11" t="n">
        <v>0.01</v>
      </c>
      <c r="I1634" s="6" t="n">
        <v>20</v>
      </c>
      <c r="J1634" s="6" t="n">
        <v>1</v>
      </c>
      <c r="K1634" s="6" t="n">
        <v>19</v>
      </c>
      <c r="L1634" s="6" t="n">
        <v>0</v>
      </c>
      <c r="M1634" s="6" t="n">
        <v>20</v>
      </c>
      <c r="N1634" s="11" t="n">
        <f aca="false">J1634/(J1634+K1634)</f>
        <v>0.05</v>
      </c>
      <c r="O1634" s="11" t="n">
        <f aca="false">IF(J1634+L1634=0,"",J1634/(J1634+L1634))</f>
        <v>1</v>
      </c>
      <c r="P1634" s="11" t="n">
        <f aca="false">2*J1634/(2*J1634+L1634+K1634)</f>
        <v>0.0952380952380952</v>
      </c>
      <c r="Q1634" s="11" t="n">
        <f aca="false">L1634/(L1634+M1634)</f>
        <v>0</v>
      </c>
      <c r="R1634" s="6" t="n">
        <v>0</v>
      </c>
      <c r="S1634" s="11"/>
      <c r="T1634" s="11" t="n">
        <v>0.05</v>
      </c>
      <c r="U1634" s="11" t="n">
        <v>0.9</v>
      </c>
      <c r="V1634" s="11" t="n">
        <v>0.9</v>
      </c>
    </row>
    <row r="1635" customFormat="false" ht="15" hidden="false" customHeight="false" outlineLevel="0" collapsed="false">
      <c r="A1635" s="6" t="s">
        <v>52</v>
      </c>
      <c r="B1635" s="6" t="s">
        <v>43</v>
      </c>
      <c r="C1635" s="6" t="s">
        <v>51</v>
      </c>
      <c r="D1635" s="6" t="s">
        <v>116</v>
      </c>
      <c r="E1635" s="6" t="n">
        <v>16</v>
      </c>
      <c r="F1635" s="6" t="n">
        <v>9</v>
      </c>
      <c r="G1635" s="6" t="s">
        <v>73</v>
      </c>
      <c r="H1635" s="11" t="n">
        <v>0.01</v>
      </c>
      <c r="I1635" s="6" t="n">
        <v>20</v>
      </c>
      <c r="J1635" s="6" t="n">
        <v>0</v>
      </c>
      <c r="K1635" s="6" t="n">
        <v>20</v>
      </c>
      <c r="L1635" s="6" t="n">
        <v>0</v>
      </c>
      <c r="M1635" s="6" t="n">
        <v>20</v>
      </c>
      <c r="N1635" s="11" t="n">
        <f aca="false">J1635/(J1635+K1635)</f>
        <v>0</v>
      </c>
      <c r="O1635" s="11" t="str">
        <f aca="false">IF(J1635+L1635=0,"",J1635/(J1635+L1635))</f>
        <v/>
      </c>
      <c r="P1635" s="11" t="n">
        <f aca="false">2*J1635/(2*J1635+L1635+K1635)</f>
        <v>0</v>
      </c>
      <c r="Q1635" s="11" t="n">
        <f aca="false">L1635/(L1635+M1635)</f>
        <v>0</v>
      </c>
      <c r="R1635" s="6" t="n">
        <v>2</v>
      </c>
      <c r="S1635" s="11" t="n">
        <v>0</v>
      </c>
      <c r="T1635" s="11" t="n">
        <v>0</v>
      </c>
      <c r="U1635" s="11" t="n">
        <v>0.65</v>
      </c>
      <c r="V1635" s="11" t="n">
        <v>0.6</v>
      </c>
    </row>
    <row r="1636" customFormat="false" ht="15" hidden="false" customHeight="false" outlineLevel="0" collapsed="false">
      <c r="A1636" s="6" t="s">
        <v>52</v>
      </c>
      <c r="B1636" s="6" t="s">
        <v>43</v>
      </c>
      <c r="C1636" s="6" t="s">
        <v>51</v>
      </c>
      <c r="D1636" s="6" t="s">
        <v>116</v>
      </c>
      <c r="E1636" s="6" t="n">
        <v>16</v>
      </c>
      <c r="F1636" s="6" t="n">
        <v>9</v>
      </c>
      <c r="G1636" s="6" t="s">
        <v>74</v>
      </c>
      <c r="H1636" s="11" t="n">
        <v>0.01</v>
      </c>
      <c r="I1636" s="6" t="n">
        <v>20</v>
      </c>
      <c r="J1636" s="6" t="n">
        <v>0</v>
      </c>
      <c r="K1636" s="6" t="n">
        <v>20</v>
      </c>
      <c r="L1636" s="6" t="n">
        <v>0</v>
      </c>
      <c r="M1636" s="6" t="n">
        <v>20</v>
      </c>
      <c r="N1636" s="11" t="n">
        <f aca="false">J1636/(J1636+K1636)</f>
        <v>0</v>
      </c>
      <c r="O1636" s="11" t="str">
        <f aca="false">IF(J1636+L1636=0,"",J1636/(J1636+L1636))</f>
        <v/>
      </c>
      <c r="P1636" s="11" t="n">
        <f aca="false">2*J1636/(2*J1636+L1636+K1636)</f>
        <v>0</v>
      </c>
      <c r="Q1636" s="11" t="n">
        <f aca="false">L1636/(L1636+M1636)</f>
        <v>0</v>
      </c>
      <c r="R1636" s="6" t="n">
        <v>3</v>
      </c>
      <c r="S1636" s="11" t="n">
        <v>0</v>
      </c>
      <c r="T1636" s="11" t="n">
        <v>0</v>
      </c>
      <c r="U1636" s="11" t="n">
        <v>0.85</v>
      </c>
      <c r="V1636" s="11" t="n">
        <v>0.7</v>
      </c>
    </row>
    <row r="1637" customFormat="false" ht="15" hidden="false" customHeight="false" outlineLevel="0" collapsed="false">
      <c r="A1637" s="6" t="s">
        <v>52</v>
      </c>
      <c r="B1637" s="6" t="s">
        <v>43</v>
      </c>
      <c r="C1637" s="6" t="s">
        <v>51</v>
      </c>
      <c r="D1637" s="6" t="s">
        <v>116</v>
      </c>
      <c r="E1637" s="6" t="n">
        <v>16</v>
      </c>
      <c r="F1637" s="6" t="n">
        <v>9</v>
      </c>
      <c r="G1637" s="6" t="s">
        <v>75</v>
      </c>
      <c r="H1637" s="11" t="n">
        <v>0.01</v>
      </c>
      <c r="I1637" s="6" t="n">
        <v>20</v>
      </c>
      <c r="J1637" s="6" t="n">
        <v>0</v>
      </c>
      <c r="K1637" s="6" t="n">
        <v>20</v>
      </c>
      <c r="L1637" s="6" t="n">
        <v>0</v>
      </c>
      <c r="M1637" s="6" t="n">
        <v>20</v>
      </c>
      <c r="N1637" s="11" t="n">
        <f aca="false">J1637/(J1637+K1637)</f>
        <v>0</v>
      </c>
      <c r="O1637" s="11" t="str">
        <f aca="false">IF(J1637+L1637=0,"",J1637/(J1637+L1637))</f>
        <v/>
      </c>
      <c r="P1637" s="11" t="n">
        <f aca="false">2*J1637/(2*J1637+L1637+K1637)</f>
        <v>0</v>
      </c>
      <c r="Q1637" s="11" t="n">
        <f aca="false">L1637/(L1637+M1637)</f>
        <v>0</v>
      </c>
      <c r="R1637" s="6" t="n">
        <v>1</v>
      </c>
      <c r="S1637" s="11" t="n">
        <v>0</v>
      </c>
      <c r="T1637" s="11" t="n">
        <v>0</v>
      </c>
      <c r="U1637" s="11" t="n">
        <v>0.9</v>
      </c>
      <c r="V1637" s="11" t="n">
        <v>0.95</v>
      </c>
    </row>
    <row r="1638" customFormat="false" ht="15" hidden="false" customHeight="false" outlineLevel="0" collapsed="false">
      <c r="A1638" s="6" t="s">
        <v>52</v>
      </c>
      <c r="B1638" s="6" t="s">
        <v>43</v>
      </c>
      <c r="C1638" s="6" t="s">
        <v>51</v>
      </c>
      <c r="D1638" s="6" t="s">
        <v>116</v>
      </c>
      <c r="E1638" s="6" t="n">
        <v>16</v>
      </c>
      <c r="F1638" s="6" t="n">
        <v>9</v>
      </c>
      <c r="G1638" s="6" t="s">
        <v>76</v>
      </c>
      <c r="H1638" s="11" t="n">
        <v>0.01</v>
      </c>
      <c r="I1638" s="6" t="n">
        <v>20</v>
      </c>
      <c r="J1638" s="6" t="n">
        <v>0</v>
      </c>
      <c r="K1638" s="6" t="n">
        <v>20</v>
      </c>
      <c r="L1638" s="6" t="n">
        <v>0</v>
      </c>
      <c r="M1638" s="6" t="n">
        <v>20</v>
      </c>
      <c r="N1638" s="11" t="n">
        <f aca="false">J1638/(J1638+K1638)</f>
        <v>0</v>
      </c>
      <c r="O1638" s="11" t="str">
        <f aca="false">IF(J1638+L1638=0,"",J1638/(J1638+L1638))</f>
        <v/>
      </c>
      <c r="P1638" s="11" t="n">
        <f aca="false">2*J1638/(2*J1638+L1638+K1638)</f>
        <v>0</v>
      </c>
      <c r="Q1638" s="11" t="n">
        <f aca="false">L1638/(L1638+M1638)</f>
        <v>0</v>
      </c>
      <c r="R1638" s="6" t="n">
        <v>0</v>
      </c>
      <c r="S1638" s="11"/>
      <c r="T1638" s="11" t="n">
        <v>0</v>
      </c>
      <c r="U1638" s="11" t="n">
        <v>0.95</v>
      </c>
      <c r="V1638" s="11" t="n">
        <v>0.95</v>
      </c>
    </row>
    <row r="1639" customFormat="false" ht="15" hidden="false" customHeight="false" outlineLevel="0" collapsed="false">
      <c r="A1639" s="6" t="s">
        <v>52</v>
      </c>
      <c r="B1639" s="6" t="s">
        <v>43</v>
      </c>
      <c r="C1639" s="6" t="s">
        <v>51</v>
      </c>
      <c r="D1639" s="6" t="s">
        <v>116</v>
      </c>
      <c r="E1639" s="6" t="n">
        <v>16</v>
      </c>
      <c r="F1639" s="6" t="n">
        <v>9</v>
      </c>
      <c r="G1639" s="6" t="s">
        <v>77</v>
      </c>
      <c r="H1639" s="11" t="n">
        <v>0.01</v>
      </c>
      <c r="I1639" s="6" t="n">
        <v>20</v>
      </c>
      <c r="J1639" s="6" t="n">
        <v>1</v>
      </c>
      <c r="K1639" s="6" t="n">
        <v>19</v>
      </c>
      <c r="L1639" s="6" t="n">
        <v>1</v>
      </c>
      <c r="M1639" s="6" t="n">
        <v>19</v>
      </c>
      <c r="N1639" s="11" t="n">
        <f aca="false">J1639/(J1639+K1639)</f>
        <v>0.05</v>
      </c>
      <c r="O1639" s="11" t="n">
        <f aca="false">IF(J1639+L1639=0,"",J1639/(J1639+L1639))</f>
        <v>0.5</v>
      </c>
      <c r="P1639" s="11" t="n">
        <f aca="false">2*J1639/(2*J1639+L1639+K1639)</f>
        <v>0.0909090909090909</v>
      </c>
      <c r="Q1639" s="11" t="n">
        <f aca="false">L1639/(L1639+M1639)</f>
        <v>0.05</v>
      </c>
      <c r="R1639" s="6" t="n">
        <v>0</v>
      </c>
      <c r="S1639" s="11"/>
      <c r="T1639" s="11" t="n">
        <v>0.05</v>
      </c>
      <c r="U1639" s="11" t="n">
        <v>1</v>
      </c>
      <c r="V1639" s="11" t="n">
        <v>1</v>
      </c>
    </row>
    <row r="1640" customFormat="false" ht="15" hidden="false" customHeight="false" outlineLevel="0" collapsed="false">
      <c r="A1640" s="6" t="s">
        <v>52</v>
      </c>
      <c r="B1640" s="6" t="s">
        <v>43</v>
      </c>
      <c r="C1640" s="6" t="s">
        <v>51</v>
      </c>
      <c r="D1640" s="6" t="s">
        <v>116</v>
      </c>
      <c r="E1640" s="6" t="n">
        <v>16</v>
      </c>
      <c r="F1640" s="6" t="n">
        <v>9</v>
      </c>
      <c r="G1640" s="6" t="s">
        <v>78</v>
      </c>
      <c r="H1640" s="11" t="n">
        <v>0.01</v>
      </c>
      <c r="I1640" s="6" t="n">
        <v>200</v>
      </c>
      <c r="J1640" s="6" t="n">
        <v>2</v>
      </c>
      <c r="K1640" s="6" t="n">
        <v>198</v>
      </c>
      <c r="L1640" s="6" t="n">
        <v>1</v>
      </c>
      <c r="M1640" s="6" t="n">
        <v>199</v>
      </c>
      <c r="N1640" s="11" t="n">
        <f aca="false">J1640/(J1640+K1640)</f>
        <v>0.01</v>
      </c>
      <c r="O1640" s="11" t="n">
        <f aca="false">IF(J1640+L1640=0,"",J1640/(J1640+L1640))</f>
        <v>0.666666666666667</v>
      </c>
      <c r="P1640" s="11" t="n">
        <f aca="false">2*J1640/(2*J1640+L1640+K1640)</f>
        <v>0.0197044334975369</v>
      </c>
      <c r="Q1640" s="11" t="n">
        <f aca="false">L1640/(L1640+M1640)</f>
        <v>0.005</v>
      </c>
      <c r="R1640" s="6" t="n">
        <v>7</v>
      </c>
      <c r="S1640" s="11" t="n">
        <v>0</v>
      </c>
      <c r="T1640" s="11" t="n">
        <v>0.0103626943005181</v>
      </c>
      <c r="U1640" s="11" t="n">
        <v>0.88</v>
      </c>
      <c r="V1640" s="11" t="n">
        <v>0.86</v>
      </c>
    </row>
    <row r="1641" customFormat="false" ht="15" hidden="false" customHeight="false" outlineLevel="0" collapsed="false">
      <c r="A1641" s="6" t="s">
        <v>52</v>
      </c>
      <c r="B1641" s="6" t="s">
        <v>43</v>
      </c>
      <c r="C1641" s="6" t="s">
        <v>51</v>
      </c>
      <c r="D1641" s="6" t="s">
        <v>116</v>
      </c>
      <c r="E1641" s="6" t="n">
        <v>16</v>
      </c>
      <c r="F1641" s="6" t="n">
        <v>10</v>
      </c>
      <c r="G1641" s="6" t="s">
        <v>68</v>
      </c>
      <c r="H1641" s="11" t="n">
        <v>0.01</v>
      </c>
      <c r="I1641" s="6" t="n">
        <v>20</v>
      </c>
      <c r="J1641" s="6" t="n">
        <v>0</v>
      </c>
      <c r="K1641" s="6" t="n">
        <v>20</v>
      </c>
      <c r="L1641" s="6" t="n">
        <v>0</v>
      </c>
      <c r="M1641" s="6" t="n">
        <v>20</v>
      </c>
      <c r="N1641" s="11" t="n">
        <f aca="false">J1641/(J1641+K1641)</f>
        <v>0</v>
      </c>
      <c r="O1641" s="11" t="str">
        <f aca="false">IF(J1641+L1641=0,"",J1641/(J1641+L1641))</f>
        <v/>
      </c>
      <c r="P1641" s="11" t="n">
        <f aca="false">2*J1641/(2*J1641+L1641+K1641)</f>
        <v>0</v>
      </c>
      <c r="Q1641" s="11" t="n">
        <f aca="false">L1641/(L1641+M1641)</f>
        <v>0</v>
      </c>
      <c r="R1641" s="6" t="n">
        <v>1</v>
      </c>
      <c r="S1641" s="11" t="n">
        <v>0</v>
      </c>
      <c r="T1641" s="11" t="n">
        <v>0</v>
      </c>
      <c r="U1641" s="11" t="n">
        <v>0.85</v>
      </c>
      <c r="V1641" s="11" t="n">
        <v>0.8</v>
      </c>
    </row>
    <row r="1642" customFormat="false" ht="15" hidden="false" customHeight="false" outlineLevel="0" collapsed="false">
      <c r="A1642" s="6" t="s">
        <v>52</v>
      </c>
      <c r="B1642" s="6" t="s">
        <v>43</v>
      </c>
      <c r="C1642" s="6" t="s">
        <v>51</v>
      </c>
      <c r="D1642" s="6" t="s">
        <v>116</v>
      </c>
      <c r="E1642" s="6" t="n">
        <v>16</v>
      </c>
      <c r="F1642" s="6" t="n">
        <v>10</v>
      </c>
      <c r="G1642" s="6" t="s">
        <v>69</v>
      </c>
      <c r="H1642" s="11" t="n">
        <v>0.01</v>
      </c>
      <c r="I1642" s="6" t="n">
        <v>20</v>
      </c>
      <c r="J1642" s="6" t="n">
        <v>0</v>
      </c>
      <c r="K1642" s="6" t="n">
        <v>20</v>
      </c>
      <c r="L1642" s="6" t="n">
        <v>0</v>
      </c>
      <c r="M1642" s="6" t="n">
        <v>20</v>
      </c>
      <c r="N1642" s="11" t="n">
        <f aca="false">J1642/(J1642+K1642)</f>
        <v>0</v>
      </c>
      <c r="O1642" s="11" t="str">
        <f aca="false">IF(J1642+L1642=0,"",J1642/(J1642+L1642))</f>
        <v/>
      </c>
      <c r="P1642" s="11" t="n">
        <f aca="false">2*J1642/(2*J1642+L1642+K1642)</f>
        <v>0</v>
      </c>
      <c r="Q1642" s="11" t="n">
        <f aca="false">L1642/(L1642+M1642)</f>
        <v>0</v>
      </c>
      <c r="R1642" s="6" t="n">
        <v>0</v>
      </c>
      <c r="S1642" s="11"/>
      <c r="T1642" s="11" t="n">
        <v>0</v>
      </c>
      <c r="U1642" s="11" t="n">
        <v>1</v>
      </c>
      <c r="V1642" s="11" t="n">
        <v>1</v>
      </c>
    </row>
    <row r="1643" customFormat="false" ht="15" hidden="false" customHeight="false" outlineLevel="0" collapsed="false">
      <c r="A1643" s="6" t="s">
        <v>52</v>
      </c>
      <c r="B1643" s="6" t="s">
        <v>43</v>
      </c>
      <c r="C1643" s="6" t="s">
        <v>51</v>
      </c>
      <c r="D1643" s="6" t="s">
        <v>116</v>
      </c>
      <c r="E1643" s="6" t="n">
        <v>16</v>
      </c>
      <c r="F1643" s="6" t="n">
        <v>10</v>
      </c>
      <c r="G1643" s="6" t="s">
        <v>70</v>
      </c>
      <c r="H1643" s="11" t="n">
        <v>0.01</v>
      </c>
      <c r="I1643" s="6" t="n">
        <v>20</v>
      </c>
      <c r="J1643" s="6" t="n">
        <v>0</v>
      </c>
      <c r="K1643" s="6" t="n">
        <v>20</v>
      </c>
      <c r="L1643" s="6" t="n">
        <v>0</v>
      </c>
      <c r="M1643" s="6" t="n">
        <v>20</v>
      </c>
      <c r="N1643" s="11" t="n">
        <f aca="false">J1643/(J1643+K1643)</f>
        <v>0</v>
      </c>
      <c r="O1643" s="11" t="str">
        <f aca="false">IF(J1643+L1643=0,"",J1643/(J1643+L1643))</f>
        <v/>
      </c>
      <c r="P1643" s="11" t="n">
        <f aca="false">2*J1643/(2*J1643+L1643+K1643)</f>
        <v>0</v>
      </c>
      <c r="Q1643" s="11" t="n">
        <f aca="false">L1643/(L1643+M1643)</f>
        <v>0</v>
      </c>
      <c r="R1643" s="6" t="n">
        <v>0</v>
      </c>
      <c r="S1643" s="11"/>
      <c r="T1643" s="11" t="n">
        <v>0</v>
      </c>
      <c r="U1643" s="11" t="n">
        <v>0.9</v>
      </c>
      <c r="V1643" s="11" t="n">
        <v>0.9</v>
      </c>
    </row>
    <row r="1644" customFormat="false" ht="15" hidden="false" customHeight="false" outlineLevel="0" collapsed="false">
      <c r="A1644" s="6" t="s">
        <v>52</v>
      </c>
      <c r="B1644" s="6" t="s">
        <v>43</v>
      </c>
      <c r="C1644" s="6" t="s">
        <v>51</v>
      </c>
      <c r="D1644" s="6" t="s">
        <v>116</v>
      </c>
      <c r="E1644" s="6" t="n">
        <v>16</v>
      </c>
      <c r="F1644" s="6" t="n">
        <v>10</v>
      </c>
      <c r="G1644" s="6" t="s">
        <v>71</v>
      </c>
      <c r="H1644" s="11" t="n">
        <v>0.01</v>
      </c>
      <c r="I1644" s="6" t="n">
        <v>20</v>
      </c>
      <c r="J1644" s="6" t="n">
        <v>0</v>
      </c>
      <c r="K1644" s="6" t="n">
        <v>20</v>
      </c>
      <c r="L1644" s="6" t="n">
        <v>0</v>
      </c>
      <c r="M1644" s="6" t="n">
        <v>20</v>
      </c>
      <c r="N1644" s="11" t="n">
        <f aca="false">J1644/(J1644+K1644)</f>
        <v>0</v>
      </c>
      <c r="O1644" s="11" t="str">
        <f aca="false">IF(J1644+L1644=0,"",J1644/(J1644+L1644))</f>
        <v/>
      </c>
      <c r="P1644" s="11" t="n">
        <f aca="false">2*J1644/(2*J1644+L1644+K1644)</f>
        <v>0</v>
      </c>
      <c r="Q1644" s="11" t="n">
        <f aca="false">L1644/(L1644+M1644)</f>
        <v>0</v>
      </c>
      <c r="R1644" s="6" t="n">
        <v>0</v>
      </c>
      <c r="S1644" s="11"/>
      <c r="T1644" s="11" t="n">
        <v>0</v>
      </c>
      <c r="U1644" s="11" t="n">
        <v>0.8</v>
      </c>
      <c r="V1644" s="11" t="n">
        <v>0.8</v>
      </c>
    </row>
    <row r="1645" customFormat="false" ht="15" hidden="false" customHeight="false" outlineLevel="0" collapsed="false">
      <c r="A1645" s="6" t="s">
        <v>52</v>
      </c>
      <c r="B1645" s="6" t="s">
        <v>43</v>
      </c>
      <c r="C1645" s="6" t="s">
        <v>51</v>
      </c>
      <c r="D1645" s="6" t="s">
        <v>116</v>
      </c>
      <c r="E1645" s="6" t="n">
        <v>16</v>
      </c>
      <c r="F1645" s="6" t="n">
        <v>10</v>
      </c>
      <c r="G1645" s="6" t="s">
        <v>72</v>
      </c>
      <c r="H1645" s="11" t="n">
        <v>0.01</v>
      </c>
      <c r="I1645" s="6" t="n">
        <v>20</v>
      </c>
      <c r="J1645" s="6" t="n">
        <v>0</v>
      </c>
      <c r="K1645" s="6" t="n">
        <v>20</v>
      </c>
      <c r="L1645" s="6" t="n">
        <v>0</v>
      </c>
      <c r="M1645" s="6" t="n">
        <v>20</v>
      </c>
      <c r="N1645" s="11" t="n">
        <f aca="false">J1645/(J1645+K1645)</f>
        <v>0</v>
      </c>
      <c r="O1645" s="11" t="str">
        <f aca="false">IF(J1645+L1645=0,"",J1645/(J1645+L1645))</f>
        <v/>
      </c>
      <c r="P1645" s="11" t="n">
        <f aca="false">2*J1645/(2*J1645+L1645+K1645)</f>
        <v>0</v>
      </c>
      <c r="Q1645" s="11" t="n">
        <f aca="false">L1645/(L1645+M1645)</f>
        <v>0</v>
      </c>
      <c r="R1645" s="6" t="n">
        <v>0</v>
      </c>
      <c r="S1645" s="11"/>
      <c r="T1645" s="11" t="n">
        <v>0</v>
      </c>
      <c r="U1645" s="11" t="n">
        <v>0.9</v>
      </c>
      <c r="V1645" s="11" t="n">
        <v>0.9</v>
      </c>
    </row>
    <row r="1646" customFormat="false" ht="15" hidden="false" customHeight="false" outlineLevel="0" collapsed="false">
      <c r="A1646" s="6" t="s">
        <v>52</v>
      </c>
      <c r="B1646" s="6" t="s">
        <v>43</v>
      </c>
      <c r="C1646" s="6" t="s">
        <v>51</v>
      </c>
      <c r="D1646" s="6" t="s">
        <v>116</v>
      </c>
      <c r="E1646" s="6" t="n">
        <v>16</v>
      </c>
      <c r="F1646" s="6" t="n">
        <v>10</v>
      </c>
      <c r="G1646" s="6" t="s">
        <v>73</v>
      </c>
      <c r="H1646" s="11" t="n">
        <v>0.01</v>
      </c>
      <c r="I1646" s="6" t="n">
        <v>20</v>
      </c>
      <c r="J1646" s="6" t="n">
        <v>0</v>
      </c>
      <c r="K1646" s="6" t="n">
        <v>20</v>
      </c>
      <c r="L1646" s="6" t="n">
        <v>0</v>
      </c>
      <c r="M1646" s="6" t="n">
        <v>20</v>
      </c>
      <c r="N1646" s="11" t="n">
        <f aca="false">J1646/(J1646+K1646)</f>
        <v>0</v>
      </c>
      <c r="O1646" s="11" t="str">
        <f aca="false">IF(J1646+L1646=0,"",J1646/(J1646+L1646))</f>
        <v/>
      </c>
      <c r="P1646" s="11" t="n">
        <f aca="false">2*J1646/(2*J1646+L1646+K1646)</f>
        <v>0</v>
      </c>
      <c r="Q1646" s="11" t="n">
        <f aca="false">L1646/(L1646+M1646)</f>
        <v>0</v>
      </c>
      <c r="R1646" s="6" t="n">
        <v>1</v>
      </c>
      <c r="S1646" s="11" t="n">
        <v>0</v>
      </c>
      <c r="T1646" s="11" t="n">
        <v>0</v>
      </c>
      <c r="U1646" s="11" t="n">
        <v>0.65</v>
      </c>
      <c r="V1646" s="11" t="n">
        <v>0.65</v>
      </c>
    </row>
    <row r="1647" customFormat="false" ht="15" hidden="false" customHeight="false" outlineLevel="0" collapsed="false">
      <c r="A1647" s="6" t="s">
        <v>52</v>
      </c>
      <c r="B1647" s="6" t="s">
        <v>43</v>
      </c>
      <c r="C1647" s="6" t="s">
        <v>51</v>
      </c>
      <c r="D1647" s="6" t="s">
        <v>116</v>
      </c>
      <c r="E1647" s="6" t="n">
        <v>16</v>
      </c>
      <c r="F1647" s="6" t="n">
        <v>10</v>
      </c>
      <c r="G1647" s="6" t="s">
        <v>74</v>
      </c>
      <c r="H1647" s="11" t="n">
        <v>0.01</v>
      </c>
      <c r="I1647" s="6" t="n">
        <v>20</v>
      </c>
      <c r="J1647" s="6" t="n">
        <v>0</v>
      </c>
      <c r="K1647" s="6" t="n">
        <v>20</v>
      </c>
      <c r="L1647" s="6" t="n">
        <v>0</v>
      </c>
      <c r="M1647" s="6" t="n">
        <v>20</v>
      </c>
      <c r="N1647" s="11" t="n">
        <f aca="false">J1647/(J1647+K1647)</f>
        <v>0</v>
      </c>
      <c r="O1647" s="11" t="str">
        <f aca="false">IF(J1647+L1647=0,"",J1647/(J1647+L1647))</f>
        <v/>
      </c>
      <c r="P1647" s="11" t="n">
        <f aca="false">2*J1647/(2*J1647+L1647+K1647)</f>
        <v>0</v>
      </c>
      <c r="Q1647" s="11" t="n">
        <f aca="false">L1647/(L1647+M1647)</f>
        <v>0</v>
      </c>
      <c r="R1647" s="6" t="n">
        <v>1</v>
      </c>
      <c r="S1647" s="11" t="n">
        <v>0</v>
      </c>
      <c r="T1647" s="11" t="n">
        <v>0</v>
      </c>
      <c r="U1647" s="11" t="n">
        <v>0.85</v>
      </c>
      <c r="V1647" s="11" t="n">
        <v>0.85</v>
      </c>
    </row>
    <row r="1648" customFormat="false" ht="15" hidden="false" customHeight="false" outlineLevel="0" collapsed="false">
      <c r="A1648" s="6" t="s">
        <v>52</v>
      </c>
      <c r="B1648" s="6" t="s">
        <v>43</v>
      </c>
      <c r="C1648" s="6" t="s">
        <v>51</v>
      </c>
      <c r="D1648" s="6" t="s">
        <v>116</v>
      </c>
      <c r="E1648" s="6" t="n">
        <v>16</v>
      </c>
      <c r="F1648" s="6" t="n">
        <v>10</v>
      </c>
      <c r="G1648" s="6" t="s">
        <v>75</v>
      </c>
      <c r="H1648" s="11" t="n">
        <v>0.01</v>
      </c>
      <c r="I1648" s="6" t="n">
        <v>20</v>
      </c>
      <c r="J1648" s="6" t="n">
        <v>0</v>
      </c>
      <c r="K1648" s="6" t="n">
        <v>20</v>
      </c>
      <c r="L1648" s="6" t="n">
        <v>0</v>
      </c>
      <c r="M1648" s="6" t="n">
        <v>20</v>
      </c>
      <c r="N1648" s="11" t="n">
        <f aca="false">J1648/(J1648+K1648)</f>
        <v>0</v>
      </c>
      <c r="O1648" s="11" t="str">
        <f aca="false">IF(J1648+L1648=0,"",J1648/(J1648+L1648))</f>
        <v/>
      </c>
      <c r="P1648" s="11" t="n">
        <f aca="false">2*J1648/(2*J1648+L1648+K1648)</f>
        <v>0</v>
      </c>
      <c r="Q1648" s="11" t="n">
        <f aca="false">L1648/(L1648+M1648)</f>
        <v>0</v>
      </c>
      <c r="R1648" s="6" t="n">
        <v>2</v>
      </c>
      <c r="S1648" s="11" t="n">
        <v>0</v>
      </c>
      <c r="T1648" s="11" t="n">
        <v>0</v>
      </c>
      <c r="U1648" s="11" t="n">
        <v>0.9</v>
      </c>
      <c r="V1648" s="11" t="n">
        <v>1</v>
      </c>
    </row>
    <row r="1649" customFormat="false" ht="15" hidden="false" customHeight="false" outlineLevel="0" collapsed="false">
      <c r="A1649" s="6" t="s">
        <v>52</v>
      </c>
      <c r="B1649" s="6" t="s">
        <v>43</v>
      </c>
      <c r="C1649" s="6" t="s">
        <v>51</v>
      </c>
      <c r="D1649" s="6" t="s">
        <v>116</v>
      </c>
      <c r="E1649" s="6" t="n">
        <v>16</v>
      </c>
      <c r="F1649" s="6" t="n">
        <v>10</v>
      </c>
      <c r="G1649" s="6" t="s">
        <v>76</v>
      </c>
      <c r="H1649" s="11" t="n">
        <v>0.01</v>
      </c>
      <c r="I1649" s="6" t="n">
        <v>20</v>
      </c>
      <c r="J1649" s="6" t="n">
        <v>0</v>
      </c>
      <c r="K1649" s="6" t="n">
        <v>20</v>
      </c>
      <c r="L1649" s="6" t="n">
        <v>0</v>
      </c>
      <c r="M1649" s="6" t="n">
        <v>20</v>
      </c>
      <c r="N1649" s="11" t="n">
        <f aca="false">J1649/(J1649+K1649)</f>
        <v>0</v>
      </c>
      <c r="O1649" s="11" t="str">
        <f aca="false">IF(J1649+L1649=0,"",J1649/(J1649+L1649))</f>
        <v/>
      </c>
      <c r="P1649" s="11" t="n">
        <f aca="false">2*J1649/(2*J1649+L1649+K1649)</f>
        <v>0</v>
      </c>
      <c r="Q1649" s="11" t="n">
        <f aca="false">L1649/(L1649+M1649)</f>
        <v>0</v>
      </c>
      <c r="R1649" s="6" t="n">
        <v>0</v>
      </c>
      <c r="S1649" s="11"/>
      <c r="T1649" s="11" t="n">
        <v>0</v>
      </c>
      <c r="U1649" s="11" t="n">
        <v>0.95</v>
      </c>
      <c r="V1649" s="11" t="n">
        <v>0.95</v>
      </c>
    </row>
    <row r="1650" customFormat="false" ht="15" hidden="false" customHeight="false" outlineLevel="0" collapsed="false">
      <c r="A1650" s="6" t="s">
        <v>52</v>
      </c>
      <c r="B1650" s="6" t="s">
        <v>43</v>
      </c>
      <c r="C1650" s="6" t="s">
        <v>51</v>
      </c>
      <c r="D1650" s="6" t="s">
        <v>116</v>
      </c>
      <c r="E1650" s="6" t="n">
        <v>16</v>
      </c>
      <c r="F1650" s="6" t="n">
        <v>10</v>
      </c>
      <c r="G1650" s="6" t="s">
        <v>77</v>
      </c>
      <c r="H1650" s="11" t="n">
        <v>0.01</v>
      </c>
      <c r="I1650" s="6" t="n">
        <v>20</v>
      </c>
      <c r="J1650" s="6" t="n">
        <v>1</v>
      </c>
      <c r="K1650" s="6" t="n">
        <v>19</v>
      </c>
      <c r="L1650" s="6" t="n">
        <v>1</v>
      </c>
      <c r="M1650" s="6" t="n">
        <v>19</v>
      </c>
      <c r="N1650" s="11" t="n">
        <f aca="false">J1650/(J1650+K1650)</f>
        <v>0.05</v>
      </c>
      <c r="O1650" s="11" t="n">
        <f aca="false">IF(J1650+L1650=0,"",J1650/(J1650+L1650))</f>
        <v>0.5</v>
      </c>
      <c r="P1650" s="11" t="n">
        <f aca="false">2*J1650/(2*J1650+L1650+K1650)</f>
        <v>0.0909090909090909</v>
      </c>
      <c r="Q1650" s="11" t="n">
        <f aca="false">L1650/(L1650+M1650)</f>
        <v>0.05</v>
      </c>
      <c r="R1650" s="6" t="n">
        <v>0</v>
      </c>
      <c r="S1650" s="11"/>
      <c r="T1650" s="11" t="n">
        <v>0.05</v>
      </c>
      <c r="U1650" s="11" t="n">
        <v>1</v>
      </c>
      <c r="V1650" s="11" t="n">
        <v>1</v>
      </c>
    </row>
    <row r="1651" customFormat="false" ht="15" hidden="false" customHeight="false" outlineLevel="0" collapsed="false">
      <c r="A1651" s="6" t="s">
        <v>52</v>
      </c>
      <c r="B1651" s="6" t="s">
        <v>43</v>
      </c>
      <c r="C1651" s="6" t="s">
        <v>51</v>
      </c>
      <c r="D1651" s="6" t="s">
        <v>116</v>
      </c>
      <c r="E1651" s="6" t="n">
        <v>16</v>
      </c>
      <c r="F1651" s="6" t="n">
        <v>10</v>
      </c>
      <c r="G1651" s="6" t="s">
        <v>78</v>
      </c>
      <c r="H1651" s="11" t="n">
        <v>0.01</v>
      </c>
      <c r="I1651" s="6" t="n">
        <v>200</v>
      </c>
      <c r="J1651" s="6" t="n">
        <v>1</v>
      </c>
      <c r="K1651" s="6" t="n">
        <v>199</v>
      </c>
      <c r="L1651" s="6" t="n">
        <v>1</v>
      </c>
      <c r="M1651" s="6" t="n">
        <v>199</v>
      </c>
      <c r="N1651" s="11" t="n">
        <f aca="false">J1651/(J1651+K1651)</f>
        <v>0.005</v>
      </c>
      <c r="O1651" s="11" t="n">
        <f aca="false">IF(J1651+L1651=0,"",J1651/(J1651+L1651))</f>
        <v>0.5</v>
      </c>
      <c r="P1651" s="11" t="n">
        <f aca="false">2*J1651/(2*J1651+L1651+K1651)</f>
        <v>0.0099009900990099</v>
      </c>
      <c r="Q1651" s="11" t="n">
        <f aca="false">L1651/(L1651+M1651)</f>
        <v>0.005</v>
      </c>
      <c r="R1651" s="6" t="n">
        <v>5</v>
      </c>
      <c r="S1651" s="11" t="n">
        <v>0</v>
      </c>
      <c r="T1651" s="11" t="n">
        <v>0.00512820512820513</v>
      </c>
      <c r="U1651" s="11" t="n">
        <v>0.88</v>
      </c>
      <c r="V1651" s="11" t="n">
        <v>0.885</v>
      </c>
    </row>
    <row r="1652" customFormat="false" ht="15" hidden="false" customHeight="false" outlineLevel="0" collapsed="false">
      <c r="A1652" s="6" t="s">
        <v>54</v>
      </c>
      <c r="B1652" s="6" t="s">
        <v>43</v>
      </c>
      <c r="C1652" s="6" t="s">
        <v>49</v>
      </c>
      <c r="D1652" s="6" t="s">
        <v>117</v>
      </c>
      <c r="E1652" s="6" t="n">
        <v>16</v>
      </c>
      <c r="F1652" s="6" t="n">
        <v>1</v>
      </c>
      <c r="G1652" s="6" t="s">
        <v>68</v>
      </c>
      <c r="H1652" s="11" t="n">
        <v>0.01</v>
      </c>
      <c r="I1652" s="6" t="n">
        <v>20</v>
      </c>
      <c r="J1652" s="6" t="n">
        <v>0</v>
      </c>
      <c r="K1652" s="6" t="n">
        <v>20</v>
      </c>
      <c r="L1652" s="6" t="n">
        <v>0</v>
      </c>
      <c r="M1652" s="6" t="n">
        <v>20</v>
      </c>
      <c r="N1652" s="11" t="n">
        <f aca="false">J1652/(J1652+K1652)</f>
        <v>0</v>
      </c>
      <c r="O1652" s="11" t="str">
        <f aca="false">IF(J1652+L1652=0,"",J1652/(J1652+L1652))</f>
        <v/>
      </c>
      <c r="P1652" s="11" t="n">
        <f aca="false">2*J1652/(2*J1652+L1652+K1652)</f>
        <v>0</v>
      </c>
      <c r="Q1652" s="11" t="n">
        <f aca="false">L1652/(L1652+M1652)</f>
        <v>0</v>
      </c>
      <c r="R1652" s="6" t="n">
        <v>0</v>
      </c>
      <c r="S1652" s="11"/>
      <c r="T1652" s="11" t="n">
        <v>0</v>
      </c>
      <c r="U1652" s="11" t="n">
        <v>0.85</v>
      </c>
      <c r="V1652" s="11" t="n">
        <v>0.85</v>
      </c>
    </row>
    <row r="1653" customFormat="false" ht="15" hidden="false" customHeight="false" outlineLevel="0" collapsed="false">
      <c r="A1653" s="6" t="s">
        <v>54</v>
      </c>
      <c r="B1653" s="6" t="s">
        <v>43</v>
      </c>
      <c r="C1653" s="6" t="s">
        <v>49</v>
      </c>
      <c r="D1653" s="6" t="s">
        <v>117</v>
      </c>
      <c r="E1653" s="6" t="n">
        <v>16</v>
      </c>
      <c r="F1653" s="6" t="n">
        <v>1</v>
      </c>
      <c r="G1653" s="6" t="s">
        <v>69</v>
      </c>
      <c r="H1653" s="11" t="n">
        <v>0.01</v>
      </c>
      <c r="I1653" s="6" t="n">
        <v>20</v>
      </c>
      <c r="J1653" s="6" t="n">
        <v>0</v>
      </c>
      <c r="K1653" s="6" t="n">
        <v>20</v>
      </c>
      <c r="L1653" s="6" t="n">
        <v>0</v>
      </c>
      <c r="M1653" s="6" t="n">
        <v>20</v>
      </c>
      <c r="N1653" s="11" t="n">
        <f aca="false">J1653/(J1653+K1653)</f>
        <v>0</v>
      </c>
      <c r="O1653" s="11" t="str">
        <f aca="false">IF(J1653+L1653=0,"",J1653/(J1653+L1653))</f>
        <v/>
      </c>
      <c r="P1653" s="11" t="n">
        <f aca="false">2*J1653/(2*J1653+L1653+K1653)</f>
        <v>0</v>
      </c>
      <c r="Q1653" s="11" t="n">
        <f aca="false">L1653/(L1653+M1653)</f>
        <v>0</v>
      </c>
      <c r="R1653" s="6" t="n">
        <v>0</v>
      </c>
      <c r="S1653" s="11"/>
      <c r="T1653" s="11" t="n">
        <v>0</v>
      </c>
      <c r="U1653" s="11" t="n">
        <v>1</v>
      </c>
      <c r="V1653" s="11" t="n">
        <v>1</v>
      </c>
    </row>
    <row r="1654" customFormat="false" ht="15" hidden="false" customHeight="false" outlineLevel="0" collapsed="false">
      <c r="A1654" s="6" t="s">
        <v>54</v>
      </c>
      <c r="B1654" s="6" t="s">
        <v>43</v>
      </c>
      <c r="C1654" s="6" t="s">
        <v>49</v>
      </c>
      <c r="D1654" s="6" t="s">
        <v>117</v>
      </c>
      <c r="E1654" s="6" t="n">
        <v>16</v>
      </c>
      <c r="F1654" s="6" t="n">
        <v>1</v>
      </c>
      <c r="G1654" s="6" t="s">
        <v>70</v>
      </c>
      <c r="H1654" s="11" t="n">
        <v>0.01</v>
      </c>
      <c r="I1654" s="6" t="n">
        <v>20</v>
      </c>
      <c r="J1654" s="6" t="n">
        <v>0</v>
      </c>
      <c r="K1654" s="6" t="n">
        <v>20</v>
      </c>
      <c r="L1654" s="6" t="n">
        <v>0</v>
      </c>
      <c r="M1654" s="6" t="n">
        <v>20</v>
      </c>
      <c r="N1654" s="11" t="n">
        <f aca="false">J1654/(J1654+K1654)</f>
        <v>0</v>
      </c>
      <c r="O1654" s="11" t="str">
        <f aca="false">IF(J1654+L1654=0,"",J1654/(J1654+L1654))</f>
        <v/>
      </c>
      <c r="P1654" s="11" t="n">
        <f aca="false">2*J1654/(2*J1654+L1654+K1654)</f>
        <v>0</v>
      </c>
      <c r="Q1654" s="11" t="n">
        <f aca="false">L1654/(L1654+M1654)</f>
        <v>0</v>
      </c>
      <c r="R1654" s="6" t="n">
        <v>0</v>
      </c>
      <c r="S1654" s="11"/>
      <c r="T1654" s="11" t="n">
        <v>0</v>
      </c>
      <c r="U1654" s="11" t="n">
        <v>0.9</v>
      </c>
      <c r="V1654" s="11" t="n">
        <v>0.9</v>
      </c>
    </row>
    <row r="1655" customFormat="false" ht="15" hidden="false" customHeight="false" outlineLevel="0" collapsed="false">
      <c r="A1655" s="6" t="s">
        <v>54</v>
      </c>
      <c r="B1655" s="6" t="s">
        <v>43</v>
      </c>
      <c r="C1655" s="6" t="s">
        <v>49</v>
      </c>
      <c r="D1655" s="6" t="s">
        <v>117</v>
      </c>
      <c r="E1655" s="6" t="n">
        <v>16</v>
      </c>
      <c r="F1655" s="6" t="n">
        <v>1</v>
      </c>
      <c r="G1655" s="6" t="s">
        <v>71</v>
      </c>
      <c r="H1655" s="11" t="n">
        <v>0.01</v>
      </c>
      <c r="I1655" s="6" t="n">
        <v>20</v>
      </c>
      <c r="J1655" s="6" t="n">
        <v>0</v>
      </c>
      <c r="K1655" s="6" t="n">
        <v>20</v>
      </c>
      <c r="L1655" s="6" t="n">
        <v>0</v>
      </c>
      <c r="M1655" s="6" t="n">
        <v>20</v>
      </c>
      <c r="N1655" s="11" t="n">
        <f aca="false">J1655/(J1655+K1655)</f>
        <v>0</v>
      </c>
      <c r="O1655" s="11" t="str">
        <f aca="false">IF(J1655+L1655=0,"",J1655/(J1655+L1655))</f>
        <v/>
      </c>
      <c r="P1655" s="11" t="n">
        <f aca="false">2*J1655/(2*J1655+L1655+K1655)</f>
        <v>0</v>
      </c>
      <c r="Q1655" s="11" t="n">
        <f aca="false">L1655/(L1655+M1655)</f>
        <v>0</v>
      </c>
      <c r="R1655" s="6" t="n">
        <v>0</v>
      </c>
      <c r="S1655" s="11"/>
      <c r="T1655" s="11" t="n">
        <v>0</v>
      </c>
      <c r="U1655" s="11" t="n">
        <v>0.8</v>
      </c>
      <c r="V1655" s="11" t="n">
        <v>0.8</v>
      </c>
    </row>
    <row r="1656" customFormat="false" ht="15" hidden="false" customHeight="false" outlineLevel="0" collapsed="false">
      <c r="A1656" s="6" t="s">
        <v>54</v>
      </c>
      <c r="B1656" s="6" t="s">
        <v>43</v>
      </c>
      <c r="C1656" s="6" t="s">
        <v>49</v>
      </c>
      <c r="D1656" s="6" t="s">
        <v>117</v>
      </c>
      <c r="E1656" s="6" t="n">
        <v>16</v>
      </c>
      <c r="F1656" s="6" t="n">
        <v>1</v>
      </c>
      <c r="G1656" s="6" t="s">
        <v>72</v>
      </c>
      <c r="H1656" s="11" t="n">
        <v>0.01</v>
      </c>
      <c r="I1656" s="6" t="n">
        <v>20</v>
      </c>
      <c r="J1656" s="6" t="n">
        <v>0</v>
      </c>
      <c r="K1656" s="6" t="n">
        <v>20</v>
      </c>
      <c r="L1656" s="6" t="n">
        <v>0</v>
      </c>
      <c r="M1656" s="6" t="n">
        <v>20</v>
      </c>
      <c r="N1656" s="11" t="n">
        <f aca="false">J1656/(J1656+K1656)</f>
        <v>0</v>
      </c>
      <c r="O1656" s="11" t="str">
        <f aca="false">IF(J1656+L1656=0,"",J1656/(J1656+L1656))</f>
        <v/>
      </c>
      <c r="P1656" s="11" t="n">
        <f aca="false">2*J1656/(2*J1656+L1656+K1656)</f>
        <v>0</v>
      </c>
      <c r="Q1656" s="11" t="n">
        <f aca="false">L1656/(L1656+M1656)</f>
        <v>0</v>
      </c>
      <c r="R1656" s="6" t="n">
        <v>0</v>
      </c>
      <c r="S1656" s="11"/>
      <c r="T1656" s="11" t="n">
        <v>0</v>
      </c>
      <c r="U1656" s="11" t="n">
        <v>0.9</v>
      </c>
      <c r="V1656" s="11" t="n">
        <v>0.9</v>
      </c>
    </row>
    <row r="1657" customFormat="false" ht="15" hidden="false" customHeight="false" outlineLevel="0" collapsed="false">
      <c r="A1657" s="6" t="s">
        <v>54</v>
      </c>
      <c r="B1657" s="6" t="s">
        <v>43</v>
      </c>
      <c r="C1657" s="6" t="s">
        <v>49</v>
      </c>
      <c r="D1657" s="6" t="s">
        <v>117</v>
      </c>
      <c r="E1657" s="6" t="n">
        <v>16</v>
      </c>
      <c r="F1657" s="6" t="n">
        <v>1</v>
      </c>
      <c r="G1657" s="6" t="s">
        <v>73</v>
      </c>
      <c r="H1657" s="11" t="n">
        <v>0.01</v>
      </c>
      <c r="I1657" s="6" t="n">
        <v>20</v>
      </c>
      <c r="J1657" s="6" t="n">
        <v>0</v>
      </c>
      <c r="K1657" s="6" t="n">
        <v>20</v>
      </c>
      <c r="L1657" s="6" t="n">
        <v>0</v>
      </c>
      <c r="M1657" s="6" t="n">
        <v>20</v>
      </c>
      <c r="N1657" s="11" t="n">
        <f aca="false">J1657/(J1657+K1657)</f>
        <v>0</v>
      </c>
      <c r="O1657" s="11" t="str">
        <f aca="false">IF(J1657+L1657=0,"",J1657/(J1657+L1657))</f>
        <v/>
      </c>
      <c r="P1657" s="11" t="n">
        <f aca="false">2*J1657/(2*J1657+L1657+K1657)</f>
        <v>0</v>
      </c>
      <c r="Q1657" s="11" t="n">
        <f aca="false">L1657/(L1657+M1657)</f>
        <v>0</v>
      </c>
      <c r="R1657" s="6" t="n">
        <v>0</v>
      </c>
      <c r="S1657" s="11"/>
      <c r="T1657" s="11" t="n">
        <v>0</v>
      </c>
      <c r="U1657" s="11" t="n">
        <v>0.65</v>
      </c>
      <c r="V1657" s="11" t="n">
        <v>0.65</v>
      </c>
    </row>
    <row r="1658" customFormat="false" ht="15" hidden="false" customHeight="false" outlineLevel="0" collapsed="false">
      <c r="A1658" s="6" t="s">
        <v>54</v>
      </c>
      <c r="B1658" s="6" t="s">
        <v>43</v>
      </c>
      <c r="C1658" s="6" t="s">
        <v>49</v>
      </c>
      <c r="D1658" s="6" t="s">
        <v>117</v>
      </c>
      <c r="E1658" s="6" t="n">
        <v>16</v>
      </c>
      <c r="F1658" s="6" t="n">
        <v>1</v>
      </c>
      <c r="G1658" s="6" t="s">
        <v>74</v>
      </c>
      <c r="H1658" s="11" t="n">
        <v>0.01</v>
      </c>
      <c r="I1658" s="6" t="n">
        <v>20</v>
      </c>
      <c r="J1658" s="6" t="n">
        <v>0</v>
      </c>
      <c r="K1658" s="6" t="n">
        <v>20</v>
      </c>
      <c r="L1658" s="6" t="n">
        <v>0</v>
      </c>
      <c r="M1658" s="6" t="n">
        <v>20</v>
      </c>
      <c r="N1658" s="11" t="n">
        <f aca="false">J1658/(J1658+K1658)</f>
        <v>0</v>
      </c>
      <c r="O1658" s="11" t="str">
        <f aca="false">IF(J1658+L1658=0,"",J1658/(J1658+L1658))</f>
        <v/>
      </c>
      <c r="P1658" s="11" t="n">
        <f aca="false">2*J1658/(2*J1658+L1658+K1658)</f>
        <v>0</v>
      </c>
      <c r="Q1658" s="11" t="n">
        <f aca="false">L1658/(L1658+M1658)</f>
        <v>0</v>
      </c>
      <c r="R1658" s="6" t="n">
        <v>0</v>
      </c>
      <c r="S1658" s="11"/>
      <c r="T1658" s="11" t="n">
        <v>0</v>
      </c>
      <c r="U1658" s="11" t="n">
        <v>0.85</v>
      </c>
      <c r="V1658" s="11" t="n">
        <v>0.85</v>
      </c>
    </row>
    <row r="1659" customFormat="false" ht="15" hidden="false" customHeight="false" outlineLevel="0" collapsed="false">
      <c r="A1659" s="6" t="s">
        <v>54</v>
      </c>
      <c r="B1659" s="6" t="s">
        <v>43</v>
      </c>
      <c r="C1659" s="6" t="s">
        <v>49</v>
      </c>
      <c r="D1659" s="6" t="s">
        <v>117</v>
      </c>
      <c r="E1659" s="6" t="n">
        <v>16</v>
      </c>
      <c r="F1659" s="6" t="n">
        <v>1</v>
      </c>
      <c r="G1659" s="6" t="s">
        <v>75</v>
      </c>
      <c r="H1659" s="11" t="n">
        <v>0.01</v>
      </c>
      <c r="I1659" s="6" t="n">
        <v>20</v>
      </c>
      <c r="J1659" s="6" t="n">
        <v>0</v>
      </c>
      <c r="K1659" s="6" t="n">
        <v>20</v>
      </c>
      <c r="L1659" s="6" t="n">
        <v>0</v>
      </c>
      <c r="M1659" s="6" t="n">
        <v>20</v>
      </c>
      <c r="N1659" s="11" t="n">
        <f aca="false">J1659/(J1659+K1659)</f>
        <v>0</v>
      </c>
      <c r="O1659" s="11" t="str">
        <f aca="false">IF(J1659+L1659=0,"",J1659/(J1659+L1659))</f>
        <v/>
      </c>
      <c r="P1659" s="11" t="n">
        <f aca="false">2*J1659/(2*J1659+L1659+K1659)</f>
        <v>0</v>
      </c>
      <c r="Q1659" s="11" t="n">
        <f aca="false">L1659/(L1659+M1659)</f>
        <v>0</v>
      </c>
      <c r="R1659" s="6" t="n">
        <v>0</v>
      </c>
      <c r="S1659" s="11"/>
      <c r="T1659" s="11" t="n">
        <v>0</v>
      </c>
      <c r="U1659" s="11" t="n">
        <v>0.9</v>
      </c>
      <c r="V1659" s="11" t="n">
        <v>0.9</v>
      </c>
    </row>
    <row r="1660" customFormat="false" ht="15" hidden="false" customHeight="false" outlineLevel="0" collapsed="false">
      <c r="A1660" s="6" t="s">
        <v>54</v>
      </c>
      <c r="B1660" s="6" t="s">
        <v>43</v>
      </c>
      <c r="C1660" s="6" t="s">
        <v>49</v>
      </c>
      <c r="D1660" s="6" t="s">
        <v>117</v>
      </c>
      <c r="E1660" s="6" t="n">
        <v>16</v>
      </c>
      <c r="F1660" s="6" t="n">
        <v>1</v>
      </c>
      <c r="G1660" s="6" t="s">
        <v>76</v>
      </c>
      <c r="H1660" s="11" t="n">
        <v>0.01</v>
      </c>
      <c r="I1660" s="6" t="n">
        <v>20</v>
      </c>
      <c r="J1660" s="6" t="n">
        <v>0</v>
      </c>
      <c r="K1660" s="6" t="n">
        <v>20</v>
      </c>
      <c r="L1660" s="6" t="n">
        <v>0</v>
      </c>
      <c r="M1660" s="6" t="n">
        <v>20</v>
      </c>
      <c r="N1660" s="11" t="n">
        <f aca="false">J1660/(J1660+K1660)</f>
        <v>0</v>
      </c>
      <c r="O1660" s="11" t="str">
        <f aca="false">IF(J1660+L1660=0,"",J1660/(J1660+L1660))</f>
        <v/>
      </c>
      <c r="P1660" s="11" t="n">
        <f aca="false">2*J1660/(2*J1660+L1660+K1660)</f>
        <v>0</v>
      </c>
      <c r="Q1660" s="11" t="n">
        <f aca="false">L1660/(L1660+M1660)</f>
        <v>0</v>
      </c>
      <c r="R1660" s="6" t="n">
        <v>0</v>
      </c>
      <c r="S1660" s="11"/>
      <c r="T1660" s="11" t="n">
        <v>0</v>
      </c>
      <c r="U1660" s="11" t="n">
        <v>0.95</v>
      </c>
      <c r="V1660" s="11" t="n">
        <v>0.95</v>
      </c>
    </row>
    <row r="1661" customFormat="false" ht="15" hidden="false" customHeight="false" outlineLevel="0" collapsed="false">
      <c r="A1661" s="6" t="s">
        <v>54</v>
      </c>
      <c r="B1661" s="6" t="s">
        <v>43</v>
      </c>
      <c r="C1661" s="6" t="s">
        <v>49</v>
      </c>
      <c r="D1661" s="6" t="s">
        <v>117</v>
      </c>
      <c r="E1661" s="6" t="n">
        <v>16</v>
      </c>
      <c r="F1661" s="6" t="n">
        <v>1</v>
      </c>
      <c r="G1661" s="6" t="s">
        <v>77</v>
      </c>
      <c r="H1661" s="11" t="n">
        <v>0.01</v>
      </c>
      <c r="I1661" s="6" t="n">
        <v>20</v>
      </c>
      <c r="J1661" s="6" t="n">
        <v>1</v>
      </c>
      <c r="K1661" s="6" t="n">
        <v>19</v>
      </c>
      <c r="L1661" s="6" t="n">
        <v>1</v>
      </c>
      <c r="M1661" s="6" t="n">
        <v>19</v>
      </c>
      <c r="N1661" s="11" t="n">
        <f aca="false">J1661/(J1661+K1661)</f>
        <v>0.05</v>
      </c>
      <c r="O1661" s="11" t="n">
        <f aca="false">IF(J1661+L1661=0,"",J1661/(J1661+L1661))</f>
        <v>0.5</v>
      </c>
      <c r="P1661" s="11" t="n">
        <f aca="false">2*J1661/(2*J1661+L1661+K1661)</f>
        <v>0.0909090909090909</v>
      </c>
      <c r="Q1661" s="11" t="n">
        <f aca="false">L1661/(L1661+M1661)</f>
        <v>0.05</v>
      </c>
      <c r="R1661" s="6" t="n">
        <v>0</v>
      </c>
      <c r="S1661" s="11"/>
      <c r="T1661" s="11" t="n">
        <v>0.05</v>
      </c>
      <c r="U1661" s="11" t="n">
        <v>1</v>
      </c>
      <c r="V1661" s="11" t="n">
        <v>1</v>
      </c>
    </row>
    <row r="1662" customFormat="false" ht="15" hidden="false" customHeight="false" outlineLevel="0" collapsed="false">
      <c r="A1662" s="6" t="s">
        <v>54</v>
      </c>
      <c r="B1662" s="6" t="s">
        <v>43</v>
      </c>
      <c r="C1662" s="6" t="s">
        <v>49</v>
      </c>
      <c r="D1662" s="6" t="s">
        <v>117</v>
      </c>
      <c r="E1662" s="6" t="n">
        <v>16</v>
      </c>
      <c r="F1662" s="6" t="n">
        <v>1</v>
      </c>
      <c r="G1662" s="6" t="s">
        <v>78</v>
      </c>
      <c r="H1662" s="11" t="n">
        <v>0.01</v>
      </c>
      <c r="I1662" s="6" t="n">
        <v>200</v>
      </c>
      <c r="J1662" s="6" t="n">
        <v>1</v>
      </c>
      <c r="K1662" s="6" t="n">
        <v>199</v>
      </c>
      <c r="L1662" s="6" t="n">
        <v>1</v>
      </c>
      <c r="M1662" s="6" t="n">
        <v>199</v>
      </c>
      <c r="N1662" s="11" t="n">
        <f aca="false">J1662/(J1662+K1662)</f>
        <v>0.005</v>
      </c>
      <c r="O1662" s="11" t="n">
        <f aca="false">IF(J1662+L1662=0,"",J1662/(J1662+L1662))</f>
        <v>0.5</v>
      </c>
      <c r="P1662" s="11" t="n">
        <f aca="false">2*J1662/(2*J1662+L1662+K1662)</f>
        <v>0.0099009900990099</v>
      </c>
      <c r="Q1662" s="11" t="n">
        <f aca="false">L1662/(L1662+M1662)</f>
        <v>0.005</v>
      </c>
      <c r="R1662" s="6" t="n">
        <v>0</v>
      </c>
      <c r="S1662" s="11"/>
      <c r="T1662" s="11" t="n">
        <v>0.005</v>
      </c>
      <c r="U1662" s="11" t="n">
        <v>0.88</v>
      </c>
      <c r="V1662" s="11" t="n">
        <v>0.88</v>
      </c>
    </row>
    <row r="1663" customFormat="false" ht="15" hidden="false" customHeight="false" outlineLevel="0" collapsed="false">
      <c r="A1663" s="6" t="s">
        <v>54</v>
      </c>
      <c r="B1663" s="6" t="s">
        <v>43</v>
      </c>
      <c r="C1663" s="6" t="s">
        <v>49</v>
      </c>
      <c r="D1663" s="6" t="s">
        <v>117</v>
      </c>
      <c r="E1663" s="6" t="n">
        <v>16</v>
      </c>
      <c r="F1663" s="6" t="n">
        <v>2</v>
      </c>
      <c r="G1663" s="6" t="s">
        <v>68</v>
      </c>
      <c r="H1663" s="11" t="n">
        <v>0.01</v>
      </c>
      <c r="I1663" s="6" t="n">
        <v>20</v>
      </c>
      <c r="J1663" s="6" t="n">
        <v>0</v>
      </c>
      <c r="K1663" s="6" t="n">
        <v>20</v>
      </c>
      <c r="L1663" s="6" t="n">
        <v>0</v>
      </c>
      <c r="M1663" s="6" t="n">
        <v>20</v>
      </c>
      <c r="N1663" s="11" t="n">
        <f aca="false">J1663/(J1663+K1663)</f>
        <v>0</v>
      </c>
      <c r="O1663" s="11" t="str">
        <f aca="false">IF(J1663+L1663=0,"",J1663/(J1663+L1663))</f>
        <v/>
      </c>
      <c r="P1663" s="11" t="n">
        <f aca="false">2*J1663/(2*J1663+L1663+K1663)</f>
        <v>0</v>
      </c>
      <c r="Q1663" s="11" t="n">
        <f aca="false">L1663/(L1663+M1663)</f>
        <v>0</v>
      </c>
      <c r="R1663" s="6" t="n">
        <v>0</v>
      </c>
      <c r="S1663" s="11"/>
      <c r="T1663" s="11" t="n">
        <v>0</v>
      </c>
      <c r="U1663" s="11" t="n">
        <v>0.85</v>
      </c>
      <c r="V1663" s="11" t="n">
        <v>0.85</v>
      </c>
    </row>
    <row r="1664" customFormat="false" ht="15" hidden="false" customHeight="false" outlineLevel="0" collapsed="false">
      <c r="A1664" s="6" t="s">
        <v>54</v>
      </c>
      <c r="B1664" s="6" t="s">
        <v>43</v>
      </c>
      <c r="C1664" s="6" t="s">
        <v>49</v>
      </c>
      <c r="D1664" s="6" t="s">
        <v>117</v>
      </c>
      <c r="E1664" s="6" t="n">
        <v>16</v>
      </c>
      <c r="F1664" s="6" t="n">
        <v>2</v>
      </c>
      <c r="G1664" s="6" t="s">
        <v>69</v>
      </c>
      <c r="H1664" s="11" t="n">
        <v>0.01</v>
      </c>
      <c r="I1664" s="6" t="n">
        <v>20</v>
      </c>
      <c r="J1664" s="6" t="n">
        <v>0</v>
      </c>
      <c r="K1664" s="6" t="n">
        <v>20</v>
      </c>
      <c r="L1664" s="6" t="n">
        <v>0</v>
      </c>
      <c r="M1664" s="6" t="n">
        <v>20</v>
      </c>
      <c r="N1664" s="11" t="n">
        <f aca="false">J1664/(J1664+K1664)</f>
        <v>0</v>
      </c>
      <c r="O1664" s="11" t="str">
        <f aca="false">IF(J1664+L1664=0,"",J1664/(J1664+L1664))</f>
        <v/>
      </c>
      <c r="P1664" s="11" t="n">
        <f aca="false">2*J1664/(2*J1664+L1664+K1664)</f>
        <v>0</v>
      </c>
      <c r="Q1664" s="11" t="n">
        <f aca="false">L1664/(L1664+M1664)</f>
        <v>0</v>
      </c>
      <c r="R1664" s="6" t="n">
        <v>0</v>
      </c>
      <c r="S1664" s="11"/>
      <c r="T1664" s="11" t="n">
        <v>0</v>
      </c>
      <c r="U1664" s="11" t="n">
        <v>1</v>
      </c>
      <c r="V1664" s="11" t="n">
        <v>1</v>
      </c>
    </row>
    <row r="1665" customFormat="false" ht="15" hidden="false" customHeight="false" outlineLevel="0" collapsed="false">
      <c r="A1665" s="6" t="s">
        <v>54</v>
      </c>
      <c r="B1665" s="6" t="s">
        <v>43</v>
      </c>
      <c r="C1665" s="6" t="s">
        <v>49</v>
      </c>
      <c r="D1665" s="6" t="s">
        <v>117</v>
      </c>
      <c r="E1665" s="6" t="n">
        <v>16</v>
      </c>
      <c r="F1665" s="6" t="n">
        <v>2</v>
      </c>
      <c r="G1665" s="6" t="s">
        <v>70</v>
      </c>
      <c r="H1665" s="11" t="n">
        <v>0.01</v>
      </c>
      <c r="I1665" s="6" t="n">
        <v>20</v>
      </c>
      <c r="J1665" s="6" t="n">
        <v>0</v>
      </c>
      <c r="K1665" s="6" t="n">
        <v>20</v>
      </c>
      <c r="L1665" s="6" t="n">
        <v>0</v>
      </c>
      <c r="M1665" s="6" t="n">
        <v>20</v>
      </c>
      <c r="N1665" s="11" t="n">
        <f aca="false">J1665/(J1665+K1665)</f>
        <v>0</v>
      </c>
      <c r="O1665" s="11" t="str">
        <f aca="false">IF(J1665+L1665=0,"",J1665/(J1665+L1665))</f>
        <v/>
      </c>
      <c r="P1665" s="11" t="n">
        <f aca="false">2*J1665/(2*J1665+L1665+K1665)</f>
        <v>0</v>
      </c>
      <c r="Q1665" s="11" t="n">
        <f aca="false">L1665/(L1665+M1665)</f>
        <v>0</v>
      </c>
      <c r="R1665" s="6" t="n">
        <v>0</v>
      </c>
      <c r="S1665" s="11"/>
      <c r="T1665" s="11" t="n">
        <v>0</v>
      </c>
      <c r="U1665" s="11" t="n">
        <v>0.9</v>
      </c>
      <c r="V1665" s="11" t="n">
        <v>0.9</v>
      </c>
    </row>
    <row r="1666" customFormat="false" ht="15" hidden="false" customHeight="false" outlineLevel="0" collapsed="false">
      <c r="A1666" s="6" t="s">
        <v>54</v>
      </c>
      <c r="B1666" s="6" t="s">
        <v>43</v>
      </c>
      <c r="C1666" s="6" t="s">
        <v>49</v>
      </c>
      <c r="D1666" s="6" t="s">
        <v>117</v>
      </c>
      <c r="E1666" s="6" t="n">
        <v>16</v>
      </c>
      <c r="F1666" s="6" t="n">
        <v>2</v>
      </c>
      <c r="G1666" s="6" t="s">
        <v>71</v>
      </c>
      <c r="H1666" s="11" t="n">
        <v>0.01</v>
      </c>
      <c r="I1666" s="6" t="n">
        <v>20</v>
      </c>
      <c r="J1666" s="6" t="n">
        <v>0</v>
      </c>
      <c r="K1666" s="6" t="n">
        <v>20</v>
      </c>
      <c r="L1666" s="6" t="n">
        <v>0</v>
      </c>
      <c r="M1666" s="6" t="n">
        <v>20</v>
      </c>
      <c r="N1666" s="11" t="n">
        <f aca="false">J1666/(J1666+K1666)</f>
        <v>0</v>
      </c>
      <c r="O1666" s="11" t="str">
        <f aca="false">IF(J1666+L1666=0,"",J1666/(J1666+L1666))</f>
        <v/>
      </c>
      <c r="P1666" s="11" t="n">
        <f aca="false">2*J1666/(2*J1666+L1666+K1666)</f>
        <v>0</v>
      </c>
      <c r="Q1666" s="11" t="n">
        <f aca="false">L1666/(L1666+M1666)</f>
        <v>0</v>
      </c>
      <c r="R1666" s="6" t="n">
        <v>0</v>
      </c>
      <c r="S1666" s="11"/>
      <c r="T1666" s="11" t="n">
        <v>0</v>
      </c>
      <c r="U1666" s="11" t="n">
        <v>0.8</v>
      </c>
      <c r="V1666" s="11" t="n">
        <v>0.8</v>
      </c>
    </row>
    <row r="1667" customFormat="false" ht="15" hidden="false" customHeight="false" outlineLevel="0" collapsed="false">
      <c r="A1667" s="6" t="s">
        <v>54</v>
      </c>
      <c r="B1667" s="6" t="s">
        <v>43</v>
      </c>
      <c r="C1667" s="6" t="s">
        <v>49</v>
      </c>
      <c r="D1667" s="6" t="s">
        <v>117</v>
      </c>
      <c r="E1667" s="6" t="n">
        <v>16</v>
      </c>
      <c r="F1667" s="6" t="n">
        <v>2</v>
      </c>
      <c r="G1667" s="6" t="s">
        <v>72</v>
      </c>
      <c r="H1667" s="11" t="n">
        <v>0.01</v>
      </c>
      <c r="I1667" s="6" t="n">
        <v>20</v>
      </c>
      <c r="J1667" s="6" t="n">
        <v>0</v>
      </c>
      <c r="K1667" s="6" t="n">
        <v>20</v>
      </c>
      <c r="L1667" s="6" t="n">
        <v>0</v>
      </c>
      <c r="M1667" s="6" t="n">
        <v>20</v>
      </c>
      <c r="N1667" s="11" t="n">
        <f aca="false">J1667/(J1667+K1667)</f>
        <v>0</v>
      </c>
      <c r="O1667" s="11" t="str">
        <f aca="false">IF(J1667+L1667=0,"",J1667/(J1667+L1667))</f>
        <v/>
      </c>
      <c r="P1667" s="11" t="n">
        <f aca="false">2*J1667/(2*J1667+L1667+K1667)</f>
        <v>0</v>
      </c>
      <c r="Q1667" s="11" t="n">
        <f aca="false">L1667/(L1667+M1667)</f>
        <v>0</v>
      </c>
      <c r="R1667" s="6" t="n">
        <v>0</v>
      </c>
      <c r="S1667" s="11"/>
      <c r="T1667" s="11" t="n">
        <v>0</v>
      </c>
      <c r="U1667" s="11" t="n">
        <v>0.9</v>
      </c>
      <c r="V1667" s="11" t="n">
        <v>0.9</v>
      </c>
    </row>
    <row r="1668" customFormat="false" ht="15" hidden="false" customHeight="false" outlineLevel="0" collapsed="false">
      <c r="A1668" s="6" t="s">
        <v>54</v>
      </c>
      <c r="B1668" s="6" t="s">
        <v>43</v>
      </c>
      <c r="C1668" s="6" t="s">
        <v>49</v>
      </c>
      <c r="D1668" s="6" t="s">
        <v>117</v>
      </c>
      <c r="E1668" s="6" t="n">
        <v>16</v>
      </c>
      <c r="F1668" s="6" t="n">
        <v>2</v>
      </c>
      <c r="G1668" s="6" t="s">
        <v>73</v>
      </c>
      <c r="H1668" s="11" t="n">
        <v>0.01</v>
      </c>
      <c r="I1668" s="6" t="n">
        <v>20</v>
      </c>
      <c r="J1668" s="6" t="n">
        <v>0</v>
      </c>
      <c r="K1668" s="6" t="n">
        <v>20</v>
      </c>
      <c r="L1668" s="6" t="n">
        <v>0</v>
      </c>
      <c r="M1668" s="6" t="n">
        <v>20</v>
      </c>
      <c r="N1668" s="11" t="n">
        <f aca="false">J1668/(J1668+K1668)</f>
        <v>0</v>
      </c>
      <c r="O1668" s="11" t="str">
        <f aca="false">IF(J1668+L1668=0,"",J1668/(J1668+L1668))</f>
        <v/>
      </c>
      <c r="P1668" s="11" t="n">
        <f aca="false">2*J1668/(2*J1668+L1668+K1668)</f>
        <v>0</v>
      </c>
      <c r="Q1668" s="11" t="n">
        <f aca="false">L1668/(L1668+M1668)</f>
        <v>0</v>
      </c>
      <c r="R1668" s="6" t="n">
        <v>0</v>
      </c>
      <c r="S1668" s="11"/>
      <c r="T1668" s="11" t="n">
        <v>0</v>
      </c>
      <c r="U1668" s="11" t="n">
        <v>0.65</v>
      </c>
      <c r="V1668" s="11" t="n">
        <v>0.65</v>
      </c>
    </row>
    <row r="1669" customFormat="false" ht="15" hidden="false" customHeight="false" outlineLevel="0" collapsed="false">
      <c r="A1669" s="6" t="s">
        <v>54</v>
      </c>
      <c r="B1669" s="6" t="s">
        <v>43</v>
      </c>
      <c r="C1669" s="6" t="s">
        <v>49</v>
      </c>
      <c r="D1669" s="6" t="s">
        <v>117</v>
      </c>
      <c r="E1669" s="6" t="n">
        <v>16</v>
      </c>
      <c r="F1669" s="6" t="n">
        <v>2</v>
      </c>
      <c r="G1669" s="6" t="s">
        <v>74</v>
      </c>
      <c r="H1669" s="11" t="n">
        <v>0.01</v>
      </c>
      <c r="I1669" s="6" t="n">
        <v>20</v>
      </c>
      <c r="J1669" s="6" t="n">
        <v>0</v>
      </c>
      <c r="K1669" s="6" t="n">
        <v>20</v>
      </c>
      <c r="L1669" s="6" t="n">
        <v>0</v>
      </c>
      <c r="M1669" s="6" t="n">
        <v>20</v>
      </c>
      <c r="N1669" s="11" t="n">
        <f aca="false">J1669/(J1669+K1669)</f>
        <v>0</v>
      </c>
      <c r="O1669" s="11" t="str">
        <f aca="false">IF(J1669+L1669=0,"",J1669/(J1669+L1669))</f>
        <v/>
      </c>
      <c r="P1669" s="11" t="n">
        <f aca="false">2*J1669/(2*J1669+L1669+K1669)</f>
        <v>0</v>
      </c>
      <c r="Q1669" s="11" t="n">
        <f aca="false">L1669/(L1669+M1669)</f>
        <v>0</v>
      </c>
      <c r="R1669" s="6" t="n">
        <v>0</v>
      </c>
      <c r="S1669" s="11"/>
      <c r="T1669" s="11" t="n">
        <v>0</v>
      </c>
      <c r="U1669" s="11" t="n">
        <v>0.85</v>
      </c>
      <c r="V1669" s="11" t="n">
        <v>0.85</v>
      </c>
    </row>
    <row r="1670" customFormat="false" ht="15" hidden="false" customHeight="false" outlineLevel="0" collapsed="false">
      <c r="A1670" s="6" t="s">
        <v>54</v>
      </c>
      <c r="B1670" s="6" t="s">
        <v>43</v>
      </c>
      <c r="C1670" s="6" t="s">
        <v>49</v>
      </c>
      <c r="D1670" s="6" t="s">
        <v>117</v>
      </c>
      <c r="E1670" s="6" t="n">
        <v>16</v>
      </c>
      <c r="F1670" s="6" t="n">
        <v>2</v>
      </c>
      <c r="G1670" s="6" t="s">
        <v>75</v>
      </c>
      <c r="H1670" s="11" t="n">
        <v>0.01</v>
      </c>
      <c r="I1670" s="6" t="n">
        <v>20</v>
      </c>
      <c r="J1670" s="6" t="n">
        <v>0</v>
      </c>
      <c r="K1670" s="6" t="n">
        <v>20</v>
      </c>
      <c r="L1670" s="6" t="n">
        <v>0</v>
      </c>
      <c r="M1670" s="6" t="n">
        <v>20</v>
      </c>
      <c r="N1670" s="11" t="n">
        <f aca="false">J1670/(J1670+K1670)</f>
        <v>0</v>
      </c>
      <c r="O1670" s="11" t="str">
        <f aca="false">IF(J1670+L1670=0,"",J1670/(J1670+L1670))</f>
        <v/>
      </c>
      <c r="P1670" s="11" t="n">
        <f aca="false">2*J1670/(2*J1670+L1670+K1670)</f>
        <v>0</v>
      </c>
      <c r="Q1670" s="11" t="n">
        <f aca="false">L1670/(L1670+M1670)</f>
        <v>0</v>
      </c>
      <c r="R1670" s="6" t="n">
        <v>1</v>
      </c>
      <c r="S1670" s="11" t="n">
        <v>0</v>
      </c>
      <c r="T1670" s="11" t="n">
        <v>0</v>
      </c>
      <c r="U1670" s="11" t="n">
        <v>0.9</v>
      </c>
      <c r="V1670" s="11" t="n">
        <v>0.95</v>
      </c>
    </row>
    <row r="1671" customFormat="false" ht="15" hidden="false" customHeight="false" outlineLevel="0" collapsed="false">
      <c r="A1671" s="6" t="s">
        <v>54</v>
      </c>
      <c r="B1671" s="6" t="s">
        <v>43</v>
      </c>
      <c r="C1671" s="6" t="s">
        <v>49</v>
      </c>
      <c r="D1671" s="6" t="s">
        <v>117</v>
      </c>
      <c r="E1671" s="6" t="n">
        <v>16</v>
      </c>
      <c r="F1671" s="6" t="n">
        <v>2</v>
      </c>
      <c r="G1671" s="6" t="s">
        <v>76</v>
      </c>
      <c r="H1671" s="11" t="n">
        <v>0.01</v>
      </c>
      <c r="I1671" s="6" t="n">
        <v>20</v>
      </c>
      <c r="J1671" s="6" t="n">
        <v>0</v>
      </c>
      <c r="K1671" s="6" t="n">
        <v>20</v>
      </c>
      <c r="L1671" s="6" t="n">
        <v>0</v>
      </c>
      <c r="M1671" s="6" t="n">
        <v>20</v>
      </c>
      <c r="N1671" s="11" t="n">
        <f aca="false">J1671/(J1671+K1671)</f>
        <v>0</v>
      </c>
      <c r="O1671" s="11" t="str">
        <f aca="false">IF(J1671+L1671=0,"",J1671/(J1671+L1671))</f>
        <v/>
      </c>
      <c r="P1671" s="11" t="n">
        <f aca="false">2*J1671/(2*J1671+L1671+K1671)</f>
        <v>0</v>
      </c>
      <c r="Q1671" s="11" t="n">
        <f aca="false">L1671/(L1671+M1671)</f>
        <v>0</v>
      </c>
      <c r="R1671" s="6" t="n">
        <v>0</v>
      </c>
      <c r="S1671" s="11"/>
      <c r="T1671" s="11" t="n">
        <v>0</v>
      </c>
      <c r="U1671" s="11" t="n">
        <v>0.95</v>
      </c>
      <c r="V1671" s="11" t="n">
        <v>0.95</v>
      </c>
    </row>
    <row r="1672" customFormat="false" ht="15" hidden="false" customHeight="false" outlineLevel="0" collapsed="false">
      <c r="A1672" s="6" t="s">
        <v>54</v>
      </c>
      <c r="B1672" s="6" t="s">
        <v>43</v>
      </c>
      <c r="C1672" s="6" t="s">
        <v>49</v>
      </c>
      <c r="D1672" s="6" t="s">
        <v>117</v>
      </c>
      <c r="E1672" s="6" t="n">
        <v>16</v>
      </c>
      <c r="F1672" s="6" t="n">
        <v>2</v>
      </c>
      <c r="G1672" s="6" t="s">
        <v>77</v>
      </c>
      <c r="H1672" s="11" t="n">
        <v>0.01</v>
      </c>
      <c r="I1672" s="6" t="n">
        <v>20</v>
      </c>
      <c r="J1672" s="6" t="n">
        <v>1</v>
      </c>
      <c r="K1672" s="6" t="n">
        <v>19</v>
      </c>
      <c r="L1672" s="6" t="n">
        <v>1</v>
      </c>
      <c r="M1672" s="6" t="n">
        <v>19</v>
      </c>
      <c r="N1672" s="11" t="n">
        <f aca="false">J1672/(J1672+K1672)</f>
        <v>0.05</v>
      </c>
      <c r="O1672" s="11" t="n">
        <f aca="false">IF(J1672+L1672=0,"",J1672/(J1672+L1672))</f>
        <v>0.5</v>
      </c>
      <c r="P1672" s="11" t="n">
        <f aca="false">2*J1672/(2*J1672+L1672+K1672)</f>
        <v>0.0909090909090909</v>
      </c>
      <c r="Q1672" s="11" t="n">
        <f aca="false">L1672/(L1672+M1672)</f>
        <v>0.05</v>
      </c>
      <c r="R1672" s="6" t="n">
        <v>0</v>
      </c>
      <c r="S1672" s="11"/>
      <c r="T1672" s="11" t="n">
        <v>0.05</v>
      </c>
      <c r="U1672" s="11" t="n">
        <v>1</v>
      </c>
      <c r="V1672" s="11" t="n">
        <v>1</v>
      </c>
    </row>
    <row r="1673" customFormat="false" ht="15" hidden="false" customHeight="false" outlineLevel="0" collapsed="false">
      <c r="A1673" s="6" t="s">
        <v>54</v>
      </c>
      <c r="B1673" s="6" t="s">
        <v>43</v>
      </c>
      <c r="C1673" s="6" t="s">
        <v>49</v>
      </c>
      <c r="D1673" s="6" t="s">
        <v>117</v>
      </c>
      <c r="E1673" s="6" t="n">
        <v>16</v>
      </c>
      <c r="F1673" s="6" t="n">
        <v>2</v>
      </c>
      <c r="G1673" s="6" t="s">
        <v>78</v>
      </c>
      <c r="H1673" s="11" t="n">
        <v>0.01</v>
      </c>
      <c r="I1673" s="6" t="n">
        <v>200</v>
      </c>
      <c r="J1673" s="6" t="n">
        <v>1</v>
      </c>
      <c r="K1673" s="6" t="n">
        <v>199</v>
      </c>
      <c r="L1673" s="6" t="n">
        <v>1</v>
      </c>
      <c r="M1673" s="6" t="n">
        <v>199</v>
      </c>
      <c r="N1673" s="11" t="n">
        <f aca="false">J1673/(J1673+K1673)</f>
        <v>0.005</v>
      </c>
      <c r="O1673" s="11" t="n">
        <f aca="false">IF(J1673+L1673=0,"",J1673/(J1673+L1673))</f>
        <v>0.5</v>
      </c>
      <c r="P1673" s="11" t="n">
        <f aca="false">2*J1673/(2*J1673+L1673+K1673)</f>
        <v>0.0099009900990099</v>
      </c>
      <c r="Q1673" s="11" t="n">
        <f aca="false">L1673/(L1673+M1673)</f>
        <v>0.005</v>
      </c>
      <c r="R1673" s="6" t="n">
        <v>1</v>
      </c>
      <c r="S1673" s="11" t="n">
        <v>0</v>
      </c>
      <c r="T1673" s="11" t="n">
        <v>0.0050251256281407</v>
      </c>
      <c r="U1673" s="11" t="n">
        <v>0.88</v>
      </c>
      <c r="V1673" s="11" t="n">
        <v>0.885</v>
      </c>
    </row>
    <row r="1674" customFormat="false" ht="15" hidden="false" customHeight="false" outlineLevel="0" collapsed="false">
      <c r="A1674" s="6" t="s">
        <v>54</v>
      </c>
      <c r="B1674" s="6" t="s">
        <v>43</v>
      </c>
      <c r="C1674" s="6" t="s">
        <v>49</v>
      </c>
      <c r="D1674" s="6" t="s">
        <v>117</v>
      </c>
      <c r="E1674" s="6" t="n">
        <v>16</v>
      </c>
      <c r="F1674" s="6" t="n">
        <v>3</v>
      </c>
      <c r="G1674" s="6" t="s">
        <v>68</v>
      </c>
      <c r="H1674" s="11" t="n">
        <v>0.01</v>
      </c>
      <c r="I1674" s="6" t="n">
        <v>20</v>
      </c>
      <c r="J1674" s="6" t="n">
        <v>0</v>
      </c>
      <c r="K1674" s="6" t="n">
        <v>20</v>
      </c>
      <c r="L1674" s="6" t="n">
        <v>0</v>
      </c>
      <c r="M1674" s="6" t="n">
        <v>20</v>
      </c>
      <c r="N1674" s="11" t="n">
        <f aca="false">J1674/(J1674+K1674)</f>
        <v>0</v>
      </c>
      <c r="O1674" s="11" t="str">
        <f aca="false">IF(J1674+L1674=0,"",J1674/(J1674+L1674))</f>
        <v/>
      </c>
      <c r="P1674" s="11" t="n">
        <f aca="false">2*J1674/(2*J1674+L1674+K1674)</f>
        <v>0</v>
      </c>
      <c r="Q1674" s="11" t="n">
        <f aca="false">L1674/(L1674+M1674)</f>
        <v>0</v>
      </c>
      <c r="R1674" s="6" t="n">
        <v>0</v>
      </c>
      <c r="S1674" s="11"/>
      <c r="T1674" s="11" t="n">
        <v>0</v>
      </c>
      <c r="U1674" s="11" t="n">
        <v>0.85</v>
      </c>
      <c r="V1674" s="11" t="n">
        <v>0.85</v>
      </c>
    </row>
    <row r="1675" customFormat="false" ht="15" hidden="false" customHeight="false" outlineLevel="0" collapsed="false">
      <c r="A1675" s="6" t="s">
        <v>54</v>
      </c>
      <c r="B1675" s="6" t="s">
        <v>43</v>
      </c>
      <c r="C1675" s="6" t="s">
        <v>49</v>
      </c>
      <c r="D1675" s="6" t="s">
        <v>117</v>
      </c>
      <c r="E1675" s="6" t="n">
        <v>16</v>
      </c>
      <c r="F1675" s="6" t="n">
        <v>3</v>
      </c>
      <c r="G1675" s="6" t="s">
        <v>69</v>
      </c>
      <c r="H1675" s="11" t="n">
        <v>0.01</v>
      </c>
      <c r="I1675" s="6" t="n">
        <v>20</v>
      </c>
      <c r="J1675" s="6" t="n">
        <v>0</v>
      </c>
      <c r="K1675" s="6" t="n">
        <v>20</v>
      </c>
      <c r="L1675" s="6" t="n">
        <v>0</v>
      </c>
      <c r="M1675" s="6" t="n">
        <v>20</v>
      </c>
      <c r="N1675" s="11" t="n">
        <f aca="false">J1675/(J1675+K1675)</f>
        <v>0</v>
      </c>
      <c r="O1675" s="11" t="str">
        <f aca="false">IF(J1675+L1675=0,"",J1675/(J1675+L1675))</f>
        <v/>
      </c>
      <c r="P1675" s="11" t="n">
        <f aca="false">2*J1675/(2*J1675+L1675+K1675)</f>
        <v>0</v>
      </c>
      <c r="Q1675" s="11" t="n">
        <f aca="false">L1675/(L1675+M1675)</f>
        <v>0</v>
      </c>
      <c r="R1675" s="6" t="n">
        <v>0</v>
      </c>
      <c r="S1675" s="11"/>
      <c r="T1675" s="11" t="n">
        <v>0</v>
      </c>
      <c r="U1675" s="11" t="n">
        <v>1</v>
      </c>
      <c r="V1675" s="11" t="n">
        <v>1</v>
      </c>
    </row>
    <row r="1676" customFormat="false" ht="15" hidden="false" customHeight="false" outlineLevel="0" collapsed="false">
      <c r="A1676" s="6" t="s">
        <v>54</v>
      </c>
      <c r="B1676" s="6" t="s">
        <v>43</v>
      </c>
      <c r="C1676" s="6" t="s">
        <v>49</v>
      </c>
      <c r="D1676" s="6" t="s">
        <v>117</v>
      </c>
      <c r="E1676" s="6" t="n">
        <v>16</v>
      </c>
      <c r="F1676" s="6" t="n">
        <v>3</v>
      </c>
      <c r="G1676" s="6" t="s">
        <v>70</v>
      </c>
      <c r="H1676" s="11" t="n">
        <v>0.01</v>
      </c>
      <c r="I1676" s="6" t="n">
        <v>20</v>
      </c>
      <c r="J1676" s="6" t="n">
        <v>0</v>
      </c>
      <c r="K1676" s="6" t="n">
        <v>20</v>
      </c>
      <c r="L1676" s="6" t="n">
        <v>0</v>
      </c>
      <c r="M1676" s="6" t="n">
        <v>20</v>
      </c>
      <c r="N1676" s="11" t="n">
        <f aca="false">J1676/(J1676+K1676)</f>
        <v>0</v>
      </c>
      <c r="O1676" s="11" t="str">
        <f aca="false">IF(J1676+L1676=0,"",J1676/(J1676+L1676))</f>
        <v/>
      </c>
      <c r="P1676" s="11" t="n">
        <f aca="false">2*J1676/(2*J1676+L1676+K1676)</f>
        <v>0</v>
      </c>
      <c r="Q1676" s="11" t="n">
        <f aca="false">L1676/(L1676+M1676)</f>
        <v>0</v>
      </c>
      <c r="R1676" s="6" t="n">
        <v>0</v>
      </c>
      <c r="S1676" s="11"/>
      <c r="T1676" s="11" t="n">
        <v>0</v>
      </c>
      <c r="U1676" s="11" t="n">
        <v>0.9</v>
      </c>
      <c r="V1676" s="11" t="n">
        <v>0.9</v>
      </c>
    </row>
    <row r="1677" customFormat="false" ht="15" hidden="false" customHeight="false" outlineLevel="0" collapsed="false">
      <c r="A1677" s="6" t="s">
        <v>54</v>
      </c>
      <c r="B1677" s="6" t="s">
        <v>43</v>
      </c>
      <c r="C1677" s="6" t="s">
        <v>49</v>
      </c>
      <c r="D1677" s="6" t="s">
        <v>117</v>
      </c>
      <c r="E1677" s="6" t="n">
        <v>16</v>
      </c>
      <c r="F1677" s="6" t="n">
        <v>3</v>
      </c>
      <c r="G1677" s="6" t="s">
        <v>71</v>
      </c>
      <c r="H1677" s="11" t="n">
        <v>0.01</v>
      </c>
      <c r="I1677" s="6" t="n">
        <v>20</v>
      </c>
      <c r="J1677" s="6" t="n">
        <v>0</v>
      </c>
      <c r="K1677" s="6" t="n">
        <v>20</v>
      </c>
      <c r="L1677" s="6" t="n">
        <v>0</v>
      </c>
      <c r="M1677" s="6" t="n">
        <v>20</v>
      </c>
      <c r="N1677" s="11" t="n">
        <f aca="false">J1677/(J1677+K1677)</f>
        <v>0</v>
      </c>
      <c r="O1677" s="11" t="str">
        <f aca="false">IF(J1677+L1677=0,"",J1677/(J1677+L1677))</f>
        <v/>
      </c>
      <c r="P1677" s="11" t="n">
        <f aca="false">2*J1677/(2*J1677+L1677+K1677)</f>
        <v>0</v>
      </c>
      <c r="Q1677" s="11" t="n">
        <f aca="false">L1677/(L1677+M1677)</f>
        <v>0</v>
      </c>
      <c r="R1677" s="6" t="n">
        <v>0</v>
      </c>
      <c r="S1677" s="11"/>
      <c r="T1677" s="11" t="n">
        <v>0</v>
      </c>
      <c r="U1677" s="11" t="n">
        <v>0.8</v>
      </c>
      <c r="V1677" s="11" t="n">
        <v>0.8</v>
      </c>
    </row>
    <row r="1678" customFormat="false" ht="15" hidden="false" customHeight="false" outlineLevel="0" collapsed="false">
      <c r="A1678" s="6" t="s">
        <v>54</v>
      </c>
      <c r="B1678" s="6" t="s">
        <v>43</v>
      </c>
      <c r="C1678" s="6" t="s">
        <v>49</v>
      </c>
      <c r="D1678" s="6" t="s">
        <v>117</v>
      </c>
      <c r="E1678" s="6" t="n">
        <v>16</v>
      </c>
      <c r="F1678" s="6" t="n">
        <v>3</v>
      </c>
      <c r="G1678" s="6" t="s">
        <v>72</v>
      </c>
      <c r="H1678" s="11" t="n">
        <v>0.01</v>
      </c>
      <c r="I1678" s="6" t="n">
        <v>20</v>
      </c>
      <c r="J1678" s="6" t="n">
        <v>0</v>
      </c>
      <c r="K1678" s="6" t="n">
        <v>20</v>
      </c>
      <c r="L1678" s="6" t="n">
        <v>0</v>
      </c>
      <c r="M1678" s="6" t="n">
        <v>20</v>
      </c>
      <c r="N1678" s="11" t="n">
        <f aca="false">J1678/(J1678+K1678)</f>
        <v>0</v>
      </c>
      <c r="O1678" s="11" t="str">
        <f aca="false">IF(J1678+L1678=0,"",J1678/(J1678+L1678))</f>
        <v/>
      </c>
      <c r="P1678" s="11" t="n">
        <f aca="false">2*J1678/(2*J1678+L1678+K1678)</f>
        <v>0</v>
      </c>
      <c r="Q1678" s="11" t="n">
        <f aca="false">L1678/(L1678+M1678)</f>
        <v>0</v>
      </c>
      <c r="R1678" s="6" t="n">
        <v>0</v>
      </c>
      <c r="S1678" s="11"/>
      <c r="T1678" s="11" t="n">
        <v>0</v>
      </c>
      <c r="U1678" s="11" t="n">
        <v>0.9</v>
      </c>
      <c r="V1678" s="11" t="n">
        <v>0.9</v>
      </c>
    </row>
    <row r="1679" customFormat="false" ht="15" hidden="false" customHeight="false" outlineLevel="0" collapsed="false">
      <c r="A1679" s="6" t="s">
        <v>54</v>
      </c>
      <c r="B1679" s="6" t="s">
        <v>43</v>
      </c>
      <c r="C1679" s="6" t="s">
        <v>49</v>
      </c>
      <c r="D1679" s="6" t="s">
        <v>117</v>
      </c>
      <c r="E1679" s="6" t="n">
        <v>16</v>
      </c>
      <c r="F1679" s="6" t="n">
        <v>3</v>
      </c>
      <c r="G1679" s="6" t="s">
        <v>73</v>
      </c>
      <c r="H1679" s="11" t="n">
        <v>0.01</v>
      </c>
      <c r="I1679" s="6" t="n">
        <v>20</v>
      </c>
      <c r="J1679" s="6" t="n">
        <v>0</v>
      </c>
      <c r="K1679" s="6" t="n">
        <v>20</v>
      </c>
      <c r="L1679" s="6" t="n">
        <v>0</v>
      </c>
      <c r="M1679" s="6" t="n">
        <v>20</v>
      </c>
      <c r="N1679" s="11" t="n">
        <f aca="false">J1679/(J1679+K1679)</f>
        <v>0</v>
      </c>
      <c r="O1679" s="11" t="str">
        <f aca="false">IF(J1679+L1679=0,"",J1679/(J1679+L1679))</f>
        <v/>
      </c>
      <c r="P1679" s="11" t="n">
        <f aca="false">2*J1679/(2*J1679+L1679+K1679)</f>
        <v>0</v>
      </c>
      <c r="Q1679" s="11" t="n">
        <f aca="false">L1679/(L1679+M1679)</f>
        <v>0</v>
      </c>
      <c r="R1679" s="6" t="n">
        <v>0</v>
      </c>
      <c r="S1679" s="11"/>
      <c r="T1679" s="11" t="n">
        <v>0</v>
      </c>
      <c r="U1679" s="11" t="n">
        <v>0.65</v>
      </c>
      <c r="V1679" s="11" t="n">
        <v>0.65</v>
      </c>
    </row>
    <row r="1680" customFormat="false" ht="15" hidden="false" customHeight="false" outlineLevel="0" collapsed="false">
      <c r="A1680" s="6" t="s">
        <v>54</v>
      </c>
      <c r="B1680" s="6" t="s">
        <v>43</v>
      </c>
      <c r="C1680" s="6" t="s">
        <v>49</v>
      </c>
      <c r="D1680" s="6" t="s">
        <v>117</v>
      </c>
      <c r="E1680" s="6" t="n">
        <v>16</v>
      </c>
      <c r="F1680" s="6" t="n">
        <v>3</v>
      </c>
      <c r="G1680" s="6" t="s">
        <v>74</v>
      </c>
      <c r="H1680" s="11" t="n">
        <v>0.01</v>
      </c>
      <c r="I1680" s="6" t="n">
        <v>20</v>
      </c>
      <c r="J1680" s="6" t="n">
        <v>0</v>
      </c>
      <c r="K1680" s="6" t="n">
        <v>20</v>
      </c>
      <c r="L1680" s="6" t="n">
        <v>0</v>
      </c>
      <c r="M1680" s="6" t="n">
        <v>20</v>
      </c>
      <c r="N1680" s="11" t="n">
        <f aca="false">J1680/(J1680+K1680)</f>
        <v>0</v>
      </c>
      <c r="O1680" s="11" t="str">
        <f aca="false">IF(J1680+L1680=0,"",J1680/(J1680+L1680))</f>
        <v/>
      </c>
      <c r="P1680" s="11" t="n">
        <f aca="false">2*J1680/(2*J1680+L1680+K1680)</f>
        <v>0</v>
      </c>
      <c r="Q1680" s="11" t="n">
        <f aca="false">L1680/(L1680+M1680)</f>
        <v>0</v>
      </c>
      <c r="R1680" s="6" t="n">
        <v>0</v>
      </c>
      <c r="S1680" s="11"/>
      <c r="T1680" s="11" t="n">
        <v>0</v>
      </c>
      <c r="U1680" s="11" t="n">
        <v>0.85</v>
      </c>
      <c r="V1680" s="11" t="n">
        <v>0.85</v>
      </c>
    </row>
    <row r="1681" customFormat="false" ht="15" hidden="false" customHeight="false" outlineLevel="0" collapsed="false">
      <c r="A1681" s="6" t="s">
        <v>54</v>
      </c>
      <c r="B1681" s="6" t="s">
        <v>43</v>
      </c>
      <c r="C1681" s="6" t="s">
        <v>49</v>
      </c>
      <c r="D1681" s="6" t="s">
        <v>117</v>
      </c>
      <c r="E1681" s="6" t="n">
        <v>16</v>
      </c>
      <c r="F1681" s="6" t="n">
        <v>3</v>
      </c>
      <c r="G1681" s="6" t="s">
        <v>75</v>
      </c>
      <c r="H1681" s="11" t="n">
        <v>0.01</v>
      </c>
      <c r="I1681" s="6" t="n">
        <v>20</v>
      </c>
      <c r="J1681" s="6" t="n">
        <v>0</v>
      </c>
      <c r="K1681" s="6" t="n">
        <v>20</v>
      </c>
      <c r="L1681" s="6" t="n">
        <v>0</v>
      </c>
      <c r="M1681" s="6" t="n">
        <v>20</v>
      </c>
      <c r="N1681" s="11" t="n">
        <f aca="false">J1681/(J1681+K1681)</f>
        <v>0</v>
      </c>
      <c r="O1681" s="11" t="str">
        <f aca="false">IF(J1681+L1681=0,"",J1681/(J1681+L1681))</f>
        <v/>
      </c>
      <c r="P1681" s="11" t="n">
        <f aca="false">2*J1681/(2*J1681+L1681+K1681)</f>
        <v>0</v>
      </c>
      <c r="Q1681" s="11" t="n">
        <f aca="false">L1681/(L1681+M1681)</f>
        <v>0</v>
      </c>
      <c r="R1681" s="6" t="n">
        <v>0</v>
      </c>
      <c r="S1681" s="11"/>
      <c r="T1681" s="11" t="n">
        <v>0</v>
      </c>
      <c r="U1681" s="11" t="n">
        <v>0.9</v>
      </c>
      <c r="V1681" s="11" t="n">
        <v>0.9</v>
      </c>
    </row>
    <row r="1682" customFormat="false" ht="15" hidden="false" customHeight="false" outlineLevel="0" collapsed="false">
      <c r="A1682" s="6" t="s">
        <v>54</v>
      </c>
      <c r="B1682" s="6" t="s">
        <v>43</v>
      </c>
      <c r="C1682" s="6" t="s">
        <v>49</v>
      </c>
      <c r="D1682" s="6" t="s">
        <v>117</v>
      </c>
      <c r="E1682" s="6" t="n">
        <v>16</v>
      </c>
      <c r="F1682" s="6" t="n">
        <v>3</v>
      </c>
      <c r="G1682" s="6" t="s">
        <v>76</v>
      </c>
      <c r="H1682" s="11" t="n">
        <v>0.01</v>
      </c>
      <c r="I1682" s="6" t="n">
        <v>20</v>
      </c>
      <c r="J1682" s="6" t="n">
        <v>0</v>
      </c>
      <c r="K1682" s="6" t="n">
        <v>20</v>
      </c>
      <c r="L1682" s="6" t="n">
        <v>0</v>
      </c>
      <c r="M1682" s="6" t="n">
        <v>20</v>
      </c>
      <c r="N1682" s="11" t="n">
        <f aca="false">J1682/(J1682+K1682)</f>
        <v>0</v>
      </c>
      <c r="O1682" s="11" t="str">
        <f aca="false">IF(J1682+L1682=0,"",J1682/(J1682+L1682))</f>
        <v/>
      </c>
      <c r="P1682" s="11" t="n">
        <f aca="false">2*J1682/(2*J1682+L1682+K1682)</f>
        <v>0</v>
      </c>
      <c r="Q1682" s="11" t="n">
        <f aca="false">L1682/(L1682+M1682)</f>
        <v>0</v>
      </c>
      <c r="R1682" s="6" t="n">
        <v>0</v>
      </c>
      <c r="S1682" s="11"/>
      <c r="T1682" s="11" t="n">
        <v>0</v>
      </c>
      <c r="U1682" s="11" t="n">
        <v>0.95</v>
      </c>
      <c r="V1682" s="11" t="n">
        <v>0.95</v>
      </c>
    </row>
    <row r="1683" customFormat="false" ht="15" hidden="false" customHeight="false" outlineLevel="0" collapsed="false">
      <c r="A1683" s="6" t="s">
        <v>54</v>
      </c>
      <c r="B1683" s="6" t="s">
        <v>43</v>
      </c>
      <c r="C1683" s="6" t="s">
        <v>49</v>
      </c>
      <c r="D1683" s="6" t="s">
        <v>117</v>
      </c>
      <c r="E1683" s="6" t="n">
        <v>16</v>
      </c>
      <c r="F1683" s="6" t="n">
        <v>3</v>
      </c>
      <c r="G1683" s="6" t="s">
        <v>77</v>
      </c>
      <c r="H1683" s="11" t="n">
        <v>0.01</v>
      </c>
      <c r="I1683" s="6" t="n">
        <v>20</v>
      </c>
      <c r="J1683" s="6" t="n">
        <v>1</v>
      </c>
      <c r="K1683" s="6" t="n">
        <v>19</v>
      </c>
      <c r="L1683" s="6" t="n">
        <v>1</v>
      </c>
      <c r="M1683" s="6" t="n">
        <v>19</v>
      </c>
      <c r="N1683" s="11" t="n">
        <f aca="false">J1683/(J1683+K1683)</f>
        <v>0.05</v>
      </c>
      <c r="O1683" s="11" t="n">
        <f aca="false">IF(J1683+L1683=0,"",J1683/(J1683+L1683))</f>
        <v>0.5</v>
      </c>
      <c r="P1683" s="11" t="n">
        <f aca="false">2*J1683/(2*J1683+L1683+K1683)</f>
        <v>0.0909090909090909</v>
      </c>
      <c r="Q1683" s="11" t="n">
        <f aca="false">L1683/(L1683+M1683)</f>
        <v>0.05</v>
      </c>
      <c r="R1683" s="6" t="n">
        <v>0</v>
      </c>
      <c r="S1683" s="11"/>
      <c r="T1683" s="11" t="n">
        <v>0.05</v>
      </c>
      <c r="U1683" s="11" t="n">
        <v>1</v>
      </c>
      <c r="V1683" s="11" t="n">
        <v>1</v>
      </c>
    </row>
    <row r="1684" customFormat="false" ht="15" hidden="false" customHeight="false" outlineLevel="0" collapsed="false">
      <c r="A1684" s="6" t="s">
        <v>54</v>
      </c>
      <c r="B1684" s="6" t="s">
        <v>43</v>
      </c>
      <c r="C1684" s="6" t="s">
        <v>49</v>
      </c>
      <c r="D1684" s="6" t="s">
        <v>117</v>
      </c>
      <c r="E1684" s="6" t="n">
        <v>16</v>
      </c>
      <c r="F1684" s="6" t="n">
        <v>3</v>
      </c>
      <c r="G1684" s="6" t="s">
        <v>78</v>
      </c>
      <c r="H1684" s="11" t="n">
        <v>0.01</v>
      </c>
      <c r="I1684" s="6" t="n">
        <v>200</v>
      </c>
      <c r="J1684" s="6" t="n">
        <v>1</v>
      </c>
      <c r="K1684" s="6" t="n">
        <v>199</v>
      </c>
      <c r="L1684" s="6" t="n">
        <v>1</v>
      </c>
      <c r="M1684" s="6" t="n">
        <v>199</v>
      </c>
      <c r="N1684" s="11" t="n">
        <f aca="false">J1684/(J1684+K1684)</f>
        <v>0.005</v>
      </c>
      <c r="O1684" s="11" t="n">
        <f aca="false">IF(J1684+L1684=0,"",J1684/(J1684+L1684))</f>
        <v>0.5</v>
      </c>
      <c r="P1684" s="11" t="n">
        <f aca="false">2*J1684/(2*J1684+L1684+K1684)</f>
        <v>0.0099009900990099</v>
      </c>
      <c r="Q1684" s="11" t="n">
        <f aca="false">L1684/(L1684+M1684)</f>
        <v>0.005</v>
      </c>
      <c r="R1684" s="6" t="n">
        <v>0</v>
      </c>
      <c r="S1684" s="11"/>
      <c r="T1684" s="11" t="n">
        <v>0.005</v>
      </c>
      <c r="U1684" s="11" t="n">
        <v>0.88</v>
      </c>
      <c r="V1684" s="11" t="n">
        <v>0.88</v>
      </c>
    </row>
    <row r="1685" customFormat="false" ht="15" hidden="false" customHeight="false" outlineLevel="0" collapsed="false">
      <c r="A1685" s="6" t="s">
        <v>54</v>
      </c>
      <c r="B1685" s="6" t="s">
        <v>43</v>
      </c>
      <c r="C1685" s="6" t="s">
        <v>49</v>
      </c>
      <c r="D1685" s="6" t="s">
        <v>117</v>
      </c>
      <c r="E1685" s="6" t="n">
        <v>16</v>
      </c>
      <c r="F1685" s="6" t="n">
        <v>4</v>
      </c>
      <c r="G1685" s="6" t="s">
        <v>68</v>
      </c>
      <c r="H1685" s="11" t="n">
        <v>0.01</v>
      </c>
      <c r="I1685" s="6" t="n">
        <v>20</v>
      </c>
      <c r="J1685" s="6" t="n">
        <v>0</v>
      </c>
      <c r="K1685" s="6" t="n">
        <v>20</v>
      </c>
      <c r="L1685" s="6" t="n">
        <v>0</v>
      </c>
      <c r="M1685" s="6" t="n">
        <v>20</v>
      </c>
      <c r="N1685" s="11" t="n">
        <f aca="false">J1685/(J1685+K1685)</f>
        <v>0</v>
      </c>
      <c r="O1685" s="11" t="str">
        <f aca="false">IF(J1685+L1685=0,"",J1685/(J1685+L1685))</f>
        <v/>
      </c>
      <c r="P1685" s="11" t="n">
        <f aca="false">2*J1685/(2*J1685+L1685+K1685)</f>
        <v>0</v>
      </c>
      <c r="Q1685" s="11" t="n">
        <f aca="false">L1685/(L1685+M1685)</f>
        <v>0</v>
      </c>
      <c r="R1685" s="6" t="n">
        <v>0</v>
      </c>
      <c r="S1685" s="11"/>
      <c r="T1685" s="11" t="n">
        <v>0</v>
      </c>
      <c r="U1685" s="11" t="n">
        <v>0.85</v>
      </c>
      <c r="V1685" s="11" t="n">
        <v>0.85</v>
      </c>
    </row>
    <row r="1686" customFormat="false" ht="15" hidden="false" customHeight="false" outlineLevel="0" collapsed="false">
      <c r="A1686" s="6" t="s">
        <v>54</v>
      </c>
      <c r="B1686" s="6" t="s">
        <v>43</v>
      </c>
      <c r="C1686" s="6" t="s">
        <v>49</v>
      </c>
      <c r="D1686" s="6" t="s">
        <v>117</v>
      </c>
      <c r="E1686" s="6" t="n">
        <v>16</v>
      </c>
      <c r="F1686" s="6" t="n">
        <v>4</v>
      </c>
      <c r="G1686" s="6" t="s">
        <v>69</v>
      </c>
      <c r="H1686" s="11" t="n">
        <v>0.01</v>
      </c>
      <c r="I1686" s="6" t="n">
        <v>20</v>
      </c>
      <c r="J1686" s="6" t="n">
        <v>0</v>
      </c>
      <c r="K1686" s="6" t="n">
        <v>20</v>
      </c>
      <c r="L1686" s="6" t="n">
        <v>0</v>
      </c>
      <c r="M1686" s="6" t="n">
        <v>20</v>
      </c>
      <c r="N1686" s="11" t="n">
        <f aca="false">J1686/(J1686+K1686)</f>
        <v>0</v>
      </c>
      <c r="O1686" s="11" t="str">
        <f aca="false">IF(J1686+L1686=0,"",J1686/(J1686+L1686))</f>
        <v/>
      </c>
      <c r="P1686" s="11" t="n">
        <f aca="false">2*J1686/(2*J1686+L1686+K1686)</f>
        <v>0</v>
      </c>
      <c r="Q1686" s="11" t="n">
        <f aca="false">L1686/(L1686+M1686)</f>
        <v>0</v>
      </c>
      <c r="R1686" s="6" t="n">
        <v>0</v>
      </c>
      <c r="S1686" s="11"/>
      <c r="T1686" s="11" t="n">
        <v>0</v>
      </c>
      <c r="U1686" s="11" t="n">
        <v>1</v>
      </c>
      <c r="V1686" s="11" t="n">
        <v>1</v>
      </c>
    </row>
    <row r="1687" customFormat="false" ht="15" hidden="false" customHeight="false" outlineLevel="0" collapsed="false">
      <c r="A1687" s="6" t="s">
        <v>54</v>
      </c>
      <c r="B1687" s="6" t="s">
        <v>43</v>
      </c>
      <c r="C1687" s="6" t="s">
        <v>49</v>
      </c>
      <c r="D1687" s="6" t="s">
        <v>117</v>
      </c>
      <c r="E1687" s="6" t="n">
        <v>16</v>
      </c>
      <c r="F1687" s="6" t="n">
        <v>4</v>
      </c>
      <c r="G1687" s="6" t="s">
        <v>70</v>
      </c>
      <c r="H1687" s="11" t="n">
        <v>0.01</v>
      </c>
      <c r="I1687" s="6" t="n">
        <v>20</v>
      </c>
      <c r="J1687" s="6" t="n">
        <v>0</v>
      </c>
      <c r="K1687" s="6" t="n">
        <v>20</v>
      </c>
      <c r="L1687" s="6" t="n">
        <v>0</v>
      </c>
      <c r="M1687" s="6" t="n">
        <v>20</v>
      </c>
      <c r="N1687" s="11" t="n">
        <f aca="false">J1687/(J1687+K1687)</f>
        <v>0</v>
      </c>
      <c r="O1687" s="11" t="str">
        <f aca="false">IF(J1687+L1687=0,"",J1687/(J1687+L1687))</f>
        <v/>
      </c>
      <c r="P1687" s="11" t="n">
        <f aca="false">2*J1687/(2*J1687+L1687+K1687)</f>
        <v>0</v>
      </c>
      <c r="Q1687" s="11" t="n">
        <f aca="false">L1687/(L1687+M1687)</f>
        <v>0</v>
      </c>
      <c r="R1687" s="6" t="n">
        <v>0</v>
      </c>
      <c r="S1687" s="11"/>
      <c r="T1687" s="11" t="n">
        <v>0</v>
      </c>
      <c r="U1687" s="11" t="n">
        <v>0.9</v>
      </c>
      <c r="V1687" s="11" t="n">
        <v>0.9</v>
      </c>
    </row>
    <row r="1688" customFormat="false" ht="15" hidden="false" customHeight="false" outlineLevel="0" collapsed="false">
      <c r="A1688" s="6" t="s">
        <v>54</v>
      </c>
      <c r="B1688" s="6" t="s">
        <v>43</v>
      </c>
      <c r="C1688" s="6" t="s">
        <v>49</v>
      </c>
      <c r="D1688" s="6" t="s">
        <v>117</v>
      </c>
      <c r="E1688" s="6" t="n">
        <v>16</v>
      </c>
      <c r="F1688" s="6" t="n">
        <v>4</v>
      </c>
      <c r="G1688" s="6" t="s">
        <v>71</v>
      </c>
      <c r="H1688" s="11" t="n">
        <v>0.01</v>
      </c>
      <c r="I1688" s="6" t="n">
        <v>20</v>
      </c>
      <c r="J1688" s="6" t="n">
        <v>0</v>
      </c>
      <c r="K1688" s="6" t="n">
        <v>20</v>
      </c>
      <c r="L1688" s="6" t="n">
        <v>0</v>
      </c>
      <c r="M1688" s="6" t="n">
        <v>20</v>
      </c>
      <c r="N1688" s="11" t="n">
        <f aca="false">J1688/(J1688+K1688)</f>
        <v>0</v>
      </c>
      <c r="O1688" s="11" t="str">
        <f aca="false">IF(J1688+L1688=0,"",J1688/(J1688+L1688))</f>
        <v/>
      </c>
      <c r="P1688" s="11" t="n">
        <f aca="false">2*J1688/(2*J1688+L1688+K1688)</f>
        <v>0</v>
      </c>
      <c r="Q1688" s="11" t="n">
        <f aca="false">L1688/(L1688+M1688)</f>
        <v>0</v>
      </c>
      <c r="R1688" s="6" t="n">
        <v>0</v>
      </c>
      <c r="S1688" s="11"/>
      <c r="T1688" s="11" t="n">
        <v>0</v>
      </c>
      <c r="U1688" s="11" t="n">
        <v>0.8</v>
      </c>
      <c r="V1688" s="11" t="n">
        <v>0.8</v>
      </c>
    </row>
    <row r="1689" customFormat="false" ht="15" hidden="false" customHeight="false" outlineLevel="0" collapsed="false">
      <c r="A1689" s="6" t="s">
        <v>54</v>
      </c>
      <c r="B1689" s="6" t="s">
        <v>43</v>
      </c>
      <c r="C1689" s="6" t="s">
        <v>49</v>
      </c>
      <c r="D1689" s="6" t="s">
        <v>117</v>
      </c>
      <c r="E1689" s="6" t="n">
        <v>16</v>
      </c>
      <c r="F1689" s="6" t="n">
        <v>4</v>
      </c>
      <c r="G1689" s="6" t="s">
        <v>72</v>
      </c>
      <c r="H1689" s="11" t="n">
        <v>0.01</v>
      </c>
      <c r="I1689" s="6" t="n">
        <v>20</v>
      </c>
      <c r="J1689" s="6" t="n">
        <v>0</v>
      </c>
      <c r="K1689" s="6" t="n">
        <v>20</v>
      </c>
      <c r="L1689" s="6" t="n">
        <v>0</v>
      </c>
      <c r="M1689" s="6" t="n">
        <v>20</v>
      </c>
      <c r="N1689" s="11" t="n">
        <f aca="false">J1689/(J1689+K1689)</f>
        <v>0</v>
      </c>
      <c r="O1689" s="11" t="str">
        <f aca="false">IF(J1689+L1689=0,"",J1689/(J1689+L1689))</f>
        <v/>
      </c>
      <c r="P1689" s="11" t="n">
        <f aca="false">2*J1689/(2*J1689+L1689+K1689)</f>
        <v>0</v>
      </c>
      <c r="Q1689" s="11" t="n">
        <f aca="false">L1689/(L1689+M1689)</f>
        <v>0</v>
      </c>
      <c r="R1689" s="6" t="n">
        <v>0</v>
      </c>
      <c r="S1689" s="11"/>
      <c r="T1689" s="11" t="n">
        <v>0</v>
      </c>
      <c r="U1689" s="11" t="n">
        <v>0.9</v>
      </c>
      <c r="V1689" s="11" t="n">
        <v>0.9</v>
      </c>
    </row>
    <row r="1690" customFormat="false" ht="15" hidden="false" customHeight="false" outlineLevel="0" collapsed="false">
      <c r="A1690" s="6" t="s">
        <v>54</v>
      </c>
      <c r="B1690" s="6" t="s">
        <v>43</v>
      </c>
      <c r="C1690" s="6" t="s">
        <v>49</v>
      </c>
      <c r="D1690" s="6" t="s">
        <v>117</v>
      </c>
      <c r="E1690" s="6" t="n">
        <v>16</v>
      </c>
      <c r="F1690" s="6" t="n">
        <v>4</v>
      </c>
      <c r="G1690" s="6" t="s">
        <v>73</v>
      </c>
      <c r="H1690" s="11" t="n">
        <v>0.01</v>
      </c>
      <c r="I1690" s="6" t="n">
        <v>20</v>
      </c>
      <c r="J1690" s="6" t="n">
        <v>0</v>
      </c>
      <c r="K1690" s="6" t="n">
        <v>20</v>
      </c>
      <c r="L1690" s="6" t="n">
        <v>0</v>
      </c>
      <c r="M1690" s="6" t="n">
        <v>20</v>
      </c>
      <c r="N1690" s="11" t="n">
        <f aca="false">J1690/(J1690+K1690)</f>
        <v>0</v>
      </c>
      <c r="O1690" s="11" t="str">
        <f aca="false">IF(J1690+L1690=0,"",J1690/(J1690+L1690))</f>
        <v/>
      </c>
      <c r="P1690" s="11" t="n">
        <f aca="false">2*J1690/(2*J1690+L1690+K1690)</f>
        <v>0</v>
      </c>
      <c r="Q1690" s="11" t="n">
        <f aca="false">L1690/(L1690+M1690)</f>
        <v>0</v>
      </c>
      <c r="R1690" s="6" t="n">
        <v>0</v>
      </c>
      <c r="S1690" s="11"/>
      <c r="T1690" s="11" t="n">
        <v>0</v>
      </c>
      <c r="U1690" s="11" t="n">
        <v>0.65</v>
      </c>
      <c r="V1690" s="11" t="n">
        <v>0.65</v>
      </c>
    </row>
    <row r="1691" customFormat="false" ht="15" hidden="false" customHeight="false" outlineLevel="0" collapsed="false">
      <c r="A1691" s="6" t="s">
        <v>54</v>
      </c>
      <c r="B1691" s="6" t="s">
        <v>43</v>
      </c>
      <c r="C1691" s="6" t="s">
        <v>49</v>
      </c>
      <c r="D1691" s="6" t="s">
        <v>117</v>
      </c>
      <c r="E1691" s="6" t="n">
        <v>16</v>
      </c>
      <c r="F1691" s="6" t="n">
        <v>4</v>
      </c>
      <c r="G1691" s="6" t="s">
        <v>74</v>
      </c>
      <c r="H1691" s="11" t="n">
        <v>0.01</v>
      </c>
      <c r="I1691" s="6" t="n">
        <v>20</v>
      </c>
      <c r="J1691" s="6" t="n">
        <v>0</v>
      </c>
      <c r="K1691" s="6" t="n">
        <v>20</v>
      </c>
      <c r="L1691" s="6" t="n">
        <v>0</v>
      </c>
      <c r="M1691" s="6" t="n">
        <v>20</v>
      </c>
      <c r="N1691" s="11" t="n">
        <f aca="false">J1691/(J1691+K1691)</f>
        <v>0</v>
      </c>
      <c r="O1691" s="11" t="str">
        <f aca="false">IF(J1691+L1691=0,"",J1691/(J1691+L1691))</f>
        <v/>
      </c>
      <c r="P1691" s="11" t="n">
        <f aca="false">2*J1691/(2*J1691+L1691+K1691)</f>
        <v>0</v>
      </c>
      <c r="Q1691" s="11" t="n">
        <f aca="false">L1691/(L1691+M1691)</f>
        <v>0</v>
      </c>
      <c r="R1691" s="6" t="n">
        <v>0</v>
      </c>
      <c r="S1691" s="11"/>
      <c r="T1691" s="11" t="n">
        <v>0</v>
      </c>
      <c r="U1691" s="11" t="n">
        <v>0.85</v>
      </c>
      <c r="V1691" s="11" t="n">
        <v>0.85</v>
      </c>
    </row>
    <row r="1692" customFormat="false" ht="15" hidden="false" customHeight="false" outlineLevel="0" collapsed="false">
      <c r="A1692" s="6" t="s">
        <v>54</v>
      </c>
      <c r="B1692" s="6" t="s">
        <v>43</v>
      </c>
      <c r="C1692" s="6" t="s">
        <v>49</v>
      </c>
      <c r="D1692" s="6" t="s">
        <v>117</v>
      </c>
      <c r="E1692" s="6" t="n">
        <v>16</v>
      </c>
      <c r="F1692" s="6" t="n">
        <v>4</v>
      </c>
      <c r="G1692" s="6" t="s">
        <v>75</v>
      </c>
      <c r="H1692" s="11" t="n">
        <v>0.01</v>
      </c>
      <c r="I1692" s="6" t="n">
        <v>20</v>
      </c>
      <c r="J1692" s="6" t="n">
        <v>0</v>
      </c>
      <c r="K1692" s="6" t="n">
        <v>20</v>
      </c>
      <c r="L1692" s="6" t="n">
        <v>0</v>
      </c>
      <c r="M1692" s="6" t="n">
        <v>20</v>
      </c>
      <c r="N1692" s="11" t="n">
        <f aca="false">J1692/(J1692+K1692)</f>
        <v>0</v>
      </c>
      <c r="O1692" s="11" t="str">
        <f aca="false">IF(J1692+L1692=0,"",J1692/(J1692+L1692))</f>
        <v/>
      </c>
      <c r="P1692" s="11" t="n">
        <f aca="false">2*J1692/(2*J1692+L1692+K1692)</f>
        <v>0</v>
      </c>
      <c r="Q1692" s="11" t="n">
        <f aca="false">L1692/(L1692+M1692)</f>
        <v>0</v>
      </c>
      <c r="R1692" s="6" t="n">
        <v>0</v>
      </c>
      <c r="S1692" s="11"/>
      <c r="T1692" s="11" t="n">
        <v>0</v>
      </c>
      <c r="U1692" s="11" t="n">
        <v>0.9</v>
      </c>
      <c r="V1692" s="11" t="n">
        <v>0.9</v>
      </c>
    </row>
    <row r="1693" customFormat="false" ht="15" hidden="false" customHeight="false" outlineLevel="0" collapsed="false">
      <c r="A1693" s="6" t="s">
        <v>54</v>
      </c>
      <c r="B1693" s="6" t="s">
        <v>43</v>
      </c>
      <c r="C1693" s="6" t="s">
        <v>49</v>
      </c>
      <c r="D1693" s="6" t="s">
        <v>117</v>
      </c>
      <c r="E1693" s="6" t="n">
        <v>16</v>
      </c>
      <c r="F1693" s="6" t="n">
        <v>4</v>
      </c>
      <c r="G1693" s="6" t="s">
        <v>76</v>
      </c>
      <c r="H1693" s="11" t="n">
        <v>0.01</v>
      </c>
      <c r="I1693" s="6" t="n">
        <v>20</v>
      </c>
      <c r="J1693" s="6" t="n">
        <v>0</v>
      </c>
      <c r="K1693" s="6" t="n">
        <v>20</v>
      </c>
      <c r="L1693" s="6" t="n">
        <v>0</v>
      </c>
      <c r="M1693" s="6" t="n">
        <v>20</v>
      </c>
      <c r="N1693" s="11" t="n">
        <f aca="false">J1693/(J1693+K1693)</f>
        <v>0</v>
      </c>
      <c r="O1693" s="11" t="str">
        <f aca="false">IF(J1693+L1693=0,"",J1693/(J1693+L1693))</f>
        <v/>
      </c>
      <c r="P1693" s="11" t="n">
        <f aca="false">2*J1693/(2*J1693+L1693+K1693)</f>
        <v>0</v>
      </c>
      <c r="Q1693" s="11" t="n">
        <f aca="false">L1693/(L1693+M1693)</f>
        <v>0</v>
      </c>
      <c r="R1693" s="6" t="n">
        <v>0</v>
      </c>
      <c r="S1693" s="11"/>
      <c r="T1693" s="11" t="n">
        <v>0</v>
      </c>
      <c r="U1693" s="11" t="n">
        <v>0.95</v>
      </c>
      <c r="V1693" s="11" t="n">
        <v>0.95</v>
      </c>
    </row>
    <row r="1694" customFormat="false" ht="15" hidden="false" customHeight="false" outlineLevel="0" collapsed="false">
      <c r="A1694" s="6" t="s">
        <v>54</v>
      </c>
      <c r="B1694" s="6" t="s">
        <v>43</v>
      </c>
      <c r="C1694" s="6" t="s">
        <v>49</v>
      </c>
      <c r="D1694" s="6" t="s">
        <v>117</v>
      </c>
      <c r="E1694" s="6" t="n">
        <v>16</v>
      </c>
      <c r="F1694" s="6" t="n">
        <v>4</v>
      </c>
      <c r="G1694" s="6" t="s">
        <v>77</v>
      </c>
      <c r="H1694" s="11" t="n">
        <v>0.01</v>
      </c>
      <c r="I1694" s="6" t="n">
        <v>20</v>
      </c>
      <c r="J1694" s="6" t="n">
        <v>1</v>
      </c>
      <c r="K1694" s="6" t="n">
        <v>19</v>
      </c>
      <c r="L1694" s="6" t="n">
        <v>1</v>
      </c>
      <c r="M1694" s="6" t="n">
        <v>19</v>
      </c>
      <c r="N1694" s="11" t="n">
        <f aca="false">J1694/(J1694+K1694)</f>
        <v>0.05</v>
      </c>
      <c r="O1694" s="11" t="n">
        <f aca="false">IF(J1694+L1694=0,"",J1694/(J1694+L1694))</f>
        <v>0.5</v>
      </c>
      <c r="P1694" s="11" t="n">
        <f aca="false">2*J1694/(2*J1694+L1694+K1694)</f>
        <v>0.0909090909090909</v>
      </c>
      <c r="Q1694" s="11" t="n">
        <f aca="false">L1694/(L1694+M1694)</f>
        <v>0.05</v>
      </c>
      <c r="R1694" s="6" t="n">
        <v>0</v>
      </c>
      <c r="S1694" s="11"/>
      <c r="T1694" s="11" t="n">
        <v>0.05</v>
      </c>
      <c r="U1694" s="11" t="n">
        <v>1</v>
      </c>
      <c r="V1694" s="11" t="n">
        <v>1</v>
      </c>
    </row>
    <row r="1695" customFormat="false" ht="15" hidden="false" customHeight="false" outlineLevel="0" collapsed="false">
      <c r="A1695" s="6" t="s">
        <v>54</v>
      </c>
      <c r="B1695" s="6" t="s">
        <v>43</v>
      </c>
      <c r="C1695" s="6" t="s">
        <v>49</v>
      </c>
      <c r="D1695" s="6" t="s">
        <v>117</v>
      </c>
      <c r="E1695" s="6" t="n">
        <v>16</v>
      </c>
      <c r="F1695" s="6" t="n">
        <v>4</v>
      </c>
      <c r="G1695" s="6" t="s">
        <v>78</v>
      </c>
      <c r="H1695" s="11" t="n">
        <v>0.01</v>
      </c>
      <c r="I1695" s="6" t="n">
        <v>200</v>
      </c>
      <c r="J1695" s="6" t="n">
        <v>1</v>
      </c>
      <c r="K1695" s="6" t="n">
        <v>199</v>
      </c>
      <c r="L1695" s="6" t="n">
        <v>1</v>
      </c>
      <c r="M1695" s="6" t="n">
        <v>199</v>
      </c>
      <c r="N1695" s="11" t="n">
        <f aca="false">J1695/(J1695+K1695)</f>
        <v>0.005</v>
      </c>
      <c r="O1695" s="11" t="n">
        <f aca="false">IF(J1695+L1695=0,"",J1695/(J1695+L1695))</f>
        <v>0.5</v>
      </c>
      <c r="P1695" s="11" t="n">
        <f aca="false">2*J1695/(2*J1695+L1695+K1695)</f>
        <v>0.0099009900990099</v>
      </c>
      <c r="Q1695" s="11" t="n">
        <f aca="false">L1695/(L1695+M1695)</f>
        <v>0.005</v>
      </c>
      <c r="R1695" s="6" t="n">
        <v>0</v>
      </c>
      <c r="S1695" s="11"/>
      <c r="T1695" s="11" t="n">
        <v>0.005</v>
      </c>
      <c r="U1695" s="11" t="n">
        <v>0.88</v>
      </c>
      <c r="V1695" s="11" t="n">
        <v>0.88</v>
      </c>
    </row>
    <row r="1696" customFormat="false" ht="15" hidden="false" customHeight="false" outlineLevel="0" collapsed="false">
      <c r="A1696" s="6" t="s">
        <v>54</v>
      </c>
      <c r="B1696" s="6" t="s">
        <v>43</v>
      </c>
      <c r="C1696" s="6" t="s">
        <v>49</v>
      </c>
      <c r="D1696" s="6" t="s">
        <v>117</v>
      </c>
      <c r="E1696" s="6" t="n">
        <v>16</v>
      </c>
      <c r="F1696" s="6" t="n">
        <v>5</v>
      </c>
      <c r="G1696" s="6" t="s">
        <v>68</v>
      </c>
      <c r="H1696" s="11" t="n">
        <v>0.01</v>
      </c>
      <c r="I1696" s="6" t="n">
        <v>20</v>
      </c>
      <c r="J1696" s="6" t="n">
        <v>0</v>
      </c>
      <c r="K1696" s="6" t="n">
        <v>20</v>
      </c>
      <c r="L1696" s="6" t="n">
        <v>0</v>
      </c>
      <c r="M1696" s="6" t="n">
        <v>20</v>
      </c>
      <c r="N1696" s="11" t="n">
        <f aca="false">J1696/(J1696+K1696)</f>
        <v>0</v>
      </c>
      <c r="O1696" s="11" t="str">
        <f aca="false">IF(J1696+L1696=0,"",J1696/(J1696+L1696))</f>
        <v/>
      </c>
      <c r="P1696" s="11" t="n">
        <f aca="false">2*J1696/(2*J1696+L1696+K1696)</f>
        <v>0</v>
      </c>
      <c r="Q1696" s="11" t="n">
        <f aca="false">L1696/(L1696+M1696)</f>
        <v>0</v>
      </c>
      <c r="R1696" s="6" t="n">
        <v>0</v>
      </c>
      <c r="S1696" s="11"/>
      <c r="T1696" s="11" t="n">
        <v>0</v>
      </c>
      <c r="U1696" s="11" t="n">
        <v>0.85</v>
      </c>
      <c r="V1696" s="11" t="n">
        <v>0.85</v>
      </c>
    </row>
    <row r="1697" customFormat="false" ht="15" hidden="false" customHeight="false" outlineLevel="0" collapsed="false">
      <c r="A1697" s="6" t="s">
        <v>54</v>
      </c>
      <c r="B1697" s="6" t="s">
        <v>43</v>
      </c>
      <c r="C1697" s="6" t="s">
        <v>49</v>
      </c>
      <c r="D1697" s="6" t="s">
        <v>117</v>
      </c>
      <c r="E1697" s="6" t="n">
        <v>16</v>
      </c>
      <c r="F1697" s="6" t="n">
        <v>5</v>
      </c>
      <c r="G1697" s="6" t="s">
        <v>69</v>
      </c>
      <c r="H1697" s="11" t="n">
        <v>0.01</v>
      </c>
      <c r="I1697" s="6" t="n">
        <v>20</v>
      </c>
      <c r="J1697" s="6" t="n">
        <v>0</v>
      </c>
      <c r="K1697" s="6" t="n">
        <v>20</v>
      </c>
      <c r="L1697" s="6" t="n">
        <v>0</v>
      </c>
      <c r="M1697" s="6" t="n">
        <v>20</v>
      </c>
      <c r="N1697" s="11" t="n">
        <f aca="false">J1697/(J1697+K1697)</f>
        <v>0</v>
      </c>
      <c r="O1697" s="11" t="str">
        <f aca="false">IF(J1697+L1697=0,"",J1697/(J1697+L1697))</f>
        <v/>
      </c>
      <c r="P1697" s="11" t="n">
        <f aca="false">2*J1697/(2*J1697+L1697+K1697)</f>
        <v>0</v>
      </c>
      <c r="Q1697" s="11" t="n">
        <f aca="false">L1697/(L1697+M1697)</f>
        <v>0</v>
      </c>
      <c r="R1697" s="6" t="n">
        <v>0</v>
      </c>
      <c r="S1697" s="11"/>
      <c r="T1697" s="11" t="n">
        <v>0</v>
      </c>
      <c r="U1697" s="11" t="n">
        <v>1</v>
      </c>
      <c r="V1697" s="11" t="n">
        <v>1</v>
      </c>
    </row>
    <row r="1698" customFormat="false" ht="15" hidden="false" customHeight="false" outlineLevel="0" collapsed="false">
      <c r="A1698" s="6" t="s">
        <v>54</v>
      </c>
      <c r="B1698" s="6" t="s">
        <v>43</v>
      </c>
      <c r="C1698" s="6" t="s">
        <v>49</v>
      </c>
      <c r="D1698" s="6" t="s">
        <v>117</v>
      </c>
      <c r="E1698" s="6" t="n">
        <v>16</v>
      </c>
      <c r="F1698" s="6" t="n">
        <v>5</v>
      </c>
      <c r="G1698" s="6" t="s">
        <v>70</v>
      </c>
      <c r="H1698" s="11" t="n">
        <v>0.01</v>
      </c>
      <c r="I1698" s="6" t="n">
        <v>20</v>
      </c>
      <c r="J1698" s="6" t="n">
        <v>0</v>
      </c>
      <c r="K1698" s="6" t="n">
        <v>20</v>
      </c>
      <c r="L1698" s="6" t="n">
        <v>0</v>
      </c>
      <c r="M1698" s="6" t="n">
        <v>20</v>
      </c>
      <c r="N1698" s="11" t="n">
        <f aca="false">J1698/(J1698+K1698)</f>
        <v>0</v>
      </c>
      <c r="O1698" s="11" t="str">
        <f aca="false">IF(J1698+L1698=0,"",J1698/(J1698+L1698))</f>
        <v/>
      </c>
      <c r="P1698" s="11" t="n">
        <f aca="false">2*J1698/(2*J1698+L1698+K1698)</f>
        <v>0</v>
      </c>
      <c r="Q1698" s="11" t="n">
        <f aca="false">L1698/(L1698+M1698)</f>
        <v>0</v>
      </c>
      <c r="R1698" s="6" t="n">
        <v>0</v>
      </c>
      <c r="S1698" s="11"/>
      <c r="T1698" s="11" t="n">
        <v>0</v>
      </c>
      <c r="U1698" s="11" t="n">
        <v>0.9</v>
      </c>
      <c r="V1698" s="11" t="n">
        <v>0.9</v>
      </c>
    </row>
    <row r="1699" customFormat="false" ht="15" hidden="false" customHeight="false" outlineLevel="0" collapsed="false">
      <c r="A1699" s="6" t="s">
        <v>54</v>
      </c>
      <c r="B1699" s="6" t="s">
        <v>43</v>
      </c>
      <c r="C1699" s="6" t="s">
        <v>49</v>
      </c>
      <c r="D1699" s="6" t="s">
        <v>117</v>
      </c>
      <c r="E1699" s="6" t="n">
        <v>16</v>
      </c>
      <c r="F1699" s="6" t="n">
        <v>5</v>
      </c>
      <c r="G1699" s="6" t="s">
        <v>71</v>
      </c>
      <c r="H1699" s="11" t="n">
        <v>0.01</v>
      </c>
      <c r="I1699" s="6" t="n">
        <v>20</v>
      </c>
      <c r="J1699" s="6" t="n">
        <v>0</v>
      </c>
      <c r="K1699" s="6" t="n">
        <v>20</v>
      </c>
      <c r="L1699" s="6" t="n">
        <v>0</v>
      </c>
      <c r="M1699" s="6" t="n">
        <v>20</v>
      </c>
      <c r="N1699" s="11" t="n">
        <f aca="false">J1699/(J1699+K1699)</f>
        <v>0</v>
      </c>
      <c r="O1699" s="11" t="str">
        <f aca="false">IF(J1699+L1699=0,"",J1699/(J1699+L1699))</f>
        <v/>
      </c>
      <c r="P1699" s="11" t="n">
        <f aca="false">2*J1699/(2*J1699+L1699+K1699)</f>
        <v>0</v>
      </c>
      <c r="Q1699" s="11" t="n">
        <f aca="false">L1699/(L1699+M1699)</f>
        <v>0</v>
      </c>
      <c r="R1699" s="6" t="n">
        <v>0</v>
      </c>
      <c r="S1699" s="11"/>
      <c r="T1699" s="11" t="n">
        <v>0</v>
      </c>
      <c r="U1699" s="11" t="n">
        <v>0.8</v>
      </c>
      <c r="V1699" s="11" t="n">
        <v>0.8</v>
      </c>
    </row>
    <row r="1700" customFormat="false" ht="15" hidden="false" customHeight="false" outlineLevel="0" collapsed="false">
      <c r="A1700" s="6" t="s">
        <v>54</v>
      </c>
      <c r="B1700" s="6" t="s">
        <v>43</v>
      </c>
      <c r="C1700" s="6" t="s">
        <v>49</v>
      </c>
      <c r="D1700" s="6" t="s">
        <v>117</v>
      </c>
      <c r="E1700" s="6" t="n">
        <v>16</v>
      </c>
      <c r="F1700" s="6" t="n">
        <v>5</v>
      </c>
      <c r="G1700" s="6" t="s">
        <v>72</v>
      </c>
      <c r="H1700" s="11" t="n">
        <v>0.01</v>
      </c>
      <c r="I1700" s="6" t="n">
        <v>20</v>
      </c>
      <c r="J1700" s="6" t="n">
        <v>0</v>
      </c>
      <c r="K1700" s="6" t="n">
        <v>20</v>
      </c>
      <c r="L1700" s="6" t="n">
        <v>0</v>
      </c>
      <c r="M1700" s="6" t="n">
        <v>20</v>
      </c>
      <c r="N1700" s="11" t="n">
        <f aca="false">J1700/(J1700+K1700)</f>
        <v>0</v>
      </c>
      <c r="O1700" s="11" t="str">
        <f aca="false">IF(J1700+L1700=0,"",J1700/(J1700+L1700))</f>
        <v/>
      </c>
      <c r="P1700" s="11" t="n">
        <f aca="false">2*J1700/(2*J1700+L1700+K1700)</f>
        <v>0</v>
      </c>
      <c r="Q1700" s="11" t="n">
        <f aca="false">L1700/(L1700+M1700)</f>
        <v>0</v>
      </c>
      <c r="R1700" s="6" t="n">
        <v>0</v>
      </c>
      <c r="S1700" s="11"/>
      <c r="T1700" s="11" t="n">
        <v>0</v>
      </c>
      <c r="U1700" s="11" t="n">
        <v>0.9</v>
      </c>
      <c r="V1700" s="11" t="n">
        <v>0.9</v>
      </c>
    </row>
    <row r="1701" customFormat="false" ht="15" hidden="false" customHeight="false" outlineLevel="0" collapsed="false">
      <c r="A1701" s="6" t="s">
        <v>54</v>
      </c>
      <c r="B1701" s="6" t="s">
        <v>43</v>
      </c>
      <c r="C1701" s="6" t="s">
        <v>49</v>
      </c>
      <c r="D1701" s="6" t="s">
        <v>117</v>
      </c>
      <c r="E1701" s="6" t="n">
        <v>16</v>
      </c>
      <c r="F1701" s="6" t="n">
        <v>5</v>
      </c>
      <c r="G1701" s="6" t="s">
        <v>73</v>
      </c>
      <c r="H1701" s="11" t="n">
        <v>0.01</v>
      </c>
      <c r="I1701" s="6" t="n">
        <v>20</v>
      </c>
      <c r="J1701" s="6" t="n">
        <v>0</v>
      </c>
      <c r="K1701" s="6" t="n">
        <v>20</v>
      </c>
      <c r="L1701" s="6" t="n">
        <v>0</v>
      </c>
      <c r="M1701" s="6" t="n">
        <v>20</v>
      </c>
      <c r="N1701" s="11" t="n">
        <f aca="false">J1701/(J1701+K1701)</f>
        <v>0</v>
      </c>
      <c r="O1701" s="11" t="str">
        <f aca="false">IF(J1701+L1701=0,"",J1701/(J1701+L1701))</f>
        <v/>
      </c>
      <c r="P1701" s="11" t="n">
        <f aca="false">2*J1701/(2*J1701+L1701+K1701)</f>
        <v>0</v>
      </c>
      <c r="Q1701" s="11" t="n">
        <f aca="false">L1701/(L1701+M1701)</f>
        <v>0</v>
      </c>
      <c r="R1701" s="6" t="n">
        <v>0</v>
      </c>
      <c r="S1701" s="11"/>
      <c r="T1701" s="11" t="n">
        <v>0</v>
      </c>
      <c r="U1701" s="11" t="n">
        <v>0.65</v>
      </c>
      <c r="V1701" s="11" t="n">
        <v>0.65</v>
      </c>
    </row>
    <row r="1702" customFormat="false" ht="15" hidden="false" customHeight="false" outlineLevel="0" collapsed="false">
      <c r="A1702" s="6" t="s">
        <v>54</v>
      </c>
      <c r="B1702" s="6" t="s">
        <v>43</v>
      </c>
      <c r="C1702" s="6" t="s">
        <v>49</v>
      </c>
      <c r="D1702" s="6" t="s">
        <v>117</v>
      </c>
      <c r="E1702" s="6" t="n">
        <v>16</v>
      </c>
      <c r="F1702" s="6" t="n">
        <v>5</v>
      </c>
      <c r="G1702" s="6" t="s">
        <v>74</v>
      </c>
      <c r="H1702" s="11" t="n">
        <v>0.01</v>
      </c>
      <c r="I1702" s="6" t="n">
        <v>20</v>
      </c>
      <c r="J1702" s="6" t="n">
        <v>0</v>
      </c>
      <c r="K1702" s="6" t="n">
        <v>20</v>
      </c>
      <c r="L1702" s="6" t="n">
        <v>0</v>
      </c>
      <c r="M1702" s="6" t="n">
        <v>20</v>
      </c>
      <c r="N1702" s="11" t="n">
        <f aca="false">J1702/(J1702+K1702)</f>
        <v>0</v>
      </c>
      <c r="O1702" s="11" t="str">
        <f aca="false">IF(J1702+L1702=0,"",J1702/(J1702+L1702))</f>
        <v/>
      </c>
      <c r="P1702" s="11" t="n">
        <f aca="false">2*J1702/(2*J1702+L1702+K1702)</f>
        <v>0</v>
      </c>
      <c r="Q1702" s="11" t="n">
        <f aca="false">L1702/(L1702+M1702)</f>
        <v>0</v>
      </c>
      <c r="R1702" s="6" t="n">
        <v>0</v>
      </c>
      <c r="S1702" s="11"/>
      <c r="T1702" s="11" t="n">
        <v>0</v>
      </c>
      <c r="U1702" s="11" t="n">
        <v>0.85</v>
      </c>
      <c r="V1702" s="11" t="n">
        <v>0.85</v>
      </c>
    </row>
    <row r="1703" customFormat="false" ht="15" hidden="false" customHeight="false" outlineLevel="0" collapsed="false">
      <c r="A1703" s="6" t="s">
        <v>54</v>
      </c>
      <c r="B1703" s="6" t="s">
        <v>43</v>
      </c>
      <c r="C1703" s="6" t="s">
        <v>49</v>
      </c>
      <c r="D1703" s="6" t="s">
        <v>117</v>
      </c>
      <c r="E1703" s="6" t="n">
        <v>16</v>
      </c>
      <c r="F1703" s="6" t="n">
        <v>5</v>
      </c>
      <c r="G1703" s="6" t="s">
        <v>75</v>
      </c>
      <c r="H1703" s="11" t="n">
        <v>0.01</v>
      </c>
      <c r="I1703" s="6" t="n">
        <v>20</v>
      </c>
      <c r="J1703" s="6" t="n">
        <v>0</v>
      </c>
      <c r="K1703" s="6" t="n">
        <v>20</v>
      </c>
      <c r="L1703" s="6" t="n">
        <v>0</v>
      </c>
      <c r="M1703" s="6" t="n">
        <v>20</v>
      </c>
      <c r="N1703" s="11" t="n">
        <f aca="false">J1703/(J1703+K1703)</f>
        <v>0</v>
      </c>
      <c r="O1703" s="11" t="str">
        <f aca="false">IF(J1703+L1703=0,"",J1703/(J1703+L1703))</f>
        <v/>
      </c>
      <c r="P1703" s="11" t="n">
        <f aca="false">2*J1703/(2*J1703+L1703+K1703)</f>
        <v>0</v>
      </c>
      <c r="Q1703" s="11" t="n">
        <f aca="false">L1703/(L1703+M1703)</f>
        <v>0</v>
      </c>
      <c r="R1703" s="6" t="n">
        <v>0</v>
      </c>
      <c r="S1703" s="11"/>
      <c r="T1703" s="11" t="n">
        <v>0</v>
      </c>
      <c r="U1703" s="11" t="n">
        <v>0.9</v>
      </c>
      <c r="V1703" s="11" t="n">
        <v>0.9</v>
      </c>
    </row>
    <row r="1704" customFormat="false" ht="15" hidden="false" customHeight="false" outlineLevel="0" collapsed="false">
      <c r="A1704" s="6" t="s">
        <v>54</v>
      </c>
      <c r="B1704" s="6" t="s">
        <v>43</v>
      </c>
      <c r="C1704" s="6" t="s">
        <v>49</v>
      </c>
      <c r="D1704" s="6" t="s">
        <v>117</v>
      </c>
      <c r="E1704" s="6" t="n">
        <v>16</v>
      </c>
      <c r="F1704" s="6" t="n">
        <v>5</v>
      </c>
      <c r="G1704" s="6" t="s">
        <v>76</v>
      </c>
      <c r="H1704" s="11" t="n">
        <v>0.01</v>
      </c>
      <c r="I1704" s="6" t="n">
        <v>20</v>
      </c>
      <c r="J1704" s="6" t="n">
        <v>0</v>
      </c>
      <c r="K1704" s="6" t="n">
        <v>20</v>
      </c>
      <c r="L1704" s="6" t="n">
        <v>0</v>
      </c>
      <c r="M1704" s="6" t="n">
        <v>20</v>
      </c>
      <c r="N1704" s="11" t="n">
        <f aca="false">J1704/(J1704+K1704)</f>
        <v>0</v>
      </c>
      <c r="O1704" s="11" t="str">
        <f aca="false">IF(J1704+L1704=0,"",J1704/(J1704+L1704))</f>
        <v/>
      </c>
      <c r="P1704" s="11" t="n">
        <f aca="false">2*J1704/(2*J1704+L1704+K1704)</f>
        <v>0</v>
      </c>
      <c r="Q1704" s="11" t="n">
        <f aca="false">L1704/(L1704+M1704)</f>
        <v>0</v>
      </c>
      <c r="R1704" s="6" t="n">
        <v>0</v>
      </c>
      <c r="S1704" s="11"/>
      <c r="T1704" s="11" t="n">
        <v>0</v>
      </c>
      <c r="U1704" s="11" t="n">
        <v>0.95</v>
      </c>
      <c r="V1704" s="11" t="n">
        <v>0.95</v>
      </c>
    </row>
    <row r="1705" customFormat="false" ht="15" hidden="false" customHeight="false" outlineLevel="0" collapsed="false">
      <c r="A1705" s="6" t="s">
        <v>54</v>
      </c>
      <c r="B1705" s="6" t="s">
        <v>43</v>
      </c>
      <c r="C1705" s="6" t="s">
        <v>49</v>
      </c>
      <c r="D1705" s="6" t="s">
        <v>117</v>
      </c>
      <c r="E1705" s="6" t="n">
        <v>16</v>
      </c>
      <c r="F1705" s="6" t="n">
        <v>5</v>
      </c>
      <c r="G1705" s="6" t="s">
        <v>77</v>
      </c>
      <c r="H1705" s="11" t="n">
        <v>0.01</v>
      </c>
      <c r="I1705" s="6" t="n">
        <v>20</v>
      </c>
      <c r="J1705" s="6" t="n">
        <v>1</v>
      </c>
      <c r="K1705" s="6" t="n">
        <v>19</v>
      </c>
      <c r="L1705" s="6" t="n">
        <v>1</v>
      </c>
      <c r="M1705" s="6" t="n">
        <v>19</v>
      </c>
      <c r="N1705" s="11" t="n">
        <f aca="false">J1705/(J1705+K1705)</f>
        <v>0.05</v>
      </c>
      <c r="O1705" s="11" t="n">
        <f aca="false">IF(J1705+L1705=0,"",J1705/(J1705+L1705))</f>
        <v>0.5</v>
      </c>
      <c r="P1705" s="11" t="n">
        <f aca="false">2*J1705/(2*J1705+L1705+K1705)</f>
        <v>0.0909090909090909</v>
      </c>
      <c r="Q1705" s="11" t="n">
        <f aca="false">L1705/(L1705+M1705)</f>
        <v>0.05</v>
      </c>
      <c r="R1705" s="6" t="n">
        <v>0</v>
      </c>
      <c r="S1705" s="11"/>
      <c r="T1705" s="11" t="n">
        <v>0.05</v>
      </c>
      <c r="U1705" s="11" t="n">
        <v>1</v>
      </c>
      <c r="V1705" s="11" t="n">
        <v>1</v>
      </c>
    </row>
    <row r="1706" customFormat="false" ht="15" hidden="false" customHeight="false" outlineLevel="0" collapsed="false">
      <c r="A1706" s="6" t="s">
        <v>54</v>
      </c>
      <c r="B1706" s="6" t="s">
        <v>43</v>
      </c>
      <c r="C1706" s="6" t="s">
        <v>49</v>
      </c>
      <c r="D1706" s="6" t="s">
        <v>117</v>
      </c>
      <c r="E1706" s="6" t="n">
        <v>16</v>
      </c>
      <c r="F1706" s="6" t="n">
        <v>5</v>
      </c>
      <c r="G1706" s="6" t="s">
        <v>78</v>
      </c>
      <c r="H1706" s="11" t="n">
        <v>0.01</v>
      </c>
      <c r="I1706" s="6" t="n">
        <v>200</v>
      </c>
      <c r="J1706" s="6" t="n">
        <v>1</v>
      </c>
      <c r="K1706" s="6" t="n">
        <v>199</v>
      </c>
      <c r="L1706" s="6" t="n">
        <v>1</v>
      </c>
      <c r="M1706" s="6" t="n">
        <v>199</v>
      </c>
      <c r="N1706" s="11" t="n">
        <f aca="false">J1706/(J1706+K1706)</f>
        <v>0.005</v>
      </c>
      <c r="O1706" s="11" t="n">
        <f aca="false">IF(J1706+L1706=0,"",J1706/(J1706+L1706))</f>
        <v>0.5</v>
      </c>
      <c r="P1706" s="11" t="n">
        <f aca="false">2*J1706/(2*J1706+L1706+K1706)</f>
        <v>0.0099009900990099</v>
      </c>
      <c r="Q1706" s="11" t="n">
        <f aca="false">L1706/(L1706+M1706)</f>
        <v>0.005</v>
      </c>
      <c r="R1706" s="6" t="n">
        <v>0</v>
      </c>
      <c r="S1706" s="11"/>
      <c r="T1706" s="11" t="n">
        <v>0.005</v>
      </c>
      <c r="U1706" s="11" t="n">
        <v>0.88</v>
      </c>
      <c r="V1706" s="11" t="n">
        <v>0.88</v>
      </c>
    </row>
    <row r="1707" customFormat="false" ht="15" hidden="false" customHeight="false" outlineLevel="0" collapsed="false">
      <c r="A1707" s="6" t="s">
        <v>54</v>
      </c>
      <c r="B1707" s="6" t="s">
        <v>43</v>
      </c>
      <c r="C1707" s="6" t="s">
        <v>49</v>
      </c>
      <c r="D1707" s="6" t="s">
        <v>117</v>
      </c>
      <c r="E1707" s="6" t="n">
        <v>16</v>
      </c>
      <c r="F1707" s="6" t="n">
        <v>6</v>
      </c>
      <c r="G1707" s="6" t="s">
        <v>68</v>
      </c>
      <c r="H1707" s="11" t="n">
        <v>0.01</v>
      </c>
      <c r="I1707" s="6" t="n">
        <v>20</v>
      </c>
      <c r="J1707" s="6" t="n">
        <v>0</v>
      </c>
      <c r="K1707" s="6" t="n">
        <v>20</v>
      </c>
      <c r="L1707" s="6" t="n">
        <v>0</v>
      </c>
      <c r="M1707" s="6" t="n">
        <v>20</v>
      </c>
      <c r="N1707" s="11" t="n">
        <f aca="false">J1707/(J1707+K1707)</f>
        <v>0</v>
      </c>
      <c r="O1707" s="11" t="str">
        <f aca="false">IF(J1707+L1707=0,"",J1707/(J1707+L1707))</f>
        <v/>
      </c>
      <c r="P1707" s="11" t="n">
        <f aca="false">2*J1707/(2*J1707+L1707+K1707)</f>
        <v>0</v>
      </c>
      <c r="Q1707" s="11" t="n">
        <f aca="false">L1707/(L1707+M1707)</f>
        <v>0</v>
      </c>
      <c r="R1707" s="6" t="n">
        <v>0</v>
      </c>
      <c r="S1707" s="11"/>
      <c r="T1707" s="11" t="n">
        <v>0</v>
      </c>
      <c r="U1707" s="11" t="n">
        <v>0.85</v>
      </c>
      <c r="V1707" s="11" t="n">
        <v>0.85</v>
      </c>
    </row>
    <row r="1708" customFormat="false" ht="15" hidden="false" customHeight="false" outlineLevel="0" collapsed="false">
      <c r="A1708" s="6" t="s">
        <v>54</v>
      </c>
      <c r="B1708" s="6" t="s">
        <v>43</v>
      </c>
      <c r="C1708" s="6" t="s">
        <v>49</v>
      </c>
      <c r="D1708" s="6" t="s">
        <v>117</v>
      </c>
      <c r="E1708" s="6" t="n">
        <v>16</v>
      </c>
      <c r="F1708" s="6" t="n">
        <v>6</v>
      </c>
      <c r="G1708" s="6" t="s">
        <v>69</v>
      </c>
      <c r="H1708" s="11" t="n">
        <v>0.01</v>
      </c>
      <c r="I1708" s="6" t="n">
        <v>20</v>
      </c>
      <c r="J1708" s="6" t="n">
        <v>0</v>
      </c>
      <c r="K1708" s="6" t="n">
        <v>20</v>
      </c>
      <c r="L1708" s="6" t="n">
        <v>0</v>
      </c>
      <c r="M1708" s="6" t="n">
        <v>20</v>
      </c>
      <c r="N1708" s="11" t="n">
        <f aca="false">J1708/(J1708+K1708)</f>
        <v>0</v>
      </c>
      <c r="O1708" s="11" t="str">
        <f aca="false">IF(J1708+L1708=0,"",J1708/(J1708+L1708))</f>
        <v/>
      </c>
      <c r="P1708" s="11" t="n">
        <f aca="false">2*J1708/(2*J1708+L1708+K1708)</f>
        <v>0</v>
      </c>
      <c r="Q1708" s="11" t="n">
        <f aca="false">L1708/(L1708+M1708)</f>
        <v>0</v>
      </c>
      <c r="R1708" s="6" t="n">
        <v>0</v>
      </c>
      <c r="S1708" s="11"/>
      <c r="T1708" s="11" t="n">
        <v>0</v>
      </c>
      <c r="U1708" s="11" t="n">
        <v>1</v>
      </c>
      <c r="V1708" s="11" t="n">
        <v>1</v>
      </c>
    </row>
    <row r="1709" customFormat="false" ht="15" hidden="false" customHeight="false" outlineLevel="0" collapsed="false">
      <c r="A1709" s="6" t="s">
        <v>54</v>
      </c>
      <c r="B1709" s="6" t="s">
        <v>43</v>
      </c>
      <c r="C1709" s="6" t="s">
        <v>49</v>
      </c>
      <c r="D1709" s="6" t="s">
        <v>117</v>
      </c>
      <c r="E1709" s="6" t="n">
        <v>16</v>
      </c>
      <c r="F1709" s="6" t="n">
        <v>6</v>
      </c>
      <c r="G1709" s="6" t="s">
        <v>70</v>
      </c>
      <c r="H1709" s="11" t="n">
        <v>0.01</v>
      </c>
      <c r="I1709" s="6" t="n">
        <v>20</v>
      </c>
      <c r="J1709" s="6" t="n">
        <v>0</v>
      </c>
      <c r="K1709" s="6" t="n">
        <v>20</v>
      </c>
      <c r="L1709" s="6" t="n">
        <v>0</v>
      </c>
      <c r="M1709" s="6" t="n">
        <v>20</v>
      </c>
      <c r="N1709" s="11" t="n">
        <f aca="false">J1709/(J1709+K1709)</f>
        <v>0</v>
      </c>
      <c r="O1709" s="11" t="str">
        <f aca="false">IF(J1709+L1709=0,"",J1709/(J1709+L1709))</f>
        <v/>
      </c>
      <c r="P1709" s="11" t="n">
        <f aca="false">2*J1709/(2*J1709+L1709+K1709)</f>
        <v>0</v>
      </c>
      <c r="Q1709" s="11" t="n">
        <f aca="false">L1709/(L1709+M1709)</f>
        <v>0</v>
      </c>
      <c r="R1709" s="6" t="n">
        <v>0</v>
      </c>
      <c r="S1709" s="11"/>
      <c r="T1709" s="11" t="n">
        <v>0</v>
      </c>
      <c r="U1709" s="11" t="n">
        <v>0.9</v>
      </c>
      <c r="V1709" s="11" t="n">
        <v>0.9</v>
      </c>
    </row>
    <row r="1710" customFormat="false" ht="15" hidden="false" customHeight="false" outlineLevel="0" collapsed="false">
      <c r="A1710" s="6" t="s">
        <v>54</v>
      </c>
      <c r="B1710" s="6" t="s">
        <v>43</v>
      </c>
      <c r="C1710" s="6" t="s">
        <v>49</v>
      </c>
      <c r="D1710" s="6" t="s">
        <v>117</v>
      </c>
      <c r="E1710" s="6" t="n">
        <v>16</v>
      </c>
      <c r="F1710" s="6" t="n">
        <v>6</v>
      </c>
      <c r="G1710" s="6" t="s">
        <v>71</v>
      </c>
      <c r="H1710" s="11" t="n">
        <v>0.01</v>
      </c>
      <c r="I1710" s="6" t="n">
        <v>20</v>
      </c>
      <c r="J1710" s="6" t="n">
        <v>0</v>
      </c>
      <c r="K1710" s="6" t="n">
        <v>20</v>
      </c>
      <c r="L1710" s="6" t="n">
        <v>0</v>
      </c>
      <c r="M1710" s="6" t="n">
        <v>20</v>
      </c>
      <c r="N1710" s="11" t="n">
        <f aca="false">J1710/(J1710+K1710)</f>
        <v>0</v>
      </c>
      <c r="O1710" s="11" t="str">
        <f aca="false">IF(J1710+L1710=0,"",J1710/(J1710+L1710))</f>
        <v/>
      </c>
      <c r="P1710" s="11" t="n">
        <f aca="false">2*J1710/(2*J1710+L1710+K1710)</f>
        <v>0</v>
      </c>
      <c r="Q1710" s="11" t="n">
        <f aca="false">L1710/(L1710+M1710)</f>
        <v>0</v>
      </c>
      <c r="R1710" s="6" t="n">
        <v>0</v>
      </c>
      <c r="S1710" s="11"/>
      <c r="T1710" s="11" t="n">
        <v>0</v>
      </c>
      <c r="U1710" s="11" t="n">
        <v>0.8</v>
      </c>
      <c r="V1710" s="11" t="n">
        <v>0.8</v>
      </c>
    </row>
    <row r="1711" customFormat="false" ht="15" hidden="false" customHeight="false" outlineLevel="0" collapsed="false">
      <c r="A1711" s="6" t="s">
        <v>54</v>
      </c>
      <c r="B1711" s="6" t="s">
        <v>43</v>
      </c>
      <c r="C1711" s="6" t="s">
        <v>49</v>
      </c>
      <c r="D1711" s="6" t="s">
        <v>117</v>
      </c>
      <c r="E1711" s="6" t="n">
        <v>16</v>
      </c>
      <c r="F1711" s="6" t="n">
        <v>6</v>
      </c>
      <c r="G1711" s="6" t="s">
        <v>72</v>
      </c>
      <c r="H1711" s="11" t="n">
        <v>0.01</v>
      </c>
      <c r="I1711" s="6" t="n">
        <v>20</v>
      </c>
      <c r="J1711" s="6" t="n">
        <v>0</v>
      </c>
      <c r="K1711" s="6" t="n">
        <v>20</v>
      </c>
      <c r="L1711" s="6" t="n">
        <v>0</v>
      </c>
      <c r="M1711" s="6" t="n">
        <v>20</v>
      </c>
      <c r="N1711" s="11" t="n">
        <f aca="false">J1711/(J1711+K1711)</f>
        <v>0</v>
      </c>
      <c r="O1711" s="11" t="str">
        <f aca="false">IF(J1711+L1711=0,"",J1711/(J1711+L1711))</f>
        <v/>
      </c>
      <c r="P1711" s="11" t="n">
        <f aca="false">2*J1711/(2*J1711+L1711+K1711)</f>
        <v>0</v>
      </c>
      <c r="Q1711" s="11" t="n">
        <f aca="false">L1711/(L1711+M1711)</f>
        <v>0</v>
      </c>
      <c r="R1711" s="6" t="n">
        <v>0</v>
      </c>
      <c r="S1711" s="11"/>
      <c r="T1711" s="11" t="n">
        <v>0</v>
      </c>
      <c r="U1711" s="11" t="n">
        <v>0.9</v>
      </c>
      <c r="V1711" s="11" t="n">
        <v>0.9</v>
      </c>
    </row>
    <row r="1712" customFormat="false" ht="15" hidden="false" customHeight="false" outlineLevel="0" collapsed="false">
      <c r="A1712" s="6" t="s">
        <v>54</v>
      </c>
      <c r="B1712" s="6" t="s">
        <v>43</v>
      </c>
      <c r="C1712" s="6" t="s">
        <v>49</v>
      </c>
      <c r="D1712" s="6" t="s">
        <v>117</v>
      </c>
      <c r="E1712" s="6" t="n">
        <v>16</v>
      </c>
      <c r="F1712" s="6" t="n">
        <v>6</v>
      </c>
      <c r="G1712" s="6" t="s">
        <v>73</v>
      </c>
      <c r="H1712" s="11" t="n">
        <v>0.01</v>
      </c>
      <c r="I1712" s="6" t="n">
        <v>20</v>
      </c>
      <c r="J1712" s="6" t="n">
        <v>0</v>
      </c>
      <c r="K1712" s="6" t="n">
        <v>20</v>
      </c>
      <c r="L1712" s="6" t="n">
        <v>0</v>
      </c>
      <c r="M1712" s="6" t="n">
        <v>20</v>
      </c>
      <c r="N1712" s="11" t="n">
        <f aca="false">J1712/(J1712+K1712)</f>
        <v>0</v>
      </c>
      <c r="O1712" s="11" t="str">
        <f aca="false">IF(J1712+L1712=0,"",J1712/(J1712+L1712))</f>
        <v/>
      </c>
      <c r="P1712" s="11" t="n">
        <f aca="false">2*J1712/(2*J1712+L1712+K1712)</f>
        <v>0</v>
      </c>
      <c r="Q1712" s="11" t="n">
        <f aca="false">L1712/(L1712+M1712)</f>
        <v>0</v>
      </c>
      <c r="R1712" s="6" t="n">
        <v>0</v>
      </c>
      <c r="S1712" s="11"/>
      <c r="T1712" s="11" t="n">
        <v>0</v>
      </c>
      <c r="U1712" s="11" t="n">
        <v>0.65</v>
      </c>
      <c r="V1712" s="11" t="n">
        <v>0.65</v>
      </c>
    </row>
    <row r="1713" customFormat="false" ht="15" hidden="false" customHeight="false" outlineLevel="0" collapsed="false">
      <c r="A1713" s="6" t="s">
        <v>54</v>
      </c>
      <c r="B1713" s="6" t="s">
        <v>43</v>
      </c>
      <c r="C1713" s="6" t="s">
        <v>49</v>
      </c>
      <c r="D1713" s="6" t="s">
        <v>117</v>
      </c>
      <c r="E1713" s="6" t="n">
        <v>16</v>
      </c>
      <c r="F1713" s="6" t="n">
        <v>6</v>
      </c>
      <c r="G1713" s="6" t="s">
        <v>74</v>
      </c>
      <c r="H1713" s="11" t="n">
        <v>0.01</v>
      </c>
      <c r="I1713" s="6" t="n">
        <v>20</v>
      </c>
      <c r="J1713" s="6" t="n">
        <v>0</v>
      </c>
      <c r="K1713" s="6" t="n">
        <v>20</v>
      </c>
      <c r="L1713" s="6" t="n">
        <v>0</v>
      </c>
      <c r="M1713" s="6" t="n">
        <v>20</v>
      </c>
      <c r="N1713" s="11" t="n">
        <f aca="false">J1713/(J1713+K1713)</f>
        <v>0</v>
      </c>
      <c r="O1713" s="11" t="str">
        <f aca="false">IF(J1713+L1713=0,"",J1713/(J1713+L1713))</f>
        <v/>
      </c>
      <c r="P1713" s="11" t="n">
        <f aca="false">2*J1713/(2*J1713+L1713+K1713)</f>
        <v>0</v>
      </c>
      <c r="Q1713" s="11" t="n">
        <f aca="false">L1713/(L1713+M1713)</f>
        <v>0</v>
      </c>
      <c r="R1713" s="6" t="n">
        <v>0</v>
      </c>
      <c r="S1713" s="11"/>
      <c r="T1713" s="11" t="n">
        <v>0</v>
      </c>
      <c r="U1713" s="11" t="n">
        <v>0.85</v>
      </c>
      <c r="V1713" s="11" t="n">
        <v>0.85</v>
      </c>
    </row>
    <row r="1714" customFormat="false" ht="15" hidden="false" customHeight="false" outlineLevel="0" collapsed="false">
      <c r="A1714" s="6" t="s">
        <v>54</v>
      </c>
      <c r="B1714" s="6" t="s">
        <v>43</v>
      </c>
      <c r="C1714" s="6" t="s">
        <v>49</v>
      </c>
      <c r="D1714" s="6" t="s">
        <v>117</v>
      </c>
      <c r="E1714" s="6" t="n">
        <v>16</v>
      </c>
      <c r="F1714" s="6" t="n">
        <v>6</v>
      </c>
      <c r="G1714" s="6" t="s">
        <v>75</v>
      </c>
      <c r="H1714" s="11" t="n">
        <v>0.01</v>
      </c>
      <c r="I1714" s="6" t="n">
        <v>20</v>
      </c>
      <c r="J1714" s="6" t="n">
        <v>0</v>
      </c>
      <c r="K1714" s="6" t="n">
        <v>20</v>
      </c>
      <c r="L1714" s="6" t="n">
        <v>0</v>
      </c>
      <c r="M1714" s="6" t="n">
        <v>20</v>
      </c>
      <c r="N1714" s="11" t="n">
        <f aca="false">J1714/(J1714+K1714)</f>
        <v>0</v>
      </c>
      <c r="O1714" s="11" t="str">
        <f aca="false">IF(J1714+L1714=0,"",J1714/(J1714+L1714))</f>
        <v/>
      </c>
      <c r="P1714" s="11" t="n">
        <f aca="false">2*J1714/(2*J1714+L1714+K1714)</f>
        <v>0</v>
      </c>
      <c r="Q1714" s="11" t="n">
        <f aca="false">L1714/(L1714+M1714)</f>
        <v>0</v>
      </c>
      <c r="R1714" s="6" t="n">
        <v>0</v>
      </c>
      <c r="S1714" s="11"/>
      <c r="T1714" s="11" t="n">
        <v>0</v>
      </c>
      <c r="U1714" s="11" t="n">
        <v>0.9</v>
      </c>
      <c r="V1714" s="11" t="n">
        <v>0.9</v>
      </c>
    </row>
    <row r="1715" customFormat="false" ht="15" hidden="false" customHeight="false" outlineLevel="0" collapsed="false">
      <c r="A1715" s="6" t="s">
        <v>54</v>
      </c>
      <c r="B1715" s="6" t="s">
        <v>43</v>
      </c>
      <c r="C1715" s="6" t="s">
        <v>49</v>
      </c>
      <c r="D1715" s="6" t="s">
        <v>117</v>
      </c>
      <c r="E1715" s="6" t="n">
        <v>16</v>
      </c>
      <c r="F1715" s="6" t="n">
        <v>6</v>
      </c>
      <c r="G1715" s="6" t="s">
        <v>76</v>
      </c>
      <c r="H1715" s="11" t="n">
        <v>0.01</v>
      </c>
      <c r="I1715" s="6" t="n">
        <v>20</v>
      </c>
      <c r="J1715" s="6" t="n">
        <v>0</v>
      </c>
      <c r="K1715" s="6" t="n">
        <v>20</v>
      </c>
      <c r="L1715" s="6" t="n">
        <v>0</v>
      </c>
      <c r="M1715" s="6" t="n">
        <v>20</v>
      </c>
      <c r="N1715" s="11" t="n">
        <f aca="false">J1715/(J1715+K1715)</f>
        <v>0</v>
      </c>
      <c r="O1715" s="11" t="str">
        <f aca="false">IF(J1715+L1715=0,"",J1715/(J1715+L1715))</f>
        <v/>
      </c>
      <c r="P1715" s="11" t="n">
        <f aca="false">2*J1715/(2*J1715+L1715+K1715)</f>
        <v>0</v>
      </c>
      <c r="Q1715" s="11" t="n">
        <f aca="false">L1715/(L1715+M1715)</f>
        <v>0</v>
      </c>
      <c r="R1715" s="6" t="n">
        <v>0</v>
      </c>
      <c r="S1715" s="11"/>
      <c r="T1715" s="11" t="n">
        <v>0</v>
      </c>
      <c r="U1715" s="11" t="n">
        <v>0.95</v>
      </c>
      <c r="V1715" s="11" t="n">
        <v>0.95</v>
      </c>
    </row>
    <row r="1716" customFormat="false" ht="15" hidden="false" customHeight="false" outlineLevel="0" collapsed="false">
      <c r="A1716" s="6" t="s">
        <v>54</v>
      </c>
      <c r="B1716" s="6" t="s">
        <v>43</v>
      </c>
      <c r="C1716" s="6" t="s">
        <v>49</v>
      </c>
      <c r="D1716" s="6" t="s">
        <v>117</v>
      </c>
      <c r="E1716" s="6" t="n">
        <v>16</v>
      </c>
      <c r="F1716" s="6" t="n">
        <v>6</v>
      </c>
      <c r="G1716" s="6" t="s">
        <v>77</v>
      </c>
      <c r="H1716" s="11" t="n">
        <v>0.01</v>
      </c>
      <c r="I1716" s="6" t="n">
        <v>20</v>
      </c>
      <c r="J1716" s="6" t="n">
        <v>1</v>
      </c>
      <c r="K1716" s="6" t="n">
        <v>19</v>
      </c>
      <c r="L1716" s="6" t="n">
        <v>1</v>
      </c>
      <c r="M1716" s="6" t="n">
        <v>19</v>
      </c>
      <c r="N1716" s="11" t="n">
        <f aca="false">J1716/(J1716+K1716)</f>
        <v>0.05</v>
      </c>
      <c r="O1716" s="11" t="n">
        <f aca="false">IF(J1716+L1716=0,"",J1716/(J1716+L1716))</f>
        <v>0.5</v>
      </c>
      <c r="P1716" s="11" t="n">
        <f aca="false">2*J1716/(2*J1716+L1716+K1716)</f>
        <v>0.0909090909090909</v>
      </c>
      <c r="Q1716" s="11" t="n">
        <f aca="false">L1716/(L1716+M1716)</f>
        <v>0.05</v>
      </c>
      <c r="R1716" s="6" t="n">
        <v>0</v>
      </c>
      <c r="S1716" s="11"/>
      <c r="T1716" s="11" t="n">
        <v>0.05</v>
      </c>
      <c r="U1716" s="11" t="n">
        <v>1</v>
      </c>
      <c r="V1716" s="11" t="n">
        <v>1</v>
      </c>
    </row>
    <row r="1717" customFormat="false" ht="15" hidden="false" customHeight="false" outlineLevel="0" collapsed="false">
      <c r="A1717" s="6" t="s">
        <v>54</v>
      </c>
      <c r="B1717" s="6" t="s">
        <v>43</v>
      </c>
      <c r="C1717" s="6" t="s">
        <v>49</v>
      </c>
      <c r="D1717" s="6" t="s">
        <v>117</v>
      </c>
      <c r="E1717" s="6" t="n">
        <v>16</v>
      </c>
      <c r="F1717" s="6" t="n">
        <v>6</v>
      </c>
      <c r="G1717" s="6" t="s">
        <v>78</v>
      </c>
      <c r="H1717" s="11" t="n">
        <v>0.01</v>
      </c>
      <c r="I1717" s="6" t="n">
        <v>200</v>
      </c>
      <c r="J1717" s="6" t="n">
        <v>1</v>
      </c>
      <c r="K1717" s="6" t="n">
        <v>199</v>
      </c>
      <c r="L1717" s="6" t="n">
        <v>1</v>
      </c>
      <c r="M1717" s="6" t="n">
        <v>199</v>
      </c>
      <c r="N1717" s="11" t="n">
        <f aca="false">J1717/(J1717+K1717)</f>
        <v>0.005</v>
      </c>
      <c r="O1717" s="11" t="n">
        <f aca="false">IF(J1717+L1717=0,"",J1717/(J1717+L1717))</f>
        <v>0.5</v>
      </c>
      <c r="P1717" s="11" t="n">
        <f aca="false">2*J1717/(2*J1717+L1717+K1717)</f>
        <v>0.0099009900990099</v>
      </c>
      <c r="Q1717" s="11" t="n">
        <f aca="false">L1717/(L1717+M1717)</f>
        <v>0.005</v>
      </c>
      <c r="R1717" s="6" t="n">
        <v>0</v>
      </c>
      <c r="S1717" s="11"/>
      <c r="T1717" s="11" t="n">
        <v>0.005</v>
      </c>
      <c r="U1717" s="11" t="n">
        <v>0.88</v>
      </c>
      <c r="V1717" s="11" t="n">
        <v>0.88</v>
      </c>
    </row>
    <row r="1718" customFormat="false" ht="15" hidden="false" customHeight="false" outlineLevel="0" collapsed="false">
      <c r="A1718" s="6" t="s">
        <v>54</v>
      </c>
      <c r="B1718" s="6" t="s">
        <v>43</v>
      </c>
      <c r="C1718" s="6" t="s">
        <v>49</v>
      </c>
      <c r="D1718" s="6" t="s">
        <v>117</v>
      </c>
      <c r="E1718" s="6" t="n">
        <v>16</v>
      </c>
      <c r="F1718" s="6" t="n">
        <v>7</v>
      </c>
      <c r="G1718" s="6" t="s">
        <v>68</v>
      </c>
      <c r="H1718" s="11" t="n">
        <v>0.01</v>
      </c>
      <c r="I1718" s="6" t="n">
        <v>20</v>
      </c>
      <c r="J1718" s="6" t="n">
        <v>0</v>
      </c>
      <c r="K1718" s="6" t="n">
        <v>20</v>
      </c>
      <c r="L1718" s="6" t="n">
        <v>0</v>
      </c>
      <c r="M1718" s="6" t="n">
        <v>20</v>
      </c>
      <c r="N1718" s="11" t="n">
        <f aca="false">J1718/(J1718+K1718)</f>
        <v>0</v>
      </c>
      <c r="O1718" s="11" t="str">
        <f aca="false">IF(J1718+L1718=0,"",J1718/(J1718+L1718))</f>
        <v/>
      </c>
      <c r="P1718" s="11" t="n">
        <f aca="false">2*J1718/(2*J1718+L1718+K1718)</f>
        <v>0</v>
      </c>
      <c r="Q1718" s="11" t="n">
        <f aca="false">L1718/(L1718+M1718)</f>
        <v>0</v>
      </c>
      <c r="R1718" s="6" t="n">
        <v>0</v>
      </c>
      <c r="S1718" s="11"/>
      <c r="T1718" s="11" t="n">
        <v>0</v>
      </c>
      <c r="U1718" s="11" t="n">
        <v>0.85</v>
      </c>
      <c r="V1718" s="11" t="n">
        <v>0.85</v>
      </c>
    </row>
    <row r="1719" customFormat="false" ht="15" hidden="false" customHeight="false" outlineLevel="0" collapsed="false">
      <c r="A1719" s="6" t="s">
        <v>54</v>
      </c>
      <c r="B1719" s="6" t="s">
        <v>43</v>
      </c>
      <c r="C1719" s="6" t="s">
        <v>49</v>
      </c>
      <c r="D1719" s="6" t="s">
        <v>117</v>
      </c>
      <c r="E1719" s="6" t="n">
        <v>16</v>
      </c>
      <c r="F1719" s="6" t="n">
        <v>7</v>
      </c>
      <c r="G1719" s="6" t="s">
        <v>69</v>
      </c>
      <c r="H1719" s="11" t="n">
        <v>0.01</v>
      </c>
      <c r="I1719" s="6" t="n">
        <v>20</v>
      </c>
      <c r="J1719" s="6" t="n">
        <v>0</v>
      </c>
      <c r="K1719" s="6" t="n">
        <v>20</v>
      </c>
      <c r="L1719" s="6" t="n">
        <v>0</v>
      </c>
      <c r="M1719" s="6" t="n">
        <v>20</v>
      </c>
      <c r="N1719" s="11" t="n">
        <f aca="false">J1719/(J1719+K1719)</f>
        <v>0</v>
      </c>
      <c r="O1719" s="11" t="str">
        <f aca="false">IF(J1719+L1719=0,"",J1719/(J1719+L1719))</f>
        <v/>
      </c>
      <c r="P1719" s="11" t="n">
        <f aca="false">2*J1719/(2*J1719+L1719+K1719)</f>
        <v>0</v>
      </c>
      <c r="Q1719" s="11" t="n">
        <f aca="false">L1719/(L1719+M1719)</f>
        <v>0</v>
      </c>
      <c r="R1719" s="6" t="n">
        <v>0</v>
      </c>
      <c r="S1719" s="11"/>
      <c r="T1719" s="11" t="n">
        <v>0</v>
      </c>
      <c r="U1719" s="11" t="n">
        <v>1</v>
      </c>
      <c r="V1719" s="11" t="n">
        <v>1</v>
      </c>
    </row>
    <row r="1720" customFormat="false" ht="15" hidden="false" customHeight="false" outlineLevel="0" collapsed="false">
      <c r="A1720" s="6" t="s">
        <v>54</v>
      </c>
      <c r="B1720" s="6" t="s">
        <v>43</v>
      </c>
      <c r="C1720" s="6" t="s">
        <v>49</v>
      </c>
      <c r="D1720" s="6" t="s">
        <v>117</v>
      </c>
      <c r="E1720" s="6" t="n">
        <v>16</v>
      </c>
      <c r="F1720" s="6" t="n">
        <v>7</v>
      </c>
      <c r="G1720" s="6" t="s">
        <v>70</v>
      </c>
      <c r="H1720" s="11" t="n">
        <v>0.01</v>
      </c>
      <c r="I1720" s="6" t="n">
        <v>20</v>
      </c>
      <c r="J1720" s="6" t="n">
        <v>0</v>
      </c>
      <c r="K1720" s="6" t="n">
        <v>20</v>
      </c>
      <c r="L1720" s="6" t="n">
        <v>0</v>
      </c>
      <c r="M1720" s="6" t="n">
        <v>20</v>
      </c>
      <c r="N1720" s="11" t="n">
        <f aca="false">J1720/(J1720+K1720)</f>
        <v>0</v>
      </c>
      <c r="O1720" s="11" t="str">
        <f aca="false">IF(J1720+L1720=0,"",J1720/(J1720+L1720))</f>
        <v/>
      </c>
      <c r="P1720" s="11" t="n">
        <f aca="false">2*J1720/(2*J1720+L1720+K1720)</f>
        <v>0</v>
      </c>
      <c r="Q1720" s="11" t="n">
        <f aca="false">L1720/(L1720+M1720)</f>
        <v>0</v>
      </c>
      <c r="R1720" s="6" t="n">
        <v>0</v>
      </c>
      <c r="S1720" s="11"/>
      <c r="T1720" s="11" t="n">
        <v>0</v>
      </c>
      <c r="U1720" s="11" t="n">
        <v>0.9</v>
      </c>
      <c r="V1720" s="11" t="n">
        <v>0.9</v>
      </c>
    </row>
    <row r="1721" customFormat="false" ht="15" hidden="false" customHeight="false" outlineLevel="0" collapsed="false">
      <c r="A1721" s="6" t="s">
        <v>54</v>
      </c>
      <c r="B1721" s="6" t="s">
        <v>43</v>
      </c>
      <c r="C1721" s="6" t="s">
        <v>49</v>
      </c>
      <c r="D1721" s="6" t="s">
        <v>117</v>
      </c>
      <c r="E1721" s="6" t="n">
        <v>16</v>
      </c>
      <c r="F1721" s="6" t="n">
        <v>7</v>
      </c>
      <c r="G1721" s="6" t="s">
        <v>71</v>
      </c>
      <c r="H1721" s="11" t="n">
        <v>0.01</v>
      </c>
      <c r="I1721" s="6" t="n">
        <v>20</v>
      </c>
      <c r="J1721" s="6" t="n">
        <v>0</v>
      </c>
      <c r="K1721" s="6" t="n">
        <v>20</v>
      </c>
      <c r="L1721" s="6" t="n">
        <v>0</v>
      </c>
      <c r="M1721" s="6" t="n">
        <v>20</v>
      </c>
      <c r="N1721" s="11" t="n">
        <f aca="false">J1721/(J1721+K1721)</f>
        <v>0</v>
      </c>
      <c r="O1721" s="11" t="str">
        <f aca="false">IF(J1721+L1721=0,"",J1721/(J1721+L1721))</f>
        <v/>
      </c>
      <c r="P1721" s="11" t="n">
        <f aca="false">2*J1721/(2*J1721+L1721+K1721)</f>
        <v>0</v>
      </c>
      <c r="Q1721" s="11" t="n">
        <f aca="false">L1721/(L1721+M1721)</f>
        <v>0</v>
      </c>
      <c r="R1721" s="6" t="n">
        <v>0</v>
      </c>
      <c r="S1721" s="11"/>
      <c r="T1721" s="11" t="n">
        <v>0</v>
      </c>
      <c r="U1721" s="11" t="n">
        <v>0.8</v>
      </c>
      <c r="V1721" s="11" t="n">
        <v>0.8</v>
      </c>
    </row>
    <row r="1722" customFormat="false" ht="15" hidden="false" customHeight="false" outlineLevel="0" collapsed="false">
      <c r="A1722" s="6" t="s">
        <v>54</v>
      </c>
      <c r="B1722" s="6" t="s">
        <v>43</v>
      </c>
      <c r="C1722" s="6" t="s">
        <v>49</v>
      </c>
      <c r="D1722" s="6" t="s">
        <v>117</v>
      </c>
      <c r="E1722" s="6" t="n">
        <v>16</v>
      </c>
      <c r="F1722" s="6" t="n">
        <v>7</v>
      </c>
      <c r="G1722" s="6" t="s">
        <v>72</v>
      </c>
      <c r="H1722" s="11" t="n">
        <v>0.01</v>
      </c>
      <c r="I1722" s="6" t="n">
        <v>20</v>
      </c>
      <c r="J1722" s="6" t="n">
        <v>0</v>
      </c>
      <c r="K1722" s="6" t="n">
        <v>20</v>
      </c>
      <c r="L1722" s="6" t="n">
        <v>0</v>
      </c>
      <c r="M1722" s="6" t="n">
        <v>20</v>
      </c>
      <c r="N1722" s="11" t="n">
        <f aca="false">J1722/(J1722+K1722)</f>
        <v>0</v>
      </c>
      <c r="O1722" s="11" t="str">
        <f aca="false">IF(J1722+L1722=0,"",J1722/(J1722+L1722))</f>
        <v/>
      </c>
      <c r="P1722" s="11" t="n">
        <f aca="false">2*J1722/(2*J1722+L1722+K1722)</f>
        <v>0</v>
      </c>
      <c r="Q1722" s="11" t="n">
        <f aca="false">L1722/(L1722+M1722)</f>
        <v>0</v>
      </c>
      <c r="R1722" s="6" t="n">
        <v>0</v>
      </c>
      <c r="S1722" s="11"/>
      <c r="T1722" s="11" t="n">
        <v>0</v>
      </c>
      <c r="U1722" s="11" t="n">
        <v>0.9</v>
      </c>
      <c r="V1722" s="11" t="n">
        <v>0.9</v>
      </c>
    </row>
    <row r="1723" customFormat="false" ht="15" hidden="false" customHeight="false" outlineLevel="0" collapsed="false">
      <c r="A1723" s="6" t="s">
        <v>54</v>
      </c>
      <c r="B1723" s="6" t="s">
        <v>43</v>
      </c>
      <c r="C1723" s="6" t="s">
        <v>49</v>
      </c>
      <c r="D1723" s="6" t="s">
        <v>117</v>
      </c>
      <c r="E1723" s="6" t="n">
        <v>16</v>
      </c>
      <c r="F1723" s="6" t="n">
        <v>7</v>
      </c>
      <c r="G1723" s="6" t="s">
        <v>73</v>
      </c>
      <c r="H1723" s="11" t="n">
        <v>0.01</v>
      </c>
      <c r="I1723" s="6" t="n">
        <v>20</v>
      </c>
      <c r="J1723" s="6" t="n">
        <v>0</v>
      </c>
      <c r="K1723" s="6" t="n">
        <v>20</v>
      </c>
      <c r="L1723" s="6" t="n">
        <v>0</v>
      </c>
      <c r="M1723" s="6" t="n">
        <v>20</v>
      </c>
      <c r="N1723" s="11" t="n">
        <f aca="false">J1723/(J1723+K1723)</f>
        <v>0</v>
      </c>
      <c r="O1723" s="11" t="str">
        <f aca="false">IF(J1723+L1723=0,"",J1723/(J1723+L1723))</f>
        <v/>
      </c>
      <c r="P1723" s="11" t="n">
        <f aca="false">2*J1723/(2*J1723+L1723+K1723)</f>
        <v>0</v>
      </c>
      <c r="Q1723" s="11" t="n">
        <f aca="false">L1723/(L1723+M1723)</f>
        <v>0</v>
      </c>
      <c r="R1723" s="6" t="n">
        <v>1</v>
      </c>
      <c r="S1723" s="11" t="n">
        <v>0</v>
      </c>
      <c r="T1723" s="11" t="n">
        <v>0</v>
      </c>
      <c r="U1723" s="11" t="n">
        <v>0.65</v>
      </c>
      <c r="V1723" s="11" t="n">
        <v>0.65</v>
      </c>
    </row>
    <row r="1724" customFormat="false" ht="15" hidden="false" customHeight="false" outlineLevel="0" collapsed="false">
      <c r="A1724" s="6" t="s">
        <v>54</v>
      </c>
      <c r="B1724" s="6" t="s">
        <v>43</v>
      </c>
      <c r="C1724" s="6" t="s">
        <v>49</v>
      </c>
      <c r="D1724" s="6" t="s">
        <v>117</v>
      </c>
      <c r="E1724" s="6" t="n">
        <v>16</v>
      </c>
      <c r="F1724" s="6" t="n">
        <v>7</v>
      </c>
      <c r="G1724" s="6" t="s">
        <v>74</v>
      </c>
      <c r="H1724" s="11" t="n">
        <v>0.01</v>
      </c>
      <c r="I1724" s="6" t="n">
        <v>20</v>
      </c>
      <c r="J1724" s="6" t="n">
        <v>0</v>
      </c>
      <c r="K1724" s="6" t="n">
        <v>20</v>
      </c>
      <c r="L1724" s="6" t="n">
        <v>0</v>
      </c>
      <c r="M1724" s="6" t="n">
        <v>20</v>
      </c>
      <c r="N1724" s="11" t="n">
        <f aca="false">J1724/(J1724+K1724)</f>
        <v>0</v>
      </c>
      <c r="O1724" s="11" t="str">
        <f aca="false">IF(J1724+L1724=0,"",J1724/(J1724+L1724))</f>
        <v/>
      </c>
      <c r="P1724" s="11" t="n">
        <f aca="false">2*J1724/(2*J1724+L1724+K1724)</f>
        <v>0</v>
      </c>
      <c r="Q1724" s="11" t="n">
        <f aca="false">L1724/(L1724+M1724)</f>
        <v>0</v>
      </c>
      <c r="R1724" s="6" t="n">
        <v>0</v>
      </c>
      <c r="S1724" s="11"/>
      <c r="T1724" s="11" t="n">
        <v>0</v>
      </c>
      <c r="U1724" s="11" t="n">
        <v>0.85</v>
      </c>
      <c r="V1724" s="11" t="n">
        <v>0.85</v>
      </c>
    </row>
    <row r="1725" customFormat="false" ht="15" hidden="false" customHeight="false" outlineLevel="0" collapsed="false">
      <c r="A1725" s="6" t="s">
        <v>54</v>
      </c>
      <c r="B1725" s="6" t="s">
        <v>43</v>
      </c>
      <c r="C1725" s="6" t="s">
        <v>49</v>
      </c>
      <c r="D1725" s="6" t="s">
        <v>117</v>
      </c>
      <c r="E1725" s="6" t="n">
        <v>16</v>
      </c>
      <c r="F1725" s="6" t="n">
        <v>7</v>
      </c>
      <c r="G1725" s="6" t="s">
        <v>75</v>
      </c>
      <c r="H1725" s="11" t="n">
        <v>0.01</v>
      </c>
      <c r="I1725" s="6" t="n">
        <v>20</v>
      </c>
      <c r="J1725" s="6" t="n">
        <v>0</v>
      </c>
      <c r="K1725" s="6" t="n">
        <v>20</v>
      </c>
      <c r="L1725" s="6" t="n">
        <v>0</v>
      </c>
      <c r="M1725" s="6" t="n">
        <v>20</v>
      </c>
      <c r="N1725" s="11" t="n">
        <f aca="false">J1725/(J1725+K1725)</f>
        <v>0</v>
      </c>
      <c r="O1725" s="11" t="str">
        <f aca="false">IF(J1725+L1725=0,"",J1725/(J1725+L1725))</f>
        <v/>
      </c>
      <c r="P1725" s="11" t="n">
        <f aca="false">2*J1725/(2*J1725+L1725+K1725)</f>
        <v>0</v>
      </c>
      <c r="Q1725" s="11" t="n">
        <f aca="false">L1725/(L1725+M1725)</f>
        <v>0</v>
      </c>
      <c r="R1725" s="6" t="n">
        <v>0</v>
      </c>
      <c r="S1725" s="11"/>
      <c r="T1725" s="11" t="n">
        <v>0</v>
      </c>
      <c r="U1725" s="11" t="n">
        <v>0.9</v>
      </c>
      <c r="V1725" s="11" t="n">
        <v>0.9</v>
      </c>
    </row>
    <row r="1726" customFormat="false" ht="15" hidden="false" customHeight="false" outlineLevel="0" collapsed="false">
      <c r="A1726" s="6" t="s">
        <v>54</v>
      </c>
      <c r="B1726" s="6" t="s">
        <v>43</v>
      </c>
      <c r="C1726" s="6" t="s">
        <v>49</v>
      </c>
      <c r="D1726" s="6" t="s">
        <v>117</v>
      </c>
      <c r="E1726" s="6" t="n">
        <v>16</v>
      </c>
      <c r="F1726" s="6" t="n">
        <v>7</v>
      </c>
      <c r="G1726" s="6" t="s">
        <v>76</v>
      </c>
      <c r="H1726" s="11" t="n">
        <v>0.01</v>
      </c>
      <c r="I1726" s="6" t="n">
        <v>20</v>
      </c>
      <c r="J1726" s="6" t="n">
        <v>0</v>
      </c>
      <c r="K1726" s="6" t="n">
        <v>20</v>
      </c>
      <c r="L1726" s="6" t="n">
        <v>0</v>
      </c>
      <c r="M1726" s="6" t="n">
        <v>20</v>
      </c>
      <c r="N1726" s="11" t="n">
        <f aca="false">J1726/(J1726+K1726)</f>
        <v>0</v>
      </c>
      <c r="O1726" s="11" t="str">
        <f aca="false">IF(J1726+L1726=0,"",J1726/(J1726+L1726))</f>
        <v/>
      </c>
      <c r="P1726" s="11" t="n">
        <f aca="false">2*J1726/(2*J1726+L1726+K1726)</f>
        <v>0</v>
      </c>
      <c r="Q1726" s="11" t="n">
        <f aca="false">L1726/(L1726+M1726)</f>
        <v>0</v>
      </c>
      <c r="R1726" s="6" t="n">
        <v>0</v>
      </c>
      <c r="S1726" s="11"/>
      <c r="T1726" s="11" t="n">
        <v>0</v>
      </c>
      <c r="U1726" s="11" t="n">
        <v>0.95</v>
      </c>
      <c r="V1726" s="11" t="n">
        <v>0.95</v>
      </c>
    </row>
    <row r="1727" customFormat="false" ht="15" hidden="false" customHeight="false" outlineLevel="0" collapsed="false">
      <c r="A1727" s="6" t="s">
        <v>54</v>
      </c>
      <c r="B1727" s="6" t="s">
        <v>43</v>
      </c>
      <c r="C1727" s="6" t="s">
        <v>49</v>
      </c>
      <c r="D1727" s="6" t="s">
        <v>117</v>
      </c>
      <c r="E1727" s="6" t="n">
        <v>16</v>
      </c>
      <c r="F1727" s="6" t="n">
        <v>7</v>
      </c>
      <c r="G1727" s="6" t="s">
        <v>77</v>
      </c>
      <c r="H1727" s="11" t="n">
        <v>0.01</v>
      </c>
      <c r="I1727" s="6" t="n">
        <v>20</v>
      </c>
      <c r="J1727" s="6" t="n">
        <v>1</v>
      </c>
      <c r="K1727" s="6" t="n">
        <v>19</v>
      </c>
      <c r="L1727" s="6" t="n">
        <v>1</v>
      </c>
      <c r="M1727" s="6" t="n">
        <v>19</v>
      </c>
      <c r="N1727" s="11" t="n">
        <f aca="false">J1727/(J1727+K1727)</f>
        <v>0.05</v>
      </c>
      <c r="O1727" s="11" t="n">
        <f aca="false">IF(J1727+L1727=0,"",J1727/(J1727+L1727))</f>
        <v>0.5</v>
      </c>
      <c r="P1727" s="11" t="n">
        <f aca="false">2*J1727/(2*J1727+L1727+K1727)</f>
        <v>0.0909090909090909</v>
      </c>
      <c r="Q1727" s="11" t="n">
        <f aca="false">L1727/(L1727+M1727)</f>
        <v>0.05</v>
      </c>
      <c r="R1727" s="6" t="n">
        <v>0</v>
      </c>
      <c r="S1727" s="11"/>
      <c r="T1727" s="11" t="n">
        <v>0.05</v>
      </c>
      <c r="U1727" s="11" t="n">
        <v>1</v>
      </c>
      <c r="V1727" s="11" t="n">
        <v>1</v>
      </c>
    </row>
    <row r="1728" customFormat="false" ht="15" hidden="false" customHeight="false" outlineLevel="0" collapsed="false">
      <c r="A1728" s="6" t="s">
        <v>54</v>
      </c>
      <c r="B1728" s="6" t="s">
        <v>43</v>
      </c>
      <c r="C1728" s="6" t="s">
        <v>49</v>
      </c>
      <c r="D1728" s="6" t="s">
        <v>117</v>
      </c>
      <c r="E1728" s="6" t="n">
        <v>16</v>
      </c>
      <c r="F1728" s="6" t="n">
        <v>7</v>
      </c>
      <c r="G1728" s="6" t="s">
        <v>78</v>
      </c>
      <c r="H1728" s="11" t="n">
        <v>0.01</v>
      </c>
      <c r="I1728" s="6" t="n">
        <v>200</v>
      </c>
      <c r="J1728" s="6" t="n">
        <v>1</v>
      </c>
      <c r="K1728" s="6" t="n">
        <v>199</v>
      </c>
      <c r="L1728" s="6" t="n">
        <v>1</v>
      </c>
      <c r="M1728" s="6" t="n">
        <v>199</v>
      </c>
      <c r="N1728" s="11" t="n">
        <f aca="false">J1728/(J1728+K1728)</f>
        <v>0.005</v>
      </c>
      <c r="O1728" s="11" t="n">
        <f aca="false">IF(J1728+L1728=0,"",J1728/(J1728+L1728))</f>
        <v>0.5</v>
      </c>
      <c r="P1728" s="11" t="n">
        <f aca="false">2*J1728/(2*J1728+L1728+K1728)</f>
        <v>0.0099009900990099</v>
      </c>
      <c r="Q1728" s="11" t="n">
        <f aca="false">L1728/(L1728+M1728)</f>
        <v>0.005</v>
      </c>
      <c r="R1728" s="6" t="n">
        <v>1</v>
      </c>
      <c r="S1728" s="11" t="n">
        <v>0</v>
      </c>
      <c r="T1728" s="11" t="n">
        <v>0.0050251256281407</v>
      </c>
      <c r="U1728" s="11" t="n">
        <v>0.88</v>
      </c>
      <c r="V1728" s="11" t="n">
        <v>0.88</v>
      </c>
    </row>
    <row r="1729" customFormat="false" ht="15" hidden="false" customHeight="false" outlineLevel="0" collapsed="false">
      <c r="A1729" s="6" t="s">
        <v>54</v>
      </c>
      <c r="B1729" s="6" t="s">
        <v>43</v>
      </c>
      <c r="C1729" s="6" t="s">
        <v>49</v>
      </c>
      <c r="D1729" s="6" t="s">
        <v>117</v>
      </c>
      <c r="E1729" s="6" t="n">
        <v>16</v>
      </c>
      <c r="F1729" s="6" t="n">
        <v>8</v>
      </c>
      <c r="G1729" s="6" t="s">
        <v>68</v>
      </c>
      <c r="H1729" s="11" t="n">
        <v>0.01</v>
      </c>
      <c r="I1729" s="6" t="n">
        <v>20</v>
      </c>
      <c r="J1729" s="6" t="n">
        <v>0</v>
      </c>
      <c r="K1729" s="6" t="n">
        <v>20</v>
      </c>
      <c r="L1729" s="6" t="n">
        <v>0</v>
      </c>
      <c r="M1729" s="6" t="n">
        <v>20</v>
      </c>
      <c r="N1729" s="11" t="n">
        <f aca="false">J1729/(J1729+K1729)</f>
        <v>0</v>
      </c>
      <c r="O1729" s="11" t="str">
        <f aca="false">IF(J1729+L1729=0,"",J1729/(J1729+L1729))</f>
        <v/>
      </c>
      <c r="P1729" s="11" t="n">
        <f aca="false">2*J1729/(2*J1729+L1729+K1729)</f>
        <v>0</v>
      </c>
      <c r="Q1729" s="11" t="n">
        <f aca="false">L1729/(L1729+M1729)</f>
        <v>0</v>
      </c>
      <c r="R1729" s="6" t="n">
        <v>0</v>
      </c>
      <c r="S1729" s="11"/>
      <c r="T1729" s="11" t="n">
        <v>0</v>
      </c>
      <c r="U1729" s="11" t="n">
        <v>0.85</v>
      </c>
      <c r="V1729" s="11" t="n">
        <v>0.85</v>
      </c>
    </row>
    <row r="1730" customFormat="false" ht="15" hidden="false" customHeight="false" outlineLevel="0" collapsed="false">
      <c r="A1730" s="6" t="s">
        <v>54</v>
      </c>
      <c r="B1730" s="6" t="s">
        <v>43</v>
      </c>
      <c r="C1730" s="6" t="s">
        <v>49</v>
      </c>
      <c r="D1730" s="6" t="s">
        <v>117</v>
      </c>
      <c r="E1730" s="6" t="n">
        <v>16</v>
      </c>
      <c r="F1730" s="6" t="n">
        <v>8</v>
      </c>
      <c r="G1730" s="6" t="s">
        <v>69</v>
      </c>
      <c r="H1730" s="11" t="n">
        <v>0.01</v>
      </c>
      <c r="I1730" s="6" t="n">
        <v>20</v>
      </c>
      <c r="J1730" s="6" t="n">
        <v>0</v>
      </c>
      <c r="K1730" s="6" t="n">
        <v>20</v>
      </c>
      <c r="L1730" s="6" t="n">
        <v>0</v>
      </c>
      <c r="M1730" s="6" t="n">
        <v>20</v>
      </c>
      <c r="N1730" s="11" t="n">
        <f aca="false">J1730/(J1730+K1730)</f>
        <v>0</v>
      </c>
      <c r="O1730" s="11" t="str">
        <f aca="false">IF(J1730+L1730=0,"",J1730/(J1730+L1730))</f>
        <v/>
      </c>
      <c r="P1730" s="11" t="n">
        <f aca="false">2*J1730/(2*J1730+L1730+K1730)</f>
        <v>0</v>
      </c>
      <c r="Q1730" s="11" t="n">
        <f aca="false">L1730/(L1730+M1730)</f>
        <v>0</v>
      </c>
      <c r="R1730" s="6" t="n">
        <v>0</v>
      </c>
      <c r="S1730" s="11"/>
      <c r="T1730" s="11" t="n">
        <v>0</v>
      </c>
      <c r="U1730" s="11" t="n">
        <v>1</v>
      </c>
      <c r="V1730" s="11" t="n">
        <v>1</v>
      </c>
    </row>
    <row r="1731" customFormat="false" ht="15" hidden="false" customHeight="false" outlineLevel="0" collapsed="false">
      <c r="A1731" s="6" t="s">
        <v>54</v>
      </c>
      <c r="B1731" s="6" t="s">
        <v>43</v>
      </c>
      <c r="C1731" s="6" t="s">
        <v>49</v>
      </c>
      <c r="D1731" s="6" t="s">
        <v>117</v>
      </c>
      <c r="E1731" s="6" t="n">
        <v>16</v>
      </c>
      <c r="F1731" s="6" t="n">
        <v>8</v>
      </c>
      <c r="G1731" s="6" t="s">
        <v>70</v>
      </c>
      <c r="H1731" s="11" t="n">
        <v>0.01</v>
      </c>
      <c r="I1731" s="6" t="n">
        <v>20</v>
      </c>
      <c r="J1731" s="6" t="n">
        <v>0</v>
      </c>
      <c r="K1731" s="6" t="n">
        <v>20</v>
      </c>
      <c r="L1731" s="6" t="n">
        <v>0</v>
      </c>
      <c r="M1731" s="6" t="n">
        <v>20</v>
      </c>
      <c r="N1731" s="11" t="n">
        <f aca="false">J1731/(J1731+K1731)</f>
        <v>0</v>
      </c>
      <c r="O1731" s="11" t="str">
        <f aca="false">IF(J1731+L1731=0,"",J1731/(J1731+L1731))</f>
        <v/>
      </c>
      <c r="P1731" s="11" t="n">
        <f aca="false">2*J1731/(2*J1731+L1731+K1731)</f>
        <v>0</v>
      </c>
      <c r="Q1731" s="11" t="n">
        <f aca="false">L1731/(L1731+M1731)</f>
        <v>0</v>
      </c>
      <c r="R1731" s="6" t="n">
        <v>0</v>
      </c>
      <c r="S1731" s="11"/>
      <c r="T1731" s="11" t="n">
        <v>0</v>
      </c>
      <c r="U1731" s="11" t="n">
        <v>0.9</v>
      </c>
      <c r="V1731" s="11" t="n">
        <v>0.9</v>
      </c>
    </row>
    <row r="1732" customFormat="false" ht="15" hidden="false" customHeight="false" outlineLevel="0" collapsed="false">
      <c r="A1732" s="6" t="s">
        <v>54</v>
      </c>
      <c r="B1732" s="6" t="s">
        <v>43</v>
      </c>
      <c r="C1732" s="6" t="s">
        <v>49</v>
      </c>
      <c r="D1732" s="6" t="s">
        <v>117</v>
      </c>
      <c r="E1732" s="6" t="n">
        <v>16</v>
      </c>
      <c r="F1732" s="6" t="n">
        <v>8</v>
      </c>
      <c r="G1732" s="6" t="s">
        <v>71</v>
      </c>
      <c r="H1732" s="11" t="n">
        <v>0.01</v>
      </c>
      <c r="I1732" s="6" t="n">
        <v>20</v>
      </c>
      <c r="J1732" s="6" t="n">
        <v>0</v>
      </c>
      <c r="K1732" s="6" t="n">
        <v>20</v>
      </c>
      <c r="L1732" s="6" t="n">
        <v>0</v>
      </c>
      <c r="M1732" s="6" t="n">
        <v>20</v>
      </c>
      <c r="N1732" s="11" t="n">
        <f aca="false">J1732/(J1732+K1732)</f>
        <v>0</v>
      </c>
      <c r="O1732" s="11" t="str">
        <f aca="false">IF(J1732+L1732=0,"",J1732/(J1732+L1732))</f>
        <v/>
      </c>
      <c r="P1732" s="11" t="n">
        <f aca="false">2*J1732/(2*J1732+L1732+K1732)</f>
        <v>0</v>
      </c>
      <c r="Q1732" s="11" t="n">
        <f aca="false">L1732/(L1732+M1732)</f>
        <v>0</v>
      </c>
      <c r="R1732" s="6" t="n">
        <v>0</v>
      </c>
      <c r="S1732" s="11"/>
      <c r="T1732" s="11" t="n">
        <v>0</v>
      </c>
      <c r="U1732" s="11" t="n">
        <v>0.8</v>
      </c>
      <c r="V1732" s="11" t="n">
        <v>0.8</v>
      </c>
    </row>
    <row r="1733" customFormat="false" ht="15" hidden="false" customHeight="false" outlineLevel="0" collapsed="false">
      <c r="A1733" s="6" t="s">
        <v>54</v>
      </c>
      <c r="B1733" s="6" t="s">
        <v>43</v>
      </c>
      <c r="C1733" s="6" t="s">
        <v>49</v>
      </c>
      <c r="D1733" s="6" t="s">
        <v>117</v>
      </c>
      <c r="E1733" s="6" t="n">
        <v>16</v>
      </c>
      <c r="F1733" s="6" t="n">
        <v>8</v>
      </c>
      <c r="G1733" s="6" t="s">
        <v>72</v>
      </c>
      <c r="H1733" s="11" t="n">
        <v>0.01</v>
      </c>
      <c r="I1733" s="6" t="n">
        <v>20</v>
      </c>
      <c r="J1733" s="6" t="n">
        <v>0</v>
      </c>
      <c r="K1733" s="6" t="n">
        <v>20</v>
      </c>
      <c r="L1733" s="6" t="n">
        <v>0</v>
      </c>
      <c r="M1733" s="6" t="n">
        <v>20</v>
      </c>
      <c r="N1733" s="11" t="n">
        <f aca="false">J1733/(J1733+K1733)</f>
        <v>0</v>
      </c>
      <c r="O1733" s="11" t="str">
        <f aca="false">IF(J1733+L1733=0,"",J1733/(J1733+L1733))</f>
        <v/>
      </c>
      <c r="P1733" s="11" t="n">
        <f aca="false">2*J1733/(2*J1733+L1733+K1733)</f>
        <v>0</v>
      </c>
      <c r="Q1733" s="11" t="n">
        <f aca="false">L1733/(L1733+M1733)</f>
        <v>0</v>
      </c>
      <c r="R1733" s="6" t="n">
        <v>0</v>
      </c>
      <c r="S1733" s="11"/>
      <c r="T1733" s="11" t="n">
        <v>0</v>
      </c>
      <c r="U1733" s="11" t="n">
        <v>0.9</v>
      </c>
      <c r="V1733" s="11" t="n">
        <v>0.9</v>
      </c>
    </row>
    <row r="1734" customFormat="false" ht="15" hidden="false" customHeight="false" outlineLevel="0" collapsed="false">
      <c r="A1734" s="6" t="s">
        <v>54</v>
      </c>
      <c r="B1734" s="6" t="s">
        <v>43</v>
      </c>
      <c r="C1734" s="6" t="s">
        <v>49</v>
      </c>
      <c r="D1734" s="6" t="s">
        <v>117</v>
      </c>
      <c r="E1734" s="6" t="n">
        <v>16</v>
      </c>
      <c r="F1734" s="6" t="n">
        <v>8</v>
      </c>
      <c r="G1734" s="6" t="s">
        <v>73</v>
      </c>
      <c r="H1734" s="11" t="n">
        <v>0.01</v>
      </c>
      <c r="I1734" s="6" t="n">
        <v>20</v>
      </c>
      <c r="J1734" s="6" t="n">
        <v>0</v>
      </c>
      <c r="K1734" s="6" t="n">
        <v>20</v>
      </c>
      <c r="L1734" s="6" t="n">
        <v>0</v>
      </c>
      <c r="M1734" s="6" t="n">
        <v>20</v>
      </c>
      <c r="N1734" s="11" t="n">
        <f aca="false">J1734/(J1734+K1734)</f>
        <v>0</v>
      </c>
      <c r="O1734" s="11" t="str">
        <f aca="false">IF(J1734+L1734=0,"",J1734/(J1734+L1734))</f>
        <v/>
      </c>
      <c r="P1734" s="11" t="n">
        <f aca="false">2*J1734/(2*J1734+L1734+K1734)</f>
        <v>0</v>
      </c>
      <c r="Q1734" s="11" t="n">
        <f aca="false">L1734/(L1734+M1734)</f>
        <v>0</v>
      </c>
      <c r="R1734" s="6" t="n">
        <v>0</v>
      </c>
      <c r="S1734" s="11"/>
      <c r="T1734" s="11" t="n">
        <v>0</v>
      </c>
      <c r="U1734" s="11" t="n">
        <v>0.65</v>
      </c>
      <c r="V1734" s="11" t="n">
        <v>0.65</v>
      </c>
    </row>
    <row r="1735" customFormat="false" ht="15" hidden="false" customHeight="false" outlineLevel="0" collapsed="false">
      <c r="A1735" s="6" t="s">
        <v>54</v>
      </c>
      <c r="B1735" s="6" t="s">
        <v>43</v>
      </c>
      <c r="C1735" s="6" t="s">
        <v>49</v>
      </c>
      <c r="D1735" s="6" t="s">
        <v>117</v>
      </c>
      <c r="E1735" s="6" t="n">
        <v>16</v>
      </c>
      <c r="F1735" s="6" t="n">
        <v>8</v>
      </c>
      <c r="G1735" s="6" t="s">
        <v>74</v>
      </c>
      <c r="H1735" s="11" t="n">
        <v>0.01</v>
      </c>
      <c r="I1735" s="6" t="n">
        <v>20</v>
      </c>
      <c r="J1735" s="6" t="n">
        <v>0</v>
      </c>
      <c r="K1735" s="6" t="n">
        <v>20</v>
      </c>
      <c r="L1735" s="6" t="n">
        <v>0</v>
      </c>
      <c r="M1735" s="6" t="n">
        <v>20</v>
      </c>
      <c r="N1735" s="11" t="n">
        <f aca="false">J1735/(J1735+K1735)</f>
        <v>0</v>
      </c>
      <c r="O1735" s="11" t="str">
        <f aca="false">IF(J1735+L1735=0,"",J1735/(J1735+L1735))</f>
        <v/>
      </c>
      <c r="P1735" s="11" t="n">
        <f aca="false">2*J1735/(2*J1735+L1735+K1735)</f>
        <v>0</v>
      </c>
      <c r="Q1735" s="11" t="n">
        <f aca="false">L1735/(L1735+M1735)</f>
        <v>0</v>
      </c>
      <c r="R1735" s="6" t="n">
        <v>0</v>
      </c>
      <c r="S1735" s="11"/>
      <c r="T1735" s="11" t="n">
        <v>0</v>
      </c>
      <c r="U1735" s="11" t="n">
        <v>0.85</v>
      </c>
      <c r="V1735" s="11" t="n">
        <v>0.85</v>
      </c>
    </row>
    <row r="1736" customFormat="false" ht="15" hidden="false" customHeight="false" outlineLevel="0" collapsed="false">
      <c r="A1736" s="6" t="s">
        <v>54</v>
      </c>
      <c r="B1736" s="6" t="s">
        <v>43</v>
      </c>
      <c r="C1736" s="6" t="s">
        <v>49</v>
      </c>
      <c r="D1736" s="6" t="s">
        <v>117</v>
      </c>
      <c r="E1736" s="6" t="n">
        <v>16</v>
      </c>
      <c r="F1736" s="6" t="n">
        <v>8</v>
      </c>
      <c r="G1736" s="6" t="s">
        <v>75</v>
      </c>
      <c r="H1736" s="11" t="n">
        <v>0.01</v>
      </c>
      <c r="I1736" s="6" t="n">
        <v>20</v>
      </c>
      <c r="J1736" s="6" t="n">
        <v>0</v>
      </c>
      <c r="K1736" s="6" t="n">
        <v>20</v>
      </c>
      <c r="L1736" s="6" t="n">
        <v>0</v>
      </c>
      <c r="M1736" s="6" t="n">
        <v>20</v>
      </c>
      <c r="N1736" s="11" t="n">
        <f aca="false">J1736/(J1736+K1736)</f>
        <v>0</v>
      </c>
      <c r="O1736" s="11" t="str">
        <f aca="false">IF(J1736+L1736=0,"",J1736/(J1736+L1736))</f>
        <v/>
      </c>
      <c r="P1736" s="11" t="n">
        <f aca="false">2*J1736/(2*J1736+L1736+K1736)</f>
        <v>0</v>
      </c>
      <c r="Q1736" s="11" t="n">
        <f aca="false">L1736/(L1736+M1736)</f>
        <v>0</v>
      </c>
      <c r="R1736" s="6" t="n">
        <v>0</v>
      </c>
      <c r="S1736" s="11"/>
      <c r="T1736" s="11" t="n">
        <v>0</v>
      </c>
      <c r="U1736" s="11" t="n">
        <v>0.9</v>
      </c>
      <c r="V1736" s="11" t="n">
        <v>0.9</v>
      </c>
    </row>
    <row r="1737" customFormat="false" ht="15" hidden="false" customHeight="false" outlineLevel="0" collapsed="false">
      <c r="A1737" s="6" t="s">
        <v>54</v>
      </c>
      <c r="B1737" s="6" t="s">
        <v>43</v>
      </c>
      <c r="C1737" s="6" t="s">
        <v>49</v>
      </c>
      <c r="D1737" s="6" t="s">
        <v>117</v>
      </c>
      <c r="E1737" s="6" t="n">
        <v>16</v>
      </c>
      <c r="F1737" s="6" t="n">
        <v>8</v>
      </c>
      <c r="G1737" s="6" t="s">
        <v>76</v>
      </c>
      <c r="H1737" s="11" t="n">
        <v>0.01</v>
      </c>
      <c r="I1737" s="6" t="n">
        <v>20</v>
      </c>
      <c r="J1737" s="6" t="n">
        <v>0</v>
      </c>
      <c r="K1737" s="6" t="n">
        <v>20</v>
      </c>
      <c r="L1737" s="6" t="n">
        <v>0</v>
      </c>
      <c r="M1737" s="6" t="n">
        <v>20</v>
      </c>
      <c r="N1737" s="11" t="n">
        <f aca="false">J1737/(J1737+K1737)</f>
        <v>0</v>
      </c>
      <c r="O1737" s="11" t="str">
        <f aca="false">IF(J1737+L1737=0,"",J1737/(J1737+L1737))</f>
        <v/>
      </c>
      <c r="P1737" s="11" t="n">
        <f aca="false">2*J1737/(2*J1737+L1737+K1737)</f>
        <v>0</v>
      </c>
      <c r="Q1737" s="11" t="n">
        <f aca="false">L1737/(L1737+M1737)</f>
        <v>0</v>
      </c>
      <c r="R1737" s="6" t="n">
        <v>0</v>
      </c>
      <c r="S1737" s="11"/>
      <c r="T1737" s="11" t="n">
        <v>0</v>
      </c>
      <c r="U1737" s="11" t="n">
        <v>0.95</v>
      </c>
      <c r="V1737" s="11" t="n">
        <v>0.95</v>
      </c>
    </row>
    <row r="1738" customFormat="false" ht="15" hidden="false" customHeight="false" outlineLevel="0" collapsed="false">
      <c r="A1738" s="6" t="s">
        <v>54</v>
      </c>
      <c r="B1738" s="6" t="s">
        <v>43</v>
      </c>
      <c r="C1738" s="6" t="s">
        <v>49</v>
      </c>
      <c r="D1738" s="6" t="s">
        <v>117</v>
      </c>
      <c r="E1738" s="6" t="n">
        <v>16</v>
      </c>
      <c r="F1738" s="6" t="n">
        <v>8</v>
      </c>
      <c r="G1738" s="6" t="s">
        <v>77</v>
      </c>
      <c r="H1738" s="11" t="n">
        <v>0.01</v>
      </c>
      <c r="I1738" s="6" t="n">
        <v>20</v>
      </c>
      <c r="J1738" s="6" t="n">
        <v>1</v>
      </c>
      <c r="K1738" s="6" t="n">
        <v>19</v>
      </c>
      <c r="L1738" s="6" t="n">
        <v>1</v>
      </c>
      <c r="M1738" s="6" t="n">
        <v>19</v>
      </c>
      <c r="N1738" s="11" t="n">
        <f aca="false">J1738/(J1738+K1738)</f>
        <v>0.05</v>
      </c>
      <c r="O1738" s="11" t="n">
        <f aca="false">IF(J1738+L1738=0,"",J1738/(J1738+L1738))</f>
        <v>0.5</v>
      </c>
      <c r="P1738" s="11" t="n">
        <f aca="false">2*J1738/(2*J1738+L1738+K1738)</f>
        <v>0.0909090909090909</v>
      </c>
      <c r="Q1738" s="11" t="n">
        <f aca="false">L1738/(L1738+M1738)</f>
        <v>0.05</v>
      </c>
      <c r="R1738" s="6" t="n">
        <v>0</v>
      </c>
      <c r="S1738" s="11"/>
      <c r="T1738" s="11" t="n">
        <v>0.05</v>
      </c>
      <c r="U1738" s="11" t="n">
        <v>1</v>
      </c>
      <c r="V1738" s="11" t="n">
        <v>1</v>
      </c>
    </row>
    <row r="1739" customFormat="false" ht="15" hidden="false" customHeight="false" outlineLevel="0" collapsed="false">
      <c r="A1739" s="6" t="s">
        <v>54</v>
      </c>
      <c r="B1739" s="6" t="s">
        <v>43</v>
      </c>
      <c r="C1739" s="6" t="s">
        <v>49</v>
      </c>
      <c r="D1739" s="6" t="s">
        <v>117</v>
      </c>
      <c r="E1739" s="6" t="n">
        <v>16</v>
      </c>
      <c r="F1739" s="6" t="n">
        <v>8</v>
      </c>
      <c r="G1739" s="6" t="s">
        <v>78</v>
      </c>
      <c r="H1739" s="11" t="n">
        <v>0.01</v>
      </c>
      <c r="I1739" s="6" t="n">
        <v>200</v>
      </c>
      <c r="J1739" s="6" t="n">
        <v>1</v>
      </c>
      <c r="K1739" s="6" t="n">
        <v>199</v>
      </c>
      <c r="L1739" s="6" t="n">
        <v>1</v>
      </c>
      <c r="M1739" s="6" t="n">
        <v>199</v>
      </c>
      <c r="N1739" s="11" t="n">
        <f aca="false">J1739/(J1739+K1739)</f>
        <v>0.005</v>
      </c>
      <c r="O1739" s="11" t="n">
        <f aca="false">IF(J1739+L1739=0,"",J1739/(J1739+L1739))</f>
        <v>0.5</v>
      </c>
      <c r="P1739" s="11" t="n">
        <f aca="false">2*J1739/(2*J1739+L1739+K1739)</f>
        <v>0.0099009900990099</v>
      </c>
      <c r="Q1739" s="11" t="n">
        <f aca="false">L1739/(L1739+M1739)</f>
        <v>0.005</v>
      </c>
      <c r="R1739" s="6" t="n">
        <v>0</v>
      </c>
      <c r="S1739" s="11"/>
      <c r="T1739" s="11" t="n">
        <v>0.005</v>
      </c>
      <c r="U1739" s="11" t="n">
        <v>0.88</v>
      </c>
      <c r="V1739" s="11" t="n">
        <v>0.88</v>
      </c>
    </row>
    <row r="1740" customFormat="false" ht="15" hidden="false" customHeight="false" outlineLevel="0" collapsed="false">
      <c r="A1740" s="6" t="s">
        <v>54</v>
      </c>
      <c r="B1740" s="6" t="s">
        <v>43</v>
      </c>
      <c r="C1740" s="6" t="s">
        <v>49</v>
      </c>
      <c r="D1740" s="6" t="s">
        <v>117</v>
      </c>
      <c r="E1740" s="6" t="n">
        <v>16</v>
      </c>
      <c r="F1740" s="6" t="n">
        <v>9</v>
      </c>
      <c r="G1740" s="6" t="s">
        <v>68</v>
      </c>
      <c r="H1740" s="11" t="n">
        <v>0.01</v>
      </c>
      <c r="I1740" s="6" t="n">
        <v>20</v>
      </c>
      <c r="J1740" s="6" t="n">
        <v>0</v>
      </c>
      <c r="K1740" s="6" t="n">
        <v>20</v>
      </c>
      <c r="L1740" s="6" t="n">
        <v>0</v>
      </c>
      <c r="M1740" s="6" t="n">
        <v>20</v>
      </c>
      <c r="N1740" s="11" t="n">
        <f aca="false">J1740/(J1740+K1740)</f>
        <v>0</v>
      </c>
      <c r="O1740" s="11" t="str">
        <f aca="false">IF(J1740+L1740=0,"",J1740/(J1740+L1740))</f>
        <v/>
      </c>
      <c r="P1740" s="11" t="n">
        <f aca="false">2*J1740/(2*J1740+L1740+K1740)</f>
        <v>0</v>
      </c>
      <c r="Q1740" s="11" t="n">
        <f aca="false">L1740/(L1740+M1740)</f>
        <v>0</v>
      </c>
      <c r="R1740" s="6" t="n">
        <v>0</v>
      </c>
      <c r="S1740" s="11"/>
      <c r="T1740" s="11" t="n">
        <v>0</v>
      </c>
      <c r="U1740" s="11" t="n">
        <v>0.85</v>
      </c>
      <c r="V1740" s="11" t="n">
        <v>0.85</v>
      </c>
    </row>
    <row r="1741" customFormat="false" ht="15" hidden="false" customHeight="false" outlineLevel="0" collapsed="false">
      <c r="A1741" s="6" t="s">
        <v>54</v>
      </c>
      <c r="B1741" s="6" t="s">
        <v>43</v>
      </c>
      <c r="C1741" s="6" t="s">
        <v>49</v>
      </c>
      <c r="D1741" s="6" t="s">
        <v>117</v>
      </c>
      <c r="E1741" s="6" t="n">
        <v>16</v>
      </c>
      <c r="F1741" s="6" t="n">
        <v>9</v>
      </c>
      <c r="G1741" s="6" t="s">
        <v>69</v>
      </c>
      <c r="H1741" s="11" t="n">
        <v>0.01</v>
      </c>
      <c r="I1741" s="6" t="n">
        <v>20</v>
      </c>
      <c r="J1741" s="6" t="n">
        <v>0</v>
      </c>
      <c r="K1741" s="6" t="n">
        <v>20</v>
      </c>
      <c r="L1741" s="6" t="n">
        <v>0</v>
      </c>
      <c r="M1741" s="6" t="n">
        <v>20</v>
      </c>
      <c r="N1741" s="11" t="n">
        <f aca="false">J1741/(J1741+K1741)</f>
        <v>0</v>
      </c>
      <c r="O1741" s="11" t="str">
        <f aca="false">IF(J1741+L1741=0,"",J1741/(J1741+L1741))</f>
        <v/>
      </c>
      <c r="P1741" s="11" t="n">
        <f aca="false">2*J1741/(2*J1741+L1741+K1741)</f>
        <v>0</v>
      </c>
      <c r="Q1741" s="11" t="n">
        <f aca="false">L1741/(L1741+M1741)</f>
        <v>0</v>
      </c>
      <c r="R1741" s="6" t="n">
        <v>0</v>
      </c>
      <c r="S1741" s="11"/>
      <c r="T1741" s="11" t="n">
        <v>0</v>
      </c>
      <c r="U1741" s="11" t="n">
        <v>1</v>
      </c>
      <c r="V1741" s="11" t="n">
        <v>1</v>
      </c>
    </row>
    <row r="1742" customFormat="false" ht="15" hidden="false" customHeight="false" outlineLevel="0" collapsed="false">
      <c r="A1742" s="6" t="s">
        <v>54</v>
      </c>
      <c r="B1742" s="6" t="s">
        <v>43</v>
      </c>
      <c r="C1742" s="6" t="s">
        <v>49</v>
      </c>
      <c r="D1742" s="6" t="s">
        <v>117</v>
      </c>
      <c r="E1742" s="6" t="n">
        <v>16</v>
      </c>
      <c r="F1742" s="6" t="n">
        <v>9</v>
      </c>
      <c r="G1742" s="6" t="s">
        <v>70</v>
      </c>
      <c r="H1742" s="11" t="n">
        <v>0.01</v>
      </c>
      <c r="I1742" s="6" t="n">
        <v>20</v>
      </c>
      <c r="J1742" s="6" t="n">
        <v>0</v>
      </c>
      <c r="K1742" s="6" t="n">
        <v>20</v>
      </c>
      <c r="L1742" s="6" t="n">
        <v>0</v>
      </c>
      <c r="M1742" s="6" t="n">
        <v>20</v>
      </c>
      <c r="N1742" s="11" t="n">
        <f aca="false">J1742/(J1742+K1742)</f>
        <v>0</v>
      </c>
      <c r="O1742" s="11" t="str">
        <f aca="false">IF(J1742+L1742=0,"",J1742/(J1742+L1742))</f>
        <v/>
      </c>
      <c r="P1742" s="11" t="n">
        <f aca="false">2*J1742/(2*J1742+L1742+K1742)</f>
        <v>0</v>
      </c>
      <c r="Q1742" s="11" t="n">
        <f aca="false">L1742/(L1742+M1742)</f>
        <v>0</v>
      </c>
      <c r="R1742" s="6" t="n">
        <v>0</v>
      </c>
      <c r="S1742" s="11"/>
      <c r="T1742" s="11" t="n">
        <v>0</v>
      </c>
      <c r="U1742" s="11" t="n">
        <v>0.9</v>
      </c>
      <c r="V1742" s="11" t="n">
        <v>0.9</v>
      </c>
    </row>
    <row r="1743" customFormat="false" ht="15" hidden="false" customHeight="false" outlineLevel="0" collapsed="false">
      <c r="A1743" s="6" t="s">
        <v>54</v>
      </c>
      <c r="B1743" s="6" t="s">
        <v>43</v>
      </c>
      <c r="C1743" s="6" t="s">
        <v>49</v>
      </c>
      <c r="D1743" s="6" t="s">
        <v>117</v>
      </c>
      <c r="E1743" s="6" t="n">
        <v>16</v>
      </c>
      <c r="F1743" s="6" t="n">
        <v>9</v>
      </c>
      <c r="G1743" s="6" t="s">
        <v>71</v>
      </c>
      <c r="H1743" s="11" t="n">
        <v>0.01</v>
      </c>
      <c r="I1743" s="6" t="n">
        <v>20</v>
      </c>
      <c r="J1743" s="6" t="n">
        <v>0</v>
      </c>
      <c r="K1743" s="6" t="n">
        <v>20</v>
      </c>
      <c r="L1743" s="6" t="n">
        <v>0</v>
      </c>
      <c r="M1743" s="6" t="n">
        <v>20</v>
      </c>
      <c r="N1743" s="11" t="n">
        <f aca="false">J1743/(J1743+K1743)</f>
        <v>0</v>
      </c>
      <c r="O1743" s="11" t="str">
        <f aca="false">IF(J1743+L1743=0,"",J1743/(J1743+L1743))</f>
        <v/>
      </c>
      <c r="P1743" s="11" t="n">
        <f aca="false">2*J1743/(2*J1743+L1743+K1743)</f>
        <v>0</v>
      </c>
      <c r="Q1743" s="11" t="n">
        <f aca="false">L1743/(L1743+M1743)</f>
        <v>0</v>
      </c>
      <c r="R1743" s="6" t="n">
        <v>0</v>
      </c>
      <c r="S1743" s="11"/>
      <c r="T1743" s="11" t="n">
        <v>0</v>
      </c>
      <c r="U1743" s="11" t="n">
        <v>0.8</v>
      </c>
      <c r="V1743" s="11" t="n">
        <v>0.8</v>
      </c>
    </row>
    <row r="1744" customFormat="false" ht="15" hidden="false" customHeight="false" outlineLevel="0" collapsed="false">
      <c r="A1744" s="6" t="s">
        <v>54</v>
      </c>
      <c r="B1744" s="6" t="s">
        <v>43</v>
      </c>
      <c r="C1744" s="6" t="s">
        <v>49</v>
      </c>
      <c r="D1744" s="6" t="s">
        <v>117</v>
      </c>
      <c r="E1744" s="6" t="n">
        <v>16</v>
      </c>
      <c r="F1744" s="6" t="n">
        <v>9</v>
      </c>
      <c r="G1744" s="6" t="s">
        <v>72</v>
      </c>
      <c r="H1744" s="11" t="n">
        <v>0.01</v>
      </c>
      <c r="I1744" s="6" t="n">
        <v>20</v>
      </c>
      <c r="J1744" s="6" t="n">
        <v>0</v>
      </c>
      <c r="K1744" s="6" t="n">
        <v>20</v>
      </c>
      <c r="L1744" s="6" t="n">
        <v>0</v>
      </c>
      <c r="M1744" s="6" t="n">
        <v>20</v>
      </c>
      <c r="N1744" s="11" t="n">
        <f aca="false">J1744/(J1744+K1744)</f>
        <v>0</v>
      </c>
      <c r="O1744" s="11" t="str">
        <f aca="false">IF(J1744+L1744=0,"",J1744/(J1744+L1744))</f>
        <v/>
      </c>
      <c r="P1744" s="11" t="n">
        <f aca="false">2*J1744/(2*J1744+L1744+K1744)</f>
        <v>0</v>
      </c>
      <c r="Q1744" s="11" t="n">
        <f aca="false">L1744/(L1744+M1744)</f>
        <v>0</v>
      </c>
      <c r="R1744" s="6" t="n">
        <v>0</v>
      </c>
      <c r="S1744" s="11"/>
      <c r="T1744" s="11" t="n">
        <v>0</v>
      </c>
      <c r="U1744" s="11" t="n">
        <v>0.9</v>
      </c>
      <c r="V1744" s="11" t="n">
        <v>0.9</v>
      </c>
    </row>
    <row r="1745" customFormat="false" ht="15" hidden="false" customHeight="false" outlineLevel="0" collapsed="false">
      <c r="A1745" s="6" t="s">
        <v>54</v>
      </c>
      <c r="B1745" s="6" t="s">
        <v>43</v>
      </c>
      <c r="C1745" s="6" t="s">
        <v>49</v>
      </c>
      <c r="D1745" s="6" t="s">
        <v>117</v>
      </c>
      <c r="E1745" s="6" t="n">
        <v>16</v>
      </c>
      <c r="F1745" s="6" t="n">
        <v>9</v>
      </c>
      <c r="G1745" s="6" t="s">
        <v>73</v>
      </c>
      <c r="H1745" s="11" t="n">
        <v>0.01</v>
      </c>
      <c r="I1745" s="6" t="n">
        <v>20</v>
      </c>
      <c r="J1745" s="6" t="n">
        <v>0</v>
      </c>
      <c r="K1745" s="6" t="n">
        <v>20</v>
      </c>
      <c r="L1745" s="6" t="n">
        <v>0</v>
      </c>
      <c r="M1745" s="6" t="n">
        <v>20</v>
      </c>
      <c r="N1745" s="11" t="n">
        <f aca="false">J1745/(J1745+K1745)</f>
        <v>0</v>
      </c>
      <c r="O1745" s="11" t="str">
        <f aca="false">IF(J1745+L1745=0,"",J1745/(J1745+L1745))</f>
        <v/>
      </c>
      <c r="P1745" s="11" t="n">
        <f aca="false">2*J1745/(2*J1745+L1745+K1745)</f>
        <v>0</v>
      </c>
      <c r="Q1745" s="11" t="n">
        <f aca="false">L1745/(L1745+M1745)</f>
        <v>0</v>
      </c>
      <c r="R1745" s="6" t="n">
        <v>0</v>
      </c>
      <c r="S1745" s="11"/>
      <c r="T1745" s="11" t="n">
        <v>0</v>
      </c>
      <c r="U1745" s="11" t="n">
        <v>0.65</v>
      </c>
      <c r="V1745" s="11" t="n">
        <v>0.65</v>
      </c>
    </row>
    <row r="1746" customFormat="false" ht="15" hidden="false" customHeight="false" outlineLevel="0" collapsed="false">
      <c r="A1746" s="6" t="s">
        <v>54</v>
      </c>
      <c r="B1746" s="6" t="s">
        <v>43</v>
      </c>
      <c r="C1746" s="6" t="s">
        <v>49</v>
      </c>
      <c r="D1746" s="6" t="s">
        <v>117</v>
      </c>
      <c r="E1746" s="6" t="n">
        <v>16</v>
      </c>
      <c r="F1746" s="6" t="n">
        <v>9</v>
      </c>
      <c r="G1746" s="6" t="s">
        <v>74</v>
      </c>
      <c r="H1746" s="11" t="n">
        <v>0.01</v>
      </c>
      <c r="I1746" s="6" t="n">
        <v>20</v>
      </c>
      <c r="J1746" s="6" t="n">
        <v>0</v>
      </c>
      <c r="K1746" s="6" t="n">
        <v>20</v>
      </c>
      <c r="L1746" s="6" t="n">
        <v>0</v>
      </c>
      <c r="M1746" s="6" t="n">
        <v>20</v>
      </c>
      <c r="N1746" s="11" t="n">
        <f aca="false">J1746/(J1746+K1746)</f>
        <v>0</v>
      </c>
      <c r="O1746" s="11" t="str">
        <f aca="false">IF(J1746+L1746=0,"",J1746/(J1746+L1746))</f>
        <v/>
      </c>
      <c r="P1746" s="11" t="n">
        <f aca="false">2*J1746/(2*J1746+L1746+K1746)</f>
        <v>0</v>
      </c>
      <c r="Q1746" s="11" t="n">
        <f aca="false">L1746/(L1746+M1746)</f>
        <v>0</v>
      </c>
      <c r="R1746" s="6" t="n">
        <v>0</v>
      </c>
      <c r="S1746" s="11"/>
      <c r="T1746" s="11" t="n">
        <v>0</v>
      </c>
      <c r="U1746" s="11" t="n">
        <v>0.85</v>
      </c>
      <c r="V1746" s="11" t="n">
        <v>0.85</v>
      </c>
    </row>
    <row r="1747" customFormat="false" ht="15" hidden="false" customHeight="false" outlineLevel="0" collapsed="false">
      <c r="A1747" s="6" t="s">
        <v>54</v>
      </c>
      <c r="B1747" s="6" t="s">
        <v>43</v>
      </c>
      <c r="C1747" s="6" t="s">
        <v>49</v>
      </c>
      <c r="D1747" s="6" t="s">
        <v>117</v>
      </c>
      <c r="E1747" s="6" t="n">
        <v>16</v>
      </c>
      <c r="F1747" s="6" t="n">
        <v>9</v>
      </c>
      <c r="G1747" s="6" t="s">
        <v>75</v>
      </c>
      <c r="H1747" s="11" t="n">
        <v>0.01</v>
      </c>
      <c r="I1747" s="6" t="n">
        <v>20</v>
      </c>
      <c r="J1747" s="6" t="n">
        <v>0</v>
      </c>
      <c r="K1747" s="6" t="n">
        <v>20</v>
      </c>
      <c r="L1747" s="6" t="n">
        <v>0</v>
      </c>
      <c r="M1747" s="6" t="n">
        <v>20</v>
      </c>
      <c r="N1747" s="11" t="n">
        <f aca="false">J1747/(J1747+K1747)</f>
        <v>0</v>
      </c>
      <c r="O1747" s="11" t="str">
        <f aca="false">IF(J1747+L1747=0,"",J1747/(J1747+L1747))</f>
        <v/>
      </c>
      <c r="P1747" s="11" t="n">
        <f aca="false">2*J1747/(2*J1747+L1747+K1747)</f>
        <v>0</v>
      </c>
      <c r="Q1747" s="11" t="n">
        <f aca="false">L1747/(L1747+M1747)</f>
        <v>0</v>
      </c>
      <c r="R1747" s="6" t="n">
        <v>0</v>
      </c>
      <c r="S1747" s="11"/>
      <c r="T1747" s="11" t="n">
        <v>0</v>
      </c>
      <c r="U1747" s="11" t="n">
        <v>0.9</v>
      </c>
      <c r="V1747" s="11" t="n">
        <v>0.9</v>
      </c>
    </row>
    <row r="1748" customFormat="false" ht="15" hidden="false" customHeight="false" outlineLevel="0" collapsed="false">
      <c r="A1748" s="6" t="s">
        <v>54</v>
      </c>
      <c r="B1748" s="6" t="s">
        <v>43</v>
      </c>
      <c r="C1748" s="6" t="s">
        <v>49</v>
      </c>
      <c r="D1748" s="6" t="s">
        <v>117</v>
      </c>
      <c r="E1748" s="6" t="n">
        <v>16</v>
      </c>
      <c r="F1748" s="6" t="n">
        <v>9</v>
      </c>
      <c r="G1748" s="6" t="s">
        <v>76</v>
      </c>
      <c r="H1748" s="11" t="n">
        <v>0.01</v>
      </c>
      <c r="I1748" s="6" t="n">
        <v>20</v>
      </c>
      <c r="J1748" s="6" t="n">
        <v>0</v>
      </c>
      <c r="K1748" s="6" t="n">
        <v>20</v>
      </c>
      <c r="L1748" s="6" t="n">
        <v>0</v>
      </c>
      <c r="M1748" s="6" t="n">
        <v>20</v>
      </c>
      <c r="N1748" s="11" t="n">
        <f aca="false">J1748/(J1748+K1748)</f>
        <v>0</v>
      </c>
      <c r="O1748" s="11" t="str">
        <f aca="false">IF(J1748+L1748=0,"",J1748/(J1748+L1748))</f>
        <v/>
      </c>
      <c r="P1748" s="11" t="n">
        <f aca="false">2*J1748/(2*J1748+L1748+K1748)</f>
        <v>0</v>
      </c>
      <c r="Q1748" s="11" t="n">
        <f aca="false">L1748/(L1748+M1748)</f>
        <v>0</v>
      </c>
      <c r="R1748" s="6" t="n">
        <v>0</v>
      </c>
      <c r="S1748" s="11"/>
      <c r="T1748" s="11" t="n">
        <v>0</v>
      </c>
      <c r="U1748" s="11" t="n">
        <v>0.95</v>
      </c>
      <c r="V1748" s="11" t="n">
        <v>0.95</v>
      </c>
    </row>
    <row r="1749" customFormat="false" ht="15" hidden="false" customHeight="false" outlineLevel="0" collapsed="false">
      <c r="A1749" s="6" t="s">
        <v>54</v>
      </c>
      <c r="B1749" s="6" t="s">
        <v>43</v>
      </c>
      <c r="C1749" s="6" t="s">
        <v>49</v>
      </c>
      <c r="D1749" s="6" t="s">
        <v>117</v>
      </c>
      <c r="E1749" s="6" t="n">
        <v>16</v>
      </c>
      <c r="F1749" s="6" t="n">
        <v>9</v>
      </c>
      <c r="G1749" s="6" t="s">
        <v>77</v>
      </c>
      <c r="H1749" s="11" t="n">
        <v>0.01</v>
      </c>
      <c r="I1749" s="6" t="n">
        <v>20</v>
      </c>
      <c r="J1749" s="6" t="n">
        <v>1</v>
      </c>
      <c r="K1749" s="6" t="n">
        <v>19</v>
      </c>
      <c r="L1749" s="6" t="n">
        <v>1</v>
      </c>
      <c r="M1749" s="6" t="n">
        <v>19</v>
      </c>
      <c r="N1749" s="11" t="n">
        <f aca="false">J1749/(J1749+K1749)</f>
        <v>0.05</v>
      </c>
      <c r="O1749" s="11" t="n">
        <f aca="false">IF(J1749+L1749=0,"",J1749/(J1749+L1749))</f>
        <v>0.5</v>
      </c>
      <c r="P1749" s="11" t="n">
        <f aca="false">2*J1749/(2*J1749+L1749+K1749)</f>
        <v>0.0909090909090909</v>
      </c>
      <c r="Q1749" s="11" t="n">
        <f aca="false">L1749/(L1749+M1749)</f>
        <v>0.05</v>
      </c>
      <c r="R1749" s="6" t="n">
        <v>0</v>
      </c>
      <c r="S1749" s="11"/>
      <c r="T1749" s="11" t="n">
        <v>0.05</v>
      </c>
      <c r="U1749" s="11" t="n">
        <v>1</v>
      </c>
      <c r="V1749" s="11" t="n">
        <v>1</v>
      </c>
    </row>
    <row r="1750" customFormat="false" ht="15" hidden="false" customHeight="false" outlineLevel="0" collapsed="false">
      <c r="A1750" s="6" t="s">
        <v>54</v>
      </c>
      <c r="B1750" s="6" t="s">
        <v>43</v>
      </c>
      <c r="C1750" s="6" t="s">
        <v>49</v>
      </c>
      <c r="D1750" s="6" t="s">
        <v>117</v>
      </c>
      <c r="E1750" s="6" t="n">
        <v>16</v>
      </c>
      <c r="F1750" s="6" t="n">
        <v>9</v>
      </c>
      <c r="G1750" s="6" t="s">
        <v>78</v>
      </c>
      <c r="H1750" s="11" t="n">
        <v>0.01</v>
      </c>
      <c r="I1750" s="6" t="n">
        <v>200</v>
      </c>
      <c r="J1750" s="6" t="n">
        <v>1</v>
      </c>
      <c r="K1750" s="6" t="n">
        <v>199</v>
      </c>
      <c r="L1750" s="6" t="n">
        <v>1</v>
      </c>
      <c r="M1750" s="6" t="n">
        <v>199</v>
      </c>
      <c r="N1750" s="11" t="n">
        <f aca="false">J1750/(J1750+K1750)</f>
        <v>0.005</v>
      </c>
      <c r="O1750" s="11" t="n">
        <f aca="false">IF(J1750+L1750=0,"",J1750/(J1750+L1750))</f>
        <v>0.5</v>
      </c>
      <c r="P1750" s="11" t="n">
        <f aca="false">2*J1750/(2*J1750+L1750+K1750)</f>
        <v>0.0099009900990099</v>
      </c>
      <c r="Q1750" s="11" t="n">
        <f aca="false">L1750/(L1750+M1750)</f>
        <v>0.005</v>
      </c>
      <c r="R1750" s="6" t="n">
        <v>0</v>
      </c>
      <c r="S1750" s="11"/>
      <c r="T1750" s="11" t="n">
        <v>0.005</v>
      </c>
      <c r="U1750" s="11" t="n">
        <v>0.88</v>
      </c>
      <c r="V1750" s="11" t="n">
        <v>0.88</v>
      </c>
    </row>
    <row r="1751" customFormat="false" ht="15" hidden="false" customHeight="false" outlineLevel="0" collapsed="false">
      <c r="A1751" s="6" t="s">
        <v>54</v>
      </c>
      <c r="B1751" s="6" t="s">
        <v>43</v>
      </c>
      <c r="C1751" s="6" t="s">
        <v>49</v>
      </c>
      <c r="D1751" s="6" t="s">
        <v>117</v>
      </c>
      <c r="E1751" s="6" t="n">
        <v>16</v>
      </c>
      <c r="F1751" s="6" t="n">
        <v>10</v>
      </c>
      <c r="G1751" s="6" t="s">
        <v>68</v>
      </c>
      <c r="H1751" s="11" t="n">
        <v>0.01</v>
      </c>
      <c r="I1751" s="6" t="n">
        <v>20</v>
      </c>
      <c r="J1751" s="6" t="n">
        <v>0</v>
      </c>
      <c r="K1751" s="6" t="n">
        <v>20</v>
      </c>
      <c r="L1751" s="6" t="n">
        <v>0</v>
      </c>
      <c r="M1751" s="6" t="n">
        <v>20</v>
      </c>
      <c r="N1751" s="11" t="n">
        <f aca="false">J1751/(J1751+K1751)</f>
        <v>0</v>
      </c>
      <c r="O1751" s="11" t="str">
        <f aca="false">IF(J1751+L1751=0,"",J1751/(J1751+L1751))</f>
        <v/>
      </c>
      <c r="P1751" s="11" t="n">
        <f aca="false">2*J1751/(2*J1751+L1751+K1751)</f>
        <v>0</v>
      </c>
      <c r="Q1751" s="11" t="n">
        <f aca="false">L1751/(L1751+M1751)</f>
        <v>0</v>
      </c>
      <c r="R1751" s="6" t="n">
        <v>0</v>
      </c>
      <c r="S1751" s="11"/>
      <c r="T1751" s="11" t="n">
        <v>0</v>
      </c>
      <c r="U1751" s="11" t="n">
        <v>0.85</v>
      </c>
      <c r="V1751" s="11" t="n">
        <v>0.85</v>
      </c>
    </row>
    <row r="1752" customFormat="false" ht="15" hidden="false" customHeight="false" outlineLevel="0" collapsed="false">
      <c r="A1752" s="6" t="s">
        <v>54</v>
      </c>
      <c r="B1752" s="6" t="s">
        <v>43</v>
      </c>
      <c r="C1752" s="6" t="s">
        <v>49</v>
      </c>
      <c r="D1752" s="6" t="s">
        <v>117</v>
      </c>
      <c r="E1752" s="6" t="n">
        <v>16</v>
      </c>
      <c r="F1752" s="6" t="n">
        <v>10</v>
      </c>
      <c r="G1752" s="6" t="s">
        <v>69</v>
      </c>
      <c r="H1752" s="11" t="n">
        <v>0.01</v>
      </c>
      <c r="I1752" s="6" t="n">
        <v>20</v>
      </c>
      <c r="J1752" s="6" t="n">
        <v>0</v>
      </c>
      <c r="K1752" s="6" t="n">
        <v>20</v>
      </c>
      <c r="L1752" s="6" t="n">
        <v>0</v>
      </c>
      <c r="M1752" s="6" t="n">
        <v>20</v>
      </c>
      <c r="N1752" s="11" t="n">
        <f aca="false">J1752/(J1752+K1752)</f>
        <v>0</v>
      </c>
      <c r="O1752" s="11" t="str">
        <f aca="false">IF(J1752+L1752=0,"",J1752/(J1752+L1752))</f>
        <v/>
      </c>
      <c r="P1752" s="11" t="n">
        <f aca="false">2*J1752/(2*J1752+L1752+K1752)</f>
        <v>0</v>
      </c>
      <c r="Q1752" s="11" t="n">
        <f aca="false">L1752/(L1752+M1752)</f>
        <v>0</v>
      </c>
      <c r="R1752" s="6" t="n">
        <v>0</v>
      </c>
      <c r="S1752" s="11"/>
      <c r="T1752" s="11" t="n">
        <v>0</v>
      </c>
      <c r="U1752" s="11" t="n">
        <v>1</v>
      </c>
      <c r="V1752" s="11" t="n">
        <v>1</v>
      </c>
    </row>
    <row r="1753" customFormat="false" ht="15" hidden="false" customHeight="false" outlineLevel="0" collapsed="false">
      <c r="A1753" s="6" t="s">
        <v>54</v>
      </c>
      <c r="B1753" s="6" t="s">
        <v>43</v>
      </c>
      <c r="C1753" s="6" t="s">
        <v>49</v>
      </c>
      <c r="D1753" s="6" t="s">
        <v>117</v>
      </c>
      <c r="E1753" s="6" t="n">
        <v>16</v>
      </c>
      <c r="F1753" s="6" t="n">
        <v>10</v>
      </c>
      <c r="G1753" s="6" t="s">
        <v>70</v>
      </c>
      <c r="H1753" s="11" t="n">
        <v>0.01</v>
      </c>
      <c r="I1753" s="6" t="n">
        <v>20</v>
      </c>
      <c r="J1753" s="6" t="n">
        <v>0</v>
      </c>
      <c r="K1753" s="6" t="n">
        <v>20</v>
      </c>
      <c r="L1753" s="6" t="n">
        <v>0</v>
      </c>
      <c r="M1753" s="6" t="n">
        <v>20</v>
      </c>
      <c r="N1753" s="11" t="n">
        <f aca="false">J1753/(J1753+K1753)</f>
        <v>0</v>
      </c>
      <c r="O1753" s="11" t="str">
        <f aca="false">IF(J1753+L1753=0,"",J1753/(J1753+L1753))</f>
        <v/>
      </c>
      <c r="P1753" s="11" t="n">
        <f aca="false">2*J1753/(2*J1753+L1753+K1753)</f>
        <v>0</v>
      </c>
      <c r="Q1753" s="11" t="n">
        <f aca="false">L1753/(L1753+M1753)</f>
        <v>0</v>
      </c>
      <c r="R1753" s="6" t="n">
        <v>0</v>
      </c>
      <c r="S1753" s="11"/>
      <c r="T1753" s="11" t="n">
        <v>0</v>
      </c>
      <c r="U1753" s="11" t="n">
        <v>0.9</v>
      </c>
      <c r="V1753" s="11" t="n">
        <v>0.9</v>
      </c>
    </row>
    <row r="1754" customFormat="false" ht="15" hidden="false" customHeight="false" outlineLevel="0" collapsed="false">
      <c r="A1754" s="6" t="s">
        <v>54</v>
      </c>
      <c r="B1754" s="6" t="s">
        <v>43</v>
      </c>
      <c r="C1754" s="6" t="s">
        <v>49</v>
      </c>
      <c r="D1754" s="6" t="s">
        <v>117</v>
      </c>
      <c r="E1754" s="6" t="n">
        <v>16</v>
      </c>
      <c r="F1754" s="6" t="n">
        <v>10</v>
      </c>
      <c r="G1754" s="6" t="s">
        <v>71</v>
      </c>
      <c r="H1754" s="11" t="n">
        <v>0.01</v>
      </c>
      <c r="I1754" s="6" t="n">
        <v>20</v>
      </c>
      <c r="J1754" s="6" t="n">
        <v>0</v>
      </c>
      <c r="K1754" s="6" t="n">
        <v>20</v>
      </c>
      <c r="L1754" s="6" t="n">
        <v>0</v>
      </c>
      <c r="M1754" s="6" t="n">
        <v>20</v>
      </c>
      <c r="N1754" s="11" t="n">
        <f aca="false">J1754/(J1754+K1754)</f>
        <v>0</v>
      </c>
      <c r="O1754" s="11" t="str">
        <f aca="false">IF(J1754+L1754=0,"",J1754/(J1754+L1754))</f>
        <v/>
      </c>
      <c r="P1754" s="11" t="n">
        <f aca="false">2*J1754/(2*J1754+L1754+K1754)</f>
        <v>0</v>
      </c>
      <c r="Q1754" s="11" t="n">
        <f aca="false">L1754/(L1754+M1754)</f>
        <v>0</v>
      </c>
      <c r="R1754" s="6" t="n">
        <v>0</v>
      </c>
      <c r="S1754" s="11"/>
      <c r="T1754" s="11" t="n">
        <v>0</v>
      </c>
      <c r="U1754" s="11" t="n">
        <v>0.8</v>
      </c>
      <c r="V1754" s="11" t="n">
        <v>0.8</v>
      </c>
    </row>
    <row r="1755" customFormat="false" ht="15" hidden="false" customHeight="false" outlineLevel="0" collapsed="false">
      <c r="A1755" s="6" t="s">
        <v>54</v>
      </c>
      <c r="B1755" s="6" t="s">
        <v>43</v>
      </c>
      <c r="C1755" s="6" t="s">
        <v>49</v>
      </c>
      <c r="D1755" s="6" t="s">
        <v>117</v>
      </c>
      <c r="E1755" s="6" t="n">
        <v>16</v>
      </c>
      <c r="F1755" s="6" t="n">
        <v>10</v>
      </c>
      <c r="G1755" s="6" t="s">
        <v>72</v>
      </c>
      <c r="H1755" s="11" t="n">
        <v>0.01</v>
      </c>
      <c r="I1755" s="6" t="n">
        <v>20</v>
      </c>
      <c r="J1755" s="6" t="n">
        <v>0</v>
      </c>
      <c r="K1755" s="6" t="n">
        <v>20</v>
      </c>
      <c r="L1755" s="6" t="n">
        <v>0</v>
      </c>
      <c r="M1755" s="6" t="n">
        <v>20</v>
      </c>
      <c r="N1755" s="11" t="n">
        <f aca="false">J1755/(J1755+K1755)</f>
        <v>0</v>
      </c>
      <c r="O1755" s="11" t="str">
        <f aca="false">IF(J1755+L1755=0,"",J1755/(J1755+L1755))</f>
        <v/>
      </c>
      <c r="P1755" s="11" t="n">
        <f aca="false">2*J1755/(2*J1755+L1755+K1755)</f>
        <v>0</v>
      </c>
      <c r="Q1755" s="11" t="n">
        <f aca="false">L1755/(L1755+M1755)</f>
        <v>0</v>
      </c>
      <c r="R1755" s="6" t="n">
        <v>0</v>
      </c>
      <c r="S1755" s="11"/>
      <c r="T1755" s="11" t="n">
        <v>0</v>
      </c>
      <c r="U1755" s="11" t="n">
        <v>0.9</v>
      </c>
      <c r="V1755" s="11" t="n">
        <v>0.9</v>
      </c>
    </row>
    <row r="1756" customFormat="false" ht="15" hidden="false" customHeight="false" outlineLevel="0" collapsed="false">
      <c r="A1756" s="6" t="s">
        <v>54</v>
      </c>
      <c r="B1756" s="6" t="s">
        <v>43</v>
      </c>
      <c r="C1756" s="6" t="s">
        <v>49</v>
      </c>
      <c r="D1756" s="6" t="s">
        <v>117</v>
      </c>
      <c r="E1756" s="6" t="n">
        <v>16</v>
      </c>
      <c r="F1756" s="6" t="n">
        <v>10</v>
      </c>
      <c r="G1756" s="6" t="s">
        <v>73</v>
      </c>
      <c r="H1756" s="11" t="n">
        <v>0.01</v>
      </c>
      <c r="I1756" s="6" t="n">
        <v>20</v>
      </c>
      <c r="J1756" s="6" t="n">
        <v>0</v>
      </c>
      <c r="K1756" s="6" t="n">
        <v>20</v>
      </c>
      <c r="L1756" s="6" t="n">
        <v>0</v>
      </c>
      <c r="M1756" s="6" t="n">
        <v>20</v>
      </c>
      <c r="N1756" s="11" t="n">
        <f aca="false">J1756/(J1756+K1756)</f>
        <v>0</v>
      </c>
      <c r="O1756" s="11" t="str">
        <f aca="false">IF(J1756+L1756=0,"",J1756/(J1756+L1756))</f>
        <v/>
      </c>
      <c r="P1756" s="11" t="n">
        <f aca="false">2*J1756/(2*J1756+L1756+K1756)</f>
        <v>0</v>
      </c>
      <c r="Q1756" s="11" t="n">
        <f aca="false">L1756/(L1756+M1756)</f>
        <v>0</v>
      </c>
      <c r="R1756" s="6" t="n">
        <v>0</v>
      </c>
      <c r="S1756" s="11"/>
      <c r="T1756" s="11" t="n">
        <v>0</v>
      </c>
      <c r="U1756" s="11" t="n">
        <v>0.65</v>
      </c>
      <c r="V1756" s="11" t="n">
        <v>0.65</v>
      </c>
    </row>
    <row r="1757" customFormat="false" ht="15" hidden="false" customHeight="false" outlineLevel="0" collapsed="false">
      <c r="A1757" s="6" t="s">
        <v>54</v>
      </c>
      <c r="B1757" s="6" t="s">
        <v>43</v>
      </c>
      <c r="C1757" s="6" t="s">
        <v>49</v>
      </c>
      <c r="D1757" s="6" t="s">
        <v>117</v>
      </c>
      <c r="E1757" s="6" t="n">
        <v>16</v>
      </c>
      <c r="F1757" s="6" t="n">
        <v>10</v>
      </c>
      <c r="G1757" s="6" t="s">
        <v>74</v>
      </c>
      <c r="H1757" s="11" t="n">
        <v>0.01</v>
      </c>
      <c r="I1757" s="6" t="n">
        <v>20</v>
      </c>
      <c r="J1757" s="6" t="n">
        <v>0</v>
      </c>
      <c r="K1757" s="6" t="n">
        <v>20</v>
      </c>
      <c r="L1757" s="6" t="n">
        <v>0</v>
      </c>
      <c r="M1757" s="6" t="n">
        <v>20</v>
      </c>
      <c r="N1757" s="11" t="n">
        <f aca="false">J1757/(J1757+K1757)</f>
        <v>0</v>
      </c>
      <c r="O1757" s="11" t="str">
        <f aca="false">IF(J1757+L1757=0,"",J1757/(J1757+L1757))</f>
        <v/>
      </c>
      <c r="P1757" s="11" t="n">
        <f aca="false">2*J1757/(2*J1757+L1757+K1757)</f>
        <v>0</v>
      </c>
      <c r="Q1757" s="11" t="n">
        <f aca="false">L1757/(L1757+M1757)</f>
        <v>0</v>
      </c>
      <c r="R1757" s="6" t="n">
        <v>0</v>
      </c>
      <c r="S1757" s="11"/>
      <c r="T1757" s="11" t="n">
        <v>0</v>
      </c>
      <c r="U1757" s="11" t="n">
        <v>0.85</v>
      </c>
      <c r="V1757" s="11" t="n">
        <v>0.85</v>
      </c>
    </row>
    <row r="1758" customFormat="false" ht="15" hidden="false" customHeight="false" outlineLevel="0" collapsed="false">
      <c r="A1758" s="6" t="s">
        <v>54</v>
      </c>
      <c r="B1758" s="6" t="s">
        <v>43</v>
      </c>
      <c r="C1758" s="6" t="s">
        <v>49</v>
      </c>
      <c r="D1758" s="6" t="s">
        <v>117</v>
      </c>
      <c r="E1758" s="6" t="n">
        <v>16</v>
      </c>
      <c r="F1758" s="6" t="n">
        <v>10</v>
      </c>
      <c r="G1758" s="6" t="s">
        <v>75</v>
      </c>
      <c r="H1758" s="11" t="n">
        <v>0.01</v>
      </c>
      <c r="I1758" s="6" t="n">
        <v>20</v>
      </c>
      <c r="J1758" s="6" t="n">
        <v>0</v>
      </c>
      <c r="K1758" s="6" t="n">
        <v>20</v>
      </c>
      <c r="L1758" s="6" t="n">
        <v>0</v>
      </c>
      <c r="M1758" s="6" t="n">
        <v>20</v>
      </c>
      <c r="N1758" s="11" t="n">
        <f aca="false">J1758/(J1758+K1758)</f>
        <v>0</v>
      </c>
      <c r="O1758" s="11" t="str">
        <f aca="false">IF(J1758+L1758=0,"",J1758/(J1758+L1758))</f>
        <v/>
      </c>
      <c r="P1758" s="11" t="n">
        <f aca="false">2*J1758/(2*J1758+L1758+K1758)</f>
        <v>0</v>
      </c>
      <c r="Q1758" s="11" t="n">
        <f aca="false">L1758/(L1758+M1758)</f>
        <v>0</v>
      </c>
      <c r="R1758" s="6" t="n">
        <v>0</v>
      </c>
      <c r="S1758" s="11"/>
      <c r="T1758" s="11" t="n">
        <v>0</v>
      </c>
      <c r="U1758" s="11" t="n">
        <v>0.9</v>
      </c>
      <c r="V1758" s="11" t="n">
        <v>0.9</v>
      </c>
    </row>
    <row r="1759" customFormat="false" ht="15" hidden="false" customHeight="false" outlineLevel="0" collapsed="false">
      <c r="A1759" s="6" t="s">
        <v>54</v>
      </c>
      <c r="B1759" s="6" t="s">
        <v>43</v>
      </c>
      <c r="C1759" s="6" t="s">
        <v>49</v>
      </c>
      <c r="D1759" s="6" t="s">
        <v>117</v>
      </c>
      <c r="E1759" s="6" t="n">
        <v>16</v>
      </c>
      <c r="F1759" s="6" t="n">
        <v>10</v>
      </c>
      <c r="G1759" s="6" t="s">
        <v>76</v>
      </c>
      <c r="H1759" s="11" t="n">
        <v>0.01</v>
      </c>
      <c r="I1759" s="6" t="n">
        <v>20</v>
      </c>
      <c r="J1759" s="6" t="n">
        <v>0</v>
      </c>
      <c r="K1759" s="6" t="n">
        <v>20</v>
      </c>
      <c r="L1759" s="6" t="n">
        <v>0</v>
      </c>
      <c r="M1759" s="6" t="n">
        <v>20</v>
      </c>
      <c r="N1759" s="11" t="n">
        <f aca="false">J1759/(J1759+K1759)</f>
        <v>0</v>
      </c>
      <c r="O1759" s="11" t="str">
        <f aca="false">IF(J1759+L1759=0,"",J1759/(J1759+L1759))</f>
        <v/>
      </c>
      <c r="P1759" s="11" t="n">
        <f aca="false">2*J1759/(2*J1759+L1759+K1759)</f>
        <v>0</v>
      </c>
      <c r="Q1759" s="11" t="n">
        <f aca="false">L1759/(L1759+M1759)</f>
        <v>0</v>
      </c>
      <c r="R1759" s="6" t="n">
        <v>0</v>
      </c>
      <c r="S1759" s="11"/>
      <c r="T1759" s="11" t="n">
        <v>0</v>
      </c>
      <c r="U1759" s="11" t="n">
        <v>0.95</v>
      </c>
      <c r="V1759" s="11" t="n">
        <v>0.95</v>
      </c>
    </row>
    <row r="1760" customFormat="false" ht="15" hidden="false" customHeight="false" outlineLevel="0" collapsed="false">
      <c r="A1760" s="6" t="s">
        <v>54</v>
      </c>
      <c r="B1760" s="6" t="s">
        <v>43</v>
      </c>
      <c r="C1760" s="6" t="s">
        <v>49</v>
      </c>
      <c r="D1760" s="6" t="s">
        <v>117</v>
      </c>
      <c r="E1760" s="6" t="n">
        <v>16</v>
      </c>
      <c r="F1760" s="6" t="n">
        <v>10</v>
      </c>
      <c r="G1760" s="6" t="s">
        <v>77</v>
      </c>
      <c r="H1760" s="11" t="n">
        <v>0.01</v>
      </c>
      <c r="I1760" s="6" t="n">
        <v>20</v>
      </c>
      <c r="J1760" s="6" t="n">
        <v>1</v>
      </c>
      <c r="K1760" s="6" t="n">
        <v>19</v>
      </c>
      <c r="L1760" s="6" t="n">
        <v>1</v>
      </c>
      <c r="M1760" s="6" t="n">
        <v>19</v>
      </c>
      <c r="N1760" s="11" t="n">
        <f aca="false">J1760/(J1760+K1760)</f>
        <v>0.05</v>
      </c>
      <c r="O1760" s="11" t="n">
        <f aca="false">IF(J1760+L1760=0,"",J1760/(J1760+L1760))</f>
        <v>0.5</v>
      </c>
      <c r="P1760" s="11" t="n">
        <f aca="false">2*J1760/(2*J1760+L1760+K1760)</f>
        <v>0.0909090909090909</v>
      </c>
      <c r="Q1760" s="11" t="n">
        <f aca="false">L1760/(L1760+M1760)</f>
        <v>0.05</v>
      </c>
      <c r="R1760" s="6" t="n">
        <v>0</v>
      </c>
      <c r="S1760" s="11"/>
      <c r="T1760" s="11" t="n">
        <v>0.05</v>
      </c>
      <c r="U1760" s="11" t="n">
        <v>1</v>
      </c>
      <c r="V1760" s="11" t="n">
        <v>1</v>
      </c>
    </row>
    <row r="1761" customFormat="false" ht="15" hidden="false" customHeight="false" outlineLevel="0" collapsed="false">
      <c r="A1761" s="6" t="s">
        <v>54</v>
      </c>
      <c r="B1761" s="6" t="s">
        <v>43</v>
      </c>
      <c r="C1761" s="6" t="s">
        <v>49</v>
      </c>
      <c r="D1761" s="6" t="s">
        <v>117</v>
      </c>
      <c r="E1761" s="6" t="n">
        <v>16</v>
      </c>
      <c r="F1761" s="6" t="n">
        <v>10</v>
      </c>
      <c r="G1761" s="6" t="s">
        <v>78</v>
      </c>
      <c r="H1761" s="11" t="n">
        <v>0.01</v>
      </c>
      <c r="I1761" s="6" t="n">
        <v>200</v>
      </c>
      <c r="J1761" s="6" t="n">
        <v>1</v>
      </c>
      <c r="K1761" s="6" t="n">
        <v>199</v>
      </c>
      <c r="L1761" s="6" t="n">
        <v>1</v>
      </c>
      <c r="M1761" s="6" t="n">
        <v>199</v>
      </c>
      <c r="N1761" s="11" t="n">
        <f aca="false">J1761/(J1761+K1761)</f>
        <v>0.005</v>
      </c>
      <c r="O1761" s="11" t="n">
        <f aca="false">IF(J1761+L1761=0,"",J1761/(J1761+L1761))</f>
        <v>0.5</v>
      </c>
      <c r="P1761" s="11" t="n">
        <f aca="false">2*J1761/(2*J1761+L1761+K1761)</f>
        <v>0.0099009900990099</v>
      </c>
      <c r="Q1761" s="11" t="n">
        <f aca="false">L1761/(L1761+M1761)</f>
        <v>0.005</v>
      </c>
      <c r="R1761" s="6" t="n">
        <v>0</v>
      </c>
      <c r="S1761" s="11"/>
      <c r="T1761" s="11" t="n">
        <v>0.005</v>
      </c>
      <c r="U1761" s="11" t="n">
        <v>0.88</v>
      </c>
      <c r="V1761" s="11" t="n">
        <v>0.88</v>
      </c>
    </row>
    <row r="1762" customFormat="false" ht="15" hidden="false" customHeight="false" outlineLevel="0" collapsed="false">
      <c r="A1762" s="6" t="s">
        <v>56</v>
      </c>
      <c r="B1762" s="6" t="s">
        <v>43</v>
      </c>
      <c r="C1762" s="6" t="s">
        <v>51</v>
      </c>
      <c r="D1762" s="6" t="s">
        <v>118</v>
      </c>
      <c r="E1762" s="6" t="n">
        <v>16</v>
      </c>
      <c r="F1762" s="6" t="n">
        <v>1</v>
      </c>
      <c r="G1762" s="6" t="s">
        <v>68</v>
      </c>
      <c r="H1762" s="11" t="n">
        <v>0.01</v>
      </c>
      <c r="I1762" s="6" t="n">
        <v>20</v>
      </c>
      <c r="J1762" s="6" t="n">
        <v>0</v>
      </c>
      <c r="K1762" s="6" t="n">
        <v>20</v>
      </c>
      <c r="L1762" s="6" t="n">
        <v>0</v>
      </c>
      <c r="M1762" s="6" t="n">
        <v>20</v>
      </c>
      <c r="N1762" s="11" t="n">
        <f aca="false">J1762/(J1762+K1762)</f>
        <v>0</v>
      </c>
      <c r="O1762" s="11" t="str">
        <f aca="false">IF(J1762+L1762=0,"",J1762/(J1762+L1762))</f>
        <v/>
      </c>
      <c r="P1762" s="11" t="n">
        <f aca="false">2*J1762/(2*J1762+L1762+K1762)</f>
        <v>0</v>
      </c>
      <c r="Q1762" s="11" t="n">
        <f aca="false">L1762/(L1762+M1762)</f>
        <v>0</v>
      </c>
      <c r="R1762" s="6" t="n">
        <v>0</v>
      </c>
      <c r="S1762" s="11"/>
      <c r="T1762" s="11" t="n">
        <v>0</v>
      </c>
      <c r="U1762" s="11" t="n">
        <v>0.85</v>
      </c>
      <c r="V1762" s="11" t="n">
        <v>0.85</v>
      </c>
    </row>
    <row r="1763" customFormat="false" ht="15" hidden="false" customHeight="false" outlineLevel="0" collapsed="false">
      <c r="A1763" s="6" t="s">
        <v>56</v>
      </c>
      <c r="B1763" s="6" t="s">
        <v>43</v>
      </c>
      <c r="C1763" s="6" t="s">
        <v>51</v>
      </c>
      <c r="D1763" s="6" t="s">
        <v>118</v>
      </c>
      <c r="E1763" s="6" t="n">
        <v>16</v>
      </c>
      <c r="F1763" s="6" t="n">
        <v>1</v>
      </c>
      <c r="G1763" s="6" t="s">
        <v>69</v>
      </c>
      <c r="H1763" s="11" t="n">
        <v>0.01</v>
      </c>
      <c r="I1763" s="6" t="n">
        <v>20</v>
      </c>
      <c r="J1763" s="6" t="n">
        <v>0</v>
      </c>
      <c r="K1763" s="6" t="n">
        <v>20</v>
      </c>
      <c r="L1763" s="6" t="n">
        <v>0</v>
      </c>
      <c r="M1763" s="6" t="n">
        <v>20</v>
      </c>
      <c r="N1763" s="11" t="n">
        <f aca="false">J1763/(J1763+K1763)</f>
        <v>0</v>
      </c>
      <c r="O1763" s="11" t="str">
        <f aca="false">IF(J1763+L1763=0,"",J1763/(J1763+L1763))</f>
        <v/>
      </c>
      <c r="P1763" s="11" t="n">
        <f aca="false">2*J1763/(2*J1763+L1763+K1763)</f>
        <v>0</v>
      </c>
      <c r="Q1763" s="11" t="n">
        <f aca="false">L1763/(L1763+M1763)</f>
        <v>0</v>
      </c>
      <c r="R1763" s="6" t="n">
        <v>0</v>
      </c>
      <c r="S1763" s="11"/>
      <c r="T1763" s="11" t="n">
        <v>0</v>
      </c>
      <c r="U1763" s="11" t="n">
        <v>1</v>
      </c>
      <c r="V1763" s="11" t="n">
        <v>1</v>
      </c>
    </row>
    <row r="1764" customFormat="false" ht="15" hidden="false" customHeight="false" outlineLevel="0" collapsed="false">
      <c r="A1764" s="6" t="s">
        <v>56</v>
      </c>
      <c r="B1764" s="6" t="s">
        <v>43</v>
      </c>
      <c r="C1764" s="6" t="s">
        <v>51</v>
      </c>
      <c r="D1764" s="6" t="s">
        <v>118</v>
      </c>
      <c r="E1764" s="6" t="n">
        <v>16</v>
      </c>
      <c r="F1764" s="6" t="n">
        <v>1</v>
      </c>
      <c r="G1764" s="6" t="s">
        <v>70</v>
      </c>
      <c r="H1764" s="11" t="n">
        <v>0.01</v>
      </c>
      <c r="I1764" s="6" t="n">
        <v>20</v>
      </c>
      <c r="J1764" s="6" t="n">
        <v>0</v>
      </c>
      <c r="K1764" s="6" t="n">
        <v>20</v>
      </c>
      <c r="L1764" s="6" t="n">
        <v>0</v>
      </c>
      <c r="M1764" s="6" t="n">
        <v>20</v>
      </c>
      <c r="N1764" s="11" t="n">
        <f aca="false">J1764/(J1764+K1764)</f>
        <v>0</v>
      </c>
      <c r="O1764" s="11" t="str">
        <f aca="false">IF(J1764+L1764=0,"",J1764/(J1764+L1764))</f>
        <v/>
      </c>
      <c r="P1764" s="11" t="n">
        <f aca="false">2*J1764/(2*J1764+L1764+K1764)</f>
        <v>0</v>
      </c>
      <c r="Q1764" s="11" t="n">
        <f aca="false">L1764/(L1764+M1764)</f>
        <v>0</v>
      </c>
      <c r="R1764" s="6" t="n">
        <v>0</v>
      </c>
      <c r="S1764" s="11"/>
      <c r="T1764" s="11" t="n">
        <v>0</v>
      </c>
      <c r="U1764" s="11" t="n">
        <v>0.9</v>
      </c>
      <c r="V1764" s="11" t="n">
        <v>0.9</v>
      </c>
    </row>
    <row r="1765" customFormat="false" ht="15" hidden="false" customHeight="false" outlineLevel="0" collapsed="false">
      <c r="A1765" s="6" t="s">
        <v>56</v>
      </c>
      <c r="B1765" s="6" t="s">
        <v>43</v>
      </c>
      <c r="C1765" s="6" t="s">
        <v>51</v>
      </c>
      <c r="D1765" s="6" t="s">
        <v>118</v>
      </c>
      <c r="E1765" s="6" t="n">
        <v>16</v>
      </c>
      <c r="F1765" s="6" t="n">
        <v>1</v>
      </c>
      <c r="G1765" s="6" t="s">
        <v>71</v>
      </c>
      <c r="H1765" s="11" t="n">
        <v>0.01</v>
      </c>
      <c r="I1765" s="6" t="n">
        <v>20</v>
      </c>
      <c r="J1765" s="6" t="n">
        <v>0</v>
      </c>
      <c r="K1765" s="6" t="n">
        <v>20</v>
      </c>
      <c r="L1765" s="6" t="n">
        <v>0</v>
      </c>
      <c r="M1765" s="6" t="n">
        <v>20</v>
      </c>
      <c r="N1765" s="11" t="n">
        <f aca="false">J1765/(J1765+K1765)</f>
        <v>0</v>
      </c>
      <c r="O1765" s="11" t="str">
        <f aca="false">IF(J1765+L1765=0,"",J1765/(J1765+L1765))</f>
        <v/>
      </c>
      <c r="P1765" s="11" t="n">
        <f aca="false">2*J1765/(2*J1765+L1765+K1765)</f>
        <v>0</v>
      </c>
      <c r="Q1765" s="11" t="n">
        <f aca="false">L1765/(L1765+M1765)</f>
        <v>0</v>
      </c>
      <c r="R1765" s="6" t="n">
        <v>0</v>
      </c>
      <c r="S1765" s="11"/>
      <c r="T1765" s="11" t="n">
        <v>0</v>
      </c>
      <c r="U1765" s="11" t="n">
        <v>0.8</v>
      </c>
      <c r="V1765" s="11" t="n">
        <v>0.8</v>
      </c>
    </row>
    <row r="1766" customFormat="false" ht="15" hidden="false" customHeight="false" outlineLevel="0" collapsed="false">
      <c r="A1766" s="6" t="s">
        <v>56</v>
      </c>
      <c r="B1766" s="6" t="s">
        <v>43</v>
      </c>
      <c r="C1766" s="6" t="s">
        <v>51</v>
      </c>
      <c r="D1766" s="6" t="s">
        <v>118</v>
      </c>
      <c r="E1766" s="6" t="n">
        <v>16</v>
      </c>
      <c r="F1766" s="6" t="n">
        <v>1</v>
      </c>
      <c r="G1766" s="6" t="s">
        <v>72</v>
      </c>
      <c r="H1766" s="11" t="n">
        <v>0.01</v>
      </c>
      <c r="I1766" s="6" t="n">
        <v>20</v>
      </c>
      <c r="J1766" s="6" t="n">
        <v>0</v>
      </c>
      <c r="K1766" s="6" t="n">
        <v>20</v>
      </c>
      <c r="L1766" s="6" t="n">
        <v>0</v>
      </c>
      <c r="M1766" s="6" t="n">
        <v>20</v>
      </c>
      <c r="N1766" s="11" t="n">
        <f aca="false">J1766/(J1766+K1766)</f>
        <v>0</v>
      </c>
      <c r="O1766" s="11" t="str">
        <f aca="false">IF(J1766+L1766=0,"",J1766/(J1766+L1766))</f>
        <v/>
      </c>
      <c r="P1766" s="11" t="n">
        <f aca="false">2*J1766/(2*J1766+L1766+K1766)</f>
        <v>0</v>
      </c>
      <c r="Q1766" s="11" t="n">
        <f aca="false">L1766/(L1766+M1766)</f>
        <v>0</v>
      </c>
      <c r="R1766" s="6" t="n">
        <v>0</v>
      </c>
      <c r="S1766" s="11"/>
      <c r="T1766" s="11" t="n">
        <v>0</v>
      </c>
      <c r="U1766" s="11" t="n">
        <v>0.9</v>
      </c>
      <c r="V1766" s="11" t="n">
        <v>0.9</v>
      </c>
    </row>
    <row r="1767" customFormat="false" ht="15" hidden="false" customHeight="false" outlineLevel="0" collapsed="false">
      <c r="A1767" s="6" t="s">
        <v>56</v>
      </c>
      <c r="B1767" s="6" t="s">
        <v>43</v>
      </c>
      <c r="C1767" s="6" t="s">
        <v>51</v>
      </c>
      <c r="D1767" s="6" t="s">
        <v>118</v>
      </c>
      <c r="E1767" s="6" t="n">
        <v>16</v>
      </c>
      <c r="F1767" s="6" t="n">
        <v>1</v>
      </c>
      <c r="G1767" s="6" t="s">
        <v>73</v>
      </c>
      <c r="H1767" s="11" t="n">
        <v>0.01</v>
      </c>
      <c r="I1767" s="6" t="n">
        <v>20</v>
      </c>
      <c r="J1767" s="6" t="n">
        <v>0</v>
      </c>
      <c r="K1767" s="6" t="n">
        <v>20</v>
      </c>
      <c r="L1767" s="6" t="n">
        <v>0</v>
      </c>
      <c r="M1767" s="6" t="n">
        <v>20</v>
      </c>
      <c r="N1767" s="11" t="n">
        <f aca="false">J1767/(J1767+K1767)</f>
        <v>0</v>
      </c>
      <c r="O1767" s="11" t="str">
        <f aca="false">IF(J1767+L1767=0,"",J1767/(J1767+L1767))</f>
        <v/>
      </c>
      <c r="P1767" s="11" t="n">
        <f aca="false">2*J1767/(2*J1767+L1767+K1767)</f>
        <v>0</v>
      </c>
      <c r="Q1767" s="11" t="n">
        <f aca="false">L1767/(L1767+M1767)</f>
        <v>0</v>
      </c>
      <c r="R1767" s="6" t="n">
        <v>0</v>
      </c>
      <c r="S1767" s="11"/>
      <c r="T1767" s="11" t="n">
        <v>0</v>
      </c>
      <c r="U1767" s="11" t="n">
        <v>0.65</v>
      </c>
      <c r="V1767" s="11" t="n">
        <v>0.65</v>
      </c>
    </row>
    <row r="1768" customFormat="false" ht="15" hidden="false" customHeight="false" outlineLevel="0" collapsed="false">
      <c r="A1768" s="6" t="s">
        <v>56</v>
      </c>
      <c r="B1768" s="6" t="s">
        <v>43</v>
      </c>
      <c r="C1768" s="6" t="s">
        <v>51</v>
      </c>
      <c r="D1768" s="6" t="s">
        <v>118</v>
      </c>
      <c r="E1768" s="6" t="n">
        <v>16</v>
      </c>
      <c r="F1768" s="6" t="n">
        <v>1</v>
      </c>
      <c r="G1768" s="6" t="s">
        <v>74</v>
      </c>
      <c r="H1768" s="11" t="n">
        <v>0.01</v>
      </c>
      <c r="I1768" s="6" t="n">
        <v>20</v>
      </c>
      <c r="J1768" s="6" t="n">
        <v>0</v>
      </c>
      <c r="K1768" s="6" t="n">
        <v>20</v>
      </c>
      <c r="L1768" s="6" t="n">
        <v>0</v>
      </c>
      <c r="M1768" s="6" t="n">
        <v>20</v>
      </c>
      <c r="N1768" s="11" t="n">
        <f aca="false">J1768/(J1768+K1768)</f>
        <v>0</v>
      </c>
      <c r="O1768" s="11" t="str">
        <f aca="false">IF(J1768+L1768=0,"",J1768/(J1768+L1768))</f>
        <v/>
      </c>
      <c r="P1768" s="11" t="n">
        <f aca="false">2*J1768/(2*J1768+L1768+K1768)</f>
        <v>0</v>
      </c>
      <c r="Q1768" s="11" t="n">
        <f aca="false">L1768/(L1768+M1768)</f>
        <v>0</v>
      </c>
      <c r="R1768" s="6" t="n">
        <v>0</v>
      </c>
      <c r="S1768" s="11"/>
      <c r="T1768" s="11" t="n">
        <v>0</v>
      </c>
      <c r="U1768" s="11" t="n">
        <v>0.85</v>
      </c>
      <c r="V1768" s="11" t="n">
        <v>0.85</v>
      </c>
    </row>
    <row r="1769" customFormat="false" ht="15" hidden="false" customHeight="false" outlineLevel="0" collapsed="false">
      <c r="A1769" s="6" t="s">
        <v>56</v>
      </c>
      <c r="B1769" s="6" t="s">
        <v>43</v>
      </c>
      <c r="C1769" s="6" t="s">
        <v>51</v>
      </c>
      <c r="D1769" s="6" t="s">
        <v>118</v>
      </c>
      <c r="E1769" s="6" t="n">
        <v>16</v>
      </c>
      <c r="F1769" s="6" t="n">
        <v>1</v>
      </c>
      <c r="G1769" s="6" t="s">
        <v>75</v>
      </c>
      <c r="H1769" s="11" t="n">
        <v>0.01</v>
      </c>
      <c r="I1769" s="6" t="n">
        <v>20</v>
      </c>
      <c r="J1769" s="6" t="n">
        <v>0</v>
      </c>
      <c r="K1769" s="6" t="n">
        <v>20</v>
      </c>
      <c r="L1769" s="6" t="n">
        <v>0</v>
      </c>
      <c r="M1769" s="6" t="n">
        <v>20</v>
      </c>
      <c r="N1769" s="11" t="n">
        <f aca="false">J1769/(J1769+K1769)</f>
        <v>0</v>
      </c>
      <c r="O1769" s="11" t="str">
        <f aca="false">IF(J1769+L1769=0,"",J1769/(J1769+L1769))</f>
        <v/>
      </c>
      <c r="P1769" s="11" t="n">
        <f aca="false">2*J1769/(2*J1769+L1769+K1769)</f>
        <v>0</v>
      </c>
      <c r="Q1769" s="11" t="n">
        <f aca="false">L1769/(L1769+M1769)</f>
        <v>0</v>
      </c>
      <c r="R1769" s="6" t="n">
        <v>0</v>
      </c>
      <c r="S1769" s="11"/>
      <c r="T1769" s="11" t="n">
        <v>0</v>
      </c>
      <c r="U1769" s="11" t="n">
        <v>0.9</v>
      </c>
      <c r="V1769" s="11" t="n">
        <v>0.9</v>
      </c>
    </row>
    <row r="1770" customFormat="false" ht="15" hidden="false" customHeight="false" outlineLevel="0" collapsed="false">
      <c r="A1770" s="6" t="s">
        <v>56</v>
      </c>
      <c r="B1770" s="6" t="s">
        <v>43</v>
      </c>
      <c r="C1770" s="6" t="s">
        <v>51</v>
      </c>
      <c r="D1770" s="6" t="s">
        <v>118</v>
      </c>
      <c r="E1770" s="6" t="n">
        <v>16</v>
      </c>
      <c r="F1770" s="6" t="n">
        <v>1</v>
      </c>
      <c r="G1770" s="6" t="s">
        <v>76</v>
      </c>
      <c r="H1770" s="11" t="n">
        <v>0.01</v>
      </c>
      <c r="I1770" s="6" t="n">
        <v>20</v>
      </c>
      <c r="J1770" s="6" t="n">
        <v>0</v>
      </c>
      <c r="K1770" s="6" t="n">
        <v>20</v>
      </c>
      <c r="L1770" s="6" t="n">
        <v>0</v>
      </c>
      <c r="M1770" s="6" t="n">
        <v>20</v>
      </c>
      <c r="N1770" s="11" t="n">
        <f aca="false">J1770/(J1770+K1770)</f>
        <v>0</v>
      </c>
      <c r="O1770" s="11" t="str">
        <f aca="false">IF(J1770+L1770=0,"",J1770/(J1770+L1770))</f>
        <v/>
      </c>
      <c r="P1770" s="11" t="n">
        <f aca="false">2*J1770/(2*J1770+L1770+K1770)</f>
        <v>0</v>
      </c>
      <c r="Q1770" s="11" t="n">
        <f aca="false">L1770/(L1770+M1770)</f>
        <v>0</v>
      </c>
      <c r="R1770" s="6" t="n">
        <v>0</v>
      </c>
      <c r="S1770" s="11"/>
      <c r="T1770" s="11" t="n">
        <v>0</v>
      </c>
      <c r="U1770" s="11" t="n">
        <v>0.95</v>
      </c>
      <c r="V1770" s="11" t="n">
        <v>0.95</v>
      </c>
    </row>
    <row r="1771" customFormat="false" ht="15" hidden="false" customHeight="false" outlineLevel="0" collapsed="false">
      <c r="A1771" s="6" t="s">
        <v>56</v>
      </c>
      <c r="B1771" s="6" t="s">
        <v>43</v>
      </c>
      <c r="C1771" s="6" t="s">
        <v>51</v>
      </c>
      <c r="D1771" s="6" t="s">
        <v>118</v>
      </c>
      <c r="E1771" s="6" t="n">
        <v>16</v>
      </c>
      <c r="F1771" s="6" t="n">
        <v>1</v>
      </c>
      <c r="G1771" s="6" t="s">
        <v>77</v>
      </c>
      <c r="H1771" s="11" t="n">
        <v>0.01</v>
      </c>
      <c r="I1771" s="6" t="n">
        <v>20</v>
      </c>
      <c r="J1771" s="6" t="n">
        <v>1</v>
      </c>
      <c r="K1771" s="6" t="n">
        <v>19</v>
      </c>
      <c r="L1771" s="6" t="n">
        <v>1</v>
      </c>
      <c r="M1771" s="6" t="n">
        <v>19</v>
      </c>
      <c r="N1771" s="11" t="n">
        <f aca="false">J1771/(J1771+K1771)</f>
        <v>0.05</v>
      </c>
      <c r="O1771" s="11" t="n">
        <f aca="false">IF(J1771+L1771=0,"",J1771/(J1771+L1771))</f>
        <v>0.5</v>
      </c>
      <c r="P1771" s="11" t="n">
        <f aca="false">2*J1771/(2*J1771+L1771+K1771)</f>
        <v>0.0909090909090909</v>
      </c>
      <c r="Q1771" s="11" t="n">
        <f aca="false">L1771/(L1771+M1771)</f>
        <v>0.05</v>
      </c>
      <c r="R1771" s="6" t="n">
        <v>0</v>
      </c>
      <c r="S1771" s="11"/>
      <c r="T1771" s="11" t="n">
        <v>0.05</v>
      </c>
      <c r="U1771" s="11" t="n">
        <v>1</v>
      </c>
      <c r="V1771" s="11" t="n">
        <v>1</v>
      </c>
    </row>
    <row r="1772" customFormat="false" ht="15" hidden="false" customHeight="false" outlineLevel="0" collapsed="false">
      <c r="A1772" s="6" t="s">
        <v>56</v>
      </c>
      <c r="B1772" s="6" t="s">
        <v>43</v>
      </c>
      <c r="C1772" s="6" t="s">
        <v>51</v>
      </c>
      <c r="D1772" s="6" t="s">
        <v>118</v>
      </c>
      <c r="E1772" s="6" t="n">
        <v>16</v>
      </c>
      <c r="F1772" s="6" t="n">
        <v>1</v>
      </c>
      <c r="G1772" s="6" t="s">
        <v>78</v>
      </c>
      <c r="H1772" s="11" t="n">
        <v>0.01</v>
      </c>
      <c r="I1772" s="6" t="n">
        <v>200</v>
      </c>
      <c r="J1772" s="6" t="n">
        <v>1</v>
      </c>
      <c r="K1772" s="6" t="n">
        <v>199</v>
      </c>
      <c r="L1772" s="6" t="n">
        <v>1</v>
      </c>
      <c r="M1772" s="6" t="n">
        <v>199</v>
      </c>
      <c r="N1772" s="11" t="n">
        <f aca="false">J1772/(J1772+K1772)</f>
        <v>0.005</v>
      </c>
      <c r="O1772" s="11" t="n">
        <f aca="false">IF(J1772+L1772=0,"",J1772/(J1772+L1772))</f>
        <v>0.5</v>
      </c>
      <c r="P1772" s="11" t="n">
        <f aca="false">2*J1772/(2*J1772+L1772+K1772)</f>
        <v>0.0099009900990099</v>
      </c>
      <c r="Q1772" s="11" t="n">
        <f aca="false">L1772/(L1772+M1772)</f>
        <v>0.005</v>
      </c>
      <c r="R1772" s="6" t="n">
        <v>0</v>
      </c>
      <c r="S1772" s="11"/>
      <c r="T1772" s="11" t="n">
        <v>0.005</v>
      </c>
      <c r="U1772" s="11" t="n">
        <v>0.88</v>
      </c>
      <c r="V1772" s="11" t="n">
        <v>0.88</v>
      </c>
    </row>
    <row r="1773" customFormat="false" ht="15" hidden="false" customHeight="false" outlineLevel="0" collapsed="false">
      <c r="A1773" s="6" t="s">
        <v>56</v>
      </c>
      <c r="B1773" s="6" t="s">
        <v>43</v>
      </c>
      <c r="C1773" s="6" t="s">
        <v>51</v>
      </c>
      <c r="D1773" s="6" t="s">
        <v>118</v>
      </c>
      <c r="E1773" s="6" t="n">
        <v>16</v>
      </c>
      <c r="F1773" s="6" t="n">
        <v>2</v>
      </c>
      <c r="G1773" s="6" t="s">
        <v>68</v>
      </c>
      <c r="H1773" s="11" t="n">
        <v>0.01</v>
      </c>
      <c r="I1773" s="6" t="n">
        <v>20</v>
      </c>
      <c r="J1773" s="6" t="n">
        <v>0</v>
      </c>
      <c r="K1773" s="6" t="n">
        <v>20</v>
      </c>
      <c r="L1773" s="6" t="n">
        <v>0</v>
      </c>
      <c r="M1773" s="6" t="n">
        <v>20</v>
      </c>
      <c r="N1773" s="11" t="n">
        <f aca="false">J1773/(J1773+K1773)</f>
        <v>0</v>
      </c>
      <c r="O1773" s="11" t="str">
        <f aca="false">IF(J1773+L1773=0,"",J1773/(J1773+L1773))</f>
        <v/>
      </c>
      <c r="P1773" s="11" t="n">
        <f aca="false">2*J1773/(2*J1773+L1773+K1773)</f>
        <v>0</v>
      </c>
      <c r="Q1773" s="11" t="n">
        <f aca="false">L1773/(L1773+M1773)</f>
        <v>0</v>
      </c>
      <c r="R1773" s="6" t="n">
        <v>0</v>
      </c>
      <c r="S1773" s="11"/>
      <c r="T1773" s="11" t="n">
        <v>0</v>
      </c>
      <c r="U1773" s="11" t="n">
        <v>0.85</v>
      </c>
      <c r="V1773" s="11" t="n">
        <v>0.85</v>
      </c>
    </row>
    <row r="1774" customFormat="false" ht="15" hidden="false" customHeight="false" outlineLevel="0" collapsed="false">
      <c r="A1774" s="6" t="s">
        <v>56</v>
      </c>
      <c r="B1774" s="6" t="s">
        <v>43</v>
      </c>
      <c r="C1774" s="6" t="s">
        <v>51</v>
      </c>
      <c r="D1774" s="6" t="s">
        <v>118</v>
      </c>
      <c r="E1774" s="6" t="n">
        <v>16</v>
      </c>
      <c r="F1774" s="6" t="n">
        <v>2</v>
      </c>
      <c r="G1774" s="6" t="s">
        <v>69</v>
      </c>
      <c r="H1774" s="11" t="n">
        <v>0.01</v>
      </c>
      <c r="I1774" s="6" t="n">
        <v>20</v>
      </c>
      <c r="J1774" s="6" t="n">
        <v>0</v>
      </c>
      <c r="K1774" s="6" t="n">
        <v>20</v>
      </c>
      <c r="L1774" s="6" t="n">
        <v>0</v>
      </c>
      <c r="M1774" s="6" t="n">
        <v>20</v>
      </c>
      <c r="N1774" s="11" t="n">
        <f aca="false">J1774/(J1774+K1774)</f>
        <v>0</v>
      </c>
      <c r="O1774" s="11" t="str">
        <f aca="false">IF(J1774+L1774=0,"",J1774/(J1774+L1774))</f>
        <v/>
      </c>
      <c r="P1774" s="11" t="n">
        <f aca="false">2*J1774/(2*J1774+L1774+K1774)</f>
        <v>0</v>
      </c>
      <c r="Q1774" s="11" t="n">
        <f aca="false">L1774/(L1774+M1774)</f>
        <v>0</v>
      </c>
      <c r="R1774" s="6" t="n">
        <v>0</v>
      </c>
      <c r="S1774" s="11"/>
      <c r="T1774" s="11" t="n">
        <v>0</v>
      </c>
      <c r="U1774" s="11" t="n">
        <v>1</v>
      </c>
      <c r="V1774" s="11" t="n">
        <v>1</v>
      </c>
    </row>
    <row r="1775" customFormat="false" ht="15" hidden="false" customHeight="false" outlineLevel="0" collapsed="false">
      <c r="A1775" s="6" t="s">
        <v>56</v>
      </c>
      <c r="B1775" s="6" t="s">
        <v>43</v>
      </c>
      <c r="C1775" s="6" t="s">
        <v>51</v>
      </c>
      <c r="D1775" s="6" t="s">
        <v>118</v>
      </c>
      <c r="E1775" s="6" t="n">
        <v>16</v>
      </c>
      <c r="F1775" s="6" t="n">
        <v>2</v>
      </c>
      <c r="G1775" s="6" t="s">
        <v>70</v>
      </c>
      <c r="H1775" s="11" t="n">
        <v>0.01</v>
      </c>
      <c r="I1775" s="6" t="n">
        <v>20</v>
      </c>
      <c r="J1775" s="6" t="n">
        <v>0</v>
      </c>
      <c r="K1775" s="6" t="n">
        <v>20</v>
      </c>
      <c r="L1775" s="6" t="n">
        <v>0</v>
      </c>
      <c r="M1775" s="6" t="n">
        <v>20</v>
      </c>
      <c r="N1775" s="11" t="n">
        <f aca="false">J1775/(J1775+K1775)</f>
        <v>0</v>
      </c>
      <c r="O1775" s="11" t="str">
        <f aca="false">IF(J1775+L1775=0,"",J1775/(J1775+L1775))</f>
        <v/>
      </c>
      <c r="P1775" s="11" t="n">
        <f aca="false">2*J1775/(2*J1775+L1775+K1775)</f>
        <v>0</v>
      </c>
      <c r="Q1775" s="11" t="n">
        <f aca="false">L1775/(L1775+M1775)</f>
        <v>0</v>
      </c>
      <c r="R1775" s="6" t="n">
        <v>0</v>
      </c>
      <c r="S1775" s="11"/>
      <c r="T1775" s="11" t="n">
        <v>0</v>
      </c>
      <c r="U1775" s="11" t="n">
        <v>0.9</v>
      </c>
      <c r="V1775" s="11" t="n">
        <v>0.9</v>
      </c>
    </row>
    <row r="1776" customFormat="false" ht="15" hidden="false" customHeight="false" outlineLevel="0" collapsed="false">
      <c r="A1776" s="6" t="s">
        <v>56</v>
      </c>
      <c r="B1776" s="6" t="s">
        <v>43</v>
      </c>
      <c r="C1776" s="6" t="s">
        <v>51</v>
      </c>
      <c r="D1776" s="6" t="s">
        <v>118</v>
      </c>
      <c r="E1776" s="6" t="n">
        <v>16</v>
      </c>
      <c r="F1776" s="6" t="n">
        <v>2</v>
      </c>
      <c r="G1776" s="6" t="s">
        <v>71</v>
      </c>
      <c r="H1776" s="11" t="n">
        <v>0.01</v>
      </c>
      <c r="I1776" s="6" t="n">
        <v>20</v>
      </c>
      <c r="J1776" s="6" t="n">
        <v>0</v>
      </c>
      <c r="K1776" s="6" t="n">
        <v>20</v>
      </c>
      <c r="L1776" s="6" t="n">
        <v>0</v>
      </c>
      <c r="M1776" s="6" t="n">
        <v>20</v>
      </c>
      <c r="N1776" s="11" t="n">
        <f aca="false">J1776/(J1776+K1776)</f>
        <v>0</v>
      </c>
      <c r="O1776" s="11" t="str">
        <f aca="false">IF(J1776+L1776=0,"",J1776/(J1776+L1776))</f>
        <v/>
      </c>
      <c r="P1776" s="11" t="n">
        <f aca="false">2*J1776/(2*J1776+L1776+K1776)</f>
        <v>0</v>
      </c>
      <c r="Q1776" s="11" t="n">
        <f aca="false">L1776/(L1776+M1776)</f>
        <v>0</v>
      </c>
      <c r="R1776" s="6" t="n">
        <v>0</v>
      </c>
      <c r="S1776" s="11"/>
      <c r="T1776" s="11" t="n">
        <v>0</v>
      </c>
      <c r="U1776" s="11" t="n">
        <v>0.8</v>
      </c>
      <c r="V1776" s="11" t="n">
        <v>0.8</v>
      </c>
    </row>
    <row r="1777" customFormat="false" ht="15" hidden="false" customHeight="false" outlineLevel="0" collapsed="false">
      <c r="A1777" s="6" t="s">
        <v>56</v>
      </c>
      <c r="B1777" s="6" t="s">
        <v>43</v>
      </c>
      <c r="C1777" s="6" t="s">
        <v>51</v>
      </c>
      <c r="D1777" s="6" t="s">
        <v>118</v>
      </c>
      <c r="E1777" s="6" t="n">
        <v>16</v>
      </c>
      <c r="F1777" s="6" t="n">
        <v>2</v>
      </c>
      <c r="G1777" s="6" t="s">
        <v>72</v>
      </c>
      <c r="H1777" s="11" t="n">
        <v>0.01</v>
      </c>
      <c r="I1777" s="6" t="n">
        <v>20</v>
      </c>
      <c r="J1777" s="6" t="n">
        <v>0</v>
      </c>
      <c r="K1777" s="6" t="n">
        <v>20</v>
      </c>
      <c r="L1777" s="6" t="n">
        <v>0</v>
      </c>
      <c r="M1777" s="6" t="n">
        <v>20</v>
      </c>
      <c r="N1777" s="11" t="n">
        <f aca="false">J1777/(J1777+K1777)</f>
        <v>0</v>
      </c>
      <c r="O1777" s="11" t="str">
        <f aca="false">IF(J1777+L1777=0,"",J1777/(J1777+L1777))</f>
        <v/>
      </c>
      <c r="P1777" s="11" t="n">
        <f aca="false">2*J1777/(2*J1777+L1777+K1777)</f>
        <v>0</v>
      </c>
      <c r="Q1777" s="11" t="n">
        <f aca="false">L1777/(L1777+M1777)</f>
        <v>0</v>
      </c>
      <c r="R1777" s="6" t="n">
        <v>0</v>
      </c>
      <c r="S1777" s="11"/>
      <c r="T1777" s="11" t="n">
        <v>0</v>
      </c>
      <c r="U1777" s="11" t="n">
        <v>0.9</v>
      </c>
      <c r="V1777" s="11" t="n">
        <v>0.9</v>
      </c>
    </row>
    <row r="1778" customFormat="false" ht="15" hidden="false" customHeight="false" outlineLevel="0" collapsed="false">
      <c r="A1778" s="6" t="s">
        <v>56</v>
      </c>
      <c r="B1778" s="6" t="s">
        <v>43</v>
      </c>
      <c r="C1778" s="6" t="s">
        <v>51</v>
      </c>
      <c r="D1778" s="6" t="s">
        <v>118</v>
      </c>
      <c r="E1778" s="6" t="n">
        <v>16</v>
      </c>
      <c r="F1778" s="6" t="n">
        <v>2</v>
      </c>
      <c r="G1778" s="6" t="s">
        <v>73</v>
      </c>
      <c r="H1778" s="11" t="n">
        <v>0.01</v>
      </c>
      <c r="I1778" s="6" t="n">
        <v>20</v>
      </c>
      <c r="J1778" s="6" t="n">
        <v>0</v>
      </c>
      <c r="K1778" s="6" t="n">
        <v>20</v>
      </c>
      <c r="L1778" s="6" t="n">
        <v>0</v>
      </c>
      <c r="M1778" s="6" t="n">
        <v>20</v>
      </c>
      <c r="N1778" s="11" t="n">
        <f aca="false">J1778/(J1778+K1778)</f>
        <v>0</v>
      </c>
      <c r="O1778" s="11" t="str">
        <f aca="false">IF(J1778+L1778=0,"",J1778/(J1778+L1778))</f>
        <v/>
      </c>
      <c r="P1778" s="11" t="n">
        <f aca="false">2*J1778/(2*J1778+L1778+K1778)</f>
        <v>0</v>
      </c>
      <c r="Q1778" s="11" t="n">
        <f aca="false">L1778/(L1778+M1778)</f>
        <v>0</v>
      </c>
      <c r="R1778" s="6" t="n">
        <v>0</v>
      </c>
      <c r="S1778" s="11"/>
      <c r="T1778" s="11" t="n">
        <v>0</v>
      </c>
      <c r="U1778" s="11" t="n">
        <v>0.65</v>
      </c>
      <c r="V1778" s="11" t="n">
        <v>0.65</v>
      </c>
    </row>
    <row r="1779" customFormat="false" ht="15" hidden="false" customHeight="false" outlineLevel="0" collapsed="false">
      <c r="A1779" s="6" t="s">
        <v>56</v>
      </c>
      <c r="B1779" s="6" t="s">
        <v>43</v>
      </c>
      <c r="C1779" s="6" t="s">
        <v>51</v>
      </c>
      <c r="D1779" s="6" t="s">
        <v>118</v>
      </c>
      <c r="E1779" s="6" t="n">
        <v>16</v>
      </c>
      <c r="F1779" s="6" t="n">
        <v>2</v>
      </c>
      <c r="G1779" s="6" t="s">
        <v>74</v>
      </c>
      <c r="H1779" s="11" t="n">
        <v>0.01</v>
      </c>
      <c r="I1779" s="6" t="n">
        <v>20</v>
      </c>
      <c r="J1779" s="6" t="n">
        <v>0</v>
      </c>
      <c r="K1779" s="6" t="n">
        <v>20</v>
      </c>
      <c r="L1779" s="6" t="n">
        <v>0</v>
      </c>
      <c r="M1779" s="6" t="n">
        <v>20</v>
      </c>
      <c r="N1779" s="11" t="n">
        <f aca="false">J1779/(J1779+K1779)</f>
        <v>0</v>
      </c>
      <c r="O1779" s="11" t="str">
        <f aca="false">IF(J1779+L1779=0,"",J1779/(J1779+L1779))</f>
        <v/>
      </c>
      <c r="P1779" s="11" t="n">
        <f aca="false">2*J1779/(2*J1779+L1779+K1779)</f>
        <v>0</v>
      </c>
      <c r="Q1779" s="11" t="n">
        <f aca="false">L1779/(L1779+M1779)</f>
        <v>0</v>
      </c>
      <c r="R1779" s="6" t="n">
        <v>0</v>
      </c>
      <c r="S1779" s="11"/>
      <c r="T1779" s="11" t="n">
        <v>0</v>
      </c>
      <c r="U1779" s="11" t="n">
        <v>0.85</v>
      </c>
      <c r="V1779" s="11" t="n">
        <v>0.85</v>
      </c>
    </row>
    <row r="1780" customFormat="false" ht="15" hidden="false" customHeight="false" outlineLevel="0" collapsed="false">
      <c r="A1780" s="6" t="s">
        <v>56</v>
      </c>
      <c r="B1780" s="6" t="s">
        <v>43</v>
      </c>
      <c r="C1780" s="6" t="s">
        <v>51</v>
      </c>
      <c r="D1780" s="6" t="s">
        <v>118</v>
      </c>
      <c r="E1780" s="6" t="n">
        <v>16</v>
      </c>
      <c r="F1780" s="6" t="n">
        <v>2</v>
      </c>
      <c r="G1780" s="6" t="s">
        <v>75</v>
      </c>
      <c r="H1780" s="11" t="n">
        <v>0.01</v>
      </c>
      <c r="I1780" s="6" t="n">
        <v>20</v>
      </c>
      <c r="J1780" s="6" t="n">
        <v>0</v>
      </c>
      <c r="K1780" s="6" t="n">
        <v>20</v>
      </c>
      <c r="L1780" s="6" t="n">
        <v>0</v>
      </c>
      <c r="M1780" s="6" t="n">
        <v>20</v>
      </c>
      <c r="N1780" s="11" t="n">
        <f aca="false">J1780/(J1780+K1780)</f>
        <v>0</v>
      </c>
      <c r="O1780" s="11" t="str">
        <f aca="false">IF(J1780+L1780=0,"",J1780/(J1780+L1780))</f>
        <v/>
      </c>
      <c r="P1780" s="11" t="n">
        <f aca="false">2*J1780/(2*J1780+L1780+K1780)</f>
        <v>0</v>
      </c>
      <c r="Q1780" s="11" t="n">
        <f aca="false">L1780/(L1780+M1780)</f>
        <v>0</v>
      </c>
      <c r="R1780" s="6" t="n">
        <v>0</v>
      </c>
      <c r="S1780" s="11"/>
      <c r="T1780" s="11" t="n">
        <v>0</v>
      </c>
      <c r="U1780" s="11" t="n">
        <v>0.9</v>
      </c>
      <c r="V1780" s="11" t="n">
        <v>0.9</v>
      </c>
    </row>
    <row r="1781" customFormat="false" ht="15" hidden="false" customHeight="false" outlineLevel="0" collapsed="false">
      <c r="A1781" s="6" t="s">
        <v>56</v>
      </c>
      <c r="B1781" s="6" t="s">
        <v>43</v>
      </c>
      <c r="C1781" s="6" t="s">
        <v>51</v>
      </c>
      <c r="D1781" s="6" t="s">
        <v>118</v>
      </c>
      <c r="E1781" s="6" t="n">
        <v>16</v>
      </c>
      <c r="F1781" s="6" t="n">
        <v>2</v>
      </c>
      <c r="G1781" s="6" t="s">
        <v>76</v>
      </c>
      <c r="H1781" s="11" t="n">
        <v>0.01</v>
      </c>
      <c r="I1781" s="6" t="n">
        <v>20</v>
      </c>
      <c r="J1781" s="6" t="n">
        <v>0</v>
      </c>
      <c r="K1781" s="6" t="n">
        <v>20</v>
      </c>
      <c r="L1781" s="6" t="n">
        <v>0</v>
      </c>
      <c r="M1781" s="6" t="n">
        <v>20</v>
      </c>
      <c r="N1781" s="11" t="n">
        <f aca="false">J1781/(J1781+K1781)</f>
        <v>0</v>
      </c>
      <c r="O1781" s="11" t="str">
        <f aca="false">IF(J1781+L1781=0,"",J1781/(J1781+L1781))</f>
        <v/>
      </c>
      <c r="P1781" s="11" t="n">
        <f aca="false">2*J1781/(2*J1781+L1781+K1781)</f>
        <v>0</v>
      </c>
      <c r="Q1781" s="11" t="n">
        <f aca="false">L1781/(L1781+M1781)</f>
        <v>0</v>
      </c>
      <c r="R1781" s="6" t="n">
        <v>0</v>
      </c>
      <c r="S1781" s="11"/>
      <c r="T1781" s="11" t="n">
        <v>0</v>
      </c>
      <c r="U1781" s="11" t="n">
        <v>0.95</v>
      </c>
      <c r="V1781" s="11" t="n">
        <v>0.95</v>
      </c>
    </row>
    <row r="1782" customFormat="false" ht="15" hidden="false" customHeight="false" outlineLevel="0" collapsed="false">
      <c r="A1782" s="6" t="s">
        <v>56</v>
      </c>
      <c r="B1782" s="6" t="s">
        <v>43</v>
      </c>
      <c r="C1782" s="6" t="s">
        <v>51</v>
      </c>
      <c r="D1782" s="6" t="s">
        <v>118</v>
      </c>
      <c r="E1782" s="6" t="n">
        <v>16</v>
      </c>
      <c r="F1782" s="6" t="n">
        <v>2</v>
      </c>
      <c r="G1782" s="6" t="s">
        <v>77</v>
      </c>
      <c r="H1782" s="11" t="n">
        <v>0.01</v>
      </c>
      <c r="I1782" s="6" t="n">
        <v>20</v>
      </c>
      <c r="J1782" s="6" t="n">
        <v>1</v>
      </c>
      <c r="K1782" s="6" t="n">
        <v>19</v>
      </c>
      <c r="L1782" s="6" t="n">
        <v>1</v>
      </c>
      <c r="M1782" s="6" t="n">
        <v>19</v>
      </c>
      <c r="N1782" s="11" t="n">
        <f aca="false">J1782/(J1782+K1782)</f>
        <v>0.05</v>
      </c>
      <c r="O1782" s="11" t="n">
        <f aca="false">IF(J1782+L1782=0,"",J1782/(J1782+L1782))</f>
        <v>0.5</v>
      </c>
      <c r="P1782" s="11" t="n">
        <f aca="false">2*J1782/(2*J1782+L1782+K1782)</f>
        <v>0.0909090909090909</v>
      </c>
      <c r="Q1782" s="11" t="n">
        <f aca="false">L1782/(L1782+M1782)</f>
        <v>0.05</v>
      </c>
      <c r="R1782" s="6" t="n">
        <v>0</v>
      </c>
      <c r="S1782" s="11"/>
      <c r="T1782" s="11" t="n">
        <v>0.05</v>
      </c>
      <c r="U1782" s="11" t="n">
        <v>1</v>
      </c>
      <c r="V1782" s="11" t="n">
        <v>1</v>
      </c>
    </row>
    <row r="1783" customFormat="false" ht="15" hidden="false" customHeight="false" outlineLevel="0" collapsed="false">
      <c r="A1783" s="6" t="s">
        <v>56</v>
      </c>
      <c r="B1783" s="6" t="s">
        <v>43</v>
      </c>
      <c r="C1783" s="6" t="s">
        <v>51</v>
      </c>
      <c r="D1783" s="6" t="s">
        <v>118</v>
      </c>
      <c r="E1783" s="6" t="n">
        <v>16</v>
      </c>
      <c r="F1783" s="6" t="n">
        <v>2</v>
      </c>
      <c r="G1783" s="6" t="s">
        <v>78</v>
      </c>
      <c r="H1783" s="11" t="n">
        <v>0.01</v>
      </c>
      <c r="I1783" s="6" t="n">
        <v>200</v>
      </c>
      <c r="J1783" s="6" t="n">
        <v>1</v>
      </c>
      <c r="K1783" s="6" t="n">
        <v>199</v>
      </c>
      <c r="L1783" s="6" t="n">
        <v>1</v>
      </c>
      <c r="M1783" s="6" t="n">
        <v>199</v>
      </c>
      <c r="N1783" s="11" t="n">
        <f aca="false">J1783/(J1783+K1783)</f>
        <v>0.005</v>
      </c>
      <c r="O1783" s="11" t="n">
        <f aca="false">IF(J1783+L1783=0,"",J1783/(J1783+L1783))</f>
        <v>0.5</v>
      </c>
      <c r="P1783" s="11" t="n">
        <f aca="false">2*J1783/(2*J1783+L1783+K1783)</f>
        <v>0.0099009900990099</v>
      </c>
      <c r="Q1783" s="11" t="n">
        <f aca="false">L1783/(L1783+M1783)</f>
        <v>0.005</v>
      </c>
      <c r="R1783" s="6" t="n">
        <v>0</v>
      </c>
      <c r="S1783" s="11"/>
      <c r="T1783" s="11" t="n">
        <v>0.005</v>
      </c>
      <c r="U1783" s="11" t="n">
        <v>0.88</v>
      </c>
      <c r="V1783" s="11" t="n">
        <v>0.88</v>
      </c>
    </row>
    <row r="1784" customFormat="false" ht="15" hidden="false" customHeight="false" outlineLevel="0" collapsed="false">
      <c r="A1784" s="6" t="s">
        <v>56</v>
      </c>
      <c r="B1784" s="6" t="s">
        <v>43</v>
      </c>
      <c r="C1784" s="6" t="s">
        <v>51</v>
      </c>
      <c r="D1784" s="6" t="s">
        <v>118</v>
      </c>
      <c r="E1784" s="6" t="n">
        <v>16</v>
      </c>
      <c r="F1784" s="6" t="n">
        <v>3</v>
      </c>
      <c r="G1784" s="6" t="s">
        <v>68</v>
      </c>
      <c r="H1784" s="11" t="n">
        <v>0.01</v>
      </c>
      <c r="I1784" s="6" t="n">
        <v>20</v>
      </c>
      <c r="J1784" s="6" t="n">
        <v>0</v>
      </c>
      <c r="K1784" s="6" t="n">
        <v>20</v>
      </c>
      <c r="L1784" s="6" t="n">
        <v>0</v>
      </c>
      <c r="M1784" s="6" t="n">
        <v>20</v>
      </c>
      <c r="N1784" s="11" t="n">
        <f aca="false">J1784/(J1784+K1784)</f>
        <v>0</v>
      </c>
      <c r="O1784" s="11" t="str">
        <f aca="false">IF(J1784+L1784=0,"",J1784/(J1784+L1784))</f>
        <v/>
      </c>
      <c r="P1784" s="11" t="n">
        <f aca="false">2*J1784/(2*J1784+L1784+K1784)</f>
        <v>0</v>
      </c>
      <c r="Q1784" s="11" t="n">
        <f aca="false">L1784/(L1784+M1784)</f>
        <v>0</v>
      </c>
      <c r="R1784" s="6" t="n">
        <v>0</v>
      </c>
      <c r="S1784" s="11"/>
      <c r="T1784" s="11" t="n">
        <v>0</v>
      </c>
      <c r="U1784" s="11" t="n">
        <v>0.85</v>
      </c>
      <c r="V1784" s="11" t="n">
        <v>0.85</v>
      </c>
    </row>
    <row r="1785" customFormat="false" ht="15" hidden="false" customHeight="false" outlineLevel="0" collapsed="false">
      <c r="A1785" s="6" t="s">
        <v>56</v>
      </c>
      <c r="B1785" s="6" t="s">
        <v>43</v>
      </c>
      <c r="C1785" s="6" t="s">
        <v>51</v>
      </c>
      <c r="D1785" s="6" t="s">
        <v>118</v>
      </c>
      <c r="E1785" s="6" t="n">
        <v>16</v>
      </c>
      <c r="F1785" s="6" t="n">
        <v>3</v>
      </c>
      <c r="G1785" s="6" t="s">
        <v>69</v>
      </c>
      <c r="H1785" s="11" t="n">
        <v>0.01</v>
      </c>
      <c r="I1785" s="6" t="n">
        <v>20</v>
      </c>
      <c r="J1785" s="6" t="n">
        <v>0</v>
      </c>
      <c r="K1785" s="6" t="n">
        <v>20</v>
      </c>
      <c r="L1785" s="6" t="n">
        <v>0</v>
      </c>
      <c r="M1785" s="6" t="n">
        <v>20</v>
      </c>
      <c r="N1785" s="11" t="n">
        <f aca="false">J1785/(J1785+K1785)</f>
        <v>0</v>
      </c>
      <c r="O1785" s="11" t="str">
        <f aca="false">IF(J1785+L1785=0,"",J1785/(J1785+L1785))</f>
        <v/>
      </c>
      <c r="P1785" s="11" t="n">
        <f aca="false">2*J1785/(2*J1785+L1785+K1785)</f>
        <v>0</v>
      </c>
      <c r="Q1785" s="11" t="n">
        <f aca="false">L1785/(L1785+M1785)</f>
        <v>0</v>
      </c>
      <c r="R1785" s="6" t="n">
        <v>0</v>
      </c>
      <c r="S1785" s="11"/>
      <c r="T1785" s="11" t="n">
        <v>0</v>
      </c>
      <c r="U1785" s="11" t="n">
        <v>1</v>
      </c>
      <c r="V1785" s="11" t="n">
        <v>1</v>
      </c>
    </row>
    <row r="1786" customFormat="false" ht="15" hidden="false" customHeight="false" outlineLevel="0" collapsed="false">
      <c r="A1786" s="6" t="s">
        <v>56</v>
      </c>
      <c r="B1786" s="6" t="s">
        <v>43</v>
      </c>
      <c r="C1786" s="6" t="s">
        <v>51</v>
      </c>
      <c r="D1786" s="6" t="s">
        <v>118</v>
      </c>
      <c r="E1786" s="6" t="n">
        <v>16</v>
      </c>
      <c r="F1786" s="6" t="n">
        <v>3</v>
      </c>
      <c r="G1786" s="6" t="s">
        <v>70</v>
      </c>
      <c r="H1786" s="11" t="n">
        <v>0.01</v>
      </c>
      <c r="I1786" s="6" t="n">
        <v>20</v>
      </c>
      <c r="J1786" s="6" t="n">
        <v>0</v>
      </c>
      <c r="K1786" s="6" t="n">
        <v>20</v>
      </c>
      <c r="L1786" s="6" t="n">
        <v>0</v>
      </c>
      <c r="M1786" s="6" t="n">
        <v>20</v>
      </c>
      <c r="N1786" s="11" t="n">
        <f aca="false">J1786/(J1786+K1786)</f>
        <v>0</v>
      </c>
      <c r="O1786" s="11" t="str">
        <f aca="false">IF(J1786+L1786=0,"",J1786/(J1786+L1786))</f>
        <v/>
      </c>
      <c r="P1786" s="11" t="n">
        <f aca="false">2*J1786/(2*J1786+L1786+K1786)</f>
        <v>0</v>
      </c>
      <c r="Q1786" s="11" t="n">
        <f aca="false">L1786/(L1786+M1786)</f>
        <v>0</v>
      </c>
      <c r="R1786" s="6" t="n">
        <v>0</v>
      </c>
      <c r="S1786" s="11"/>
      <c r="T1786" s="11" t="n">
        <v>0</v>
      </c>
      <c r="U1786" s="11" t="n">
        <v>0.9</v>
      </c>
      <c r="V1786" s="11" t="n">
        <v>0.9</v>
      </c>
    </row>
    <row r="1787" customFormat="false" ht="15" hidden="false" customHeight="false" outlineLevel="0" collapsed="false">
      <c r="A1787" s="6" t="s">
        <v>56</v>
      </c>
      <c r="B1787" s="6" t="s">
        <v>43</v>
      </c>
      <c r="C1787" s="6" t="s">
        <v>51</v>
      </c>
      <c r="D1787" s="6" t="s">
        <v>118</v>
      </c>
      <c r="E1787" s="6" t="n">
        <v>16</v>
      </c>
      <c r="F1787" s="6" t="n">
        <v>3</v>
      </c>
      <c r="G1787" s="6" t="s">
        <v>71</v>
      </c>
      <c r="H1787" s="11" t="n">
        <v>0.01</v>
      </c>
      <c r="I1787" s="6" t="n">
        <v>20</v>
      </c>
      <c r="J1787" s="6" t="n">
        <v>0</v>
      </c>
      <c r="K1787" s="6" t="n">
        <v>20</v>
      </c>
      <c r="L1787" s="6" t="n">
        <v>0</v>
      </c>
      <c r="M1787" s="6" t="n">
        <v>20</v>
      </c>
      <c r="N1787" s="11" t="n">
        <f aca="false">J1787/(J1787+K1787)</f>
        <v>0</v>
      </c>
      <c r="O1787" s="11" t="str">
        <f aca="false">IF(J1787+L1787=0,"",J1787/(J1787+L1787))</f>
        <v/>
      </c>
      <c r="P1787" s="11" t="n">
        <f aca="false">2*J1787/(2*J1787+L1787+K1787)</f>
        <v>0</v>
      </c>
      <c r="Q1787" s="11" t="n">
        <f aca="false">L1787/(L1787+M1787)</f>
        <v>0</v>
      </c>
      <c r="R1787" s="6" t="n">
        <v>0</v>
      </c>
      <c r="S1787" s="11"/>
      <c r="T1787" s="11" t="n">
        <v>0</v>
      </c>
      <c r="U1787" s="11" t="n">
        <v>0.8</v>
      </c>
      <c r="V1787" s="11" t="n">
        <v>0.8</v>
      </c>
    </row>
    <row r="1788" customFormat="false" ht="15" hidden="false" customHeight="false" outlineLevel="0" collapsed="false">
      <c r="A1788" s="6" t="s">
        <v>56</v>
      </c>
      <c r="B1788" s="6" t="s">
        <v>43</v>
      </c>
      <c r="C1788" s="6" t="s">
        <v>51</v>
      </c>
      <c r="D1788" s="6" t="s">
        <v>118</v>
      </c>
      <c r="E1788" s="6" t="n">
        <v>16</v>
      </c>
      <c r="F1788" s="6" t="n">
        <v>3</v>
      </c>
      <c r="G1788" s="6" t="s">
        <v>72</v>
      </c>
      <c r="H1788" s="11" t="n">
        <v>0.01</v>
      </c>
      <c r="I1788" s="6" t="n">
        <v>20</v>
      </c>
      <c r="J1788" s="6" t="n">
        <v>0</v>
      </c>
      <c r="K1788" s="6" t="n">
        <v>20</v>
      </c>
      <c r="L1788" s="6" t="n">
        <v>0</v>
      </c>
      <c r="M1788" s="6" t="n">
        <v>20</v>
      </c>
      <c r="N1788" s="11" t="n">
        <f aca="false">J1788/(J1788+K1788)</f>
        <v>0</v>
      </c>
      <c r="O1788" s="11" t="str">
        <f aca="false">IF(J1788+L1788=0,"",J1788/(J1788+L1788))</f>
        <v/>
      </c>
      <c r="P1788" s="11" t="n">
        <f aca="false">2*J1788/(2*J1788+L1788+K1788)</f>
        <v>0</v>
      </c>
      <c r="Q1788" s="11" t="n">
        <f aca="false">L1788/(L1788+M1788)</f>
        <v>0</v>
      </c>
      <c r="R1788" s="6" t="n">
        <v>0</v>
      </c>
      <c r="S1788" s="11"/>
      <c r="T1788" s="11" t="n">
        <v>0</v>
      </c>
      <c r="U1788" s="11" t="n">
        <v>0.9</v>
      </c>
      <c r="V1788" s="11" t="n">
        <v>0.9</v>
      </c>
    </row>
    <row r="1789" customFormat="false" ht="15" hidden="false" customHeight="false" outlineLevel="0" collapsed="false">
      <c r="A1789" s="6" t="s">
        <v>56</v>
      </c>
      <c r="B1789" s="6" t="s">
        <v>43</v>
      </c>
      <c r="C1789" s="6" t="s">
        <v>51</v>
      </c>
      <c r="D1789" s="6" t="s">
        <v>118</v>
      </c>
      <c r="E1789" s="6" t="n">
        <v>16</v>
      </c>
      <c r="F1789" s="6" t="n">
        <v>3</v>
      </c>
      <c r="G1789" s="6" t="s">
        <v>73</v>
      </c>
      <c r="H1789" s="11" t="n">
        <v>0.01</v>
      </c>
      <c r="I1789" s="6" t="n">
        <v>20</v>
      </c>
      <c r="J1789" s="6" t="n">
        <v>0</v>
      </c>
      <c r="K1789" s="6" t="n">
        <v>20</v>
      </c>
      <c r="L1789" s="6" t="n">
        <v>0</v>
      </c>
      <c r="M1789" s="6" t="n">
        <v>20</v>
      </c>
      <c r="N1789" s="11" t="n">
        <f aca="false">J1789/(J1789+K1789)</f>
        <v>0</v>
      </c>
      <c r="O1789" s="11" t="str">
        <f aca="false">IF(J1789+L1789=0,"",J1789/(J1789+L1789))</f>
        <v/>
      </c>
      <c r="P1789" s="11" t="n">
        <f aca="false">2*J1789/(2*J1789+L1789+K1789)</f>
        <v>0</v>
      </c>
      <c r="Q1789" s="11" t="n">
        <f aca="false">L1789/(L1789+M1789)</f>
        <v>0</v>
      </c>
      <c r="R1789" s="6" t="n">
        <v>0</v>
      </c>
      <c r="S1789" s="11"/>
      <c r="T1789" s="11" t="n">
        <v>0</v>
      </c>
      <c r="U1789" s="11" t="n">
        <v>0.65</v>
      </c>
      <c r="V1789" s="11" t="n">
        <v>0.65</v>
      </c>
    </row>
    <row r="1790" customFormat="false" ht="15" hidden="false" customHeight="false" outlineLevel="0" collapsed="false">
      <c r="A1790" s="6" t="s">
        <v>56</v>
      </c>
      <c r="B1790" s="6" t="s">
        <v>43</v>
      </c>
      <c r="C1790" s="6" t="s">
        <v>51</v>
      </c>
      <c r="D1790" s="6" t="s">
        <v>118</v>
      </c>
      <c r="E1790" s="6" t="n">
        <v>16</v>
      </c>
      <c r="F1790" s="6" t="n">
        <v>3</v>
      </c>
      <c r="G1790" s="6" t="s">
        <v>74</v>
      </c>
      <c r="H1790" s="11" t="n">
        <v>0.01</v>
      </c>
      <c r="I1790" s="6" t="n">
        <v>20</v>
      </c>
      <c r="J1790" s="6" t="n">
        <v>0</v>
      </c>
      <c r="K1790" s="6" t="n">
        <v>20</v>
      </c>
      <c r="L1790" s="6" t="n">
        <v>0</v>
      </c>
      <c r="M1790" s="6" t="n">
        <v>20</v>
      </c>
      <c r="N1790" s="11" t="n">
        <f aca="false">J1790/(J1790+K1790)</f>
        <v>0</v>
      </c>
      <c r="O1790" s="11" t="str">
        <f aca="false">IF(J1790+L1790=0,"",J1790/(J1790+L1790))</f>
        <v/>
      </c>
      <c r="P1790" s="11" t="n">
        <f aca="false">2*J1790/(2*J1790+L1790+K1790)</f>
        <v>0</v>
      </c>
      <c r="Q1790" s="11" t="n">
        <f aca="false">L1790/(L1790+M1790)</f>
        <v>0</v>
      </c>
      <c r="R1790" s="6" t="n">
        <v>0</v>
      </c>
      <c r="S1790" s="11"/>
      <c r="T1790" s="11" t="n">
        <v>0</v>
      </c>
      <c r="U1790" s="11" t="n">
        <v>0.85</v>
      </c>
      <c r="V1790" s="11" t="n">
        <v>0.85</v>
      </c>
    </row>
    <row r="1791" customFormat="false" ht="15" hidden="false" customHeight="false" outlineLevel="0" collapsed="false">
      <c r="A1791" s="6" t="s">
        <v>56</v>
      </c>
      <c r="B1791" s="6" t="s">
        <v>43</v>
      </c>
      <c r="C1791" s="6" t="s">
        <v>51</v>
      </c>
      <c r="D1791" s="6" t="s">
        <v>118</v>
      </c>
      <c r="E1791" s="6" t="n">
        <v>16</v>
      </c>
      <c r="F1791" s="6" t="n">
        <v>3</v>
      </c>
      <c r="G1791" s="6" t="s">
        <v>75</v>
      </c>
      <c r="H1791" s="11" t="n">
        <v>0.01</v>
      </c>
      <c r="I1791" s="6" t="n">
        <v>20</v>
      </c>
      <c r="J1791" s="6" t="n">
        <v>0</v>
      </c>
      <c r="K1791" s="6" t="n">
        <v>20</v>
      </c>
      <c r="L1791" s="6" t="n">
        <v>0</v>
      </c>
      <c r="M1791" s="6" t="n">
        <v>20</v>
      </c>
      <c r="N1791" s="11" t="n">
        <f aca="false">J1791/(J1791+K1791)</f>
        <v>0</v>
      </c>
      <c r="O1791" s="11" t="str">
        <f aca="false">IF(J1791+L1791=0,"",J1791/(J1791+L1791))</f>
        <v/>
      </c>
      <c r="P1791" s="11" t="n">
        <f aca="false">2*J1791/(2*J1791+L1791+K1791)</f>
        <v>0</v>
      </c>
      <c r="Q1791" s="11" t="n">
        <f aca="false">L1791/(L1791+M1791)</f>
        <v>0</v>
      </c>
      <c r="R1791" s="6" t="n">
        <v>0</v>
      </c>
      <c r="S1791" s="11"/>
      <c r="T1791" s="11" t="n">
        <v>0</v>
      </c>
      <c r="U1791" s="11" t="n">
        <v>0.9</v>
      </c>
      <c r="V1791" s="11" t="n">
        <v>0.9</v>
      </c>
    </row>
    <row r="1792" customFormat="false" ht="15" hidden="false" customHeight="false" outlineLevel="0" collapsed="false">
      <c r="A1792" s="6" t="s">
        <v>56</v>
      </c>
      <c r="B1792" s="6" t="s">
        <v>43</v>
      </c>
      <c r="C1792" s="6" t="s">
        <v>51</v>
      </c>
      <c r="D1792" s="6" t="s">
        <v>118</v>
      </c>
      <c r="E1792" s="6" t="n">
        <v>16</v>
      </c>
      <c r="F1792" s="6" t="n">
        <v>3</v>
      </c>
      <c r="G1792" s="6" t="s">
        <v>76</v>
      </c>
      <c r="H1792" s="11" t="n">
        <v>0.01</v>
      </c>
      <c r="I1792" s="6" t="n">
        <v>20</v>
      </c>
      <c r="J1792" s="6" t="n">
        <v>0</v>
      </c>
      <c r="K1792" s="6" t="n">
        <v>20</v>
      </c>
      <c r="L1792" s="6" t="n">
        <v>0</v>
      </c>
      <c r="M1792" s="6" t="n">
        <v>20</v>
      </c>
      <c r="N1792" s="11" t="n">
        <f aca="false">J1792/(J1792+K1792)</f>
        <v>0</v>
      </c>
      <c r="O1792" s="11" t="str">
        <f aca="false">IF(J1792+L1792=0,"",J1792/(J1792+L1792))</f>
        <v/>
      </c>
      <c r="P1792" s="11" t="n">
        <f aca="false">2*J1792/(2*J1792+L1792+K1792)</f>
        <v>0</v>
      </c>
      <c r="Q1792" s="11" t="n">
        <f aca="false">L1792/(L1792+M1792)</f>
        <v>0</v>
      </c>
      <c r="R1792" s="6" t="n">
        <v>0</v>
      </c>
      <c r="S1792" s="11"/>
      <c r="T1792" s="11" t="n">
        <v>0</v>
      </c>
      <c r="U1792" s="11" t="n">
        <v>0.95</v>
      </c>
      <c r="V1792" s="11" t="n">
        <v>0.95</v>
      </c>
    </row>
    <row r="1793" customFormat="false" ht="15" hidden="false" customHeight="false" outlineLevel="0" collapsed="false">
      <c r="A1793" s="6" t="s">
        <v>56</v>
      </c>
      <c r="B1793" s="6" t="s">
        <v>43</v>
      </c>
      <c r="C1793" s="6" t="s">
        <v>51</v>
      </c>
      <c r="D1793" s="6" t="s">
        <v>118</v>
      </c>
      <c r="E1793" s="6" t="n">
        <v>16</v>
      </c>
      <c r="F1793" s="6" t="n">
        <v>3</v>
      </c>
      <c r="G1793" s="6" t="s">
        <v>77</v>
      </c>
      <c r="H1793" s="11" t="n">
        <v>0.01</v>
      </c>
      <c r="I1793" s="6" t="n">
        <v>20</v>
      </c>
      <c r="J1793" s="6" t="n">
        <v>1</v>
      </c>
      <c r="K1793" s="6" t="n">
        <v>19</v>
      </c>
      <c r="L1793" s="6" t="n">
        <v>1</v>
      </c>
      <c r="M1793" s="6" t="n">
        <v>19</v>
      </c>
      <c r="N1793" s="11" t="n">
        <f aca="false">J1793/(J1793+K1793)</f>
        <v>0.05</v>
      </c>
      <c r="O1793" s="11" t="n">
        <f aca="false">IF(J1793+L1793=0,"",J1793/(J1793+L1793))</f>
        <v>0.5</v>
      </c>
      <c r="P1793" s="11" t="n">
        <f aca="false">2*J1793/(2*J1793+L1793+K1793)</f>
        <v>0.0909090909090909</v>
      </c>
      <c r="Q1793" s="11" t="n">
        <f aca="false">L1793/(L1793+M1793)</f>
        <v>0.05</v>
      </c>
      <c r="R1793" s="6" t="n">
        <v>0</v>
      </c>
      <c r="S1793" s="11"/>
      <c r="T1793" s="11" t="n">
        <v>0.05</v>
      </c>
      <c r="U1793" s="11" t="n">
        <v>1</v>
      </c>
      <c r="V1793" s="11" t="n">
        <v>1</v>
      </c>
    </row>
    <row r="1794" customFormat="false" ht="15" hidden="false" customHeight="false" outlineLevel="0" collapsed="false">
      <c r="A1794" s="6" t="s">
        <v>56</v>
      </c>
      <c r="B1794" s="6" t="s">
        <v>43</v>
      </c>
      <c r="C1794" s="6" t="s">
        <v>51</v>
      </c>
      <c r="D1794" s="6" t="s">
        <v>118</v>
      </c>
      <c r="E1794" s="6" t="n">
        <v>16</v>
      </c>
      <c r="F1794" s="6" t="n">
        <v>3</v>
      </c>
      <c r="G1794" s="6" t="s">
        <v>78</v>
      </c>
      <c r="H1794" s="11" t="n">
        <v>0.01</v>
      </c>
      <c r="I1794" s="6" t="n">
        <v>200</v>
      </c>
      <c r="J1794" s="6" t="n">
        <v>1</v>
      </c>
      <c r="K1794" s="6" t="n">
        <v>199</v>
      </c>
      <c r="L1794" s="6" t="n">
        <v>1</v>
      </c>
      <c r="M1794" s="6" t="n">
        <v>199</v>
      </c>
      <c r="N1794" s="11" t="n">
        <f aca="false">J1794/(J1794+K1794)</f>
        <v>0.005</v>
      </c>
      <c r="O1794" s="11" t="n">
        <f aca="false">IF(J1794+L1794=0,"",J1794/(J1794+L1794))</f>
        <v>0.5</v>
      </c>
      <c r="P1794" s="11" t="n">
        <f aca="false">2*J1794/(2*J1794+L1794+K1794)</f>
        <v>0.0099009900990099</v>
      </c>
      <c r="Q1794" s="11" t="n">
        <f aca="false">L1794/(L1794+M1794)</f>
        <v>0.005</v>
      </c>
      <c r="R1794" s="6" t="n">
        <v>0</v>
      </c>
      <c r="S1794" s="11"/>
      <c r="T1794" s="11" t="n">
        <v>0.005</v>
      </c>
      <c r="U1794" s="11" t="n">
        <v>0.88</v>
      </c>
      <c r="V1794" s="11" t="n">
        <v>0.88</v>
      </c>
    </row>
    <row r="1795" customFormat="false" ht="15" hidden="false" customHeight="false" outlineLevel="0" collapsed="false">
      <c r="A1795" s="6" t="s">
        <v>56</v>
      </c>
      <c r="B1795" s="6" t="s">
        <v>43</v>
      </c>
      <c r="C1795" s="6" t="s">
        <v>51</v>
      </c>
      <c r="D1795" s="6" t="s">
        <v>118</v>
      </c>
      <c r="E1795" s="6" t="n">
        <v>16</v>
      </c>
      <c r="F1795" s="6" t="n">
        <v>4</v>
      </c>
      <c r="G1795" s="6" t="s">
        <v>68</v>
      </c>
      <c r="H1795" s="11" t="n">
        <v>0.01</v>
      </c>
      <c r="I1795" s="6" t="n">
        <v>20</v>
      </c>
      <c r="J1795" s="6" t="n">
        <v>0</v>
      </c>
      <c r="K1795" s="6" t="n">
        <v>20</v>
      </c>
      <c r="L1795" s="6" t="n">
        <v>0</v>
      </c>
      <c r="M1795" s="6" t="n">
        <v>20</v>
      </c>
      <c r="N1795" s="11" t="n">
        <f aca="false">J1795/(J1795+K1795)</f>
        <v>0</v>
      </c>
      <c r="O1795" s="11" t="str">
        <f aca="false">IF(J1795+L1795=0,"",J1795/(J1795+L1795))</f>
        <v/>
      </c>
      <c r="P1795" s="11" t="n">
        <f aca="false">2*J1795/(2*J1795+L1795+K1795)</f>
        <v>0</v>
      </c>
      <c r="Q1795" s="11" t="n">
        <f aca="false">L1795/(L1795+M1795)</f>
        <v>0</v>
      </c>
      <c r="R1795" s="6" t="n">
        <v>0</v>
      </c>
      <c r="S1795" s="11"/>
      <c r="T1795" s="11" t="n">
        <v>0</v>
      </c>
      <c r="U1795" s="11" t="n">
        <v>0.85</v>
      </c>
      <c r="V1795" s="11" t="n">
        <v>0.85</v>
      </c>
    </row>
    <row r="1796" customFormat="false" ht="15" hidden="false" customHeight="false" outlineLevel="0" collapsed="false">
      <c r="A1796" s="6" t="s">
        <v>56</v>
      </c>
      <c r="B1796" s="6" t="s">
        <v>43</v>
      </c>
      <c r="C1796" s="6" t="s">
        <v>51</v>
      </c>
      <c r="D1796" s="6" t="s">
        <v>118</v>
      </c>
      <c r="E1796" s="6" t="n">
        <v>16</v>
      </c>
      <c r="F1796" s="6" t="n">
        <v>4</v>
      </c>
      <c r="G1796" s="6" t="s">
        <v>69</v>
      </c>
      <c r="H1796" s="11" t="n">
        <v>0.01</v>
      </c>
      <c r="I1796" s="6" t="n">
        <v>20</v>
      </c>
      <c r="J1796" s="6" t="n">
        <v>0</v>
      </c>
      <c r="K1796" s="6" t="n">
        <v>20</v>
      </c>
      <c r="L1796" s="6" t="n">
        <v>0</v>
      </c>
      <c r="M1796" s="6" t="n">
        <v>20</v>
      </c>
      <c r="N1796" s="11" t="n">
        <f aca="false">J1796/(J1796+K1796)</f>
        <v>0</v>
      </c>
      <c r="O1796" s="11" t="str">
        <f aca="false">IF(J1796+L1796=0,"",J1796/(J1796+L1796))</f>
        <v/>
      </c>
      <c r="P1796" s="11" t="n">
        <f aca="false">2*J1796/(2*J1796+L1796+K1796)</f>
        <v>0</v>
      </c>
      <c r="Q1796" s="11" t="n">
        <f aca="false">L1796/(L1796+M1796)</f>
        <v>0</v>
      </c>
      <c r="R1796" s="6" t="n">
        <v>0</v>
      </c>
      <c r="S1796" s="11"/>
      <c r="T1796" s="11" t="n">
        <v>0</v>
      </c>
      <c r="U1796" s="11" t="n">
        <v>1</v>
      </c>
      <c r="V1796" s="11" t="n">
        <v>1</v>
      </c>
    </row>
    <row r="1797" customFormat="false" ht="15" hidden="false" customHeight="false" outlineLevel="0" collapsed="false">
      <c r="A1797" s="6" t="s">
        <v>56</v>
      </c>
      <c r="B1797" s="6" t="s">
        <v>43</v>
      </c>
      <c r="C1797" s="6" t="s">
        <v>51</v>
      </c>
      <c r="D1797" s="6" t="s">
        <v>118</v>
      </c>
      <c r="E1797" s="6" t="n">
        <v>16</v>
      </c>
      <c r="F1797" s="6" t="n">
        <v>4</v>
      </c>
      <c r="G1797" s="6" t="s">
        <v>70</v>
      </c>
      <c r="H1797" s="11" t="n">
        <v>0.01</v>
      </c>
      <c r="I1797" s="6" t="n">
        <v>20</v>
      </c>
      <c r="J1797" s="6" t="n">
        <v>0</v>
      </c>
      <c r="K1797" s="6" t="n">
        <v>20</v>
      </c>
      <c r="L1797" s="6" t="n">
        <v>0</v>
      </c>
      <c r="M1797" s="6" t="n">
        <v>20</v>
      </c>
      <c r="N1797" s="11" t="n">
        <f aca="false">J1797/(J1797+K1797)</f>
        <v>0</v>
      </c>
      <c r="O1797" s="11" t="str">
        <f aca="false">IF(J1797+L1797=0,"",J1797/(J1797+L1797))</f>
        <v/>
      </c>
      <c r="P1797" s="11" t="n">
        <f aca="false">2*J1797/(2*J1797+L1797+K1797)</f>
        <v>0</v>
      </c>
      <c r="Q1797" s="11" t="n">
        <f aca="false">L1797/(L1797+M1797)</f>
        <v>0</v>
      </c>
      <c r="R1797" s="6" t="n">
        <v>0</v>
      </c>
      <c r="S1797" s="11"/>
      <c r="T1797" s="11" t="n">
        <v>0</v>
      </c>
      <c r="U1797" s="11" t="n">
        <v>0.9</v>
      </c>
      <c r="V1797" s="11" t="n">
        <v>0.9</v>
      </c>
    </row>
    <row r="1798" customFormat="false" ht="15" hidden="false" customHeight="false" outlineLevel="0" collapsed="false">
      <c r="A1798" s="6" t="s">
        <v>56</v>
      </c>
      <c r="B1798" s="6" t="s">
        <v>43</v>
      </c>
      <c r="C1798" s="6" t="s">
        <v>51</v>
      </c>
      <c r="D1798" s="6" t="s">
        <v>118</v>
      </c>
      <c r="E1798" s="6" t="n">
        <v>16</v>
      </c>
      <c r="F1798" s="6" t="n">
        <v>4</v>
      </c>
      <c r="G1798" s="6" t="s">
        <v>71</v>
      </c>
      <c r="H1798" s="11" t="n">
        <v>0.01</v>
      </c>
      <c r="I1798" s="6" t="n">
        <v>20</v>
      </c>
      <c r="J1798" s="6" t="n">
        <v>0</v>
      </c>
      <c r="K1798" s="6" t="n">
        <v>20</v>
      </c>
      <c r="L1798" s="6" t="n">
        <v>0</v>
      </c>
      <c r="M1798" s="6" t="n">
        <v>20</v>
      </c>
      <c r="N1798" s="11" t="n">
        <f aca="false">J1798/(J1798+K1798)</f>
        <v>0</v>
      </c>
      <c r="O1798" s="11" t="str">
        <f aca="false">IF(J1798+L1798=0,"",J1798/(J1798+L1798))</f>
        <v/>
      </c>
      <c r="P1798" s="11" t="n">
        <f aca="false">2*J1798/(2*J1798+L1798+K1798)</f>
        <v>0</v>
      </c>
      <c r="Q1798" s="11" t="n">
        <f aca="false">L1798/(L1798+M1798)</f>
        <v>0</v>
      </c>
      <c r="R1798" s="6" t="n">
        <v>0</v>
      </c>
      <c r="S1798" s="11"/>
      <c r="T1798" s="11" t="n">
        <v>0</v>
      </c>
      <c r="U1798" s="11" t="n">
        <v>0.8</v>
      </c>
      <c r="V1798" s="11" t="n">
        <v>0.8</v>
      </c>
    </row>
    <row r="1799" customFormat="false" ht="15" hidden="false" customHeight="false" outlineLevel="0" collapsed="false">
      <c r="A1799" s="6" t="s">
        <v>56</v>
      </c>
      <c r="B1799" s="6" t="s">
        <v>43</v>
      </c>
      <c r="C1799" s="6" t="s">
        <v>51</v>
      </c>
      <c r="D1799" s="6" t="s">
        <v>118</v>
      </c>
      <c r="E1799" s="6" t="n">
        <v>16</v>
      </c>
      <c r="F1799" s="6" t="n">
        <v>4</v>
      </c>
      <c r="G1799" s="6" t="s">
        <v>72</v>
      </c>
      <c r="H1799" s="11" t="n">
        <v>0.01</v>
      </c>
      <c r="I1799" s="6" t="n">
        <v>20</v>
      </c>
      <c r="J1799" s="6" t="n">
        <v>0</v>
      </c>
      <c r="K1799" s="6" t="n">
        <v>20</v>
      </c>
      <c r="L1799" s="6" t="n">
        <v>0</v>
      </c>
      <c r="M1799" s="6" t="n">
        <v>20</v>
      </c>
      <c r="N1799" s="11" t="n">
        <f aca="false">J1799/(J1799+K1799)</f>
        <v>0</v>
      </c>
      <c r="O1799" s="11" t="str">
        <f aca="false">IF(J1799+L1799=0,"",J1799/(J1799+L1799))</f>
        <v/>
      </c>
      <c r="P1799" s="11" t="n">
        <f aca="false">2*J1799/(2*J1799+L1799+K1799)</f>
        <v>0</v>
      </c>
      <c r="Q1799" s="11" t="n">
        <f aca="false">L1799/(L1799+M1799)</f>
        <v>0</v>
      </c>
      <c r="R1799" s="6" t="n">
        <v>0</v>
      </c>
      <c r="S1799" s="11"/>
      <c r="T1799" s="11" t="n">
        <v>0</v>
      </c>
      <c r="U1799" s="11" t="n">
        <v>0.9</v>
      </c>
      <c r="V1799" s="11" t="n">
        <v>0.9</v>
      </c>
    </row>
    <row r="1800" customFormat="false" ht="15" hidden="false" customHeight="false" outlineLevel="0" collapsed="false">
      <c r="A1800" s="6" t="s">
        <v>56</v>
      </c>
      <c r="B1800" s="6" t="s">
        <v>43</v>
      </c>
      <c r="C1800" s="6" t="s">
        <v>51</v>
      </c>
      <c r="D1800" s="6" t="s">
        <v>118</v>
      </c>
      <c r="E1800" s="6" t="n">
        <v>16</v>
      </c>
      <c r="F1800" s="6" t="n">
        <v>4</v>
      </c>
      <c r="G1800" s="6" t="s">
        <v>73</v>
      </c>
      <c r="H1800" s="11" t="n">
        <v>0.01</v>
      </c>
      <c r="I1800" s="6" t="n">
        <v>20</v>
      </c>
      <c r="J1800" s="6" t="n">
        <v>0</v>
      </c>
      <c r="K1800" s="6" t="n">
        <v>20</v>
      </c>
      <c r="L1800" s="6" t="n">
        <v>0</v>
      </c>
      <c r="M1800" s="6" t="n">
        <v>20</v>
      </c>
      <c r="N1800" s="11" t="n">
        <f aca="false">J1800/(J1800+K1800)</f>
        <v>0</v>
      </c>
      <c r="O1800" s="11" t="str">
        <f aca="false">IF(J1800+L1800=0,"",J1800/(J1800+L1800))</f>
        <v/>
      </c>
      <c r="P1800" s="11" t="n">
        <f aca="false">2*J1800/(2*J1800+L1800+K1800)</f>
        <v>0</v>
      </c>
      <c r="Q1800" s="11" t="n">
        <f aca="false">L1800/(L1800+M1800)</f>
        <v>0</v>
      </c>
      <c r="R1800" s="6" t="n">
        <v>0</v>
      </c>
      <c r="S1800" s="11"/>
      <c r="T1800" s="11" t="n">
        <v>0</v>
      </c>
      <c r="U1800" s="11" t="n">
        <v>0.65</v>
      </c>
      <c r="V1800" s="11" t="n">
        <v>0.65</v>
      </c>
    </row>
    <row r="1801" customFormat="false" ht="15" hidden="false" customHeight="false" outlineLevel="0" collapsed="false">
      <c r="A1801" s="6" t="s">
        <v>56</v>
      </c>
      <c r="B1801" s="6" t="s">
        <v>43</v>
      </c>
      <c r="C1801" s="6" t="s">
        <v>51</v>
      </c>
      <c r="D1801" s="6" t="s">
        <v>118</v>
      </c>
      <c r="E1801" s="6" t="n">
        <v>16</v>
      </c>
      <c r="F1801" s="6" t="n">
        <v>4</v>
      </c>
      <c r="G1801" s="6" t="s">
        <v>74</v>
      </c>
      <c r="H1801" s="11" t="n">
        <v>0.01</v>
      </c>
      <c r="I1801" s="6" t="n">
        <v>20</v>
      </c>
      <c r="J1801" s="6" t="n">
        <v>0</v>
      </c>
      <c r="K1801" s="6" t="n">
        <v>20</v>
      </c>
      <c r="L1801" s="6" t="n">
        <v>0</v>
      </c>
      <c r="M1801" s="6" t="n">
        <v>20</v>
      </c>
      <c r="N1801" s="11" t="n">
        <f aca="false">J1801/(J1801+K1801)</f>
        <v>0</v>
      </c>
      <c r="O1801" s="11" t="str">
        <f aca="false">IF(J1801+L1801=0,"",J1801/(J1801+L1801))</f>
        <v/>
      </c>
      <c r="P1801" s="11" t="n">
        <f aca="false">2*J1801/(2*J1801+L1801+K1801)</f>
        <v>0</v>
      </c>
      <c r="Q1801" s="11" t="n">
        <f aca="false">L1801/(L1801+M1801)</f>
        <v>0</v>
      </c>
      <c r="R1801" s="6" t="n">
        <v>0</v>
      </c>
      <c r="S1801" s="11"/>
      <c r="T1801" s="11" t="n">
        <v>0</v>
      </c>
      <c r="U1801" s="11" t="n">
        <v>0.85</v>
      </c>
      <c r="V1801" s="11" t="n">
        <v>0.85</v>
      </c>
    </row>
    <row r="1802" customFormat="false" ht="15" hidden="false" customHeight="false" outlineLevel="0" collapsed="false">
      <c r="A1802" s="6" t="s">
        <v>56</v>
      </c>
      <c r="B1802" s="6" t="s">
        <v>43</v>
      </c>
      <c r="C1802" s="6" t="s">
        <v>51</v>
      </c>
      <c r="D1802" s="6" t="s">
        <v>118</v>
      </c>
      <c r="E1802" s="6" t="n">
        <v>16</v>
      </c>
      <c r="F1802" s="6" t="n">
        <v>4</v>
      </c>
      <c r="G1802" s="6" t="s">
        <v>75</v>
      </c>
      <c r="H1802" s="11" t="n">
        <v>0.01</v>
      </c>
      <c r="I1802" s="6" t="n">
        <v>20</v>
      </c>
      <c r="J1802" s="6" t="n">
        <v>0</v>
      </c>
      <c r="K1802" s="6" t="n">
        <v>20</v>
      </c>
      <c r="L1802" s="6" t="n">
        <v>0</v>
      </c>
      <c r="M1802" s="6" t="n">
        <v>20</v>
      </c>
      <c r="N1802" s="11" t="n">
        <f aca="false">J1802/(J1802+K1802)</f>
        <v>0</v>
      </c>
      <c r="O1802" s="11" t="str">
        <f aca="false">IF(J1802+L1802=0,"",J1802/(J1802+L1802))</f>
        <v/>
      </c>
      <c r="P1802" s="11" t="n">
        <f aca="false">2*J1802/(2*J1802+L1802+K1802)</f>
        <v>0</v>
      </c>
      <c r="Q1802" s="11" t="n">
        <f aca="false">L1802/(L1802+M1802)</f>
        <v>0</v>
      </c>
      <c r="R1802" s="6" t="n">
        <v>0</v>
      </c>
      <c r="S1802" s="11"/>
      <c r="T1802" s="11" t="n">
        <v>0</v>
      </c>
      <c r="U1802" s="11" t="n">
        <v>0.9</v>
      </c>
      <c r="V1802" s="11" t="n">
        <v>0.9</v>
      </c>
    </row>
    <row r="1803" customFormat="false" ht="15" hidden="false" customHeight="false" outlineLevel="0" collapsed="false">
      <c r="A1803" s="6" t="s">
        <v>56</v>
      </c>
      <c r="B1803" s="6" t="s">
        <v>43</v>
      </c>
      <c r="C1803" s="6" t="s">
        <v>51</v>
      </c>
      <c r="D1803" s="6" t="s">
        <v>118</v>
      </c>
      <c r="E1803" s="6" t="n">
        <v>16</v>
      </c>
      <c r="F1803" s="6" t="n">
        <v>4</v>
      </c>
      <c r="G1803" s="6" t="s">
        <v>76</v>
      </c>
      <c r="H1803" s="11" t="n">
        <v>0.01</v>
      </c>
      <c r="I1803" s="6" t="n">
        <v>20</v>
      </c>
      <c r="J1803" s="6" t="n">
        <v>0</v>
      </c>
      <c r="K1803" s="6" t="n">
        <v>20</v>
      </c>
      <c r="L1803" s="6" t="n">
        <v>0</v>
      </c>
      <c r="M1803" s="6" t="n">
        <v>20</v>
      </c>
      <c r="N1803" s="11" t="n">
        <f aca="false">J1803/(J1803+K1803)</f>
        <v>0</v>
      </c>
      <c r="O1803" s="11" t="str">
        <f aca="false">IF(J1803+L1803=0,"",J1803/(J1803+L1803))</f>
        <v/>
      </c>
      <c r="P1803" s="11" t="n">
        <f aca="false">2*J1803/(2*J1803+L1803+K1803)</f>
        <v>0</v>
      </c>
      <c r="Q1803" s="11" t="n">
        <f aca="false">L1803/(L1803+M1803)</f>
        <v>0</v>
      </c>
      <c r="R1803" s="6" t="n">
        <v>0</v>
      </c>
      <c r="S1803" s="11"/>
      <c r="T1803" s="11" t="n">
        <v>0</v>
      </c>
      <c r="U1803" s="11" t="n">
        <v>0.95</v>
      </c>
      <c r="V1803" s="11" t="n">
        <v>0.95</v>
      </c>
    </row>
    <row r="1804" customFormat="false" ht="15" hidden="false" customHeight="false" outlineLevel="0" collapsed="false">
      <c r="A1804" s="6" t="s">
        <v>56</v>
      </c>
      <c r="B1804" s="6" t="s">
        <v>43</v>
      </c>
      <c r="C1804" s="6" t="s">
        <v>51</v>
      </c>
      <c r="D1804" s="6" t="s">
        <v>118</v>
      </c>
      <c r="E1804" s="6" t="n">
        <v>16</v>
      </c>
      <c r="F1804" s="6" t="n">
        <v>4</v>
      </c>
      <c r="G1804" s="6" t="s">
        <v>77</v>
      </c>
      <c r="H1804" s="11" t="n">
        <v>0.01</v>
      </c>
      <c r="I1804" s="6" t="n">
        <v>20</v>
      </c>
      <c r="J1804" s="6" t="n">
        <v>1</v>
      </c>
      <c r="K1804" s="6" t="n">
        <v>19</v>
      </c>
      <c r="L1804" s="6" t="n">
        <v>1</v>
      </c>
      <c r="M1804" s="6" t="n">
        <v>19</v>
      </c>
      <c r="N1804" s="11" t="n">
        <f aca="false">J1804/(J1804+K1804)</f>
        <v>0.05</v>
      </c>
      <c r="O1804" s="11" t="n">
        <f aca="false">IF(J1804+L1804=0,"",J1804/(J1804+L1804))</f>
        <v>0.5</v>
      </c>
      <c r="P1804" s="11" t="n">
        <f aca="false">2*J1804/(2*J1804+L1804+K1804)</f>
        <v>0.0909090909090909</v>
      </c>
      <c r="Q1804" s="11" t="n">
        <f aca="false">L1804/(L1804+M1804)</f>
        <v>0.05</v>
      </c>
      <c r="R1804" s="6" t="n">
        <v>0</v>
      </c>
      <c r="S1804" s="11"/>
      <c r="T1804" s="11" t="n">
        <v>0.05</v>
      </c>
      <c r="U1804" s="11" t="n">
        <v>1</v>
      </c>
      <c r="V1804" s="11" t="n">
        <v>1</v>
      </c>
    </row>
    <row r="1805" customFormat="false" ht="15" hidden="false" customHeight="false" outlineLevel="0" collapsed="false">
      <c r="A1805" s="6" t="s">
        <v>56</v>
      </c>
      <c r="B1805" s="6" t="s">
        <v>43</v>
      </c>
      <c r="C1805" s="6" t="s">
        <v>51</v>
      </c>
      <c r="D1805" s="6" t="s">
        <v>118</v>
      </c>
      <c r="E1805" s="6" t="n">
        <v>16</v>
      </c>
      <c r="F1805" s="6" t="n">
        <v>4</v>
      </c>
      <c r="G1805" s="6" t="s">
        <v>78</v>
      </c>
      <c r="H1805" s="11" t="n">
        <v>0.01</v>
      </c>
      <c r="I1805" s="6" t="n">
        <v>200</v>
      </c>
      <c r="J1805" s="6" t="n">
        <v>1</v>
      </c>
      <c r="K1805" s="6" t="n">
        <v>199</v>
      </c>
      <c r="L1805" s="6" t="n">
        <v>1</v>
      </c>
      <c r="M1805" s="6" t="n">
        <v>199</v>
      </c>
      <c r="N1805" s="11" t="n">
        <f aca="false">J1805/(J1805+K1805)</f>
        <v>0.005</v>
      </c>
      <c r="O1805" s="11" t="n">
        <f aca="false">IF(J1805+L1805=0,"",J1805/(J1805+L1805))</f>
        <v>0.5</v>
      </c>
      <c r="P1805" s="11" t="n">
        <f aca="false">2*J1805/(2*J1805+L1805+K1805)</f>
        <v>0.0099009900990099</v>
      </c>
      <c r="Q1805" s="11" t="n">
        <f aca="false">L1805/(L1805+M1805)</f>
        <v>0.005</v>
      </c>
      <c r="R1805" s="6" t="n">
        <v>0</v>
      </c>
      <c r="S1805" s="11"/>
      <c r="T1805" s="11" t="n">
        <v>0.005</v>
      </c>
      <c r="U1805" s="11" t="n">
        <v>0.88</v>
      </c>
      <c r="V1805" s="11" t="n">
        <v>0.88</v>
      </c>
    </row>
    <row r="1806" customFormat="false" ht="15" hidden="false" customHeight="false" outlineLevel="0" collapsed="false">
      <c r="A1806" s="6" t="s">
        <v>56</v>
      </c>
      <c r="B1806" s="6" t="s">
        <v>43</v>
      </c>
      <c r="C1806" s="6" t="s">
        <v>51</v>
      </c>
      <c r="D1806" s="6" t="s">
        <v>118</v>
      </c>
      <c r="E1806" s="6" t="n">
        <v>16</v>
      </c>
      <c r="F1806" s="6" t="n">
        <v>5</v>
      </c>
      <c r="G1806" s="6" t="s">
        <v>68</v>
      </c>
      <c r="H1806" s="11" t="n">
        <v>0.01</v>
      </c>
      <c r="I1806" s="6" t="n">
        <v>20</v>
      </c>
      <c r="J1806" s="6" t="n">
        <v>0</v>
      </c>
      <c r="K1806" s="6" t="n">
        <v>20</v>
      </c>
      <c r="L1806" s="6" t="n">
        <v>0</v>
      </c>
      <c r="M1806" s="6" t="n">
        <v>20</v>
      </c>
      <c r="N1806" s="11" t="n">
        <f aca="false">J1806/(J1806+K1806)</f>
        <v>0</v>
      </c>
      <c r="O1806" s="11" t="str">
        <f aca="false">IF(J1806+L1806=0,"",J1806/(J1806+L1806))</f>
        <v/>
      </c>
      <c r="P1806" s="11" t="n">
        <f aca="false">2*J1806/(2*J1806+L1806+K1806)</f>
        <v>0</v>
      </c>
      <c r="Q1806" s="11" t="n">
        <f aca="false">L1806/(L1806+M1806)</f>
        <v>0</v>
      </c>
      <c r="R1806" s="6" t="n">
        <v>0</v>
      </c>
      <c r="S1806" s="11"/>
      <c r="T1806" s="11" t="n">
        <v>0</v>
      </c>
      <c r="U1806" s="11" t="n">
        <v>0.85</v>
      </c>
      <c r="V1806" s="11" t="n">
        <v>0.85</v>
      </c>
    </row>
    <row r="1807" customFormat="false" ht="15" hidden="false" customHeight="false" outlineLevel="0" collapsed="false">
      <c r="A1807" s="6" t="s">
        <v>56</v>
      </c>
      <c r="B1807" s="6" t="s">
        <v>43</v>
      </c>
      <c r="C1807" s="6" t="s">
        <v>51</v>
      </c>
      <c r="D1807" s="6" t="s">
        <v>118</v>
      </c>
      <c r="E1807" s="6" t="n">
        <v>16</v>
      </c>
      <c r="F1807" s="6" t="n">
        <v>5</v>
      </c>
      <c r="G1807" s="6" t="s">
        <v>69</v>
      </c>
      <c r="H1807" s="11" t="n">
        <v>0.01</v>
      </c>
      <c r="I1807" s="6" t="n">
        <v>20</v>
      </c>
      <c r="J1807" s="6" t="n">
        <v>0</v>
      </c>
      <c r="K1807" s="6" t="n">
        <v>20</v>
      </c>
      <c r="L1807" s="6" t="n">
        <v>0</v>
      </c>
      <c r="M1807" s="6" t="n">
        <v>20</v>
      </c>
      <c r="N1807" s="11" t="n">
        <f aca="false">J1807/(J1807+K1807)</f>
        <v>0</v>
      </c>
      <c r="O1807" s="11" t="str">
        <f aca="false">IF(J1807+L1807=0,"",J1807/(J1807+L1807))</f>
        <v/>
      </c>
      <c r="P1807" s="11" t="n">
        <f aca="false">2*J1807/(2*J1807+L1807+K1807)</f>
        <v>0</v>
      </c>
      <c r="Q1807" s="11" t="n">
        <f aca="false">L1807/(L1807+M1807)</f>
        <v>0</v>
      </c>
      <c r="R1807" s="6" t="n">
        <v>0</v>
      </c>
      <c r="S1807" s="11"/>
      <c r="T1807" s="11" t="n">
        <v>0</v>
      </c>
      <c r="U1807" s="11" t="n">
        <v>1</v>
      </c>
      <c r="V1807" s="11" t="n">
        <v>1</v>
      </c>
    </row>
    <row r="1808" customFormat="false" ht="15" hidden="false" customHeight="false" outlineLevel="0" collapsed="false">
      <c r="A1808" s="6" t="s">
        <v>56</v>
      </c>
      <c r="B1808" s="6" t="s">
        <v>43</v>
      </c>
      <c r="C1808" s="6" t="s">
        <v>51</v>
      </c>
      <c r="D1808" s="6" t="s">
        <v>118</v>
      </c>
      <c r="E1808" s="6" t="n">
        <v>16</v>
      </c>
      <c r="F1808" s="6" t="n">
        <v>5</v>
      </c>
      <c r="G1808" s="6" t="s">
        <v>70</v>
      </c>
      <c r="H1808" s="11" t="n">
        <v>0.01</v>
      </c>
      <c r="I1808" s="6" t="n">
        <v>20</v>
      </c>
      <c r="J1808" s="6" t="n">
        <v>0</v>
      </c>
      <c r="K1808" s="6" t="n">
        <v>20</v>
      </c>
      <c r="L1808" s="6" t="n">
        <v>0</v>
      </c>
      <c r="M1808" s="6" t="n">
        <v>20</v>
      </c>
      <c r="N1808" s="11" t="n">
        <f aca="false">J1808/(J1808+K1808)</f>
        <v>0</v>
      </c>
      <c r="O1808" s="11" t="str">
        <f aca="false">IF(J1808+L1808=0,"",J1808/(J1808+L1808))</f>
        <v/>
      </c>
      <c r="P1808" s="11" t="n">
        <f aca="false">2*J1808/(2*J1808+L1808+K1808)</f>
        <v>0</v>
      </c>
      <c r="Q1808" s="11" t="n">
        <f aca="false">L1808/(L1808+M1808)</f>
        <v>0</v>
      </c>
      <c r="R1808" s="6" t="n">
        <v>0</v>
      </c>
      <c r="S1808" s="11"/>
      <c r="T1808" s="11" t="n">
        <v>0</v>
      </c>
      <c r="U1808" s="11" t="n">
        <v>0.9</v>
      </c>
      <c r="V1808" s="11" t="n">
        <v>0.9</v>
      </c>
    </row>
    <row r="1809" customFormat="false" ht="15" hidden="false" customHeight="false" outlineLevel="0" collapsed="false">
      <c r="A1809" s="6" t="s">
        <v>56</v>
      </c>
      <c r="B1809" s="6" t="s">
        <v>43</v>
      </c>
      <c r="C1809" s="6" t="s">
        <v>51</v>
      </c>
      <c r="D1809" s="6" t="s">
        <v>118</v>
      </c>
      <c r="E1809" s="6" t="n">
        <v>16</v>
      </c>
      <c r="F1809" s="6" t="n">
        <v>5</v>
      </c>
      <c r="G1809" s="6" t="s">
        <v>71</v>
      </c>
      <c r="H1809" s="11" t="n">
        <v>0.01</v>
      </c>
      <c r="I1809" s="6" t="n">
        <v>20</v>
      </c>
      <c r="J1809" s="6" t="n">
        <v>0</v>
      </c>
      <c r="K1809" s="6" t="n">
        <v>20</v>
      </c>
      <c r="L1809" s="6" t="n">
        <v>0</v>
      </c>
      <c r="M1809" s="6" t="n">
        <v>20</v>
      </c>
      <c r="N1809" s="11" t="n">
        <f aca="false">J1809/(J1809+K1809)</f>
        <v>0</v>
      </c>
      <c r="O1809" s="11" t="str">
        <f aca="false">IF(J1809+L1809=0,"",J1809/(J1809+L1809))</f>
        <v/>
      </c>
      <c r="P1809" s="11" t="n">
        <f aca="false">2*J1809/(2*J1809+L1809+K1809)</f>
        <v>0</v>
      </c>
      <c r="Q1809" s="11" t="n">
        <f aca="false">L1809/(L1809+M1809)</f>
        <v>0</v>
      </c>
      <c r="R1809" s="6" t="n">
        <v>0</v>
      </c>
      <c r="S1809" s="11"/>
      <c r="T1809" s="11" t="n">
        <v>0</v>
      </c>
      <c r="U1809" s="11" t="n">
        <v>0.8</v>
      </c>
      <c r="V1809" s="11" t="n">
        <v>0.8</v>
      </c>
    </row>
    <row r="1810" customFormat="false" ht="15" hidden="false" customHeight="false" outlineLevel="0" collapsed="false">
      <c r="A1810" s="6" t="s">
        <v>56</v>
      </c>
      <c r="B1810" s="6" t="s">
        <v>43</v>
      </c>
      <c r="C1810" s="6" t="s">
        <v>51</v>
      </c>
      <c r="D1810" s="6" t="s">
        <v>118</v>
      </c>
      <c r="E1810" s="6" t="n">
        <v>16</v>
      </c>
      <c r="F1810" s="6" t="n">
        <v>5</v>
      </c>
      <c r="G1810" s="6" t="s">
        <v>72</v>
      </c>
      <c r="H1810" s="11" t="n">
        <v>0.01</v>
      </c>
      <c r="I1810" s="6" t="n">
        <v>20</v>
      </c>
      <c r="J1810" s="6" t="n">
        <v>0</v>
      </c>
      <c r="K1810" s="6" t="n">
        <v>20</v>
      </c>
      <c r="L1810" s="6" t="n">
        <v>0</v>
      </c>
      <c r="M1810" s="6" t="n">
        <v>20</v>
      </c>
      <c r="N1810" s="11" t="n">
        <f aca="false">J1810/(J1810+K1810)</f>
        <v>0</v>
      </c>
      <c r="O1810" s="11" t="str">
        <f aca="false">IF(J1810+L1810=0,"",J1810/(J1810+L1810))</f>
        <v/>
      </c>
      <c r="P1810" s="11" t="n">
        <f aca="false">2*J1810/(2*J1810+L1810+K1810)</f>
        <v>0</v>
      </c>
      <c r="Q1810" s="11" t="n">
        <f aca="false">L1810/(L1810+M1810)</f>
        <v>0</v>
      </c>
      <c r="R1810" s="6" t="n">
        <v>0</v>
      </c>
      <c r="S1810" s="11"/>
      <c r="T1810" s="11" t="n">
        <v>0</v>
      </c>
      <c r="U1810" s="11" t="n">
        <v>0.9</v>
      </c>
      <c r="V1810" s="11" t="n">
        <v>0.9</v>
      </c>
    </row>
    <row r="1811" customFormat="false" ht="15" hidden="false" customHeight="false" outlineLevel="0" collapsed="false">
      <c r="A1811" s="6" t="s">
        <v>56</v>
      </c>
      <c r="B1811" s="6" t="s">
        <v>43</v>
      </c>
      <c r="C1811" s="6" t="s">
        <v>51</v>
      </c>
      <c r="D1811" s="6" t="s">
        <v>118</v>
      </c>
      <c r="E1811" s="6" t="n">
        <v>16</v>
      </c>
      <c r="F1811" s="6" t="n">
        <v>5</v>
      </c>
      <c r="G1811" s="6" t="s">
        <v>73</v>
      </c>
      <c r="H1811" s="11" t="n">
        <v>0.01</v>
      </c>
      <c r="I1811" s="6" t="n">
        <v>20</v>
      </c>
      <c r="J1811" s="6" t="n">
        <v>0</v>
      </c>
      <c r="K1811" s="6" t="n">
        <v>20</v>
      </c>
      <c r="L1811" s="6" t="n">
        <v>0</v>
      </c>
      <c r="M1811" s="6" t="n">
        <v>20</v>
      </c>
      <c r="N1811" s="11" t="n">
        <f aca="false">J1811/(J1811+K1811)</f>
        <v>0</v>
      </c>
      <c r="O1811" s="11" t="str">
        <f aca="false">IF(J1811+L1811=0,"",J1811/(J1811+L1811))</f>
        <v/>
      </c>
      <c r="P1811" s="11" t="n">
        <f aca="false">2*J1811/(2*J1811+L1811+K1811)</f>
        <v>0</v>
      </c>
      <c r="Q1811" s="11" t="n">
        <f aca="false">L1811/(L1811+M1811)</f>
        <v>0</v>
      </c>
      <c r="R1811" s="6" t="n">
        <v>0</v>
      </c>
      <c r="S1811" s="11"/>
      <c r="T1811" s="11" t="n">
        <v>0</v>
      </c>
      <c r="U1811" s="11" t="n">
        <v>0.65</v>
      </c>
      <c r="V1811" s="11" t="n">
        <v>0.65</v>
      </c>
    </row>
    <row r="1812" customFormat="false" ht="15" hidden="false" customHeight="false" outlineLevel="0" collapsed="false">
      <c r="A1812" s="6" t="s">
        <v>56</v>
      </c>
      <c r="B1812" s="6" t="s">
        <v>43</v>
      </c>
      <c r="C1812" s="6" t="s">
        <v>51</v>
      </c>
      <c r="D1812" s="6" t="s">
        <v>118</v>
      </c>
      <c r="E1812" s="6" t="n">
        <v>16</v>
      </c>
      <c r="F1812" s="6" t="n">
        <v>5</v>
      </c>
      <c r="G1812" s="6" t="s">
        <v>74</v>
      </c>
      <c r="H1812" s="11" t="n">
        <v>0.01</v>
      </c>
      <c r="I1812" s="6" t="n">
        <v>20</v>
      </c>
      <c r="J1812" s="6" t="n">
        <v>0</v>
      </c>
      <c r="K1812" s="6" t="n">
        <v>20</v>
      </c>
      <c r="L1812" s="6" t="n">
        <v>0</v>
      </c>
      <c r="M1812" s="6" t="n">
        <v>20</v>
      </c>
      <c r="N1812" s="11" t="n">
        <f aca="false">J1812/(J1812+K1812)</f>
        <v>0</v>
      </c>
      <c r="O1812" s="11" t="str">
        <f aca="false">IF(J1812+L1812=0,"",J1812/(J1812+L1812))</f>
        <v/>
      </c>
      <c r="P1812" s="11" t="n">
        <f aca="false">2*J1812/(2*J1812+L1812+K1812)</f>
        <v>0</v>
      </c>
      <c r="Q1812" s="11" t="n">
        <f aca="false">L1812/(L1812+M1812)</f>
        <v>0</v>
      </c>
      <c r="R1812" s="6" t="n">
        <v>0</v>
      </c>
      <c r="S1812" s="11"/>
      <c r="T1812" s="11" t="n">
        <v>0</v>
      </c>
      <c r="U1812" s="11" t="n">
        <v>0.85</v>
      </c>
      <c r="V1812" s="11" t="n">
        <v>0.85</v>
      </c>
    </row>
    <row r="1813" customFormat="false" ht="15" hidden="false" customHeight="false" outlineLevel="0" collapsed="false">
      <c r="A1813" s="6" t="s">
        <v>56</v>
      </c>
      <c r="B1813" s="6" t="s">
        <v>43</v>
      </c>
      <c r="C1813" s="6" t="s">
        <v>51</v>
      </c>
      <c r="D1813" s="6" t="s">
        <v>118</v>
      </c>
      <c r="E1813" s="6" t="n">
        <v>16</v>
      </c>
      <c r="F1813" s="6" t="n">
        <v>5</v>
      </c>
      <c r="G1813" s="6" t="s">
        <v>75</v>
      </c>
      <c r="H1813" s="11" t="n">
        <v>0.01</v>
      </c>
      <c r="I1813" s="6" t="n">
        <v>20</v>
      </c>
      <c r="J1813" s="6" t="n">
        <v>0</v>
      </c>
      <c r="K1813" s="6" t="n">
        <v>20</v>
      </c>
      <c r="L1813" s="6" t="n">
        <v>0</v>
      </c>
      <c r="M1813" s="6" t="n">
        <v>20</v>
      </c>
      <c r="N1813" s="11" t="n">
        <f aca="false">J1813/(J1813+K1813)</f>
        <v>0</v>
      </c>
      <c r="O1813" s="11" t="str">
        <f aca="false">IF(J1813+L1813=0,"",J1813/(J1813+L1813))</f>
        <v/>
      </c>
      <c r="P1813" s="11" t="n">
        <f aca="false">2*J1813/(2*J1813+L1813+K1813)</f>
        <v>0</v>
      </c>
      <c r="Q1813" s="11" t="n">
        <f aca="false">L1813/(L1813+M1813)</f>
        <v>0</v>
      </c>
      <c r="R1813" s="6" t="n">
        <v>0</v>
      </c>
      <c r="S1813" s="11"/>
      <c r="T1813" s="11" t="n">
        <v>0</v>
      </c>
      <c r="U1813" s="11" t="n">
        <v>0.9</v>
      </c>
      <c r="V1813" s="11" t="n">
        <v>0.9</v>
      </c>
    </row>
    <row r="1814" customFormat="false" ht="15" hidden="false" customHeight="false" outlineLevel="0" collapsed="false">
      <c r="A1814" s="6" t="s">
        <v>56</v>
      </c>
      <c r="B1814" s="6" t="s">
        <v>43</v>
      </c>
      <c r="C1814" s="6" t="s">
        <v>51</v>
      </c>
      <c r="D1814" s="6" t="s">
        <v>118</v>
      </c>
      <c r="E1814" s="6" t="n">
        <v>16</v>
      </c>
      <c r="F1814" s="6" t="n">
        <v>5</v>
      </c>
      <c r="G1814" s="6" t="s">
        <v>76</v>
      </c>
      <c r="H1814" s="11" t="n">
        <v>0.01</v>
      </c>
      <c r="I1814" s="6" t="n">
        <v>20</v>
      </c>
      <c r="J1814" s="6" t="n">
        <v>0</v>
      </c>
      <c r="K1814" s="6" t="n">
        <v>20</v>
      </c>
      <c r="L1814" s="6" t="n">
        <v>0</v>
      </c>
      <c r="M1814" s="6" t="n">
        <v>20</v>
      </c>
      <c r="N1814" s="11" t="n">
        <f aca="false">J1814/(J1814+K1814)</f>
        <v>0</v>
      </c>
      <c r="O1814" s="11" t="str">
        <f aca="false">IF(J1814+L1814=0,"",J1814/(J1814+L1814))</f>
        <v/>
      </c>
      <c r="P1814" s="11" t="n">
        <f aca="false">2*J1814/(2*J1814+L1814+K1814)</f>
        <v>0</v>
      </c>
      <c r="Q1814" s="11" t="n">
        <f aca="false">L1814/(L1814+M1814)</f>
        <v>0</v>
      </c>
      <c r="R1814" s="6" t="n">
        <v>0</v>
      </c>
      <c r="S1814" s="11"/>
      <c r="T1814" s="11" t="n">
        <v>0</v>
      </c>
      <c r="U1814" s="11" t="n">
        <v>0.95</v>
      </c>
      <c r="V1814" s="11" t="n">
        <v>0.95</v>
      </c>
    </row>
    <row r="1815" customFormat="false" ht="15" hidden="false" customHeight="false" outlineLevel="0" collapsed="false">
      <c r="A1815" s="6" t="s">
        <v>56</v>
      </c>
      <c r="B1815" s="6" t="s">
        <v>43</v>
      </c>
      <c r="C1815" s="6" t="s">
        <v>51</v>
      </c>
      <c r="D1815" s="6" t="s">
        <v>118</v>
      </c>
      <c r="E1815" s="6" t="n">
        <v>16</v>
      </c>
      <c r="F1815" s="6" t="n">
        <v>5</v>
      </c>
      <c r="G1815" s="6" t="s">
        <v>77</v>
      </c>
      <c r="H1815" s="11" t="n">
        <v>0.01</v>
      </c>
      <c r="I1815" s="6" t="n">
        <v>20</v>
      </c>
      <c r="J1815" s="6" t="n">
        <v>1</v>
      </c>
      <c r="K1815" s="6" t="n">
        <v>19</v>
      </c>
      <c r="L1815" s="6" t="n">
        <v>1</v>
      </c>
      <c r="M1815" s="6" t="n">
        <v>19</v>
      </c>
      <c r="N1815" s="11" t="n">
        <f aca="false">J1815/(J1815+K1815)</f>
        <v>0.05</v>
      </c>
      <c r="O1815" s="11" t="n">
        <f aca="false">IF(J1815+L1815=0,"",J1815/(J1815+L1815))</f>
        <v>0.5</v>
      </c>
      <c r="P1815" s="11" t="n">
        <f aca="false">2*J1815/(2*J1815+L1815+K1815)</f>
        <v>0.0909090909090909</v>
      </c>
      <c r="Q1815" s="11" t="n">
        <f aca="false">L1815/(L1815+M1815)</f>
        <v>0.05</v>
      </c>
      <c r="R1815" s="6" t="n">
        <v>0</v>
      </c>
      <c r="S1815" s="11"/>
      <c r="T1815" s="11" t="n">
        <v>0.05</v>
      </c>
      <c r="U1815" s="11" t="n">
        <v>1</v>
      </c>
      <c r="V1815" s="11" t="n">
        <v>1</v>
      </c>
    </row>
    <row r="1816" customFormat="false" ht="15" hidden="false" customHeight="false" outlineLevel="0" collapsed="false">
      <c r="A1816" s="6" t="s">
        <v>56</v>
      </c>
      <c r="B1816" s="6" t="s">
        <v>43</v>
      </c>
      <c r="C1816" s="6" t="s">
        <v>51</v>
      </c>
      <c r="D1816" s="6" t="s">
        <v>118</v>
      </c>
      <c r="E1816" s="6" t="n">
        <v>16</v>
      </c>
      <c r="F1816" s="6" t="n">
        <v>5</v>
      </c>
      <c r="G1816" s="6" t="s">
        <v>78</v>
      </c>
      <c r="H1816" s="11" t="n">
        <v>0.01</v>
      </c>
      <c r="I1816" s="6" t="n">
        <v>200</v>
      </c>
      <c r="J1816" s="6" t="n">
        <v>1</v>
      </c>
      <c r="K1816" s="6" t="n">
        <v>199</v>
      </c>
      <c r="L1816" s="6" t="n">
        <v>1</v>
      </c>
      <c r="M1816" s="6" t="n">
        <v>199</v>
      </c>
      <c r="N1816" s="11" t="n">
        <f aca="false">J1816/(J1816+K1816)</f>
        <v>0.005</v>
      </c>
      <c r="O1816" s="11" t="n">
        <f aca="false">IF(J1816+L1816=0,"",J1816/(J1816+L1816))</f>
        <v>0.5</v>
      </c>
      <c r="P1816" s="11" t="n">
        <f aca="false">2*J1816/(2*J1816+L1816+K1816)</f>
        <v>0.0099009900990099</v>
      </c>
      <c r="Q1816" s="11" t="n">
        <f aca="false">L1816/(L1816+M1816)</f>
        <v>0.005</v>
      </c>
      <c r="R1816" s="6" t="n">
        <v>0</v>
      </c>
      <c r="S1816" s="11"/>
      <c r="T1816" s="11" t="n">
        <v>0.005</v>
      </c>
      <c r="U1816" s="11" t="n">
        <v>0.88</v>
      </c>
      <c r="V1816" s="11" t="n">
        <v>0.88</v>
      </c>
    </row>
    <row r="1817" customFormat="false" ht="15" hidden="false" customHeight="false" outlineLevel="0" collapsed="false">
      <c r="A1817" s="6" t="s">
        <v>56</v>
      </c>
      <c r="B1817" s="6" t="s">
        <v>43</v>
      </c>
      <c r="C1817" s="6" t="s">
        <v>51</v>
      </c>
      <c r="D1817" s="6" t="s">
        <v>118</v>
      </c>
      <c r="E1817" s="6" t="n">
        <v>16</v>
      </c>
      <c r="F1817" s="6" t="n">
        <v>6</v>
      </c>
      <c r="G1817" s="6" t="s">
        <v>68</v>
      </c>
      <c r="H1817" s="11" t="n">
        <v>0.01</v>
      </c>
      <c r="I1817" s="6" t="n">
        <v>20</v>
      </c>
      <c r="J1817" s="6" t="n">
        <v>0</v>
      </c>
      <c r="K1817" s="6" t="n">
        <v>20</v>
      </c>
      <c r="L1817" s="6" t="n">
        <v>0</v>
      </c>
      <c r="M1817" s="6" t="n">
        <v>20</v>
      </c>
      <c r="N1817" s="11" t="n">
        <f aca="false">J1817/(J1817+K1817)</f>
        <v>0</v>
      </c>
      <c r="O1817" s="11" t="str">
        <f aca="false">IF(J1817+L1817=0,"",J1817/(J1817+L1817))</f>
        <v/>
      </c>
      <c r="P1817" s="11" t="n">
        <f aca="false">2*J1817/(2*J1817+L1817+K1817)</f>
        <v>0</v>
      </c>
      <c r="Q1817" s="11" t="n">
        <f aca="false">L1817/(L1817+M1817)</f>
        <v>0</v>
      </c>
      <c r="R1817" s="6" t="n">
        <v>0</v>
      </c>
      <c r="S1817" s="11"/>
      <c r="T1817" s="11" t="n">
        <v>0</v>
      </c>
      <c r="U1817" s="11" t="n">
        <v>0.85</v>
      </c>
      <c r="V1817" s="11" t="n">
        <v>0.85</v>
      </c>
    </row>
    <row r="1818" customFormat="false" ht="15" hidden="false" customHeight="false" outlineLevel="0" collapsed="false">
      <c r="A1818" s="6" t="s">
        <v>56</v>
      </c>
      <c r="B1818" s="6" t="s">
        <v>43</v>
      </c>
      <c r="C1818" s="6" t="s">
        <v>51</v>
      </c>
      <c r="D1818" s="6" t="s">
        <v>118</v>
      </c>
      <c r="E1818" s="6" t="n">
        <v>16</v>
      </c>
      <c r="F1818" s="6" t="n">
        <v>6</v>
      </c>
      <c r="G1818" s="6" t="s">
        <v>69</v>
      </c>
      <c r="H1818" s="11" t="n">
        <v>0.01</v>
      </c>
      <c r="I1818" s="6" t="n">
        <v>20</v>
      </c>
      <c r="J1818" s="6" t="n">
        <v>0</v>
      </c>
      <c r="K1818" s="6" t="n">
        <v>20</v>
      </c>
      <c r="L1818" s="6" t="n">
        <v>0</v>
      </c>
      <c r="M1818" s="6" t="n">
        <v>20</v>
      </c>
      <c r="N1818" s="11" t="n">
        <f aca="false">J1818/(J1818+K1818)</f>
        <v>0</v>
      </c>
      <c r="O1818" s="11" t="str">
        <f aca="false">IF(J1818+L1818=0,"",J1818/(J1818+L1818))</f>
        <v/>
      </c>
      <c r="P1818" s="11" t="n">
        <f aca="false">2*J1818/(2*J1818+L1818+K1818)</f>
        <v>0</v>
      </c>
      <c r="Q1818" s="11" t="n">
        <f aca="false">L1818/(L1818+M1818)</f>
        <v>0</v>
      </c>
      <c r="R1818" s="6" t="n">
        <v>0</v>
      </c>
      <c r="S1818" s="11"/>
      <c r="T1818" s="11" t="n">
        <v>0</v>
      </c>
      <c r="U1818" s="11" t="n">
        <v>1</v>
      </c>
      <c r="V1818" s="11" t="n">
        <v>1</v>
      </c>
    </row>
    <row r="1819" customFormat="false" ht="15" hidden="false" customHeight="false" outlineLevel="0" collapsed="false">
      <c r="A1819" s="6" t="s">
        <v>56</v>
      </c>
      <c r="B1819" s="6" t="s">
        <v>43</v>
      </c>
      <c r="C1819" s="6" t="s">
        <v>51</v>
      </c>
      <c r="D1819" s="6" t="s">
        <v>118</v>
      </c>
      <c r="E1819" s="6" t="n">
        <v>16</v>
      </c>
      <c r="F1819" s="6" t="n">
        <v>6</v>
      </c>
      <c r="G1819" s="6" t="s">
        <v>70</v>
      </c>
      <c r="H1819" s="11" t="n">
        <v>0.01</v>
      </c>
      <c r="I1819" s="6" t="n">
        <v>20</v>
      </c>
      <c r="J1819" s="6" t="n">
        <v>0</v>
      </c>
      <c r="K1819" s="6" t="n">
        <v>20</v>
      </c>
      <c r="L1819" s="6" t="n">
        <v>0</v>
      </c>
      <c r="M1819" s="6" t="n">
        <v>20</v>
      </c>
      <c r="N1819" s="11" t="n">
        <f aca="false">J1819/(J1819+K1819)</f>
        <v>0</v>
      </c>
      <c r="O1819" s="11" t="str">
        <f aca="false">IF(J1819+L1819=0,"",J1819/(J1819+L1819))</f>
        <v/>
      </c>
      <c r="P1819" s="11" t="n">
        <f aca="false">2*J1819/(2*J1819+L1819+K1819)</f>
        <v>0</v>
      </c>
      <c r="Q1819" s="11" t="n">
        <f aca="false">L1819/(L1819+M1819)</f>
        <v>0</v>
      </c>
      <c r="R1819" s="6" t="n">
        <v>0</v>
      </c>
      <c r="S1819" s="11"/>
      <c r="T1819" s="11" t="n">
        <v>0</v>
      </c>
      <c r="U1819" s="11" t="n">
        <v>0.9</v>
      </c>
      <c r="V1819" s="11" t="n">
        <v>0.9</v>
      </c>
    </row>
    <row r="1820" customFormat="false" ht="15" hidden="false" customHeight="false" outlineLevel="0" collapsed="false">
      <c r="A1820" s="6" t="s">
        <v>56</v>
      </c>
      <c r="B1820" s="6" t="s">
        <v>43</v>
      </c>
      <c r="C1820" s="6" t="s">
        <v>51</v>
      </c>
      <c r="D1820" s="6" t="s">
        <v>118</v>
      </c>
      <c r="E1820" s="6" t="n">
        <v>16</v>
      </c>
      <c r="F1820" s="6" t="n">
        <v>6</v>
      </c>
      <c r="G1820" s="6" t="s">
        <v>71</v>
      </c>
      <c r="H1820" s="11" t="n">
        <v>0.01</v>
      </c>
      <c r="I1820" s="6" t="n">
        <v>20</v>
      </c>
      <c r="J1820" s="6" t="n">
        <v>0</v>
      </c>
      <c r="K1820" s="6" t="n">
        <v>20</v>
      </c>
      <c r="L1820" s="6" t="n">
        <v>0</v>
      </c>
      <c r="M1820" s="6" t="n">
        <v>20</v>
      </c>
      <c r="N1820" s="11" t="n">
        <f aca="false">J1820/(J1820+K1820)</f>
        <v>0</v>
      </c>
      <c r="O1820" s="11" t="str">
        <f aca="false">IF(J1820+L1820=0,"",J1820/(J1820+L1820))</f>
        <v/>
      </c>
      <c r="P1820" s="11" t="n">
        <f aca="false">2*J1820/(2*J1820+L1820+K1820)</f>
        <v>0</v>
      </c>
      <c r="Q1820" s="11" t="n">
        <f aca="false">L1820/(L1820+M1820)</f>
        <v>0</v>
      </c>
      <c r="R1820" s="6" t="n">
        <v>0</v>
      </c>
      <c r="S1820" s="11"/>
      <c r="T1820" s="11" t="n">
        <v>0</v>
      </c>
      <c r="U1820" s="11" t="n">
        <v>0.8</v>
      </c>
      <c r="V1820" s="11" t="n">
        <v>0.8</v>
      </c>
    </row>
    <row r="1821" customFormat="false" ht="15" hidden="false" customHeight="false" outlineLevel="0" collapsed="false">
      <c r="A1821" s="6" t="s">
        <v>56</v>
      </c>
      <c r="B1821" s="6" t="s">
        <v>43</v>
      </c>
      <c r="C1821" s="6" t="s">
        <v>51</v>
      </c>
      <c r="D1821" s="6" t="s">
        <v>118</v>
      </c>
      <c r="E1821" s="6" t="n">
        <v>16</v>
      </c>
      <c r="F1821" s="6" t="n">
        <v>6</v>
      </c>
      <c r="G1821" s="6" t="s">
        <v>72</v>
      </c>
      <c r="H1821" s="11" t="n">
        <v>0.01</v>
      </c>
      <c r="I1821" s="6" t="n">
        <v>20</v>
      </c>
      <c r="J1821" s="6" t="n">
        <v>0</v>
      </c>
      <c r="K1821" s="6" t="n">
        <v>20</v>
      </c>
      <c r="L1821" s="6" t="n">
        <v>0</v>
      </c>
      <c r="M1821" s="6" t="n">
        <v>20</v>
      </c>
      <c r="N1821" s="11" t="n">
        <f aca="false">J1821/(J1821+K1821)</f>
        <v>0</v>
      </c>
      <c r="O1821" s="11" t="str">
        <f aca="false">IF(J1821+L1821=0,"",J1821/(J1821+L1821))</f>
        <v/>
      </c>
      <c r="P1821" s="11" t="n">
        <f aca="false">2*J1821/(2*J1821+L1821+K1821)</f>
        <v>0</v>
      </c>
      <c r="Q1821" s="11" t="n">
        <f aca="false">L1821/(L1821+M1821)</f>
        <v>0</v>
      </c>
      <c r="R1821" s="6" t="n">
        <v>0</v>
      </c>
      <c r="S1821" s="11"/>
      <c r="T1821" s="11" t="n">
        <v>0</v>
      </c>
      <c r="U1821" s="11" t="n">
        <v>0.9</v>
      </c>
      <c r="V1821" s="11" t="n">
        <v>0.9</v>
      </c>
    </row>
    <row r="1822" customFormat="false" ht="15" hidden="false" customHeight="false" outlineLevel="0" collapsed="false">
      <c r="A1822" s="6" t="s">
        <v>56</v>
      </c>
      <c r="B1822" s="6" t="s">
        <v>43</v>
      </c>
      <c r="C1822" s="6" t="s">
        <v>51</v>
      </c>
      <c r="D1822" s="6" t="s">
        <v>118</v>
      </c>
      <c r="E1822" s="6" t="n">
        <v>16</v>
      </c>
      <c r="F1822" s="6" t="n">
        <v>6</v>
      </c>
      <c r="G1822" s="6" t="s">
        <v>73</v>
      </c>
      <c r="H1822" s="11" t="n">
        <v>0.01</v>
      </c>
      <c r="I1822" s="6" t="n">
        <v>20</v>
      </c>
      <c r="J1822" s="6" t="n">
        <v>0</v>
      </c>
      <c r="K1822" s="6" t="n">
        <v>20</v>
      </c>
      <c r="L1822" s="6" t="n">
        <v>0</v>
      </c>
      <c r="M1822" s="6" t="n">
        <v>20</v>
      </c>
      <c r="N1822" s="11" t="n">
        <f aca="false">J1822/(J1822+K1822)</f>
        <v>0</v>
      </c>
      <c r="O1822" s="11" t="str">
        <f aca="false">IF(J1822+L1822=0,"",J1822/(J1822+L1822))</f>
        <v/>
      </c>
      <c r="P1822" s="11" t="n">
        <f aca="false">2*J1822/(2*J1822+L1822+K1822)</f>
        <v>0</v>
      </c>
      <c r="Q1822" s="11" t="n">
        <f aca="false">L1822/(L1822+M1822)</f>
        <v>0</v>
      </c>
      <c r="R1822" s="6" t="n">
        <v>0</v>
      </c>
      <c r="S1822" s="11"/>
      <c r="T1822" s="11" t="n">
        <v>0</v>
      </c>
      <c r="U1822" s="11" t="n">
        <v>0.65</v>
      </c>
      <c r="V1822" s="11" t="n">
        <v>0.65</v>
      </c>
    </row>
    <row r="1823" customFormat="false" ht="15" hidden="false" customHeight="false" outlineLevel="0" collapsed="false">
      <c r="A1823" s="6" t="s">
        <v>56</v>
      </c>
      <c r="B1823" s="6" t="s">
        <v>43</v>
      </c>
      <c r="C1823" s="6" t="s">
        <v>51</v>
      </c>
      <c r="D1823" s="6" t="s">
        <v>118</v>
      </c>
      <c r="E1823" s="6" t="n">
        <v>16</v>
      </c>
      <c r="F1823" s="6" t="n">
        <v>6</v>
      </c>
      <c r="G1823" s="6" t="s">
        <v>74</v>
      </c>
      <c r="H1823" s="11" t="n">
        <v>0.01</v>
      </c>
      <c r="I1823" s="6" t="n">
        <v>20</v>
      </c>
      <c r="J1823" s="6" t="n">
        <v>0</v>
      </c>
      <c r="K1823" s="6" t="n">
        <v>20</v>
      </c>
      <c r="L1823" s="6" t="n">
        <v>0</v>
      </c>
      <c r="M1823" s="6" t="n">
        <v>20</v>
      </c>
      <c r="N1823" s="11" t="n">
        <f aca="false">J1823/(J1823+K1823)</f>
        <v>0</v>
      </c>
      <c r="O1823" s="11" t="str">
        <f aca="false">IF(J1823+L1823=0,"",J1823/(J1823+L1823))</f>
        <v/>
      </c>
      <c r="P1823" s="11" t="n">
        <f aca="false">2*J1823/(2*J1823+L1823+K1823)</f>
        <v>0</v>
      </c>
      <c r="Q1823" s="11" t="n">
        <f aca="false">L1823/(L1823+M1823)</f>
        <v>0</v>
      </c>
      <c r="R1823" s="6" t="n">
        <v>0</v>
      </c>
      <c r="S1823" s="11"/>
      <c r="T1823" s="11" t="n">
        <v>0</v>
      </c>
      <c r="U1823" s="11" t="n">
        <v>0.85</v>
      </c>
      <c r="V1823" s="11" t="n">
        <v>0.85</v>
      </c>
    </row>
    <row r="1824" customFormat="false" ht="15" hidden="false" customHeight="false" outlineLevel="0" collapsed="false">
      <c r="A1824" s="6" t="s">
        <v>56</v>
      </c>
      <c r="B1824" s="6" t="s">
        <v>43</v>
      </c>
      <c r="C1824" s="6" t="s">
        <v>51</v>
      </c>
      <c r="D1824" s="6" t="s">
        <v>118</v>
      </c>
      <c r="E1824" s="6" t="n">
        <v>16</v>
      </c>
      <c r="F1824" s="6" t="n">
        <v>6</v>
      </c>
      <c r="G1824" s="6" t="s">
        <v>75</v>
      </c>
      <c r="H1824" s="11" t="n">
        <v>0.01</v>
      </c>
      <c r="I1824" s="6" t="n">
        <v>20</v>
      </c>
      <c r="J1824" s="6" t="n">
        <v>0</v>
      </c>
      <c r="K1824" s="6" t="n">
        <v>20</v>
      </c>
      <c r="L1824" s="6" t="n">
        <v>0</v>
      </c>
      <c r="M1824" s="6" t="n">
        <v>20</v>
      </c>
      <c r="N1824" s="11" t="n">
        <f aca="false">J1824/(J1824+K1824)</f>
        <v>0</v>
      </c>
      <c r="O1824" s="11" t="str">
        <f aca="false">IF(J1824+L1824=0,"",J1824/(J1824+L1824))</f>
        <v/>
      </c>
      <c r="P1824" s="11" t="n">
        <f aca="false">2*J1824/(2*J1824+L1824+K1824)</f>
        <v>0</v>
      </c>
      <c r="Q1824" s="11" t="n">
        <f aca="false">L1824/(L1824+M1824)</f>
        <v>0</v>
      </c>
      <c r="R1824" s="6" t="n">
        <v>0</v>
      </c>
      <c r="S1824" s="11"/>
      <c r="T1824" s="11" t="n">
        <v>0</v>
      </c>
      <c r="U1824" s="11" t="n">
        <v>0.9</v>
      </c>
      <c r="V1824" s="11" t="n">
        <v>0.9</v>
      </c>
    </row>
    <row r="1825" customFormat="false" ht="15" hidden="false" customHeight="false" outlineLevel="0" collapsed="false">
      <c r="A1825" s="6" t="s">
        <v>56</v>
      </c>
      <c r="B1825" s="6" t="s">
        <v>43</v>
      </c>
      <c r="C1825" s="6" t="s">
        <v>51</v>
      </c>
      <c r="D1825" s="6" t="s">
        <v>118</v>
      </c>
      <c r="E1825" s="6" t="n">
        <v>16</v>
      </c>
      <c r="F1825" s="6" t="n">
        <v>6</v>
      </c>
      <c r="G1825" s="6" t="s">
        <v>76</v>
      </c>
      <c r="H1825" s="11" t="n">
        <v>0.01</v>
      </c>
      <c r="I1825" s="6" t="n">
        <v>20</v>
      </c>
      <c r="J1825" s="6" t="n">
        <v>0</v>
      </c>
      <c r="K1825" s="6" t="n">
        <v>20</v>
      </c>
      <c r="L1825" s="6" t="n">
        <v>0</v>
      </c>
      <c r="M1825" s="6" t="n">
        <v>20</v>
      </c>
      <c r="N1825" s="11" t="n">
        <f aca="false">J1825/(J1825+K1825)</f>
        <v>0</v>
      </c>
      <c r="O1825" s="11" t="str">
        <f aca="false">IF(J1825+L1825=0,"",J1825/(J1825+L1825))</f>
        <v/>
      </c>
      <c r="P1825" s="11" t="n">
        <f aca="false">2*J1825/(2*J1825+L1825+K1825)</f>
        <v>0</v>
      </c>
      <c r="Q1825" s="11" t="n">
        <f aca="false">L1825/(L1825+M1825)</f>
        <v>0</v>
      </c>
      <c r="R1825" s="6" t="n">
        <v>0</v>
      </c>
      <c r="S1825" s="11"/>
      <c r="T1825" s="11" t="n">
        <v>0</v>
      </c>
      <c r="U1825" s="11" t="n">
        <v>0.95</v>
      </c>
      <c r="V1825" s="11" t="n">
        <v>0.95</v>
      </c>
    </row>
    <row r="1826" customFormat="false" ht="15" hidden="false" customHeight="false" outlineLevel="0" collapsed="false">
      <c r="A1826" s="6" t="s">
        <v>56</v>
      </c>
      <c r="B1826" s="6" t="s">
        <v>43</v>
      </c>
      <c r="C1826" s="6" t="s">
        <v>51</v>
      </c>
      <c r="D1826" s="6" t="s">
        <v>118</v>
      </c>
      <c r="E1826" s="6" t="n">
        <v>16</v>
      </c>
      <c r="F1826" s="6" t="n">
        <v>6</v>
      </c>
      <c r="G1826" s="6" t="s">
        <v>77</v>
      </c>
      <c r="H1826" s="11" t="n">
        <v>0.01</v>
      </c>
      <c r="I1826" s="6" t="n">
        <v>20</v>
      </c>
      <c r="J1826" s="6" t="n">
        <v>1</v>
      </c>
      <c r="K1826" s="6" t="n">
        <v>19</v>
      </c>
      <c r="L1826" s="6" t="n">
        <v>1</v>
      </c>
      <c r="M1826" s="6" t="n">
        <v>19</v>
      </c>
      <c r="N1826" s="11" t="n">
        <f aca="false">J1826/(J1826+K1826)</f>
        <v>0.05</v>
      </c>
      <c r="O1826" s="11" t="n">
        <f aca="false">IF(J1826+L1826=0,"",J1826/(J1826+L1826))</f>
        <v>0.5</v>
      </c>
      <c r="P1826" s="11" t="n">
        <f aca="false">2*J1826/(2*J1826+L1826+K1826)</f>
        <v>0.0909090909090909</v>
      </c>
      <c r="Q1826" s="11" t="n">
        <f aca="false">L1826/(L1826+M1826)</f>
        <v>0.05</v>
      </c>
      <c r="R1826" s="6" t="n">
        <v>0</v>
      </c>
      <c r="S1826" s="11"/>
      <c r="T1826" s="11" t="n">
        <v>0.05</v>
      </c>
      <c r="U1826" s="11" t="n">
        <v>1</v>
      </c>
      <c r="V1826" s="11" t="n">
        <v>1</v>
      </c>
    </row>
    <row r="1827" customFormat="false" ht="15" hidden="false" customHeight="false" outlineLevel="0" collapsed="false">
      <c r="A1827" s="6" t="s">
        <v>56</v>
      </c>
      <c r="B1827" s="6" t="s">
        <v>43</v>
      </c>
      <c r="C1827" s="6" t="s">
        <v>51</v>
      </c>
      <c r="D1827" s="6" t="s">
        <v>118</v>
      </c>
      <c r="E1827" s="6" t="n">
        <v>16</v>
      </c>
      <c r="F1827" s="6" t="n">
        <v>6</v>
      </c>
      <c r="G1827" s="6" t="s">
        <v>78</v>
      </c>
      <c r="H1827" s="11" t="n">
        <v>0.01</v>
      </c>
      <c r="I1827" s="6" t="n">
        <v>200</v>
      </c>
      <c r="J1827" s="6" t="n">
        <v>1</v>
      </c>
      <c r="K1827" s="6" t="n">
        <v>199</v>
      </c>
      <c r="L1827" s="6" t="n">
        <v>1</v>
      </c>
      <c r="M1827" s="6" t="n">
        <v>199</v>
      </c>
      <c r="N1827" s="11" t="n">
        <f aca="false">J1827/(J1827+K1827)</f>
        <v>0.005</v>
      </c>
      <c r="O1827" s="11" t="n">
        <f aca="false">IF(J1827+L1827=0,"",J1827/(J1827+L1827))</f>
        <v>0.5</v>
      </c>
      <c r="P1827" s="11" t="n">
        <f aca="false">2*J1827/(2*J1827+L1827+K1827)</f>
        <v>0.0099009900990099</v>
      </c>
      <c r="Q1827" s="11" t="n">
        <f aca="false">L1827/(L1827+M1827)</f>
        <v>0.005</v>
      </c>
      <c r="R1827" s="6" t="n">
        <v>0</v>
      </c>
      <c r="S1827" s="11"/>
      <c r="T1827" s="11" t="n">
        <v>0.005</v>
      </c>
      <c r="U1827" s="11" t="n">
        <v>0.88</v>
      </c>
      <c r="V1827" s="11" t="n">
        <v>0.88</v>
      </c>
    </row>
    <row r="1828" customFormat="false" ht="15" hidden="false" customHeight="false" outlineLevel="0" collapsed="false">
      <c r="A1828" s="6" t="s">
        <v>56</v>
      </c>
      <c r="B1828" s="6" t="s">
        <v>43</v>
      </c>
      <c r="C1828" s="6" t="s">
        <v>51</v>
      </c>
      <c r="D1828" s="6" t="s">
        <v>118</v>
      </c>
      <c r="E1828" s="6" t="n">
        <v>16</v>
      </c>
      <c r="F1828" s="6" t="n">
        <v>7</v>
      </c>
      <c r="G1828" s="6" t="s">
        <v>68</v>
      </c>
      <c r="H1828" s="11" t="n">
        <v>0.01</v>
      </c>
      <c r="I1828" s="6" t="n">
        <v>20</v>
      </c>
      <c r="J1828" s="6" t="n">
        <v>0</v>
      </c>
      <c r="K1828" s="6" t="n">
        <v>20</v>
      </c>
      <c r="L1828" s="6" t="n">
        <v>0</v>
      </c>
      <c r="M1828" s="6" t="n">
        <v>20</v>
      </c>
      <c r="N1828" s="11" t="n">
        <f aca="false">J1828/(J1828+K1828)</f>
        <v>0</v>
      </c>
      <c r="O1828" s="11" t="str">
        <f aca="false">IF(J1828+L1828=0,"",J1828/(J1828+L1828))</f>
        <v/>
      </c>
      <c r="P1828" s="11" t="n">
        <f aca="false">2*J1828/(2*J1828+L1828+K1828)</f>
        <v>0</v>
      </c>
      <c r="Q1828" s="11" t="n">
        <f aca="false">L1828/(L1828+M1828)</f>
        <v>0</v>
      </c>
      <c r="R1828" s="6" t="n">
        <v>0</v>
      </c>
      <c r="S1828" s="11"/>
      <c r="T1828" s="11" t="n">
        <v>0</v>
      </c>
      <c r="U1828" s="11" t="n">
        <v>0.85</v>
      </c>
      <c r="V1828" s="11" t="n">
        <v>0.85</v>
      </c>
    </row>
    <row r="1829" customFormat="false" ht="15" hidden="false" customHeight="false" outlineLevel="0" collapsed="false">
      <c r="A1829" s="6" t="s">
        <v>56</v>
      </c>
      <c r="B1829" s="6" t="s">
        <v>43</v>
      </c>
      <c r="C1829" s="6" t="s">
        <v>51</v>
      </c>
      <c r="D1829" s="6" t="s">
        <v>118</v>
      </c>
      <c r="E1829" s="6" t="n">
        <v>16</v>
      </c>
      <c r="F1829" s="6" t="n">
        <v>7</v>
      </c>
      <c r="G1829" s="6" t="s">
        <v>69</v>
      </c>
      <c r="H1829" s="11" t="n">
        <v>0.01</v>
      </c>
      <c r="I1829" s="6" t="n">
        <v>20</v>
      </c>
      <c r="J1829" s="6" t="n">
        <v>0</v>
      </c>
      <c r="K1829" s="6" t="n">
        <v>20</v>
      </c>
      <c r="L1829" s="6" t="n">
        <v>0</v>
      </c>
      <c r="M1829" s="6" t="n">
        <v>20</v>
      </c>
      <c r="N1829" s="11" t="n">
        <f aca="false">J1829/(J1829+K1829)</f>
        <v>0</v>
      </c>
      <c r="O1829" s="11" t="str">
        <f aca="false">IF(J1829+L1829=0,"",J1829/(J1829+L1829))</f>
        <v/>
      </c>
      <c r="P1829" s="11" t="n">
        <f aca="false">2*J1829/(2*J1829+L1829+K1829)</f>
        <v>0</v>
      </c>
      <c r="Q1829" s="11" t="n">
        <f aca="false">L1829/(L1829+M1829)</f>
        <v>0</v>
      </c>
      <c r="R1829" s="6" t="n">
        <v>0</v>
      </c>
      <c r="S1829" s="11"/>
      <c r="T1829" s="11" t="n">
        <v>0</v>
      </c>
      <c r="U1829" s="11" t="n">
        <v>1</v>
      </c>
      <c r="V1829" s="11" t="n">
        <v>1</v>
      </c>
    </row>
    <row r="1830" customFormat="false" ht="15" hidden="false" customHeight="false" outlineLevel="0" collapsed="false">
      <c r="A1830" s="6" t="s">
        <v>56</v>
      </c>
      <c r="B1830" s="6" t="s">
        <v>43</v>
      </c>
      <c r="C1830" s="6" t="s">
        <v>51</v>
      </c>
      <c r="D1830" s="6" t="s">
        <v>118</v>
      </c>
      <c r="E1830" s="6" t="n">
        <v>16</v>
      </c>
      <c r="F1830" s="6" t="n">
        <v>7</v>
      </c>
      <c r="G1830" s="6" t="s">
        <v>70</v>
      </c>
      <c r="H1830" s="11" t="n">
        <v>0.01</v>
      </c>
      <c r="I1830" s="6" t="n">
        <v>20</v>
      </c>
      <c r="J1830" s="6" t="n">
        <v>0</v>
      </c>
      <c r="K1830" s="6" t="n">
        <v>20</v>
      </c>
      <c r="L1830" s="6" t="n">
        <v>0</v>
      </c>
      <c r="M1830" s="6" t="n">
        <v>20</v>
      </c>
      <c r="N1830" s="11" t="n">
        <f aca="false">J1830/(J1830+K1830)</f>
        <v>0</v>
      </c>
      <c r="O1830" s="11" t="str">
        <f aca="false">IF(J1830+L1830=0,"",J1830/(J1830+L1830))</f>
        <v/>
      </c>
      <c r="P1830" s="11" t="n">
        <f aca="false">2*J1830/(2*J1830+L1830+K1830)</f>
        <v>0</v>
      </c>
      <c r="Q1830" s="11" t="n">
        <f aca="false">L1830/(L1830+M1830)</f>
        <v>0</v>
      </c>
      <c r="R1830" s="6" t="n">
        <v>0</v>
      </c>
      <c r="S1830" s="11"/>
      <c r="T1830" s="11" t="n">
        <v>0</v>
      </c>
      <c r="U1830" s="11" t="n">
        <v>0.9</v>
      </c>
      <c r="V1830" s="11" t="n">
        <v>0.9</v>
      </c>
    </row>
    <row r="1831" customFormat="false" ht="15" hidden="false" customHeight="false" outlineLevel="0" collapsed="false">
      <c r="A1831" s="6" t="s">
        <v>56</v>
      </c>
      <c r="B1831" s="6" t="s">
        <v>43</v>
      </c>
      <c r="C1831" s="6" t="s">
        <v>51</v>
      </c>
      <c r="D1831" s="6" t="s">
        <v>118</v>
      </c>
      <c r="E1831" s="6" t="n">
        <v>16</v>
      </c>
      <c r="F1831" s="6" t="n">
        <v>7</v>
      </c>
      <c r="G1831" s="6" t="s">
        <v>71</v>
      </c>
      <c r="H1831" s="11" t="n">
        <v>0.01</v>
      </c>
      <c r="I1831" s="6" t="n">
        <v>20</v>
      </c>
      <c r="J1831" s="6" t="n">
        <v>0</v>
      </c>
      <c r="K1831" s="6" t="n">
        <v>20</v>
      </c>
      <c r="L1831" s="6" t="n">
        <v>0</v>
      </c>
      <c r="M1831" s="6" t="n">
        <v>20</v>
      </c>
      <c r="N1831" s="11" t="n">
        <f aca="false">J1831/(J1831+K1831)</f>
        <v>0</v>
      </c>
      <c r="O1831" s="11" t="str">
        <f aca="false">IF(J1831+L1831=0,"",J1831/(J1831+L1831))</f>
        <v/>
      </c>
      <c r="P1831" s="11" t="n">
        <f aca="false">2*J1831/(2*J1831+L1831+K1831)</f>
        <v>0</v>
      </c>
      <c r="Q1831" s="11" t="n">
        <f aca="false">L1831/(L1831+M1831)</f>
        <v>0</v>
      </c>
      <c r="R1831" s="6" t="n">
        <v>0</v>
      </c>
      <c r="S1831" s="11"/>
      <c r="T1831" s="11" t="n">
        <v>0</v>
      </c>
      <c r="U1831" s="11" t="n">
        <v>0.8</v>
      </c>
      <c r="V1831" s="11" t="n">
        <v>0.8</v>
      </c>
    </row>
    <row r="1832" customFormat="false" ht="15" hidden="false" customHeight="false" outlineLevel="0" collapsed="false">
      <c r="A1832" s="6" t="s">
        <v>56</v>
      </c>
      <c r="B1832" s="6" t="s">
        <v>43</v>
      </c>
      <c r="C1832" s="6" t="s">
        <v>51</v>
      </c>
      <c r="D1832" s="6" t="s">
        <v>118</v>
      </c>
      <c r="E1832" s="6" t="n">
        <v>16</v>
      </c>
      <c r="F1832" s="6" t="n">
        <v>7</v>
      </c>
      <c r="G1832" s="6" t="s">
        <v>72</v>
      </c>
      <c r="H1832" s="11" t="n">
        <v>0.01</v>
      </c>
      <c r="I1832" s="6" t="n">
        <v>20</v>
      </c>
      <c r="J1832" s="6" t="n">
        <v>0</v>
      </c>
      <c r="K1832" s="6" t="n">
        <v>20</v>
      </c>
      <c r="L1832" s="6" t="n">
        <v>0</v>
      </c>
      <c r="M1832" s="6" t="n">
        <v>20</v>
      </c>
      <c r="N1832" s="11" t="n">
        <f aca="false">J1832/(J1832+K1832)</f>
        <v>0</v>
      </c>
      <c r="O1832" s="11" t="str">
        <f aca="false">IF(J1832+L1832=0,"",J1832/(J1832+L1832))</f>
        <v/>
      </c>
      <c r="P1832" s="11" t="n">
        <f aca="false">2*J1832/(2*J1832+L1832+K1832)</f>
        <v>0</v>
      </c>
      <c r="Q1832" s="11" t="n">
        <f aca="false">L1832/(L1832+M1832)</f>
        <v>0</v>
      </c>
      <c r="R1832" s="6" t="n">
        <v>0</v>
      </c>
      <c r="S1832" s="11"/>
      <c r="T1832" s="11" t="n">
        <v>0</v>
      </c>
      <c r="U1832" s="11" t="n">
        <v>0.9</v>
      </c>
      <c r="V1832" s="11" t="n">
        <v>0.9</v>
      </c>
    </row>
    <row r="1833" customFormat="false" ht="15" hidden="false" customHeight="false" outlineLevel="0" collapsed="false">
      <c r="A1833" s="6" t="s">
        <v>56</v>
      </c>
      <c r="B1833" s="6" t="s">
        <v>43</v>
      </c>
      <c r="C1833" s="6" t="s">
        <v>51</v>
      </c>
      <c r="D1833" s="6" t="s">
        <v>118</v>
      </c>
      <c r="E1833" s="6" t="n">
        <v>16</v>
      </c>
      <c r="F1833" s="6" t="n">
        <v>7</v>
      </c>
      <c r="G1833" s="6" t="s">
        <v>73</v>
      </c>
      <c r="H1833" s="11" t="n">
        <v>0.01</v>
      </c>
      <c r="I1833" s="6" t="n">
        <v>20</v>
      </c>
      <c r="J1833" s="6" t="n">
        <v>0</v>
      </c>
      <c r="K1833" s="6" t="n">
        <v>20</v>
      </c>
      <c r="L1833" s="6" t="n">
        <v>0</v>
      </c>
      <c r="M1833" s="6" t="n">
        <v>20</v>
      </c>
      <c r="N1833" s="11" t="n">
        <f aca="false">J1833/(J1833+K1833)</f>
        <v>0</v>
      </c>
      <c r="O1833" s="11" t="str">
        <f aca="false">IF(J1833+L1833=0,"",J1833/(J1833+L1833))</f>
        <v/>
      </c>
      <c r="P1833" s="11" t="n">
        <f aca="false">2*J1833/(2*J1833+L1833+K1833)</f>
        <v>0</v>
      </c>
      <c r="Q1833" s="11" t="n">
        <f aca="false">L1833/(L1833+M1833)</f>
        <v>0</v>
      </c>
      <c r="R1833" s="6" t="n">
        <v>0</v>
      </c>
      <c r="S1833" s="11"/>
      <c r="T1833" s="11" t="n">
        <v>0</v>
      </c>
      <c r="U1833" s="11" t="n">
        <v>0.65</v>
      </c>
      <c r="V1833" s="11" t="n">
        <v>0.65</v>
      </c>
    </row>
    <row r="1834" customFormat="false" ht="15" hidden="false" customHeight="false" outlineLevel="0" collapsed="false">
      <c r="A1834" s="6" t="s">
        <v>56</v>
      </c>
      <c r="B1834" s="6" t="s">
        <v>43</v>
      </c>
      <c r="C1834" s="6" t="s">
        <v>51</v>
      </c>
      <c r="D1834" s="6" t="s">
        <v>118</v>
      </c>
      <c r="E1834" s="6" t="n">
        <v>16</v>
      </c>
      <c r="F1834" s="6" t="n">
        <v>7</v>
      </c>
      <c r="G1834" s="6" t="s">
        <v>74</v>
      </c>
      <c r="H1834" s="11" t="n">
        <v>0.01</v>
      </c>
      <c r="I1834" s="6" t="n">
        <v>20</v>
      </c>
      <c r="J1834" s="6" t="n">
        <v>0</v>
      </c>
      <c r="K1834" s="6" t="n">
        <v>20</v>
      </c>
      <c r="L1834" s="6" t="n">
        <v>0</v>
      </c>
      <c r="M1834" s="6" t="n">
        <v>20</v>
      </c>
      <c r="N1834" s="11" t="n">
        <f aca="false">J1834/(J1834+K1834)</f>
        <v>0</v>
      </c>
      <c r="O1834" s="11" t="str">
        <f aca="false">IF(J1834+L1834=0,"",J1834/(J1834+L1834))</f>
        <v/>
      </c>
      <c r="P1834" s="11" t="n">
        <f aca="false">2*J1834/(2*J1834+L1834+K1834)</f>
        <v>0</v>
      </c>
      <c r="Q1834" s="11" t="n">
        <f aca="false">L1834/(L1834+M1834)</f>
        <v>0</v>
      </c>
      <c r="R1834" s="6" t="n">
        <v>0</v>
      </c>
      <c r="S1834" s="11"/>
      <c r="T1834" s="11" t="n">
        <v>0</v>
      </c>
      <c r="U1834" s="11" t="n">
        <v>0.85</v>
      </c>
      <c r="V1834" s="11" t="n">
        <v>0.85</v>
      </c>
    </row>
    <row r="1835" customFormat="false" ht="15" hidden="false" customHeight="false" outlineLevel="0" collapsed="false">
      <c r="A1835" s="6" t="s">
        <v>56</v>
      </c>
      <c r="B1835" s="6" t="s">
        <v>43</v>
      </c>
      <c r="C1835" s="6" t="s">
        <v>51</v>
      </c>
      <c r="D1835" s="6" t="s">
        <v>118</v>
      </c>
      <c r="E1835" s="6" t="n">
        <v>16</v>
      </c>
      <c r="F1835" s="6" t="n">
        <v>7</v>
      </c>
      <c r="G1835" s="6" t="s">
        <v>75</v>
      </c>
      <c r="H1835" s="11" t="n">
        <v>0.01</v>
      </c>
      <c r="I1835" s="6" t="n">
        <v>20</v>
      </c>
      <c r="J1835" s="6" t="n">
        <v>0</v>
      </c>
      <c r="K1835" s="6" t="n">
        <v>20</v>
      </c>
      <c r="L1835" s="6" t="n">
        <v>0</v>
      </c>
      <c r="M1835" s="6" t="n">
        <v>20</v>
      </c>
      <c r="N1835" s="11" t="n">
        <f aca="false">J1835/(J1835+K1835)</f>
        <v>0</v>
      </c>
      <c r="O1835" s="11" t="str">
        <f aca="false">IF(J1835+L1835=0,"",J1835/(J1835+L1835))</f>
        <v/>
      </c>
      <c r="P1835" s="11" t="n">
        <f aca="false">2*J1835/(2*J1835+L1835+K1835)</f>
        <v>0</v>
      </c>
      <c r="Q1835" s="11" t="n">
        <f aca="false">L1835/(L1835+M1835)</f>
        <v>0</v>
      </c>
      <c r="R1835" s="6" t="n">
        <v>0</v>
      </c>
      <c r="S1835" s="11"/>
      <c r="T1835" s="11" t="n">
        <v>0</v>
      </c>
      <c r="U1835" s="11" t="n">
        <v>0.9</v>
      </c>
      <c r="V1835" s="11" t="n">
        <v>0.9</v>
      </c>
    </row>
    <row r="1836" customFormat="false" ht="15" hidden="false" customHeight="false" outlineLevel="0" collapsed="false">
      <c r="A1836" s="6" t="s">
        <v>56</v>
      </c>
      <c r="B1836" s="6" t="s">
        <v>43</v>
      </c>
      <c r="C1836" s="6" t="s">
        <v>51</v>
      </c>
      <c r="D1836" s="6" t="s">
        <v>118</v>
      </c>
      <c r="E1836" s="6" t="n">
        <v>16</v>
      </c>
      <c r="F1836" s="6" t="n">
        <v>7</v>
      </c>
      <c r="G1836" s="6" t="s">
        <v>76</v>
      </c>
      <c r="H1836" s="11" t="n">
        <v>0.01</v>
      </c>
      <c r="I1836" s="6" t="n">
        <v>20</v>
      </c>
      <c r="J1836" s="6" t="n">
        <v>0</v>
      </c>
      <c r="K1836" s="6" t="n">
        <v>20</v>
      </c>
      <c r="L1836" s="6" t="n">
        <v>0</v>
      </c>
      <c r="M1836" s="6" t="n">
        <v>20</v>
      </c>
      <c r="N1836" s="11" t="n">
        <f aca="false">J1836/(J1836+K1836)</f>
        <v>0</v>
      </c>
      <c r="O1836" s="11" t="str">
        <f aca="false">IF(J1836+L1836=0,"",J1836/(J1836+L1836))</f>
        <v/>
      </c>
      <c r="P1836" s="11" t="n">
        <f aca="false">2*J1836/(2*J1836+L1836+K1836)</f>
        <v>0</v>
      </c>
      <c r="Q1836" s="11" t="n">
        <f aca="false">L1836/(L1836+M1836)</f>
        <v>0</v>
      </c>
      <c r="R1836" s="6" t="n">
        <v>0</v>
      </c>
      <c r="S1836" s="11"/>
      <c r="T1836" s="11" t="n">
        <v>0</v>
      </c>
      <c r="U1836" s="11" t="n">
        <v>0.95</v>
      </c>
      <c r="V1836" s="11" t="n">
        <v>0.95</v>
      </c>
    </row>
    <row r="1837" customFormat="false" ht="15" hidden="false" customHeight="false" outlineLevel="0" collapsed="false">
      <c r="A1837" s="6" t="s">
        <v>56</v>
      </c>
      <c r="B1837" s="6" t="s">
        <v>43</v>
      </c>
      <c r="C1837" s="6" t="s">
        <v>51</v>
      </c>
      <c r="D1837" s="6" t="s">
        <v>118</v>
      </c>
      <c r="E1837" s="6" t="n">
        <v>16</v>
      </c>
      <c r="F1837" s="6" t="n">
        <v>7</v>
      </c>
      <c r="G1837" s="6" t="s">
        <v>77</v>
      </c>
      <c r="H1837" s="11" t="n">
        <v>0.01</v>
      </c>
      <c r="I1837" s="6" t="n">
        <v>20</v>
      </c>
      <c r="J1837" s="6" t="n">
        <v>1</v>
      </c>
      <c r="K1837" s="6" t="n">
        <v>19</v>
      </c>
      <c r="L1837" s="6" t="n">
        <v>1</v>
      </c>
      <c r="M1837" s="6" t="n">
        <v>19</v>
      </c>
      <c r="N1837" s="11" t="n">
        <f aca="false">J1837/(J1837+K1837)</f>
        <v>0.05</v>
      </c>
      <c r="O1837" s="11" t="n">
        <f aca="false">IF(J1837+L1837=0,"",J1837/(J1837+L1837))</f>
        <v>0.5</v>
      </c>
      <c r="P1837" s="11" t="n">
        <f aca="false">2*J1837/(2*J1837+L1837+K1837)</f>
        <v>0.0909090909090909</v>
      </c>
      <c r="Q1837" s="11" t="n">
        <f aca="false">L1837/(L1837+M1837)</f>
        <v>0.05</v>
      </c>
      <c r="R1837" s="6" t="n">
        <v>0</v>
      </c>
      <c r="S1837" s="11"/>
      <c r="T1837" s="11" t="n">
        <v>0.05</v>
      </c>
      <c r="U1837" s="11" t="n">
        <v>1</v>
      </c>
      <c r="V1837" s="11" t="n">
        <v>1</v>
      </c>
    </row>
    <row r="1838" customFormat="false" ht="15" hidden="false" customHeight="false" outlineLevel="0" collapsed="false">
      <c r="A1838" s="6" t="s">
        <v>56</v>
      </c>
      <c r="B1838" s="6" t="s">
        <v>43</v>
      </c>
      <c r="C1838" s="6" t="s">
        <v>51</v>
      </c>
      <c r="D1838" s="6" t="s">
        <v>118</v>
      </c>
      <c r="E1838" s="6" t="n">
        <v>16</v>
      </c>
      <c r="F1838" s="6" t="n">
        <v>7</v>
      </c>
      <c r="G1838" s="6" t="s">
        <v>78</v>
      </c>
      <c r="H1838" s="11" t="n">
        <v>0.01</v>
      </c>
      <c r="I1838" s="6" t="n">
        <v>200</v>
      </c>
      <c r="J1838" s="6" t="n">
        <v>1</v>
      </c>
      <c r="K1838" s="6" t="n">
        <v>199</v>
      </c>
      <c r="L1838" s="6" t="n">
        <v>1</v>
      </c>
      <c r="M1838" s="6" t="n">
        <v>199</v>
      </c>
      <c r="N1838" s="11" t="n">
        <f aca="false">J1838/(J1838+K1838)</f>
        <v>0.005</v>
      </c>
      <c r="O1838" s="11" t="n">
        <f aca="false">IF(J1838+L1838=0,"",J1838/(J1838+L1838))</f>
        <v>0.5</v>
      </c>
      <c r="P1838" s="11" t="n">
        <f aca="false">2*J1838/(2*J1838+L1838+K1838)</f>
        <v>0.0099009900990099</v>
      </c>
      <c r="Q1838" s="11" t="n">
        <f aca="false">L1838/(L1838+M1838)</f>
        <v>0.005</v>
      </c>
      <c r="R1838" s="6" t="n">
        <v>0</v>
      </c>
      <c r="S1838" s="11"/>
      <c r="T1838" s="11" t="n">
        <v>0.005</v>
      </c>
      <c r="U1838" s="11" t="n">
        <v>0.88</v>
      </c>
      <c r="V1838" s="11" t="n">
        <v>0.88</v>
      </c>
    </row>
    <row r="1839" customFormat="false" ht="15" hidden="false" customHeight="false" outlineLevel="0" collapsed="false">
      <c r="A1839" s="6" t="s">
        <v>56</v>
      </c>
      <c r="B1839" s="6" t="s">
        <v>43</v>
      </c>
      <c r="C1839" s="6" t="s">
        <v>51</v>
      </c>
      <c r="D1839" s="6" t="s">
        <v>118</v>
      </c>
      <c r="E1839" s="6" t="n">
        <v>16</v>
      </c>
      <c r="F1839" s="6" t="n">
        <v>8</v>
      </c>
      <c r="G1839" s="6" t="s">
        <v>68</v>
      </c>
      <c r="H1839" s="11" t="n">
        <v>0.01</v>
      </c>
      <c r="I1839" s="6" t="n">
        <v>20</v>
      </c>
      <c r="J1839" s="6" t="n">
        <v>0</v>
      </c>
      <c r="K1839" s="6" t="n">
        <v>20</v>
      </c>
      <c r="L1839" s="6" t="n">
        <v>0</v>
      </c>
      <c r="M1839" s="6" t="n">
        <v>20</v>
      </c>
      <c r="N1839" s="11" t="n">
        <f aca="false">J1839/(J1839+K1839)</f>
        <v>0</v>
      </c>
      <c r="O1839" s="11" t="str">
        <f aca="false">IF(J1839+L1839=0,"",J1839/(J1839+L1839))</f>
        <v/>
      </c>
      <c r="P1839" s="11" t="n">
        <f aca="false">2*J1839/(2*J1839+L1839+K1839)</f>
        <v>0</v>
      </c>
      <c r="Q1839" s="11" t="n">
        <f aca="false">L1839/(L1839+M1839)</f>
        <v>0</v>
      </c>
      <c r="R1839" s="6" t="n">
        <v>0</v>
      </c>
      <c r="S1839" s="11"/>
      <c r="T1839" s="11" t="n">
        <v>0</v>
      </c>
      <c r="U1839" s="11" t="n">
        <v>0.85</v>
      </c>
      <c r="V1839" s="11" t="n">
        <v>0.85</v>
      </c>
    </row>
    <row r="1840" customFormat="false" ht="15" hidden="false" customHeight="false" outlineLevel="0" collapsed="false">
      <c r="A1840" s="6" t="s">
        <v>56</v>
      </c>
      <c r="B1840" s="6" t="s">
        <v>43</v>
      </c>
      <c r="C1840" s="6" t="s">
        <v>51</v>
      </c>
      <c r="D1840" s="6" t="s">
        <v>118</v>
      </c>
      <c r="E1840" s="6" t="n">
        <v>16</v>
      </c>
      <c r="F1840" s="6" t="n">
        <v>8</v>
      </c>
      <c r="G1840" s="6" t="s">
        <v>69</v>
      </c>
      <c r="H1840" s="11" t="n">
        <v>0.01</v>
      </c>
      <c r="I1840" s="6" t="n">
        <v>20</v>
      </c>
      <c r="J1840" s="6" t="n">
        <v>0</v>
      </c>
      <c r="K1840" s="6" t="n">
        <v>20</v>
      </c>
      <c r="L1840" s="6" t="n">
        <v>0</v>
      </c>
      <c r="M1840" s="6" t="n">
        <v>20</v>
      </c>
      <c r="N1840" s="11" t="n">
        <f aca="false">J1840/(J1840+K1840)</f>
        <v>0</v>
      </c>
      <c r="O1840" s="11" t="str">
        <f aca="false">IF(J1840+L1840=0,"",J1840/(J1840+L1840))</f>
        <v/>
      </c>
      <c r="P1840" s="11" t="n">
        <f aca="false">2*J1840/(2*J1840+L1840+K1840)</f>
        <v>0</v>
      </c>
      <c r="Q1840" s="11" t="n">
        <f aca="false">L1840/(L1840+M1840)</f>
        <v>0</v>
      </c>
      <c r="R1840" s="6" t="n">
        <v>0</v>
      </c>
      <c r="S1840" s="11"/>
      <c r="T1840" s="11" t="n">
        <v>0</v>
      </c>
      <c r="U1840" s="11" t="n">
        <v>1</v>
      </c>
      <c r="V1840" s="11" t="n">
        <v>1</v>
      </c>
    </row>
    <row r="1841" customFormat="false" ht="15" hidden="false" customHeight="false" outlineLevel="0" collapsed="false">
      <c r="A1841" s="6" t="s">
        <v>56</v>
      </c>
      <c r="B1841" s="6" t="s">
        <v>43</v>
      </c>
      <c r="C1841" s="6" t="s">
        <v>51</v>
      </c>
      <c r="D1841" s="6" t="s">
        <v>118</v>
      </c>
      <c r="E1841" s="6" t="n">
        <v>16</v>
      </c>
      <c r="F1841" s="6" t="n">
        <v>8</v>
      </c>
      <c r="G1841" s="6" t="s">
        <v>70</v>
      </c>
      <c r="H1841" s="11" t="n">
        <v>0.01</v>
      </c>
      <c r="I1841" s="6" t="n">
        <v>20</v>
      </c>
      <c r="J1841" s="6" t="n">
        <v>0</v>
      </c>
      <c r="K1841" s="6" t="n">
        <v>20</v>
      </c>
      <c r="L1841" s="6" t="n">
        <v>0</v>
      </c>
      <c r="M1841" s="6" t="n">
        <v>20</v>
      </c>
      <c r="N1841" s="11" t="n">
        <f aca="false">J1841/(J1841+K1841)</f>
        <v>0</v>
      </c>
      <c r="O1841" s="11" t="str">
        <f aca="false">IF(J1841+L1841=0,"",J1841/(J1841+L1841))</f>
        <v/>
      </c>
      <c r="P1841" s="11" t="n">
        <f aca="false">2*J1841/(2*J1841+L1841+K1841)</f>
        <v>0</v>
      </c>
      <c r="Q1841" s="11" t="n">
        <f aca="false">L1841/(L1841+M1841)</f>
        <v>0</v>
      </c>
      <c r="R1841" s="6" t="n">
        <v>0</v>
      </c>
      <c r="S1841" s="11"/>
      <c r="T1841" s="11" t="n">
        <v>0</v>
      </c>
      <c r="U1841" s="11" t="n">
        <v>0.9</v>
      </c>
      <c r="V1841" s="11" t="n">
        <v>0.9</v>
      </c>
    </row>
    <row r="1842" customFormat="false" ht="15" hidden="false" customHeight="false" outlineLevel="0" collapsed="false">
      <c r="A1842" s="6" t="s">
        <v>56</v>
      </c>
      <c r="B1842" s="6" t="s">
        <v>43</v>
      </c>
      <c r="C1842" s="6" t="s">
        <v>51</v>
      </c>
      <c r="D1842" s="6" t="s">
        <v>118</v>
      </c>
      <c r="E1842" s="6" t="n">
        <v>16</v>
      </c>
      <c r="F1842" s="6" t="n">
        <v>8</v>
      </c>
      <c r="G1842" s="6" t="s">
        <v>71</v>
      </c>
      <c r="H1842" s="11" t="n">
        <v>0.01</v>
      </c>
      <c r="I1842" s="6" t="n">
        <v>20</v>
      </c>
      <c r="J1842" s="6" t="n">
        <v>0</v>
      </c>
      <c r="K1842" s="6" t="n">
        <v>20</v>
      </c>
      <c r="L1842" s="6" t="n">
        <v>0</v>
      </c>
      <c r="M1842" s="6" t="n">
        <v>20</v>
      </c>
      <c r="N1842" s="11" t="n">
        <f aca="false">J1842/(J1842+K1842)</f>
        <v>0</v>
      </c>
      <c r="O1842" s="11" t="str">
        <f aca="false">IF(J1842+L1842=0,"",J1842/(J1842+L1842))</f>
        <v/>
      </c>
      <c r="P1842" s="11" t="n">
        <f aca="false">2*J1842/(2*J1842+L1842+K1842)</f>
        <v>0</v>
      </c>
      <c r="Q1842" s="11" t="n">
        <f aca="false">L1842/(L1842+M1842)</f>
        <v>0</v>
      </c>
      <c r="R1842" s="6" t="n">
        <v>0</v>
      </c>
      <c r="S1842" s="11"/>
      <c r="T1842" s="11" t="n">
        <v>0</v>
      </c>
      <c r="U1842" s="11" t="n">
        <v>0.8</v>
      </c>
      <c r="V1842" s="11" t="n">
        <v>0.8</v>
      </c>
    </row>
    <row r="1843" customFormat="false" ht="15" hidden="false" customHeight="false" outlineLevel="0" collapsed="false">
      <c r="A1843" s="6" t="s">
        <v>56</v>
      </c>
      <c r="B1843" s="6" t="s">
        <v>43</v>
      </c>
      <c r="C1843" s="6" t="s">
        <v>51</v>
      </c>
      <c r="D1843" s="6" t="s">
        <v>118</v>
      </c>
      <c r="E1843" s="6" t="n">
        <v>16</v>
      </c>
      <c r="F1843" s="6" t="n">
        <v>8</v>
      </c>
      <c r="G1843" s="6" t="s">
        <v>72</v>
      </c>
      <c r="H1843" s="11" t="n">
        <v>0.01</v>
      </c>
      <c r="I1843" s="6" t="n">
        <v>20</v>
      </c>
      <c r="J1843" s="6" t="n">
        <v>0</v>
      </c>
      <c r="K1843" s="6" t="n">
        <v>20</v>
      </c>
      <c r="L1843" s="6" t="n">
        <v>0</v>
      </c>
      <c r="M1843" s="6" t="n">
        <v>20</v>
      </c>
      <c r="N1843" s="11" t="n">
        <f aca="false">J1843/(J1843+K1843)</f>
        <v>0</v>
      </c>
      <c r="O1843" s="11" t="str">
        <f aca="false">IF(J1843+L1843=0,"",J1843/(J1843+L1843))</f>
        <v/>
      </c>
      <c r="P1843" s="11" t="n">
        <f aca="false">2*J1843/(2*J1843+L1843+K1843)</f>
        <v>0</v>
      </c>
      <c r="Q1843" s="11" t="n">
        <f aca="false">L1843/(L1843+M1843)</f>
        <v>0</v>
      </c>
      <c r="R1843" s="6" t="n">
        <v>0</v>
      </c>
      <c r="S1843" s="11"/>
      <c r="T1843" s="11" t="n">
        <v>0</v>
      </c>
      <c r="U1843" s="11" t="n">
        <v>0.9</v>
      </c>
      <c r="V1843" s="11" t="n">
        <v>0.9</v>
      </c>
    </row>
    <row r="1844" customFormat="false" ht="15" hidden="false" customHeight="false" outlineLevel="0" collapsed="false">
      <c r="A1844" s="6" t="s">
        <v>56</v>
      </c>
      <c r="B1844" s="6" t="s">
        <v>43</v>
      </c>
      <c r="C1844" s="6" t="s">
        <v>51</v>
      </c>
      <c r="D1844" s="6" t="s">
        <v>118</v>
      </c>
      <c r="E1844" s="6" t="n">
        <v>16</v>
      </c>
      <c r="F1844" s="6" t="n">
        <v>8</v>
      </c>
      <c r="G1844" s="6" t="s">
        <v>73</v>
      </c>
      <c r="H1844" s="11" t="n">
        <v>0.01</v>
      </c>
      <c r="I1844" s="6" t="n">
        <v>20</v>
      </c>
      <c r="J1844" s="6" t="n">
        <v>0</v>
      </c>
      <c r="K1844" s="6" t="n">
        <v>20</v>
      </c>
      <c r="L1844" s="6" t="n">
        <v>0</v>
      </c>
      <c r="M1844" s="6" t="n">
        <v>20</v>
      </c>
      <c r="N1844" s="11" t="n">
        <f aca="false">J1844/(J1844+K1844)</f>
        <v>0</v>
      </c>
      <c r="O1844" s="11" t="str">
        <f aca="false">IF(J1844+L1844=0,"",J1844/(J1844+L1844))</f>
        <v/>
      </c>
      <c r="P1844" s="11" t="n">
        <f aca="false">2*J1844/(2*J1844+L1844+K1844)</f>
        <v>0</v>
      </c>
      <c r="Q1844" s="11" t="n">
        <f aca="false">L1844/(L1844+M1844)</f>
        <v>0</v>
      </c>
      <c r="R1844" s="6" t="n">
        <v>0</v>
      </c>
      <c r="S1844" s="11"/>
      <c r="T1844" s="11" t="n">
        <v>0</v>
      </c>
      <c r="U1844" s="11" t="n">
        <v>0.65</v>
      </c>
      <c r="V1844" s="11" t="n">
        <v>0.65</v>
      </c>
    </row>
    <row r="1845" customFormat="false" ht="15" hidden="false" customHeight="false" outlineLevel="0" collapsed="false">
      <c r="A1845" s="6" t="s">
        <v>56</v>
      </c>
      <c r="B1845" s="6" t="s">
        <v>43</v>
      </c>
      <c r="C1845" s="6" t="s">
        <v>51</v>
      </c>
      <c r="D1845" s="6" t="s">
        <v>118</v>
      </c>
      <c r="E1845" s="6" t="n">
        <v>16</v>
      </c>
      <c r="F1845" s="6" t="n">
        <v>8</v>
      </c>
      <c r="G1845" s="6" t="s">
        <v>74</v>
      </c>
      <c r="H1845" s="11" t="n">
        <v>0.01</v>
      </c>
      <c r="I1845" s="6" t="n">
        <v>20</v>
      </c>
      <c r="J1845" s="6" t="n">
        <v>0</v>
      </c>
      <c r="K1845" s="6" t="n">
        <v>20</v>
      </c>
      <c r="L1845" s="6" t="n">
        <v>0</v>
      </c>
      <c r="M1845" s="6" t="n">
        <v>20</v>
      </c>
      <c r="N1845" s="11" t="n">
        <f aca="false">J1845/(J1845+K1845)</f>
        <v>0</v>
      </c>
      <c r="O1845" s="11" t="str">
        <f aca="false">IF(J1845+L1845=0,"",J1845/(J1845+L1845))</f>
        <v/>
      </c>
      <c r="P1845" s="11" t="n">
        <f aca="false">2*J1845/(2*J1845+L1845+K1845)</f>
        <v>0</v>
      </c>
      <c r="Q1845" s="11" t="n">
        <f aca="false">L1845/(L1845+M1845)</f>
        <v>0</v>
      </c>
      <c r="R1845" s="6" t="n">
        <v>0</v>
      </c>
      <c r="S1845" s="11"/>
      <c r="T1845" s="11" t="n">
        <v>0</v>
      </c>
      <c r="U1845" s="11" t="n">
        <v>0.85</v>
      </c>
      <c r="V1845" s="11" t="n">
        <v>0.85</v>
      </c>
    </row>
    <row r="1846" customFormat="false" ht="15" hidden="false" customHeight="false" outlineLevel="0" collapsed="false">
      <c r="A1846" s="6" t="s">
        <v>56</v>
      </c>
      <c r="B1846" s="6" t="s">
        <v>43</v>
      </c>
      <c r="C1846" s="6" t="s">
        <v>51</v>
      </c>
      <c r="D1846" s="6" t="s">
        <v>118</v>
      </c>
      <c r="E1846" s="6" t="n">
        <v>16</v>
      </c>
      <c r="F1846" s="6" t="n">
        <v>8</v>
      </c>
      <c r="G1846" s="6" t="s">
        <v>75</v>
      </c>
      <c r="H1846" s="11" t="n">
        <v>0.01</v>
      </c>
      <c r="I1846" s="6" t="n">
        <v>20</v>
      </c>
      <c r="J1846" s="6" t="n">
        <v>0</v>
      </c>
      <c r="K1846" s="6" t="n">
        <v>20</v>
      </c>
      <c r="L1846" s="6" t="n">
        <v>0</v>
      </c>
      <c r="M1846" s="6" t="n">
        <v>20</v>
      </c>
      <c r="N1846" s="11" t="n">
        <f aca="false">J1846/(J1846+K1846)</f>
        <v>0</v>
      </c>
      <c r="O1846" s="11" t="str">
        <f aca="false">IF(J1846+L1846=0,"",J1846/(J1846+L1846))</f>
        <v/>
      </c>
      <c r="P1846" s="11" t="n">
        <f aca="false">2*J1846/(2*J1846+L1846+K1846)</f>
        <v>0</v>
      </c>
      <c r="Q1846" s="11" t="n">
        <f aca="false">L1846/(L1846+M1846)</f>
        <v>0</v>
      </c>
      <c r="R1846" s="6" t="n">
        <v>0</v>
      </c>
      <c r="S1846" s="11"/>
      <c r="T1846" s="11" t="n">
        <v>0</v>
      </c>
      <c r="U1846" s="11" t="n">
        <v>0.9</v>
      </c>
      <c r="V1846" s="11" t="n">
        <v>0.9</v>
      </c>
    </row>
    <row r="1847" customFormat="false" ht="15" hidden="false" customHeight="false" outlineLevel="0" collapsed="false">
      <c r="A1847" s="6" t="s">
        <v>56</v>
      </c>
      <c r="B1847" s="6" t="s">
        <v>43</v>
      </c>
      <c r="C1847" s="6" t="s">
        <v>51</v>
      </c>
      <c r="D1847" s="6" t="s">
        <v>118</v>
      </c>
      <c r="E1847" s="6" t="n">
        <v>16</v>
      </c>
      <c r="F1847" s="6" t="n">
        <v>8</v>
      </c>
      <c r="G1847" s="6" t="s">
        <v>76</v>
      </c>
      <c r="H1847" s="11" t="n">
        <v>0.01</v>
      </c>
      <c r="I1847" s="6" t="n">
        <v>20</v>
      </c>
      <c r="J1847" s="6" t="n">
        <v>0</v>
      </c>
      <c r="K1847" s="6" t="n">
        <v>20</v>
      </c>
      <c r="L1847" s="6" t="n">
        <v>0</v>
      </c>
      <c r="M1847" s="6" t="n">
        <v>20</v>
      </c>
      <c r="N1847" s="11" t="n">
        <f aca="false">J1847/(J1847+K1847)</f>
        <v>0</v>
      </c>
      <c r="O1847" s="11" t="str">
        <f aca="false">IF(J1847+L1847=0,"",J1847/(J1847+L1847))</f>
        <v/>
      </c>
      <c r="P1847" s="11" t="n">
        <f aca="false">2*J1847/(2*J1847+L1847+K1847)</f>
        <v>0</v>
      </c>
      <c r="Q1847" s="11" t="n">
        <f aca="false">L1847/(L1847+M1847)</f>
        <v>0</v>
      </c>
      <c r="R1847" s="6" t="n">
        <v>0</v>
      </c>
      <c r="S1847" s="11"/>
      <c r="T1847" s="11" t="n">
        <v>0</v>
      </c>
      <c r="U1847" s="11" t="n">
        <v>0.95</v>
      </c>
      <c r="V1847" s="11" t="n">
        <v>0.95</v>
      </c>
    </row>
    <row r="1848" customFormat="false" ht="15" hidden="false" customHeight="false" outlineLevel="0" collapsed="false">
      <c r="A1848" s="6" t="s">
        <v>56</v>
      </c>
      <c r="B1848" s="6" t="s">
        <v>43</v>
      </c>
      <c r="C1848" s="6" t="s">
        <v>51</v>
      </c>
      <c r="D1848" s="6" t="s">
        <v>118</v>
      </c>
      <c r="E1848" s="6" t="n">
        <v>16</v>
      </c>
      <c r="F1848" s="6" t="n">
        <v>8</v>
      </c>
      <c r="G1848" s="6" t="s">
        <v>77</v>
      </c>
      <c r="H1848" s="11" t="n">
        <v>0.01</v>
      </c>
      <c r="I1848" s="6" t="n">
        <v>20</v>
      </c>
      <c r="J1848" s="6" t="n">
        <v>1</v>
      </c>
      <c r="K1848" s="6" t="n">
        <v>19</v>
      </c>
      <c r="L1848" s="6" t="n">
        <v>1</v>
      </c>
      <c r="M1848" s="6" t="n">
        <v>19</v>
      </c>
      <c r="N1848" s="11" t="n">
        <f aca="false">J1848/(J1848+K1848)</f>
        <v>0.05</v>
      </c>
      <c r="O1848" s="11" t="n">
        <f aca="false">IF(J1848+L1848=0,"",J1848/(J1848+L1848))</f>
        <v>0.5</v>
      </c>
      <c r="P1848" s="11" t="n">
        <f aca="false">2*J1848/(2*J1848+L1848+K1848)</f>
        <v>0.0909090909090909</v>
      </c>
      <c r="Q1848" s="11" t="n">
        <f aca="false">L1848/(L1848+M1848)</f>
        <v>0.05</v>
      </c>
      <c r="R1848" s="6" t="n">
        <v>0</v>
      </c>
      <c r="S1848" s="11"/>
      <c r="T1848" s="11" t="n">
        <v>0.05</v>
      </c>
      <c r="U1848" s="11" t="n">
        <v>1</v>
      </c>
      <c r="V1848" s="11" t="n">
        <v>1</v>
      </c>
    </row>
    <row r="1849" customFormat="false" ht="15" hidden="false" customHeight="false" outlineLevel="0" collapsed="false">
      <c r="A1849" s="6" t="s">
        <v>56</v>
      </c>
      <c r="B1849" s="6" t="s">
        <v>43</v>
      </c>
      <c r="C1849" s="6" t="s">
        <v>51</v>
      </c>
      <c r="D1849" s="6" t="s">
        <v>118</v>
      </c>
      <c r="E1849" s="6" t="n">
        <v>16</v>
      </c>
      <c r="F1849" s="6" t="n">
        <v>8</v>
      </c>
      <c r="G1849" s="6" t="s">
        <v>78</v>
      </c>
      <c r="H1849" s="11" t="n">
        <v>0.01</v>
      </c>
      <c r="I1849" s="6" t="n">
        <v>200</v>
      </c>
      <c r="J1849" s="6" t="n">
        <v>1</v>
      </c>
      <c r="K1849" s="6" t="n">
        <v>199</v>
      </c>
      <c r="L1849" s="6" t="n">
        <v>1</v>
      </c>
      <c r="M1849" s="6" t="n">
        <v>199</v>
      </c>
      <c r="N1849" s="11" t="n">
        <f aca="false">J1849/(J1849+K1849)</f>
        <v>0.005</v>
      </c>
      <c r="O1849" s="11" t="n">
        <f aca="false">IF(J1849+L1849=0,"",J1849/(J1849+L1849))</f>
        <v>0.5</v>
      </c>
      <c r="P1849" s="11" t="n">
        <f aca="false">2*J1849/(2*J1849+L1849+K1849)</f>
        <v>0.0099009900990099</v>
      </c>
      <c r="Q1849" s="11" t="n">
        <f aca="false">L1849/(L1849+M1849)</f>
        <v>0.005</v>
      </c>
      <c r="R1849" s="6" t="n">
        <v>0</v>
      </c>
      <c r="S1849" s="11"/>
      <c r="T1849" s="11" t="n">
        <v>0.005</v>
      </c>
      <c r="U1849" s="11" t="n">
        <v>0.88</v>
      </c>
      <c r="V1849" s="11" t="n">
        <v>0.88</v>
      </c>
    </row>
    <row r="1850" customFormat="false" ht="15" hidden="false" customHeight="false" outlineLevel="0" collapsed="false">
      <c r="A1850" s="6" t="s">
        <v>56</v>
      </c>
      <c r="B1850" s="6" t="s">
        <v>43</v>
      </c>
      <c r="C1850" s="6" t="s">
        <v>51</v>
      </c>
      <c r="D1850" s="6" t="s">
        <v>118</v>
      </c>
      <c r="E1850" s="6" t="n">
        <v>16</v>
      </c>
      <c r="F1850" s="6" t="n">
        <v>9</v>
      </c>
      <c r="G1850" s="6" t="s">
        <v>68</v>
      </c>
      <c r="H1850" s="11" t="n">
        <v>0.01</v>
      </c>
      <c r="I1850" s="6" t="n">
        <v>20</v>
      </c>
      <c r="J1850" s="6" t="n">
        <v>0</v>
      </c>
      <c r="K1850" s="6" t="n">
        <v>20</v>
      </c>
      <c r="L1850" s="6" t="n">
        <v>0</v>
      </c>
      <c r="M1850" s="6" t="n">
        <v>20</v>
      </c>
      <c r="N1850" s="11" t="n">
        <f aca="false">J1850/(J1850+K1850)</f>
        <v>0</v>
      </c>
      <c r="O1850" s="11" t="str">
        <f aca="false">IF(J1850+L1850=0,"",J1850/(J1850+L1850))</f>
        <v/>
      </c>
      <c r="P1850" s="11" t="n">
        <f aca="false">2*J1850/(2*J1850+L1850+K1850)</f>
        <v>0</v>
      </c>
      <c r="Q1850" s="11" t="n">
        <f aca="false">L1850/(L1850+M1850)</f>
        <v>0</v>
      </c>
      <c r="R1850" s="6" t="n">
        <v>0</v>
      </c>
      <c r="S1850" s="11"/>
      <c r="T1850" s="11" t="n">
        <v>0</v>
      </c>
      <c r="U1850" s="11" t="n">
        <v>0.85</v>
      </c>
      <c r="V1850" s="11" t="n">
        <v>0.85</v>
      </c>
    </row>
    <row r="1851" customFormat="false" ht="15" hidden="false" customHeight="false" outlineLevel="0" collapsed="false">
      <c r="A1851" s="6" t="s">
        <v>56</v>
      </c>
      <c r="B1851" s="6" t="s">
        <v>43</v>
      </c>
      <c r="C1851" s="6" t="s">
        <v>51</v>
      </c>
      <c r="D1851" s="6" t="s">
        <v>118</v>
      </c>
      <c r="E1851" s="6" t="n">
        <v>16</v>
      </c>
      <c r="F1851" s="6" t="n">
        <v>9</v>
      </c>
      <c r="G1851" s="6" t="s">
        <v>69</v>
      </c>
      <c r="H1851" s="11" t="n">
        <v>0.01</v>
      </c>
      <c r="I1851" s="6" t="n">
        <v>20</v>
      </c>
      <c r="J1851" s="6" t="n">
        <v>0</v>
      </c>
      <c r="K1851" s="6" t="n">
        <v>20</v>
      </c>
      <c r="L1851" s="6" t="n">
        <v>0</v>
      </c>
      <c r="M1851" s="6" t="n">
        <v>20</v>
      </c>
      <c r="N1851" s="11" t="n">
        <f aca="false">J1851/(J1851+K1851)</f>
        <v>0</v>
      </c>
      <c r="O1851" s="11" t="str">
        <f aca="false">IF(J1851+L1851=0,"",J1851/(J1851+L1851))</f>
        <v/>
      </c>
      <c r="P1851" s="11" t="n">
        <f aca="false">2*J1851/(2*J1851+L1851+K1851)</f>
        <v>0</v>
      </c>
      <c r="Q1851" s="11" t="n">
        <f aca="false">L1851/(L1851+M1851)</f>
        <v>0</v>
      </c>
      <c r="R1851" s="6" t="n">
        <v>0</v>
      </c>
      <c r="S1851" s="11"/>
      <c r="T1851" s="11" t="n">
        <v>0</v>
      </c>
      <c r="U1851" s="11" t="n">
        <v>1</v>
      </c>
      <c r="V1851" s="11" t="n">
        <v>1</v>
      </c>
    </row>
    <row r="1852" customFormat="false" ht="15" hidden="false" customHeight="false" outlineLevel="0" collapsed="false">
      <c r="A1852" s="6" t="s">
        <v>56</v>
      </c>
      <c r="B1852" s="6" t="s">
        <v>43</v>
      </c>
      <c r="C1852" s="6" t="s">
        <v>51</v>
      </c>
      <c r="D1852" s="6" t="s">
        <v>118</v>
      </c>
      <c r="E1852" s="6" t="n">
        <v>16</v>
      </c>
      <c r="F1852" s="6" t="n">
        <v>9</v>
      </c>
      <c r="G1852" s="6" t="s">
        <v>70</v>
      </c>
      <c r="H1852" s="11" t="n">
        <v>0.01</v>
      </c>
      <c r="I1852" s="6" t="n">
        <v>20</v>
      </c>
      <c r="J1852" s="6" t="n">
        <v>0</v>
      </c>
      <c r="K1852" s="6" t="n">
        <v>20</v>
      </c>
      <c r="L1852" s="6" t="n">
        <v>0</v>
      </c>
      <c r="M1852" s="6" t="n">
        <v>20</v>
      </c>
      <c r="N1852" s="11" t="n">
        <f aca="false">J1852/(J1852+K1852)</f>
        <v>0</v>
      </c>
      <c r="O1852" s="11" t="str">
        <f aca="false">IF(J1852+L1852=0,"",J1852/(J1852+L1852))</f>
        <v/>
      </c>
      <c r="P1852" s="11" t="n">
        <f aca="false">2*J1852/(2*J1852+L1852+K1852)</f>
        <v>0</v>
      </c>
      <c r="Q1852" s="11" t="n">
        <f aca="false">L1852/(L1852+M1852)</f>
        <v>0</v>
      </c>
      <c r="R1852" s="6" t="n">
        <v>0</v>
      </c>
      <c r="S1852" s="11"/>
      <c r="T1852" s="11" t="n">
        <v>0</v>
      </c>
      <c r="U1852" s="11" t="n">
        <v>0.9</v>
      </c>
      <c r="V1852" s="11" t="n">
        <v>0.9</v>
      </c>
    </row>
    <row r="1853" customFormat="false" ht="15" hidden="false" customHeight="false" outlineLevel="0" collapsed="false">
      <c r="A1853" s="6" t="s">
        <v>56</v>
      </c>
      <c r="B1853" s="6" t="s">
        <v>43</v>
      </c>
      <c r="C1853" s="6" t="s">
        <v>51</v>
      </c>
      <c r="D1853" s="6" t="s">
        <v>118</v>
      </c>
      <c r="E1853" s="6" t="n">
        <v>16</v>
      </c>
      <c r="F1853" s="6" t="n">
        <v>9</v>
      </c>
      <c r="G1853" s="6" t="s">
        <v>71</v>
      </c>
      <c r="H1853" s="11" t="n">
        <v>0.01</v>
      </c>
      <c r="I1853" s="6" t="n">
        <v>20</v>
      </c>
      <c r="J1853" s="6" t="n">
        <v>0</v>
      </c>
      <c r="K1853" s="6" t="n">
        <v>20</v>
      </c>
      <c r="L1853" s="6" t="n">
        <v>0</v>
      </c>
      <c r="M1853" s="6" t="n">
        <v>20</v>
      </c>
      <c r="N1853" s="11" t="n">
        <f aca="false">J1853/(J1853+K1853)</f>
        <v>0</v>
      </c>
      <c r="O1853" s="11" t="str">
        <f aca="false">IF(J1853+L1853=0,"",J1853/(J1853+L1853))</f>
        <v/>
      </c>
      <c r="P1853" s="11" t="n">
        <f aca="false">2*J1853/(2*J1853+L1853+K1853)</f>
        <v>0</v>
      </c>
      <c r="Q1853" s="11" t="n">
        <f aca="false">L1853/(L1853+M1853)</f>
        <v>0</v>
      </c>
      <c r="R1853" s="6" t="n">
        <v>0</v>
      </c>
      <c r="S1853" s="11"/>
      <c r="T1853" s="11" t="n">
        <v>0</v>
      </c>
      <c r="U1853" s="11" t="n">
        <v>0.8</v>
      </c>
      <c r="V1853" s="11" t="n">
        <v>0.8</v>
      </c>
    </row>
    <row r="1854" customFormat="false" ht="15" hidden="false" customHeight="false" outlineLevel="0" collapsed="false">
      <c r="A1854" s="6" t="s">
        <v>56</v>
      </c>
      <c r="B1854" s="6" t="s">
        <v>43</v>
      </c>
      <c r="C1854" s="6" t="s">
        <v>51</v>
      </c>
      <c r="D1854" s="6" t="s">
        <v>118</v>
      </c>
      <c r="E1854" s="6" t="n">
        <v>16</v>
      </c>
      <c r="F1854" s="6" t="n">
        <v>9</v>
      </c>
      <c r="G1854" s="6" t="s">
        <v>72</v>
      </c>
      <c r="H1854" s="11" t="n">
        <v>0.01</v>
      </c>
      <c r="I1854" s="6" t="n">
        <v>20</v>
      </c>
      <c r="J1854" s="6" t="n">
        <v>0</v>
      </c>
      <c r="K1854" s="6" t="n">
        <v>20</v>
      </c>
      <c r="L1854" s="6" t="n">
        <v>0</v>
      </c>
      <c r="M1854" s="6" t="n">
        <v>20</v>
      </c>
      <c r="N1854" s="11" t="n">
        <f aca="false">J1854/(J1854+K1854)</f>
        <v>0</v>
      </c>
      <c r="O1854" s="11" t="str">
        <f aca="false">IF(J1854+L1854=0,"",J1854/(J1854+L1854))</f>
        <v/>
      </c>
      <c r="P1854" s="11" t="n">
        <f aca="false">2*J1854/(2*J1854+L1854+K1854)</f>
        <v>0</v>
      </c>
      <c r="Q1854" s="11" t="n">
        <f aca="false">L1854/(L1854+M1854)</f>
        <v>0</v>
      </c>
      <c r="R1854" s="6" t="n">
        <v>0</v>
      </c>
      <c r="S1854" s="11"/>
      <c r="T1854" s="11" t="n">
        <v>0</v>
      </c>
      <c r="U1854" s="11" t="n">
        <v>0.9</v>
      </c>
      <c r="V1854" s="11" t="n">
        <v>0.9</v>
      </c>
    </row>
    <row r="1855" customFormat="false" ht="15" hidden="false" customHeight="false" outlineLevel="0" collapsed="false">
      <c r="A1855" s="6" t="s">
        <v>56</v>
      </c>
      <c r="B1855" s="6" t="s">
        <v>43</v>
      </c>
      <c r="C1855" s="6" t="s">
        <v>51</v>
      </c>
      <c r="D1855" s="6" t="s">
        <v>118</v>
      </c>
      <c r="E1855" s="6" t="n">
        <v>16</v>
      </c>
      <c r="F1855" s="6" t="n">
        <v>9</v>
      </c>
      <c r="G1855" s="6" t="s">
        <v>73</v>
      </c>
      <c r="H1855" s="11" t="n">
        <v>0.01</v>
      </c>
      <c r="I1855" s="6" t="n">
        <v>20</v>
      </c>
      <c r="J1855" s="6" t="n">
        <v>0</v>
      </c>
      <c r="K1855" s="6" t="n">
        <v>20</v>
      </c>
      <c r="L1855" s="6" t="n">
        <v>0</v>
      </c>
      <c r="M1855" s="6" t="n">
        <v>20</v>
      </c>
      <c r="N1855" s="11" t="n">
        <f aca="false">J1855/(J1855+K1855)</f>
        <v>0</v>
      </c>
      <c r="O1855" s="11" t="str">
        <f aca="false">IF(J1855+L1855=0,"",J1855/(J1855+L1855))</f>
        <v/>
      </c>
      <c r="P1855" s="11" t="n">
        <f aca="false">2*J1855/(2*J1855+L1855+K1855)</f>
        <v>0</v>
      </c>
      <c r="Q1855" s="11" t="n">
        <f aca="false">L1855/(L1855+M1855)</f>
        <v>0</v>
      </c>
      <c r="R1855" s="6" t="n">
        <v>0</v>
      </c>
      <c r="S1855" s="11"/>
      <c r="T1855" s="11" t="n">
        <v>0</v>
      </c>
      <c r="U1855" s="11" t="n">
        <v>0.65</v>
      </c>
      <c r="V1855" s="11" t="n">
        <v>0.65</v>
      </c>
    </row>
    <row r="1856" customFormat="false" ht="15" hidden="false" customHeight="false" outlineLevel="0" collapsed="false">
      <c r="A1856" s="6" t="s">
        <v>56</v>
      </c>
      <c r="B1856" s="6" t="s">
        <v>43</v>
      </c>
      <c r="C1856" s="6" t="s">
        <v>51</v>
      </c>
      <c r="D1856" s="6" t="s">
        <v>118</v>
      </c>
      <c r="E1856" s="6" t="n">
        <v>16</v>
      </c>
      <c r="F1856" s="6" t="n">
        <v>9</v>
      </c>
      <c r="G1856" s="6" t="s">
        <v>74</v>
      </c>
      <c r="H1856" s="11" t="n">
        <v>0.01</v>
      </c>
      <c r="I1856" s="6" t="n">
        <v>20</v>
      </c>
      <c r="J1856" s="6" t="n">
        <v>0</v>
      </c>
      <c r="K1856" s="6" t="n">
        <v>20</v>
      </c>
      <c r="L1856" s="6" t="n">
        <v>0</v>
      </c>
      <c r="M1856" s="6" t="n">
        <v>20</v>
      </c>
      <c r="N1856" s="11" t="n">
        <f aca="false">J1856/(J1856+K1856)</f>
        <v>0</v>
      </c>
      <c r="O1856" s="11" t="str">
        <f aca="false">IF(J1856+L1856=0,"",J1856/(J1856+L1856))</f>
        <v/>
      </c>
      <c r="P1856" s="11" t="n">
        <f aca="false">2*J1856/(2*J1856+L1856+K1856)</f>
        <v>0</v>
      </c>
      <c r="Q1856" s="11" t="n">
        <f aca="false">L1856/(L1856+M1856)</f>
        <v>0</v>
      </c>
      <c r="R1856" s="6" t="n">
        <v>0</v>
      </c>
      <c r="S1856" s="11"/>
      <c r="T1856" s="11" t="n">
        <v>0</v>
      </c>
      <c r="U1856" s="11" t="n">
        <v>0.85</v>
      </c>
      <c r="V1856" s="11" t="n">
        <v>0.85</v>
      </c>
    </row>
    <row r="1857" customFormat="false" ht="15" hidden="false" customHeight="false" outlineLevel="0" collapsed="false">
      <c r="A1857" s="6" t="s">
        <v>56</v>
      </c>
      <c r="B1857" s="6" t="s">
        <v>43</v>
      </c>
      <c r="C1857" s="6" t="s">
        <v>51</v>
      </c>
      <c r="D1857" s="6" t="s">
        <v>118</v>
      </c>
      <c r="E1857" s="6" t="n">
        <v>16</v>
      </c>
      <c r="F1857" s="6" t="n">
        <v>9</v>
      </c>
      <c r="G1857" s="6" t="s">
        <v>75</v>
      </c>
      <c r="H1857" s="11" t="n">
        <v>0.01</v>
      </c>
      <c r="I1857" s="6" t="n">
        <v>20</v>
      </c>
      <c r="J1857" s="6" t="n">
        <v>0</v>
      </c>
      <c r="K1857" s="6" t="n">
        <v>20</v>
      </c>
      <c r="L1857" s="6" t="n">
        <v>0</v>
      </c>
      <c r="M1857" s="6" t="n">
        <v>20</v>
      </c>
      <c r="N1857" s="11" t="n">
        <f aca="false">J1857/(J1857+K1857)</f>
        <v>0</v>
      </c>
      <c r="O1857" s="11" t="str">
        <f aca="false">IF(J1857+L1857=0,"",J1857/(J1857+L1857))</f>
        <v/>
      </c>
      <c r="P1857" s="11" t="n">
        <f aca="false">2*J1857/(2*J1857+L1857+K1857)</f>
        <v>0</v>
      </c>
      <c r="Q1857" s="11" t="n">
        <f aca="false">L1857/(L1857+M1857)</f>
        <v>0</v>
      </c>
      <c r="R1857" s="6" t="n">
        <v>0</v>
      </c>
      <c r="S1857" s="11"/>
      <c r="T1857" s="11" t="n">
        <v>0</v>
      </c>
      <c r="U1857" s="11" t="n">
        <v>0.9</v>
      </c>
      <c r="V1857" s="11" t="n">
        <v>0.9</v>
      </c>
    </row>
    <row r="1858" customFormat="false" ht="15" hidden="false" customHeight="false" outlineLevel="0" collapsed="false">
      <c r="A1858" s="6" t="s">
        <v>56</v>
      </c>
      <c r="B1858" s="6" t="s">
        <v>43</v>
      </c>
      <c r="C1858" s="6" t="s">
        <v>51</v>
      </c>
      <c r="D1858" s="6" t="s">
        <v>118</v>
      </c>
      <c r="E1858" s="6" t="n">
        <v>16</v>
      </c>
      <c r="F1858" s="6" t="n">
        <v>9</v>
      </c>
      <c r="G1858" s="6" t="s">
        <v>76</v>
      </c>
      <c r="H1858" s="11" t="n">
        <v>0.01</v>
      </c>
      <c r="I1858" s="6" t="n">
        <v>20</v>
      </c>
      <c r="J1858" s="6" t="n">
        <v>0</v>
      </c>
      <c r="K1858" s="6" t="n">
        <v>20</v>
      </c>
      <c r="L1858" s="6" t="n">
        <v>0</v>
      </c>
      <c r="M1858" s="6" t="n">
        <v>20</v>
      </c>
      <c r="N1858" s="11" t="n">
        <f aca="false">J1858/(J1858+K1858)</f>
        <v>0</v>
      </c>
      <c r="O1858" s="11" t="str">
        <f aca="false">IF(J1858+L1858=0,"",J1858/(J1858+L1858))</f>
        <v/>
      </c>
      <c r="P1858" s="11" t="n">
        <f aca="false">2*J1858/(2*J1858+L1858+K1858)</f>
        <v>0</v>
      </c>
      <c r="Q1858" s="11" t="n">
        <f aca="false">L1858/(L1858+M1858)</f>
        <v>0</v>
      </c>
      <c r="R1858" s="6" t="n">
        <v>0</v>
      </c>
      <c r="S1858" s="11"/>
      <c r="T1858" s="11" t="n">
        <v>0</v>
      </c>
      <c r="U1858" s="11" t="n">
        <v>0.95</v>
      </c>
      <c r="V1858" s="11" t="n">
        <v>0.95</v>
      </c>
    </row>
    <row r="1859" customFormat="false" ht="15" hidden="false" customHeight="false" outlineLevel="0" collapsed="false">
      <c r="A1859" s="6" t="s">
        <v>56</v>
      </c>
      <c r="B1859" s="6" t="s">
        <v>43</v>
      </c>
      <c r="C1859" s="6" t="s">
        <v>51</v>
      </c>
      <c r="D1859" s="6" t="s">
        <v>118</v>
      </c>
      <c r="E1859" s="6" t="n">
        <v>16</v>
      </c>
      <c r="F1859" s="6" t="n">
        <v>9</v>
      </c>
      <c r="G1859" s="6" t="s">
        <v>77</v>
      </c>
      <c r="H1859" s="11" t="n">
        <v>0.01</v>
      </c>
      <c r="I1859" s="6" t="n">
        <v>20</v>
      </c>
      <c r="J1859" s="6" t="n">
        <v>1</v>
      </c>
      <c r="K1859" s="6" t="n">
        <v>19</v>
      </c>
      <c r="L1859" s="6" t="n">
        <v>1</v>
      </c>
      <c r="M1859" s="6" t="n">
        <v>19</v>
      </c>
      <c r="N1859" s="11" t="n">
        <f aca="false">J1859/(J1859+K1859)</f>
        <v>0.05</v>
      </c>
      <c r="O1859" s="11" t="n">
        <f aca="false">IF(J1859+L1859=0,"",J1859/(J1859+L1859))</f>
        <v>0.5</v>
      </c>
      <c r="P1859" s="11" t="n">
        <f aca="false">2*J1859/(2*J1859+L1859+K1859)</f>
        <v>0.0909090909090909</v>
      </c>
      <c r="Q1859" s="11" t="n">
        <f aca="false">L1859/(L1859+M1859)</f>
        <v>0.05</v>
      </c>
      <c r="R1859" s="6" t="n">
        <v>0</v>
      </c>
      <c r="S1859" s="11"/>
      <c r="T1859" s="11" t="n">
        <v>0.05</v>
      </c>
      <c r="U1859" s="11" t="n">
        <v>1</v>
      </c>
      <c r="V1859" s="11" t="n">
        <v>1</v>
      </c>
    </row>
    <row r="1860" customFormat="false" ht="15" hidden="false" customHeight="false" outlineLevel="0" collapsed="false">
      <c r="A1860" s="6" t="s">
        <v>56</v>
      </c>
      <c r="B1860" s="6" t="s">
        <v>43</v>
      </c>
      <c r="C1860" s="6" t="s">
        <v>51</v>
      </c>
      <c r="D1860" s="6" t="s">
        <v>118</v>
      </c>
      <c r="E1860" s="6" t="n">
        <v>16</v>
      </c>
      <c r="F1860" s="6" t="n">
        <v>9</v>
      </c>
      <c r="G1860" s="6" t="s">
        <v>78</v>
      </c>
      <c r="H1860" s="11" t="n">
        <v>0.01</v>
      </c>
      <c r="I1860" s="6" t="n">
        <v>200</v>
      </c>
      <c r="J1860" s="6" t="n">
        <v>1</v>
      </c>
      <c r="K1860" s="6" t="n">
        <v>199</v>
      </c>
      <c r="L1860" s="6" t="n">
        <v>1</v>
      </c>
      <c r="M1860" s="6" t="n">
        <v>199</v>
      </c>
      <c r="N1860" s="11" t="n">
        <f aca="false">J1860/(J1860+K1860)</f>
        <v>0.005</v>
      </c>
      <c r="O1860" s="11" t="n">
        <f aca="false">IF(J1860+L1860=0,"",J1860/(J1860+L1860))</f>
        <v>0.5</v>
      </c>
      <c r="P1860" s="11" t="n">
        <f aca="false">2*J1860/(2*J1860+L1860+K1860)</f>
        <v>0.0099009900990099</v>
      </c>
      <c r="Q1860" s="11" t="n">
        <f aca="false">L1860/(L1860+M1860)</f>
        <v>0.005</v>
      </c>
      <c r="R1860" s="6" t="n">
        <v>0</v>
      </c>
      <c r="S1860" s="11"/>
      <c r="T1860" s="11" t="n">
        <v>0.005</v>
      </c>
      <c r="U1860" s="11" t="n">
        <v>0.88</v>
      </c>
      <c r="V1860" s="11" t="n">
        <v>0.88</v>
      </c>
    </row>
    <row r="1861" customFormat="false" ht="15" hidden="false" customHeight="false" outlineLevel="0" collapsed="false">
      <c r="A1861" s="6" t="s">
        <v>56</v>
      </c>
      <c r="B1861" s="6" t="s">
        <v>43</v>
      </c>
      <c r="C1861" s="6" t="s">
        <v>51</v>
      </c>
      <c r="D1861" s="6" t="s">
        <v>118</v>
      </c>
      <c r="E1861" s="6" t="n">
        <v>16</v>
      </c>
      <c r="F1861" s="6" t="n">
        <v>10</v>
      </c>
      <c r="G1861" s="6" t="s">
        <v>68</v>
      </c>
      <c r="H1861" s="11" t="n">
        <v>0.01</v>
      </c>
      <c r="I1861" s="6" t="n">
        <v>20</v>
      </c>
      <c r="J1861" s="6" t="n">
        <v>0</v>
      </c>
      <c r="K1861" s="6" t="n">
        <v>20</v>
      </c>
      <c r="L1861" s="6" t="n">
        <v>0</v>
      </c>
      <c r="M1861" s="6" t="n">
        <v>20</v>
      </c>
      <c r="N1861" s="11" t="n">
        <f aca="false">J1861/(J1861+K1861)</f>
        <v>0</v>
      </c>
      <c r="O1861" s="11" t="str">
        <f aca="false">IF(J1861+L1861=0,"",J1861/(J1861+L1861))</f>
        <v/>
      </c>
      <c r="P1861" s="11" t="n">
        <f aca="false">2*J1861/(2*J1861+L1861+K1861)</f>
        <v>0</v>
      </c>
      <c r="Q1861" s="11" t="n">
        <f aca="false">L1861/(L1861+M1861)</f>
        <v>0</v>
      </c>
      <c r="R1861" s="6" t="n">
        <v>0</v>
      </c>
      <c r="S1861" s="11"/>
      <c r="T1861" s="11" t="n">
        <v>0</v>
      </c>
      <c r="U1861" s="11" t="n">
        <v>0.85</v>
      </c>
      <c r="V1861" s="11" t="n">
        <v>0.85</v>
      </c>
    </row>
    <row r="1862" customFormat="false" ht="15" hidden="false" customHeight="false" outlineLevel="0" collapsed="false">
      <c r="A1862" s="6" t="s">
        <v>56</v>
      </c>
      <c r="B1862" s="6" t="s">
        <v>43</v>
      </c>
      <c r="C1862" s="6" t="s">
        <v>51</v>
      </c>
      <c r="D1862" s="6" t="s">
        <v>118</v>
      </c>
      <c r="E1862" s="6" t="n">
        <v>16</v>
      </c>
      <c r="F1862" s="6" t="n">
        <v>10</v>
      </c>
      <c r="G1862" s="6" t="s">
        <v>69</v>
      </c>
      <c r="H1862" s="11" t="n">
        <v>0.01</v>
      </c>
      <c r="I1862" s="6" t="n">
        <v>20</v>
      </c>
      <c r="J1862" s="6" t="n">
        <v>0</v>
      </c>
      <c r="K1862" s="6" t="n">
        <v>20</v>
      </c>
      <c r="L1862" s="6" t="n">
        <v>0</v>
      </c>
      <c r="M1862" s="6" t="n">
        <v>20</v>
      </c>
      <c r="N1862" s="11" t="n">
        <f aca="false">J1862/(J1862+K1862)</f>
        <v>0</v>
      </c>
      <c r="O1862" s="11" t="str">
        <f aca="false">IF(J1862+L1862=0,"",J1862/(J1862+L1862))</f>
        <v/>
      </c>
      <c r="P1862" s="11" t="n">
        <f aca="false">2*J1862/(2*J1862+L1862+K1862)</f>
        <v>0</v>
      </c>
      <c r="Q1862" s="11" t="n">
        <f aca="false">L1862/(L1862+M1862)</f>
        <v>0</v>
      </c>
      <c r="R1862" s="6" t="n">
        <v>0</v>
      </c>
      <c r="S1862" s="11"/>
      <c r="T1862" s="11" t="n">
        <v>0</v>
      </c>
      <c r="U1862" s="11" t="n">
        <v>1</v>
      </c>
      <c r="V1862" s="11" t="n">
        <v>1</v>
      </c>
    </row>
    <row r="1863" customFormat="false" ht="15" hidden="false" customHeight="false" outlineLevel="0" collapsed="false">
      <c r="A1863" s="6" t="s">
        <v>56</v>
      </c>
      <c r="B1863" s="6" t="s">
        <v>43</v>
      </c>
      <c r="C1863" s="6" t="s">
        <v>51</v>
      </c>
      <c r="D1863" s="6" t="s">
        <v>118</v>
      </c>
      <c r="E1863" s="6" t="n">
        <v>16</v>
      </c>
      <c r="F1863" s="6" t="n">
        <v>10</v>
      </c>
      <c r="G1863" s="6" t="s">
        <v>70</v>
      </c>
      <c r="H1863" s="11" t="n">
        <v>0.01</v>
      </c>
      <c r="I1863" s="6" t="n">
        <v>20</v>
      </c>
      <c r="J1863" s="6" t="n">
        <v>0</v>
      </c>
      <c r="K1863" s="6" t="n">
        <v>20</v>
      </c>
      <c r="L1863" s="6" t="n">
        <v>0</v>
      </c>
      <c r="M1863" s="6" t="n">
        <v>20</v>
      </c>
      <c r="N1863" s="11" t="n">
        <f aca="false">J1863/(J1863+K1863)</f>
        <v>0</v>
      </c>
      <c r="O1863" s="11" t="str">
        <f aca="false">IF(J1863+L1863=0,"",J1863/(J1863+L1863))</f>
        <v/>
      </c>
      <c r="P1863" s="11" t="n">
        <f aca="false">2*J1863/(2*J1863+L1863+K1863)</f>
        <v>0</v>
      </c>
      <c r="Q1863" s="11" t="n">
        <f aca="false">L1863/(L1863+M1863)</f>
        <v>0</v>
      </c>
      <c r="R1863" s="6" t="n">
        <v>0</v>
      </c>
      <c r="S1863" s="11"/>
      <c r="T1863" s="11" t="n">
        <v>0</v>
      </c>
      <c r="U1863" s="11" t="n">
        <v>0.9</v>
      </c>
      <c r="V1863" s="11" t="n">
        <v>0.9</v>
      </c>
    </row>
    <row r="1864" customFormat="false" ht="15" hidden="false" customHeight="false" outlineLevel="0" collapsed="false">
      <c r="A1864" s="6" t="s">
        <v>56</v>
      </c>
      <c r="B1864" s="6" t="s">
        <v>43</v>
      </c>
      <c r="C1864" s="6" t="s">
        <v>51</v>
      </c>
      <c r="D1864" s="6" t="s">
        <v>118</v>
      </c>
      <c r="E1864" s="6" t="n">
        <v>16</v>
      </c>
      <c r="F1864" s="6" t="n">
        <v>10</v>
      </c>
      <c r="G1864" s="6" t="s">
        <v>71</v>
      </c>
      <c r="H1864" s="11" t="n">
        <v>0.01</v>
      </c>
      <c r="I1864" s="6" t="n">
        <v>20</v>
      </c>
      <c r="J1864" s="6" t="n">
        <v>0</v>
      </c>
      <c r="K1864" s="6" t="n">
        <v>20</v>
      </c>
      <c r="L1864" s="6" t="n">
        <v>0</v>
      </c>
      <c r="M1864" s="6" t="n">
        <v>20</v>
      </c>
      <c r="N1864" s="11" t="n">
        <f aca="false">J1864/(J1864+K1864)</f>
        <v>0</v>
      </c>
      <c r="O1864" s="11" t="str">
        <f aca="false">IF(J1864+L1864=0,"",J1864/(J1864+L1864))</f>
        <v/>
      </c>
      <c r="P1864" s="11" t="n">
        <f aca="false">2*J1864/(2*J1864+L1864+K1864)</f>
        <v>0</v>
      </c>
      <c r="Q1864" s="11" t="n">
        <f aca="false">L1864/(L1864+M1864)</f>
        <v>0</v>
      </c>
      <c r="R1864" s="6" t="n">
        <v>0</v>
      </c>
      <c r="S1864" s="11"/>
      <c r="T1864" s="11" t="n">
        <v>0</v>
      </c>
      <c r="U1864" s="11" t="n">
        <v>0.8</v>
      </c>
      <c r="V1864" s="11" t="n">
        <v>0.8</v>
      </c>
    </row>
    <row r="1865" customFormat="false" ht="15" hidden="false" customHeight="false" outlineLevel="0" collapsed="false">
      <c r="A1865" s="6" t="s">
        <v>56</v>
      </c>
      <c r="B1865" s="6" t="s">
        <v>43</v>
      </c>
      <c r="C1865" s="6" t="s">
        <v>51</v>
      </c>
      <c r="D1865" s="6" t="s">
        <v>118</v>
      </c>
      <c r="E1865" s="6" t="n">
        <v>16</v>
      </c>
      <c r="F1865" s="6" t="n">
        <v>10</v>
      </c>
      <c r="G1865" s="6" t="s">
        <v>72</v>
      </c>
      <c r="H1865" s="11" t="n">
        <v>0.01</v>
      </c>
      <c r="I1865" s="6" t="n">
        <v>20</v>
      </c>
      <c r="J1865" s="6" t="n">
        <v>0</v>
      </c>
      <c r="K1865" s="6" t="n">
        <v>20</v>
      </c>
      <c r="L1865" s="6" t="n">
        <v>0</v>
      </c>
      <c r="M1865" s="6" t="n">
        <v>20</v>
      </c>
      <c r="N1865" s="11" t="n">
        <f aca="false">J1865/(J1865+K1865)</f>
        <v>0</v>
      </c>
      <c r="O1865" s="11" t="str">
        <f aca="false">IF(J1865+L1865=0,"",J1865/(J1865+L1865))</f>
        <v/>
      </c>
      <c r="P1865" s="11" t="n">
        <f aca="false">2*J1865/(2*J1865+L1865+K1865)</f>
        <v>0</v>
      </c>
      <c r="Q1865" s="11" t="n">
        <f aca="false">L1865/(L1865+M1865)</f>
        <v>0</v>
      </c>
      <c r="R1865" s="6" t="n">
        <v>0</v>
      </c>
      <c r="S1865" s="11"/>
      <c r="T1865" s="11" t="n">
        <v>0</v>
      </c>
      <c r="U1865" s="11" t="n">
        <v>0.9</v>
      </c>
      <c r="V1865" s="11" t="n">
        <v>0.9</v>
      </c>
    </row>
    <row r="1866" customFormat="false" ht="15" hidden="false" customHeight="false" outlineLevel="0" collapsed="false">
      <c r="A1866" s="6" t="s">
        <v>56</v>
      </c>
      <c r="B1866" s="6" t="s">
        <v>43</v>
      </c>
      <c r="C1866" s="6" t="s">
        <v>51</v>
      </c>
      <c r="D1866" s="6" t="s">
        <v>118</v>
      </c>
      <c r="E1866" s="6" t="n">
        <v>16</v>
      </c>
      <c r="F1866" s="6" t="n">
        <v>10</v>
      </c>
      <c r="G1866" s="6" t="s">
        <v>73</v>
      </c>
      <c r="H1866" s="11" t="n">
        <v>0.01</v>
      </c>
      <c r="I1866" s="6" t="n">
        <v>20</v>
      </c>
      <c r="J1866" s="6" t="n">
        <v>0</v>
      </c>
      <c r="K1866" s="6" t="n">
        <v>20</v>
      </c>
      <c r="L1866" s="6" t="n">
        <v>0</v>
      </c>
      <c r="M1866" s="6" t="n">
        <v>20</v>
      </c>
      <c r="N1866" s="11" t="n">
        <f aca="false">J1866/(J1866+K1866)</f>
        <v>0</v>
      </c>
      <c r="O1866" s="11" t="str">
        <f aca="false">IF(J1866+L1866=0,"",J1866/(J1866+L1866))</f>
        <v/>
      </c>
      <c r="P1866" s="11" t="n">
        <f aca="false">2*J1866/(2*J1866+L1866+K1866)</f>
        <v>0</v>
      </c>
      <c r="Q1866" s="11" t="n">
        <f aca="false">L1866/(L1866+M1866)</f>
        <v>0</v>
      </c>
      <c r="R1866" s="6" t="n">
        <v>0</v>
      </c>
      <c r="S1866" s="11"/>
      <c r="T1866" s="11" t="n">
        <v>0</v>
      </c>
      <c r="U1866" s="11" t="n">
        <v>0.65</v>
      </c>
      <c r="V1866" s="11" t="n">
        <v>0.65</v>
      </c>
    </row>
    <row r="1867" customFormat="false" ht="15" hidden="false" customHeight="false" outlineLevel="0" collapsed="false">
      <c r="A1867" s="6" t="s">
        <v>56</v>
      </c>
      <c r="B1867" s="6" t="s">
        <v>43</v>
      </c>
      <c r="C1867" s="6" t="s">
        <v>51</v>
      </c>
      <c r="D1867" s="6" t="s">
        <v>118</v>
      </c>
      <c r="E1867" s="6" t="n">
        <v>16</v>
      </c>
      <c r="F1867" s="6" t="n">
        <v>10</v>
      </c>
      <c r="G1867" s="6" t="s">
        <v>74</v>
      </c>
      <c r="H1867" s="11" t="n">
        <v>0.01</v>
      </c>
      <c r="I1867" s="6" t="n">
        <v>20</v>
      </c>
      <c r="J1867" s="6" t="n">
        <v>0</v>
      </c>
      <c r="K1867" s="6" t="n">
        <v>20</v>
      </c>
      <c r="L1867" s="6" t="n">
        <v>0</v>
      </c>
      <c r="M1867" s="6" t="n">
        <v>20</v>
      </c>
      <c r="N1867" s="11" t="n">
        <f aca="false">J1867/(J1867+K1867)</f>
        <v>0</v>
      </c>
      <c r="O1867" s="11" t="str">
        <f aca="false">IF(J1867+L1867=0,"",J1867/(J1867+L1867))</f>
        <v/>
      </c>
      <c r="P1867" s="11" t="n">
        <f aca="false">2*J1867/(2*J1867+L1867+K1867)</f>
        <v>0</v>
      </c>
      <c r="Q1867" s="11" t="n">
        <f aca="false">L1867/(L1867+M1867)</f>
        <v>0</v>
      </c>
      <c r="R1867" s="6" t="n">
        <v>0</v>
      </c>
      <c r="S1867" s="11"/>
      <c r="T1867" s="11" t="n">
        <v>0</v>
      </c>
      <c r="U1867" s="11" t="n">
        <v>0.85</v>
      </c>
      <c r="V1867" s="11" t="n">
        <v>0.85</v>
      </c>
    </row>
    <row r="1868" customFormat="false" ht="15" hidden="false" customHeight="false" outlineLevel="0" collapsed="false">
      <c r="A1868" s="6" t="s">
        <v>56</v>
      </c>
      <c r="B1868" s="6" t="s">
        <v>43</v>
      </c>
      <c r="C1868" s="6" t="s">
        <v>51</v>
      </c>
      <c r="D1868" s="6" t="s">
        <v>118</v>
      </c>
      <c r="E1868" s="6" t="n">
        <v>16</v>
      </c>
      <c r="F1868" s="6" t="n">
        <v>10</v>
      </c>
      <c r="G1868" s="6" t="s">
        <v>75</v>
      </c>
      <c r="H1868" s="11" t="n">
        <v>0.01</v>
      </c>
      <c r="I1868" s="6" t="n">
        <v>20</v>
      </c>
      <c r="J1868" s="6" t="n">
        <v>0</v>
      </c>
      <c r="K1868" s="6" t="n">
        <v>20</v>
      </c>
      <c r="L1868" s="6" t="n">
        <v>0</v>
      </c>
      <c r="M1868" s="6" t="n">
        <v>20</v>
      </c>
      <c r="N1868" s="11" t="n">
        <f aca="false">J1868/(J1868+K1868)</f>
        <v>0</v>
      </c>
      <c r="O1868" s="11" t="str">
        <f aca="false">IF(J1868+L1868=0,"",J1868/(J1868+L1868))</f>
        <v/>
      </c>
      <c r="P1868" s="11" t="n">
        <f aca="false">2*J1868/(2*J1868+L1868+K1868)</f>
        <v>0</v>
      </c>
      <c r="Q1868" s="11" t="n">
        <f aca="false">L1868/(L1868+M1868)</f>
        <v>0</v>
      </c>
      <c r="R1868" s="6" t="n">
        <v>0</v>
      </c>
      <c r="S1868" s="11"/>
      <c r="T1868" s="11" t="n">
        <v>0</v>
      </c>
      <c r="U1868" s="11" t="n">
        <v>0.9</v>
      </c>
      <c r="V1868" s="11" t="n">
        <v>0.9</v>
      </c>
    </row>
    <row r="1869" customFormat="false" ht="15" hidden="false" customHeight="false" outlineLevel="0" collapsed="false">
      <c r="A1869" s="6" t="s">
        <v>56</v>
      </c>
      <c r="B1869" s="6" t="s">
        <v>43</v>
      </c>
      <c r="C1869" s="6" t="s">
        <v>51</v>
      </c>
      <c r="D1869" s="6" t="s">
        <v>118</v>
      </c>
      <c r="E1869" s="6" t="n">
        <v>16</v>
      </c>
      <c r="F1869" s="6" t="n">
        <v>10</v>
      </c>
      <c r="G1869" s="6" t="s">
        <v>76</v>
      </c>
      <c r="H1869" s="11" t="n">
        <v>0.01</v>
      </c>
      <c r="I1869" s="6" t="n">
        <v>20</v>
      </c>
      <c r="J1869" s="6" t="n">
        <v>0</v>
      </c>
      <c r="K1869" s="6" t="n">
        <v>20</v>
      </c>
      <c r="L1869" s="6" t="n">
        <v>0</v>
      </c>
      <c r="M1869" s="6" t="n">
        <v>20</v>
      </c>
      <c r="N1869" s="11" t="n">
        <f aca="false">J1869/(J1869+K1869)</f>
        <v>0</v>
      </c>
      <c r="O1869" s="11" t="str">
        <f aca="false">IF(J1869+L1869=0,"",J1869/(J1869+L1869))</f>
        <v/>
      </c>
      <c r="P1869" s="11" t="n">
        <f aca="false">2*J1869/(2*J1869+L1869+K1869)</f>
        <v>0</v>
      </c>
      <c r="Q1869" s="11" t="n">
        <f aca="false">L1869/(L1869+M1869)</f>
        <v>0</v>
      </c>
      <c r="R1869" s="6" t="n">
        <v>0</v>
      </c>
      <c r="S1869" s="11"/>
      <c r="T1869" s="11" t="n">
        <v>0</v>
      </c>
      <c r="U1869" s="11" t="n">
        <v>0.95</v>
      </c>
      <c r="V1869" s="11" t="n">
        <v>0.95</v>
      </c>
    </row>
    <row r="1870" customFormat="false" ht="15" hidden="false" customHeight="false" outlineLevel="0" collapsed="false">
      <c r="A1870" s="6" t="s">
        <v>56</v>
      </c>
      <c r="B1870" s="6" t="s">
        <v>43</v>
      </c>
      <c r="C1870" s="6" t="s">
        <v>51</v>
      </c>
      <c r="D1870" s="6" t="s">
        <v>118</v>
      </c>
      <c r="E1870" s="6" t="n">
        <v>16</v>
      </c>
      <c r="F1870" s="6" t="n">
        <v>10</v>
      </c>
      <c r="G1870" s="6" t="s">
        <v>77</v>
      </c>
      <c r="H1870" s="11" t="n">
        <v>0.01</v>
      </c>
      <c r="I1870" s="6" t="n">
        <v>20</v>
      </c>
      <c r="J1870" s="6" t="n">
        <v>1</v>
      </c>
      <c r="K1870" s="6" t="n">
        <v>19</v>
      </c>
      <c r="L1870" s="6" t="n">
        <v>1</v>
      </c>
      <c r="M1870" s="6" t="n">
        <v>19</v>
      </c>
      <c r="N1870" s="11" t="n">
        <f aca="false">J1870/(J1870+K1870)</f>
        <v>0.05</v>
      </c>
      <c r="O1870" s="11" t="n">
        <f aca="false">IF(J1870+L1870=0,"",J1870/(J1870+L1870))</f>
        <v>0.5</v>
      </c>
      <c r="P1870" s="11" t="n">
        <f aca="false">2*J1870/(2*J1870+L1870+K1870)</f>
        <v>0.0909090909090909</v>
      </c>
      <c r="Q1870" s="11" t="n">
        <f aca="false">L1870/(L1870+M1870)</f>
        <v>0.05</v>
      </c>
      <c r="R1870" s="6" t="n">
        <v>0</v>
      </c>
      <c r="S1870" s="11"/>
      <c r="T1870" s="11" t="n">
        <v>0.05</v>
      </c>
      <c r="U1870" s="11" t="n">
        <v>1</v>
      </c>
      <c r="V1870" s="11" t="n">
        <v>1</v>
      </c>
    </row>
    <row r="1871" customFormat="false" ht="15" hidden="false" customHeight="false" outlineLevel="0" collapsed="false">
      <c r="A1871" s="6" t="s">
        <v>56</v>
      </c>
      <c r="B1871" s="6" t="s">
        <v>43</v>
      </c>
      <c r="C1871" s="6" t="s">
        <v>51</v>
      </c>
      <c r="D1871" s="6" t="s">
        <v>118</v>
      </c>
      <c r="E1871" s="6" t="n">
        <v>16</v>
      </c>
      <c r="F1871" s="6" t="n">
        <v>10</v>
      </c>
      <c r="G1871" s="6" t="s">
        <v>78</v>
      </c>
      <c r="H1871" s="11" t="n">
        <v>0.01</v>
      </c>
      <c r="I1871" s="6" t="n">
        <v>200</v>
      </c>
      <c r="J1871" s="6" t="n">
        <v>1</v>
      </c>
      <c r="K1871" s="6" t="n">
        <v>199</v>
      </c>
      <c r="L1871" s="6" t="n">
        <v>1</v>
      </c>
      <c r="M1871" s="6" t="n">
        <v>199</v>
      </c>
      <c r="N1871" s="11" t="n">
        <f aca="false">J1871/(J1871+K1871)</f>
        <v>0.005</v>
      </c>
      <c r="O1871" s="11" t="n">
        <f aca="false">IF(J1871+L1871=0,"",J1871/(J1871+L1871))</f>
        <v>0.5</v>
      </c>
      <c r="P1871" s="11" t="n">
        <f aca="false">2*J1871/(2*J1871+L1871+K1871)</f>
        <v>0.0099009900990099</v>
      </c>
      <c r="Q1871" s="11" t="n">
        <f aca="false">L1871/(L1871+M1871)</f>
        <v>0.005</v>
      </c>
      <c r="R1871" s="6" t="n">
        <v>0</v>
      </c>
      <c r="S1871" s="11"/>
      <c r="T1871" s="11" t="n">
        <v>0.005</v>
      </c>
      <c r="U1871" s="11" t="n">
        <v>0.88</v>
      </c>
      <c r="V1871" s="11" t="n">
        <v>0.88</v>
      </c>
    </row>
    <row r="1872" customFormat="false" ht="15" hidden="false" customHeight="false" outlineLevel="0" collapsed="false">
      <c r="A1872" s="6" t="s">
        <v>58</v>
      </c>
      <c r="B1872" s="6" t="s">
        <v>59</v>
      </c>
      <c r="C1872" s="6" t="s">
        <v>44</v>
      </c>
      <c r="D1872" s="6" t="s">
        <v>114</v>
      </c>
      <c r="E1872" s="6" t="n">
        <v>4</v>
      </c>
      <c r="F1872" s="6" t="n">
        <v>1</v>
      </c>
      <c r="G1872" s="6" t="s">
        <v>68</v>
      </c>
      <c r="H1872" s="11" t="n">
        <v>0.01</v>
      </c>
      <c r="I1872" s="6" t="n">
        <v>20</v>
      </c>
      <c r="J1872" s="6" t="n">
        <v>0</v>
      </c>
      <c r="K1872" s="6" t="n">
        <v>20</v>
      </c>
      <c r="L1872" s="6" t="n">
        <v>0</v>
      </c>
      <c r="M1872" s="6" t="n">
        <v>20</v>
      </c>
      <c r="N1872" s="11" t="n">
        <f aca="false">J1872/(J1872+K1872)</f>
        <v>0</v>
      </c>
      <c r="O1872" s="11" t="str">
        <f aca="false">IF(J1872+L1872=0,"",J1872/(J1872+L1872))</f>
        <v/>
      </c>
      <c r="P1872" s="11" t="n">
        <f aca="false">2*J1872/(2*J1872+L1872+K1872)</f>
        <v>0</v>
      </c>
      <c r="Q1872" s="11" t="n">
        <f aca="false">L1872/(L1872+M1872)</f>
        <v>0</v>
      </c>
      <c r="R1872" s="6" t="n">
        <v>0</v>
      </c>
      <c r="S1872" s="11"/>
      <c r="T1872" s="11" t="n">
        <v>0</v>
      </c>
      <c r="U1872" s="11" t="n">
        <v>0.85</v>
      </c>
      <c r="V1872" s="11" t="n">
        <v>0.85</v>
      </c>
    </row>
    <row r="1873" customFormat="false" ht="15" hidden="false" customHeight="false" outlineLevel="0" collapsed="false">
      <c r="A1873" s="6" t="s">
        <v>58</v>
      </c>
      <c r="B1873" s="6" t="s">
        <v>59</v>
      </c>
      <c r="C1873" s="6" t="s">
        <v>44</v>
      </c>
      <c r="D1873" s="6" t="s">
        <v>114</v>
      </c>
      <c r="E1873" s="6" t="n">
        <v>4</v>
      </c>
      <c r="F1873" s="6" t="n">
        <v>1</v>
      </c>
      <c r="G1873" s="6" t="s">
        <v>69</v>
      </c>
      <c r="H1873" s="11" t="n">
        <v>0.01</v>
      </c>
      <c r="I1873" s="6" t="n">
        <v>20</v>
      </c>
      <c r="J1873" s="6" t="n">
        <v>0</v>
      </c>
      <c r="K1873" s="6" t="n">
        <v>20</v>
      </c>
      <c r="L1873" s="6" t="n">
        <v>0</v>
      </c>
      <c r="M1873" s="6" t="n">
        <v>20</v>
      </c>
      <c r="N1873" s="11" t="n">
        <f aca="false">J1873/(J1873+K1873)</f>
        <v>0</v>
      </c>
      <c r="O1873" s="11" t="str">
        <f aca="false">IF(J1873+L1873=0,"",J1873/(J1873+L1873))</f>
        <v/>
      </c>
      <c r="P1873" s="11" t="n">
        <f aca="false">2*J1873/(2*J1873+L1873+K1873)</f>
        <v>0</v>
      </c>
      <c r="Q1873" s="11" t="n">
        <f aca="false">L1873/(L1873+M1873)</f>
        <v>0</v>
      </c>
      <c r="R1873" s="6" t="n">
        <v>0</v>
      </c>
      <c r="S1873" s="11"/>
      <c r="T1873" s="11" t="n">
        <v>0</v>
      </c>
      <c r="U1873" s="11" t="n">
        <v>1</v>
      </c>
      <c r="V1873" s="11" t="n">
        <v>1</v>
      </c>
    </row>
    <row r="1874" customFormat="false" ht="15" hidden="false" customHeight="false" outlineLevel="0" collapsed="false">
      <c r="A1874" s="6" t="s">
        <v>58</v>
      </c>
      <c r="B1874" s="6" t="s">
        <v>59</v>
      </c>
      <c r="C1874" s="6" t="s">
        <v>44</v>
      </c>
      <c r="D1874" s="6" t="s">
        <v>114</v>
      </c>
      <c r="E1874" s="6" t="n">
        <v>4</v>
      </c>
      <c r="F1874" s="6" t="n">
        <v>1</v>
      </c>
      <c r="G1874" s="6" t="s">
        <v>70</v>
      </c>
      <c r="H1874" s="11" t="n">
        <v>0.01</v>
      </c>
      <c r="I1874" s="6" t="n">
        <v>20</v>
      </c>
      <c r="J1874" s="6" t="n">
        <v>0</v>
      </c>
      <c r="K1874" s="6" t="n">
        <v>20</v>
      </c>
      <c r="L1874" s="6" t="n">
        <v>0</v>
      </c>
      <c r="M1874" s="6" t="n">
        <v>20</v>
      </c>
      <c r="N1874" s="11" t="n">
        <f aca="false">J1874/(J1874+K1874)</f>
        <v>0</v>
      </c>
      <c r="O1874" s="11" t="str">
        <f aca="false">IF(J1874+L1874=0,"",J1874/(J1874+L1874))</f>
        <v/>
      </c>
      <c r="P1874" s="11" t="n">
        <f aca="false">2*J1874/(2*J1874+L1874+K1874)</f>
        <v>0</v>
      </c>
      <c r="Q1874" s="11" t="n">
        <f aca="false">L1874/(L1874+M1874)</f>
        <v>0</v>
      </c>
      <c r="R1874" s="6" t="n">
        <v>0</v>
      </c>
      <c r="S1874" s="11"/>
      <c r="T1874" s="11" t="n">
        <v>0</v>
      </c>
      <c r="U1874" s="11" t="n">
        <v>0.9</v>
      </c>
      <c r="V1874" s="11" t="n">
        <v>0.9</v>
      </c>
    </row>
    <row r="1875" customFormat="false" ht="15" hidden="false" customHeight="false" outlineLevel="0" collapsed="false">
      <c r="A1875" s="6" t="s">
        <v>58</v>
      </c>
      <c r="B1875" s="6" t="s">
        <v>59</v>
      </c>
      <c r="C1875" s="6" t="s">
        <v>44</v>
      </c>
      <c r="D1875" s="6" t="s">
        <v>114</v>
      </c>
      <c r="E1875" s="6" t="n">
        <v>4</v>
      </c>
      <c r="F1875" s="6" t="n">
        <v>1</v>
      </c>
      <c r="G1875" s="6" t="s">
        <v>71</v>
      </c>
      <c r="H1875" s="11" t="n">
        <v>0.01</v>
      </c>
      <c r="I1875" s="6" t="n">
        <v>20</v>
      </c>
      <c r="J1875" s="6" t="n">
        <v>0</v>
      </c>
      <c r="K1875" s="6" t="n">
        <v>20</v>
      </c>
      <c r="L1875" s="6" t="n">
        <v>0</v>
      </c>
      <c r="M1875" s="6" t="n">
        <v>20</v>
      </c>
      <c r="N1875" s="11" t="n">
        <f aca="false">J1875/(J1875+K1875)</f>
        <v>0</v>
      </c>
      <c r="O1875" s="11" t="str">
        <f aca="false">IF(J1875+L1875=0,"",J1875/(J1875+L1875))</f>
        <v/>
      </c>
      <c r="P1875" s="11" t="n">
        <f aca="false">2*J1875/(2*J1875+L1875+K1875)</f>
        <v>0</v>
      </c>
      <c r="Q1875" s="11" t="n">
        <f aca="false">L1875/(L1875+M1875)</f>
        <v>0</v>
      </c>
      <c r="R1875" s="6" t="n">
        <v>0</v>
      </c>
      <c r="S1875" s="11"/>
      <c r="T1875" s="11" t="n">
        <v>0</v>
      </c>
      <c r="U1875" s="11" t="n">
        <v>0.8</v>
      </c>
      <c r="V1875" s="11" t="n">
        <v>0.8</v>
      </c>
    </row>
    <row r="1876" customFormat="false" ht="15" hidden="false" customHeight="false" outlineLevel="0" collapsed="false">
      <c r="A1876" s="6" t="s">
        <v>58</v>
      </c>
      <c r="B1876" s="6" t="s">
        <v>59</v>
      </c>
      <c r="C1876" s="6" t="s">
        <v>44</v>
      </c>
      <c r="D1876" s="6" t="s">
        <v>114</v>
      </c>
      <c r="E1876" s="6" t="n">
        <v>4</v>
      </c>
      <c r="F1876" s="6" t="n">
        <v>1</v>
      </c>
      <c r="G1876" s="6" t="s">
        <v>72</v>
      </c>
      <c r="H1876" s="11" t="n">
        <v>0.01</v>
      </c>
      <c r="I1876" s="6" t="n">
        <v>20</v>
      </c>
      <c r="J1876" s="6" t="n">
        <v>0</v>
      </c>
      <c r="K1876" s="6" t="n">
        <v>20</v>
      </c>
      <c r="L1876" s="6" t="n">
        <v>0</v>
      </c>
      <c r="M1876" s="6" t="n">
        <v>20</v>
      </c>
      <c r="N1876" s="11" t="n">
        <f aca="false">J1876/(J1876+K1876)</f>
        <v>0</v>
      </c>
      <c r="O1876" s="11" t="str">
        <f aca="false">IF(J1876+L1876=0,"",J1876/(J1876+L1876))</f>
        <v/>
      </c>
      <c r="P1876" s="11" t="n">
        <f aca="false">2*J1876/(2*J1876+L1876+K1876)</f>
        <v>0</v>
      </c>
      <c r="Q1876" s="11" t="n">
        <f aca="false">L1876/(L1876+M1876)</f>
        <v>0</v>
      </c>
      <c r="R1876" s="6" t="n">
        <v>0</v>
      </c>
      <c r="S1876" s="11"/>
      <c r="T1876" s="11" t="n">
        <v>0</v>
      </c>
      <c r="U1876" s="11" t="n">
        <v>0.9</v>
      </c>
      <c r="V1876" s="11" t="n">
        <v>0.9</v>
      </c>
    </row>
    <row r="1877" customFormat="false" ht="15" hidden="false" customHeight="false" outlineLevel="0" collapsed="false">
      <c r="A1877" s="6" t="s">
        <v>58</v>
      </c>
      <c r="B1877" s="6" t="s">
        <v>59</v>
      </c>
      <c r="C1877" s="6" t="s">
        <v>44</v>
      </c>
      <c r="D1877" s="6" t="s">
        <v>114</v>
      </c>
      <c r="E1877" s="6" t="n">
        <v>4</v>
      </c>
      <c r="F1877" s="6" t="n">
        <v>1</v>
      </c>
      <c r="G1877" s="6" t="s">
        <v>73</v>
      </c>
      <c r="H1877" s="11" t="n">
        <v>0.01</v>
      </c>
      <c r="I1877" s="6" t="n">
        <v>20</v>
      </c>
      <c r="J1877" s="6" t="n">
        <v>0</v>
      </c>
      <c r="K1877" s="6" t="n">
        <v>20</v>
      </c>
      <c r="L1877" s="6" t="n">
        <v>0</v>
      </c>
      <c r="M1877" s="6" t="n">
        <v>20</v>
      </c>
      <c r="N1877" s="11" t="n">
        <f aca="false">J1877/(J1877+K1877)</f>
        <v>0</v>
      </c>
      <c r="O1877" s="11" t="str">
        <f aca="false">IF(J1877+L1877=0,"",J1877/(J1877+L1877))</f>
        <v/>
      </c>
      <c r="P1877" s="11" t="n">
        <f aca="false">2*J1877/(2*J1877+L1877+K1877)</f>
        <v>0</v>
      </c>
      <c r="Q1877" s="11" t="n">
        <f aca="false">L1877/(L1877+M1877)</f>
        <v>0</v>
      </c>
      <c r="R1877" s="6" t="n">
        <v>1</v>
      </c>
      <c r="S1877" s="11" t="n">
        <v>0</v>
      </c>
      <c r="T1877" s="11" t="n">
        <v>0</v>
      </c>
      <c r="U1877" s="11" t="n">
        <v>0.65</v>
      </c>
      <c r="V1877" s="11" t="n">
        <v>0.65</v>
      </c>
    </row>
    <row r="1878" customFormat="false" ht="15" hidden="false" customHeight="false" outlineLevel="0" collapsed="false">
      <c r="A1878" s="6" t="s">
        <v>58</v>
      </c>
      <c r="B1878" s="6" t="s">
        <v>59</v>
      </c>
      <c r="C1878" s="6" t="s">
        <v>44</v>
      </c>
      <c r="D1878" s="6" t="s">
        <v>114</v>
      </c>
      <c r="E1878" s="6" t="n">
        <v>4</v>
      </c>
      <c r="F1878" s="6" t="n">
        <v>1</v>
      </c>
      <c r="G1878" s="6" t="s">
        <v>74</v>
      </c>
      <c r="H1878" s="11" t="n">
        <v>0.01</v>
      </c>
      <c r="I1878" s="6" t="n">
        <v>20</v>
      </c>
      <c r="J1878" s="6" t="n">
        <v>0</v>
      </c>
      <c r="K1878" s="6" t="n">
        <v>20</v>
      </c>
      <c r="L1878" s="6" t="n">
        <v>0</v>
      </c>
      <c r="M1878" s="6" t="n">
        <v>20</v>
      </c>
      <c r="N1878" s="11" t="n">
        <f aca="false">J1878/(J1878+K1878)</f>
        <v>0</v>
      </c>
      <c r="O1878" s="11" t="str">
        <f aca="false">IF(J1878+L1878=0,"",J1878/(J1878+L1878))</f>
        <v/>
      </c>
      <c r="P1878" s="11" t="n">
        <f aca="false">2*J1878/(2*J1878+L1878+K1878)</f>
        <v>0</v>
      </c>
      <c r="Q1878" s="11" t="n">
        <f aca="false">L1878/(L1878+M1878)</f>
        <v>0</v>
      </c>
      <c r="R1878" s="6" t="n">
        <v>0</v>
      </c>
      <c r="S1878" s="11"/>
      <c r="T1878" s="11" t="n">
        <v>0</v>
      </c>
      <c r="U1878" s="11" t="n">
        <v>0.85</v>
      </c>
      <c r="V1878" s="11" t="n">
        <v>0.85</v>
      </c>
    </row>
    <row r="1879" customFormat="false" ht="15" hidden="false" customHeight="false" outlineLevel="0" collapsed="false">
      <c r="A1879" s="6" t="s">
        <v>58</v>
      </c>
      <c r="B1879" s="6" t="s">
        <v>59</v>
      </c>
      <c r="C1879" s="6" t="s">
        <v>44</v>
      </c>
      <c r="D1879" s="6" t="s">
        <v>114</v>
      </c>
      <c r="E1879" s="6" t="n">
        <v>4</v>
      </c>
      <c r="F1879" s="6" t="n">
        <v>1</v>
      </c>
      <c r="G1879" s="6" t="s">
        <v>75</v>
      </c>
      <c r="H1879" s="11" t="n">
        <v>0.01</v>
      </c>
      <c r="I1879" s="6" t="n">
        <v>20</v>
      </c>
      <c r="J1879" s="6" t="n">
        <v>0</v>
      </c>
      <c r="K1879" s="6" t="n">
        <v>20</v>
      </c>
      <c r="L1879" s="6" t="n">
        <v>0</v>
      </c>
      <c r="M1879" s="6" t="n">
        <v>20</v>
      </c>
      <c r="N1879" s="11" t="n">
        <f aca="false">J1879/(J1879+K1879)</f>
        <v>0</v>
      </c>
      <c r="O1879" s="11" t="str">
        <f aca="false">IF(J1879+L1879=0,"",J1879/(J1879+L1879))</f>
        <v/>
      </c>
      <c r="P1879" s="11" t="n">
        <f aca="false">2*J1879/(2*J1879+L1879+K1879)</f>
        <v>0</v>
      </c>
      <c r="Q1879" s="11" t="n">
        <f aca="false">L1879/(L1879+M1879)</f>
        <v>0</v>
      </c>
      <c r="R1879" s="6" t="n">
        <v>0</v>
      </c>
      <c r="S1879" s="11"/>
      <c r="T1879" s="11" t="n">
        <v>0</v>
      </c>
      <c r="U1879" s="11" t="n">
        <v>0.9</v>
      </c>
      <c r="V1879" s="11" t="n">
        <v>0.9</v>
      </c>
    </row>
    <row r="1880" customFormat="false" ht="15" hidden="false" customHeight="false" outlineLevel="0" collapsed="false">
      <c r="A1880" s="6" t="s">
        <v>58</v>
      </c>
      <c r="B1880" s="6" t="s">
        <v>59</v>
      </c>
      <c r="C1880" s="6" t="s">
        <v>44</v>
      </c>
      <c r="D1880" s="6" t="s">
        <v>114</v>
      </c>
      <c r="E1880" s="6" t="n">
        <v>4</v>
      </c>
      <c r="F1880" s="6" t="n">
        <v>1</v>
      </c>
      <c r="G1880" s="6" t="s">
        <v>76</v>
      </c>
      <c r="H1880" s="11" t="n">
        <v>0.01</v>
      </c>
      <c r="I1880" s="6" t="n">
        <v>20</v>
      </c>
      <c r="J1880" s="6" t="n">
        <v>0</v>
      </c>
      <c r="K1880" s="6" t="n">
        <v>20</v>
      </c>
      <c r="L1880" s="6" t="n">
        <v>0</v>
      </c>
      <c r="M1880" s="6" t="n">
        <v>20</v>
      </c>
      <c r="N1880" s="11" t="n">
        <f aca="false">J1880/(J1880+K1880)</f>
        <v>0</v>
      </c>
      <c r="O1880" s="11" t="str">
        <f aca="false">IF(J1880+L1880=0,"",J1880/(J1880+L1880))</f>
        <v/>
      </c>
      <c r="P1880" s="11" t="n">
        <f aca="false">2*J1880/(2*J1880+L1880+K1880)</f>
        <v>0</v>
      </c>
      <c r="Q1880" s="11" t="n">
        <f aca="false">L1880/(L1880+M1880)</f>
        <v>0</v>
      </c>
      <c r="R1880" s="6" t="n">
        <v>0</v>
      </c>
      <c r="S1880" s="11"/>
      <c r="T1880" s="11" t="n">
        <v>0</v>
      </c>
      <c r="U1880" s="11" t="n">
        <v>0.95</v>
      </c>
      <c r="V1880" s="11" t="n">
        <v>0.95</v>
      </c>
    </row>
    <row r="1881" customFormat="false" ht="15" hidden="false" customHeight="false" outlineLevel="0" collapsed="false">
      <c r="A1881" s="6" t="s">
        <v>58</v>
      </c>
      <c r="B1881" s="6" t="s">
        <v>59</v>
      </c>
      <c r="C1881" s="6" t="s">
        <v>44</v>
      </c>
      <c r="D1881" s="6" t="s">
        <v>114</v>
      </c>
      <c r="E1881" s="6" t="n">
        <v>4</v>
      </c>
      <c r="F1881" s="6" t="n">
        <v>1</v>
      </c>
      <c r="G1881" s="6" t="s">
        <v>77</v>
      </c>
      <c r="H1881" s="11" t="n">
        <v>0.01</v>
      </c>
      <c r="I1881" s="6" t="n">
        <v>20</v>
      </c>
      <c r="J1881" s="6" t="n">
        <v>1</v>
      </c>
      <c r="K1881" s="6" t="n">
        <v>19</v>
      </c>
      <c r="L1881" s="6" t="n">
        <v>1</v>
      </c>
      <c r="M1881" s="6" t="n">
        <v>19</v>
      </c>
      <c r="N1881" s="11" t="n">
        <f aca="false">J1881/(J1881+K1881)</f>
        <v>0.05</v>
      </c>
      <c r="O1881" s="11" t="n">
        <f aca="false">IF(J1881+L1881=0,"",J1881/(J1881+L1881))</f>
        <v>0.5</v>
      </c>
      <c r="P1881" s="11" t="n">
        <f aca="false">2*J1881/(2*J1881+L1881+K1881)</f>
        <v>0.0909090909090909</v>
      </c>
      <c r="Q1881" s="11" t="n">
        <f aca="false">L1881/(L1881+M1881)</f>
        <v>0.05</v>
      </c>
      <c r="R1881" s="6" t="n">
        <v>0</v>
      </c>
      <c r="S1881" s="11"/>
      <c r="T1881" s="11" t="n">
        <v>0.05</v>
      </c>
      <c r="U1881" s="11" t="n">
        <v>1</v>
      </c>
      <c r="V1881" s="11" t="n">
        <v>1</v>
      </c>
    </row>
    <row r="1882" customFormat="false" ht="15" hidden="false" customHeight="false" outlineLevel="0" collapsed="false">
      <c r="A1882" s="6" t="s">
        <v>58</v>
      </c>
      <c r="B1882" s="6" t="s">
        <v>59</v>
      </c>
      <c r="C1882" s="6" t="s">
        <v>44</v>
      </c>
      <c r="D1882" s="6" t="s">
        <v>114</v>
      </c>
      <c r="E1882" s="6" t="n">
        <v>4</v>
      </c>
      <c r="F1882" s="6" t="n">
        <v>1</v>
      </c>
      <c r="G1882" s="6" t="s">
        <v>78</v>
      </c>
      <c r="H1882" s="11" t="n">
        <v>0.01</v>
      </c>
      <c r="I1882" s="6" t="n">
        <v>200</v>
      </c>
      <c r="J1882" s="6" t="n">
        <v>1</v>
      </c>
      <c r="K1882" s="6" t="n">
        <v>199</v>
      </c>
      <c r="L1882" s="6" t="n">
        <v>1</v>
      </c>
      <c r="M1882" s="6" t="n">
        <v>199</v>
      </c>
      <c r="N1882" s="11" t="n">
        <f aca="false">J1882/(J1882+K1882)</f>
        <v>0.005</v>
      </c>
      <c r="O1882" s="11" t="n">
        <f aca="false">IF(J1882+L1882=0,"",J1882/(J1882+L1882))</f>
        <v>0.5</v>
      </c>
      <c r="P1882" s="11" t="n">
        <f aca="false">2*J1882/(2*J1882+L1882+K1882)</f>
        <v>0.0099009900990099</v>
      </c>
      <c r="Q1882" s="11" t="n">
        <f aca="false">L1882/(L1882+M1882)</f>
        <v>0.005</v>
      </c>
      <c r="R1882" s="6" t="n">
        <v>1</v>
      </c>
      <c r="S1882" s="11" t="n">
        <v>0</v>
      </c>
      <c r="T1882" s="11" t="n">
        <v>0.0050251256281407</v>
      </c>
      <c r="U1882" s="11" t="n">
        <v>0.88</v>
      </c>
      <c r="V1882" s="11" t="n">
        <v>0.88</v>
      </c>
    </row>
    <row r="1883" customFormat="false" ht="15" hidden="false" customHeight="false" outlineLevel="0" collapsed="false">
      <c r="A1883" s="6" t="s">
        <v>58</v>
      </c>
      <c r="B1883" s="6" t="s">
        <v>59</v>
      </c>
      <c r="C1883" s="6" t="s">
        <v>44</v>
      </c>
      <c r="D1883" s="6" t="s">
        <v>114</v>
      </c>
      <c r="E1883" s="6" t="n">
        <v>4</v>
      </c>
      <c r="F1883" s="6" t="n">
        <v>2</v>
      </c>
      <c r="G1883" s="6" t="s">
        <v>68</v>
      </c>
      <c r="H1883" s="11" t="n">
        <v>0.01</v>
      </c>
      <c r="I1883" s="6" t="n">
        <v>20</v>
      </c>
      <c r="J1883" s="6" t="n">
        <v>0</v>
      </c>
      <c r="K1883" s="6" t="n">
        <v>20</v>
      </c>
      <c r="L1883" s="6" t="n">
        <v>0</v>
      </c>
      <c r="M1883" s="6" t="n">
        <v>20</v>
      </c>
      <c r="N1883" s="11" t="n">
        <f aca="false">J1883/(J1883+K1883)</f>
        <v>0</v>
      </c>
      <c r="O1883" s="11" t="str">
        <f aca="false">IF(J1883+L1883=0,"",J1883/(J1883+L1883))</f>
        <v/>
      </c>
      <c r="P1883" s="11" t="n">
        <f aca="false">2*J1883/(2*J1883+L1883+K1883)</f>
        <v>0</v>
      </c>
      <c r="Q1883" s="11" t="n">
        <f aca="false">L1883/(L1883+M1883)</f>
        <v>0</v>
      </c>
      <c r="R1883" s="6" t="n">
        <v>0</v>
      </c>
      <c r="S1883" s="11"/>
      <c r="T1883" s="11" t="n">
        <v>0</v>
      </c>
      <c r="U1883" s="11" t="n">
        <v>0.85</v>
      </c>
      <c r="V1883" s="11" t="n">
        <v>0.85</v>
      </c>
    </row>
    <row r="1884" customFormat="false" ht="15" hidden="false" customHeight="false" outlineLevel="0" collapsed="false">
      <c r="A1884" s="6" t="s">
        <v>58</v>
      </c>
      <c r="B1884" s="6" t="s">
        <v>59</v>
      </c>
      <c r="C1884" s="6" t="s">
        <v>44</v>
      </c>
      <c r="D1884" s="6" t="s">
        <v>114</v>
      </c>
      <c r="E1884" s="6" t="n">
        <v>4</v>
      </c>
      <c r="F1884" s="6" t="n">
        <v>2</v>
      </c>
      <c r="G1884" s="6" t="s">
        <v>69</v>
      </c>
      <c r="H1884" s="11" t="n">
        <v>0.01</v>
      </c>
      <c r="I1884" s="6" t="n">
        <v>20</v>
      </c>
      <c r="J1884" s="6" t="n">
        <v>0</v>
      </c>
      <c r="K1884" s="6" t="n">
        <v>20</v>
      </c>
      <c r="L1884" s="6" t="n">
        <v>0</v>
      </c>
      <c r="M1884" s="6" t="n">
        <v>20</v>
      </c>
      <c r="N1884" s="11" t="n">
        <f aca="false">J1884/(J1884+K1884)</f>
        <v>0</v>
      </c>
      <c r="O1884" s="11" t="str">
        <f aca="false">IF(J1884+L1884=0,"",J1884/(J1884+L1884))</f>
        <v/>
      </c>
      <c r="P1884" s="11" t="n">
        <f aca="false">2*J1884/(2*J1884+L1884+K1884)</f>
        <v>0</v>
      </c>
      <c r="Q1884" s="11" t="n">
        <f aca="false">L1884/(L1884+M1884)</f>
        <v>0</v>
      </c>
      <c r="R1884" s="6" t="n">
        <v>0</v>
      </c>
      <c r="S1884" s="11"/>
      <c r="T1884" s="11" t="n">
        <v>0</v>
      </c>
      <c r="U1884" s="11" t="n">
        <v>1</v>
      </c>
      <c r="V1884" s="11" t="n">
        <v>1</v>
      </c>
    </row>
    <row r="1885" customFormat="false" ht="15" hidden="false" customHeight="false" outlineLevel="0" collapsed="false">
      <c r="A1885" s="6" t="s">
        <v>58</v>
      </c>
      <c r="B1885" s="6" t="s">
        <v>59</v>
      </c>
      <c r="C1885" s="6" t="s">
        <v>44</v>
      </c>
      <c r="D1885" s="6" t="s">
        <v>114</v>
      </c>
      <c r="E1885" s="6" t="n">
        <v>4</v>
      </c>
      <c r="F1885" s="6" t="n">
        <v>2</v>
      </c>
      <c r="G1885" s="6" t="s">
        <v>70</v>
      </c>
      <c r="H1885" s="11" t="n">
        <v>0.01</v>
      </c>
      <c r="I1885" s="6" t="n">
        <v>20</v>
      </c>
      <c r="J1885" s="6" t="n">
        <v>1</v>
      </c>
      <c r="K1885" s="6" t="n">
        <v>19</v>
      </c>
      <c r="L1885" s="6" t="n">
        <v>0</v>
      </c>
      <c r="M1885" s="6" t="n">
        <v>20</v>
      </c>
      <c r="N1885" s="11" t="n">
        <f aca="false">J1885/(J1885+K1885)</f>
        <v>0.05</v>
      </c>
      <c r="O1885" s="11" t="n">
        <f aca="false">IF(J1885+L1885=0,"",J1885/(J1885+L1885))</f>
        <v>1</v>
      </c>
      <c r="P1885" s="11" t="n">
        <f aca="false">2*J1885/(2*J1885+L1885+K1885)</f>
        <v>0.0952380952380952</v>
      </c>
      <c r="Q1885" s="11" t="n">
        <f aca="false">L1885/(L1885+M1885)</f>
        <v>0</v>
      </c>
      <c r="R1885" s="6" t="n">
        <v>0</v>
      </c>
      <c r="S1885" s="11"/>
      <c r="T1885" s="11" t="n">
        <v>0.05</v>
      </c>
      <c r="U1885" s="11" t="n">
        <v>0.9</v>
      </c>
      <c r="V1885" s="11" t="n">
        <v>0.9</v>
      </c>
    </row>
    <row r="1886" customFormat="false" ht="15" hidden="false" customHeight="false" outlineLevel="0" collapsed="false">
      <c r="A1886" s="6" t="s">
        <v>58</v>
      </c>
      <c r="B1886" s="6" t="s">
        <v>59</v>
      </c>
      <c r="C1886" s="6" t="s">
        <v>44</v>
      </c>
      <c r="D1886" s="6" t="s">
        <v>114</v>
      </c>
      <c r="E1886" s="6" t="n">
        <v>4</v>
      </c>
      <c r="F1886" s="6" t="n">
        <v>2</v>
      </c>
      <c r="G1886" s="6" t="s">
        <v>71</v>
      </c>
      <c r="H1886" s="11" t="n">
        <v>0.01</v>
      </c>
      <c r="I1886" s="6" t="n">
        <v>20</v>
      </c>
      <c r="J1886" s="6" t="n">
        <v>0</v>
      </c>
      <c r="K1886" s="6" t="n">
        <v>20</v>
      </c>
      <c r="L1886" s="6" t="n">
        <v>0</v>
      </c>
      <c r="M1886" s="6" t="n">
        <v>20</v>
      </c>
      <c r="N1886" s="11" t="n">
        <f aca="false">J1886/(J1886+K1886)</f>
        <v>0</v>
      </c>
      <c r="O1886" s="11" t="str">
        <f aca="false">IF(J1886+L1886=0,"",J1886/(J1886+L1886))</f>
        <v/>
      </c>
      <c r="P1886" s="11" t="n">
        <f aca="false">2*J1886/(2*J1886+L1886+K1886)</f>
        <v>0</v>
      </c>
      <c r="Q1886" s="11" t="n">
        <f aca="false">L1886/(L1886+M1886)</f>
        <v>0</v>
      </c>
      <c r="R1886" s="6" t="n">
        <v>0</v>
      </c>
      <c r="S1886" s="11"/>
      <c r="T1886" s="11" t="n">
        <v>0</v>
      </c>
      <c r="U1886" s="11" t="n">
        <v>0.8</v>
      </c>
      <c r="V1886" s="11" t="n">
        <v>0.8</v>
      </c>
    </row>
    <row r="1887" customFormat="false" ht="15" hidden="false" customHeight="false" outlineLevel="0" collapsed="false">
      <c r="A1887" s="6" t="s">
        <v>58</v>
      </c>
      <c r="B1887" s="6" t="s">
        <v>59</v>
      </c>
      <c r="C1887" s="6" t="s">
        <v>44</v>
      </c>
      <c r="D1887" s="6" t="s">
        <v>114</v>
      </c>
      <c r="E1887" s="6" t="n">
        <v>4</v>
      </c>
      <c r="F1887" s="6" t="n">
        <v>2</v>
      </c>
      <c r="G1887" s="6" t="s">
        <v>72</v>
      </c>
      <c r="H1887" s="11" t="n">
        <v>0.01</v>
      </c>
      <c r="I1887" s="6" t="n">
        <v>20</v>
      </c>
      <c r="J1887" s="6" t="n">
        <v>0</v>
      </c>
      <c r="K1887" s="6" t="n">
        <v>20</v>
      </c>
      <c r="L1887" s="6" t="n">
        <v>0</v>
      </c>
      <c r="M1887" s="6" t="n">
        <v>20</v>
      </c>
      <c r="N1887" s="11" t="n">
        <f aca="false">J1887/(J1887+K1887)</f>
        <v>0</v>
      </c>
      <c r="O1887" s="11" t="str">
        <f aca="false">IF(J1887+L1887=0,"",J1887/(J1887+L1887))</f>
        <v/>
      </c>
      <c r="P1887" s="11" t="n">
        <f aca="false">2*J1887/(2*J1887+L1887+K1887)</f>
        <v>0</v>
      </c>
      <c r="Q1887" s="11" t="n">
        <f aca="false">L1887/(L1887+M1887)</f>
        <v>0</v>
      </c>
      <c r="R1887" s="6" t="n">
        <v>1</v>
      </c>
      <c r="S1887" s="11" t="n">
        <v>0</v>
      </c>
      <c r="T1887" s="11" t="n">
        <v>0</v>
      </c>
      <c r="U1887" s="11" t="n">
        <v>0.9</v>
      </c>
      <c r="V1887" s="11" t="n">
        <v>0.9</v>
      </c>
    </row>
    <row r="1888" customFormat="false" ht="15" hidden="false" customHeight="false" outlineLevel="0" collapsed="false">
      <c r="A1888" s="6" t="s">
        <v>58</v>
      </c>
      <c r="B1888" s="6" t="s">
        <v>59</v>
      </c>
      <c r="C1888" s="6" t="s">
        <v>44</v>
      </c>
      <c r="D1888" s="6" t="s">
        <v>114</v>
      </c>
      <c r="E1888" s="6" t="n">
        <v>4</v>
      </c>
      <c r="F1888" s="6" t="n">
        <v>2</v>
      </c>
      <c r="G1888" s="6" t="s">
        <v>73</v>
      </c>
      <c r="H1888" s="11" t="n">
        <v>0.01</v>
      </c>
      <c r="I1888" s="6" t="n">
        <v>20</v>
      </c>
      <c r="J1888" s="6" t="n">
        <v>0</v>
      </c>
      <c r="K1888" s="6" t="n">
        <v>20</v>
      </c>
      <c r="L1888" s="6" t="n">
        <v>0</v>
      </c>
      <c r="M1888" s="6" t="n">
        <v>20</v>
      </c>
      <c r="N1888" s="11" t="n">
        <f aca="false">J1888/(J1888+K1888)</f>
        <v>0</v>
      </c>
      <c r="O1888" s="11" t="str">
        <f aca="false">IF(J1888+L1888=0,"",J1888/(J1888+L1888))</f>
        <v/>
      </c>
      <c r="P1888" s="11" t="n">
        <f aca="false">2*J1888/(2*J1888+L1888+K1888)</f>
        <v>0</v>
      </c>
      <c r="Q1888" s="11" t="n">
        <f aca="false">L1888/(L1888+M1888)</f>
        <v>0</v>
      </c>
      <c r="R1888" s="6" t="n">
        <v>1</v>
      </c>
      <c r="S1888" s="11" t="n">
        <v>0</v>
      </c>
      <c r="T1888" s="11" t="n">
        <v>0</v>
      </c>
      <c r="U1888" s="11" t="n">
        <v>0.65</v>
      </c>
      <c r="V1888" s="11" t="n">
        <v>0.65</v>
      </c>
    </row>
    <row r="1889" customFormat="false" ht="15" hidden="false" customHeight="false" outlineLevel="0" collapsed="false">
      <c r="A1889" s="6" t="s">
        <v>58</v>
      </c>
      <c r="B1889" s="6" t="s">
        <v>59</v>
      </c>
      <c r="C1889" s="6" t="s">
        <v>44</v>
      </c>
      <c r="D1889" s="6" t="s">
        <v>114</v>
      </c>
      <c r="E1889" s="6" t="n">
        <v>4</v>
      </c>
      <c r="F1889" s="6" t="n">
        <v>2</v>
      </c>
      <c r="G1889" s="6" t="s">
        <v>74</v>
      </c>
      <c r="H1889" s="11" t="n">
        <v>0.01</v>
      </c>
      <c r="I1889" s="6" t="n">
        <v>20</v>
      </c>
      <c r="J1889" s="6" t="n">
        <v>0</v>
      </c>
      <c r="K1889" s="6" t="n">
        <v>20</v>
      </c>
      <c r="L1889" s="6" t="n">
        <v>0</v>
      </c>
      <c r="M1889" s="6" t="n">
        <v>20</v>
      </c>
      <c r="N1889" s="11" t="n">
        <f aca="false">J1889/(J1889+K1889)</f>
        <v>0</v>
      </c>
      <c r="O1889" s="11" t="str">
        <f aca="false">IF(J1889+L1889=0,"",J1889/(J1889+L1889))</f>
        <v/>
      </c>
      <c r="P1889" s="11" t="n">
        <f aca="false">2*J1889/(2*J1889+L1889+K1889)</f>
        <v>0</v>
      </c>
      <c r="Q1889" s="11" t="n">
        <f aca="false">L1889/(L1889+M1889)</f>
        <v>0</v>
      </c>
      <c r="R1889" s="6" t="n">
        <v>2</v>
      </c>
      <c r="S1889" s="11" t="n">
        <v>0</v>
      </c>
      <c r="T1889" s="11" t="n">
        <v>0</v>
      </c>
      <c r="U1889" s="11" t="n">
        <v>0.85</v>
      </c>
      <c r="V1889" s="11" t="n">
        <v>0.75</v>
      </c>
    </row>
    <row r="1890" customFormat="false" ht="15" hidden="false" customHeight="false" outlineLevel="0" collapsed="false">
      <c r="A1890" s="6" t="s">
        <v>58</v>
      </c>
      <c r="B1890" s="6" t="s">
        <v>59</v>
      </c>
      <c r="C1890" s="6" t="s">
        <v>44</v>
      </c>
      <c r="D1890" s="6" t="s">
        <v>114</v>
      </c>
      <c r="E1890" s="6" t="n">
        <v>4</v>
      </c>
      <c r="F1890" s="6" t="n">
        <v>2</v>
      </c>
      <c r="G1890" s="6" t="s">
        <v>75</v>
      </c>
      <c r="H1890" s="11" t="n">
        <v>0.01</v>
      </c>
      <c r="I1890" s="6" t="n">
        <v>20</v>
      </c>
      <c r="J1890" s="6" t="n">
        <v>0</v>
      </c>
      <c r="K1890" s="6" t="n">
        <v>20</v>
      </c>
      <c r="L1890" s="6" t="n">
        <v>0</v>
      </c>
      <c r="M1890" s="6" t="n">
        <v>20</v>
      </c>
      <c r="N1890" s="11" t="n">
        <f aca="false">J1890/(J1890+K1890)</f>
        <v>0</v>
      </c>
      <c r="O1890" s="11" t="str">
        <f aca="false">IF(J1890+L1890=0,"",J1890/(J1890+L1890))</f>
        <v/>
      </c>
      <c r="P1890" s="11" t="n">
        <f aca="false">2*J1890/(2*J1890+L1890+K1890)</f>
        <v>0</v>
      </c>
      <c r="Q1890" s="11" t="n">
        <f aca="false">L1890/(L1890+M1890)</f>
        <v>0</v>
      </c>
      <c r="R1890" s="6" t="n">
        <v>1</v>
      </c>
      <c r="S1890" s="11" t="n">
        <v>0</v>
      </c>
      <c r="T1890" s="11" t="n">
        <v>0</v>
      </c>
      <c r="U1890" s="11" t="n">
        <v>0.9</v>
      </c>
      <c r="V1890" s="11" t="n">
        <v>0.95</v>
      </c>
    </row>
    <row r="1891" customFormat="false" ht="15" hidden="false" customHeight="false" outlineLevel="0" collapsed="false">
      <c r="A1891" s="6" t="s">
        <v>58</v>
      </c>
      <c r="B1891" s="6" t="s">
        <v>59</v>
      </c>
      <c r="C1891" s="6" t="s">
        <v>44</v>
      </c>
      <c r="D1891" s="6" t="s">
        <v>114</v>
      </c>
      <c r="E1891" s="6" t="n">
        <v>4</v>
      </c>
      <c r="F1891" s="6" t="n">
        <v>2</v>
      </c>
      <c r="G1891" s="6" t="s">
        <v>76</v>
      </c>
      <c r="H1891" s="11" t="n">
        <v>0.01</v>
      </c>
      <c r="I1891" s="6" t="n">
        <v>20</v>
      </c>
      <c r="J1891" s="6" t="n">
        <v>0</v>
      </c>
      <c r="K1891" s="6" t="n">
        <v>20</v>
      </c>
      <c r="L1891" s="6" t="n">
        <v>0</v>
      </c>
      <c r="M1891" s="6" t="n">
        <v>20</v>
      </c>
      <c r="N1891" s="11" t="n">
        <f aca="false">J1891/(J1891+K1891)</f>
        <v>0</v>
      </c>
      <c r="O1891" s="11" t="str">
        <f aca="false">IF(J1891+L1891=0,"",J1891/(J1891+L1891))</f>
        <v/>
      </c>
      <c r="P1891" s="11" t="n">
        <f aca="false">2*J1891/(2*J1891+L1891+K1891)</f>
        <v>0</v>
      </c>
      <c r="Q1891" s="11" t="n">
        <f aca="false">L1891/(L1891+M1891)</f>
        <v>0</v>
      </c>
      <c r="R1891" s="6" t="n">
        <v>0</v>
      </c>
      <c r="S1891" s="11"/>
      <c r="T1891" s="11" t="n">
        <v>0</v>
      </c>
      <c r="U1891" s="11" t="n">
        <v>0.95</v>
      </c>
      <c r="V1891" s="11" t="n">
        <v>0.95</v>
      </c>
    </row>
    <row r="1892" customFormat="false" ht="15" hidden="false" customHeight="false" outlineLevel="0" collapsed="false">
      <c r="A1892" s="6" t="s">
        <v>58</v>
      </c>
      <c r="B1892" s="6" t="s">
        <v>59</v>
      </c>
      <c r="C1892" s="6" t="s">
        <v>44</v>
      </c>
      <c r="D1892" s="6" t="s">
        <v>114</v>
      </c>
      <c r="E1892" s="6" t="n">
        <v>4</v>
      </c>
      <c r="F1892" s="6" t="n">
        <v>2</v>
      </c>
      <c r="G1892" s="6" t="s">
        <v>77</v>
      </c>
      <c r="H1892" s="11" t="n">
        <v>0.01</v>
      </c>
      <c r="I1892" s="6" t="n">
        <v>20</v>
      </c>
      <c r="J1892" s="6" t="n">
        <v>1</v>
      </c>
      <c r="K1892" s="6" t="n">
        <v>19</v>
      </c>
      <c r="L1892" s="6" t="n">
        <v>1</v>
      </c>
      <c r="M1892" s="6" t="n">
        <v>19</v>
      </c>
      <c r="N1892" s="11" t="n">
        <f aca="false">J1892/(J1892+K1892)</f>
        <v>0.05</v>
      </c>
      <c r="O1892" s="11" t="n">
        <f aca="false">IF(J1892+L1892=0,"",J1892/(J1892+L1892))</f>
        <v>0.5</v>
      </c>
      <c r="P1892" s="11" t="n">
        <f aca="false">2*J1892/(2*J1892+L1892+K1892)</f>
        <v>0.0909090909090909</v>
      </c>
      <c r="Q1892" s="11" t="n">
        <f aca="false">L1892/(L1892+M1892)</f>
        <v>0.05</v>
      </c>
      <c r="R1892" s="6" t="n">
        <v>0</v>
      </c>
      <c r="S1892" s="11"/>
      <c r="T1892" s="11" t="n">
        <v>0.05</v>
      </c>
      <c r="U1892" s="11" t="n">
        <v>1</v>
      </c>
      <c r="V1892" s="11" t="n">
        <v>1</v>
      </c>
    </row>
    <row r="1893" customFormat="false" ht="15" hidden="false" customHeight="false" outlineLevel="0" collapsed="false">
      <c r="A1893" s="6" t="s">
        <v>58</v>
      </c>
      <c r="B1893" s="6" t="s">
        <v>59</v>
      </c>
      <c r="C1893" s="6" t="s">
        <v>44</v>
      </c>
      <c r="D1893" s="6" t="s">
        <v>114</v>
      </c>
      <c r="E1893" s="6" t="n">
        <v>4</v>
      </c>
      <c r="F1893" s="6" t="n">
        <v>2</v>
      </c>
      <c r="G1893" s="6" t="s">
        <v>78</v>
      </c>
      <c r="H1893" s="11" t="n">
        <v>0.01</v>
      </c>
      <c r="I1893" s="6" t="n">
        <v>200</v>
      </c>
      <c r="J1893" s="6" t="n">
        <v>2</v>
      </c>
      <c r="K1893" s="6" t="n">
        <v>198</v>
      </c>
      <c r="L1893" s="6" t="n">
        <v>1</v>
      </c>
      <c r="M1893" s="6" t="n">
        <v>199</v>
      </c>
      <c r="N1893" s="11" t="n">
        <f aca="false">J1893/(J1893+K1893)</f>
        <v>0.01</v>
      </c>
      <c r="O1893" s="11" t="n">
        <f aca="false">IF(J1893+L1893=0,"",J1893/(J1893+L1893))</f>
        <v>0.666666666666667</v>
      </c>
      <c r="P1893" s="11" t="n">
        <f aca="false">2*J1893/(2*J1893+L1893+K1893)</f>
        <v>0.0197044334975369</v>
      </c>
      <c r="Q1893" s="11" t="n">
        <f aca="false">L1893/(L1893+M1893)</f>
        <v>0.005</v>
      </c>
      <c r="R1893" s="6" t="n">
        <v>5</v>
      </c>
      <c r="S1893" s="11" t="n">
        <v>0</v>
      </c>
      <c r="T1893" s="11" t="n">
        <v>0.0102564102564103</v>
      </c>
      <c r="U1893" s="11" t="n">
        <v>0.88</v>
      </c>
      <c r="V1893" s="11" t="n">
        <v>0.875</v>
      </c>
    </row>
    <row r="1894" customFormat="false" ht="15" hidden="false" customHeight="false" outlineLevel="0" collapsed="false">
      <c r="A1894" s="6" t="s">
        <v>58</v>
      </c>
      <c r="B1894" s="6" t="s">
        <v>59</v>
      </c>
      <c r="C1894" s="6" t="s">
        <v>44</v>
      </c>
      <c r="D1894" s="6" t="s">
        <v>114</v>
      </c>
      <c r="E1894" s="6" t="n">
        <v>4</v>
      </c>
      <c r="F1894" s="6" t="n">
        <v>3</v>
      </c>
      <c r="G1894" s="6" t="s">
        <v>68</v>
      </c>
      <c r="H1894" s="11" t="n">
        <v>0.01</v>
      </c>
      <c r="I1894" s="6" t="n">
        <v>20</v>
      </c>
      <c r="J1894" s="6" t="n">
        <v>0</v>
      </c>
      <c r="K1894" s="6" t="n">
        <v>20</v>
      </c>
      <c r="L1894" s="6" t="n">
        <v>0</v>
      </c>
      <c r="M1894" s="6" t="n">
        <v>20</v>
      </c>
      <c r="N1894" s="11" t="n">
        <f aca="false">J1894/(J1894+K1894)</f>
        <v>0</v>
      </c>
      <c r="O1894" s="11" t="str">
        <f aca="false">IF(J1894+L1894=0,"",J1894/(J1894+L1894))</f>
        <v/>
      </c>
      <c r="P1894" s="11" t="n">
        <f aca="false">2*J1894/(2*J1894+L1894+K1894)</f>
        <v>0</v>
      </c>
      <c r="Q1894" s="11" t="n">
        <f aca="false">L1894/(L1894+M1894)</f>
        <v>0</v>
      </c>
      <c r="R1894" s="6" t="n">
        <v>0</v>
      </c>
      <c r="S1894" s="11"/>
      <c r="T1894" s="11" t="n">
        <v>0</v>
      </c>
      <c r="U1894" s="11" t="n">
        <v>0.85</v>
      </c>
      <c r="V1894" s="11" t="n">
        <v>0.85</v>
      </c>
    </row>
    <row r="1895" customFormat="false" ht="15" hidden="false" customHeight="false" outlineLevel="0" collapsed="false">
      <c r="A1895" s="6" t="s">
        <v>58</v>
      </c>
      <c r="B1895" s="6" t="s">
        <v>59</v>
      </c>
      <c r="C1895" s="6" t="s">
        <v>44</v>
      </c>
      <c r="D1895" s="6" t="s">
        <v>114</v>
      </c>
      <c r="E1895" s="6" t="n">
        <v>4</v>
      </c>
      <c r="F1895" s="6" t="n">
        <v>3</v>
      </c>
      <c r="G1895" s="6" t="s">
        <v>69</v>
      </c>
      <c r="H1895" s="11" t="n">
        <v>0.01</v>
      </c>
      <c r="I1895" s="6" t="n">
        <v>20</v>
      </c>
      <c r="J1895" s="6" t="n">
        <v>0</v>
      </c>
      <c r="K1895" s="6" t="n">
        <v>20</v>
      </c>
      <c r="L1895" s="6" t="n">
        <v>0</v>
      </c>
      <c r="M1895" s="6" t="n">
        <v>20</v>
      </c>
      <c r="N1895" s="11" t="n">
        <f aca="false">J1895/(J1895+K1895)</f>
        <v>0</v>
      </c>
      <c r="O1895" s="11" t="str">
        <f aca="false">IF(J1895+L1895=0,"",J1895/(J1895+L1895))</f>
        <v/>
      </c>
      <c r="P1895" s="11" t="n">
        <f aca="false">2*J1895/(2*J1895+L1895+K1895)</f>
        <v>0</v>
      </c>
      <c r="Q1895" s="11" t="n">
        <f aca="false">L1895/(L1895+M1895)</f>
        <v>0</v>
      </c>
      <c r="R1895" s="6" t="n">
        <v>0</v>
      </c>
      <c r="S1895" s="11"/>
      <c r="T1895" s="11" t="n">
        <v>0</v>
      </c>
      <c r="U1895" s="11" t="n">
        <v>1</v>
      </c>
      <c r="V1895" s="11" t="n">
        <v>1</v>
      </c>
    </row>
    <row r="1896" customFormat="false" ht="15" hidden="false" customHeight="false" outlineLevel="0" collapsed="false">
      <c r="A1896" s="6" t="s">
        <v>58</v>
      </c>
      <c r="B1896" s="6" t="s">
        <v>59</v>
      </c>
      <c r="C1896" s="6" t="s">
        <v>44</v>
      </c>
      <c r="D1896" s="6" t="s">
        <v>114</v>
      </c>
      <c r="E1896" s="6" t="n">
        <v>4</v>
      </c>
      <c r="F1896" s="6" t="n">
        <v>3</v>
      </c>
      <c r="G1896" s="6" t="s">
        <v>70</v>
      </c>
      <c r="H1896" s="11" t="n">
        <v>0.01</v>
      </c>
      <c r="I1896" s="6" t="n">
        <v>20</v>
      </c>
      <c r="J1896" s="6" t="n">
        <v>0</v>
      </c>
      <c r="K1896" s="6" t="n">
        <v>20</v>
      </c>
      <c r="L1896" s="6" t="n">
        <v>0</v>
      </c>
      <c r="M1896" s="6" t="n">
        <v>20</v>
      </c>
      <c r="N1896" s="11" t="n">
        <f aca="false">J1896/(J1896+K1896)</f>
        <v>0</v>
      </c>
      <c r="O1896" s="11" t="str">
        <f aca="false">IF(J1896+L1896=0,"",J1896/(J1896+L1896))</f>
        <v/>
      </c>
      <c r="P1896" s="11" t="n">
        <f aca="false">2*J1896/(2*J1896+L1896+K1896)</f>
        <v>0</v>
      </c>
      <c r="Q1896" s="11" t="n">
        <f aca="false">L1896/(L1896+M1896)</f>
        <v>0</v>
      </c>
      <c r="R1896" s="6" t="n">
        <v>1</v>
      </c>
      <c r="S1896" s="11" t="n">
        <v>0</v>
      </c>
      <c r="T1896" s="11" t="n">
        <v>0</v>
      </c>
      <c r="U1896" s="11" t="n">
        <v>0.9</v>
      </c>
      <c r="V1896" s="11" t="n">
        <v>0.95</v>
      </c>
    </row>
    <row r="1897" customFormat="false" ht="15" hidden="false" customHeight="false" outlineLevel="0" collapsed="false">
      <c r="A1897" s="6" t="s">
        <v>58</v>
      </c>
      <c r="B1897" s="6" t="s">
        <v>59</v>
      </c>
      <c r="C1897" s="6" t="s">
        <v>44</v>
      </c>
      <c r="D1897" s="6" t="s">
        <v>114</v>
      </c>
      <c r="E1897" s="6" t="n">
        <v>4</v>
      </c>
      <c r="F1897" s="6" t="n">
        <v>3</v>
      </c>
      <c r="G1897" s="6" t="s">
        <v>71</v>
      </c>
      <c r="H1897" s="11" t="n">
        <v>0.01</v>
      </c>
      <c r="I1897" s="6" t="n">
        <v>20</v>
      </c>
      <c r="J1897" s="6" t="n">
        <v>0</v>
      </c>
      <c r="K1897" s="6" t="n">
        <v>20</v>
      </c>
      <c r="L1897" s="6" t="n">
        <v>0</v>
      </c>
      <c r="M1897" s="6" t="n">
        <v>20</v>
      </c>
      <c r="N1897" s="11" t="n">
        <f aca="false">J1897/(J1897+K1897)</f>
        <v>0</v>
      </c>
      <c r="O1897" s="11" t="str">
        <f aca="false">IF(J1897+L1897=0,"",J1897/(J1897+L1897))</f>
        <v/>
      </c>
      <c r="P1897" s="11" t="n">
        <f aca="false">2*J1897/(2*J1897+L1897+K1897)</f>
        <v>0</v>
      </c>
      <c r="Q1897" s="11" t="n">
        <f aca="false">L1897/(L1897+M1897)</f>
        <v>0</v>
      </c>
      <c r="R1897" s="6" t="n">
        <v>0</v>
      </c>
      <c r="S1897" s="11"/>
      <c r="T1897" s="11" t="n">
        <v>0</v>
      </c>
      <c r="U1897" s="11" t="n">
        <v>0.8</v>
      </c>
      <c r="V1897" s="11" t="n">
        <v>0.8</v>
      </c>
    </row>
    <row r="1898" customFormat="false" ht="15" hidden="false" customHeight="false" outlineLevel="0" collapsed="false">
      <c r="A1898" s="6" t="s">
        <v>58</v>
      </c>
      <c r="B1898" s="6" t="s">
        <v>59</v>
      </c>
      <c r="C1898" s="6" t="s">
        <v>44</v>
      </c>
      <c r="D1898" s="6" t="s">
        <v>114</v>
      </c>
      <c r="E1898" s="6" t="n">
        <v>4</v>
      </c>
      <c r="F1898" s="6" t="n">
        <v>3</v>
      </c>
      <c r="G1898" s="6" t="s">
        <v>72</v>
      </c>
      <c r="H1898" s="11" t="n">
        <v>0.01</v>
      </c>
      <c r="I1898" s="6" t="n">
        <v>20</v>
      </c>
      <c r="J1898" s="6" t="n">
        <v>0</v>
      </c>
      <c r="K1898" s="6" t="n">
        <v>20</v>
      </c>
      <c r="L1898" s="6" t="n">
        <v>0</v>
      </c>
      <c r="M1898" s="6" t="n">
        <v>20</v>
      </c>
      <c r="N1898" s="11" t="n">
        <f aca="false">J1898/(J1898+K1898)</f>
        <v>0</v>
      </c>
      <c r="O1898" s="11" t="str">
        <f aca="false">IF(J1898+L1898=0,"",J1898/(J1898+L1898))</f>
        <v/>
      </c>
      <c r="P1898" s="11" t="n">
        <f aca="false">2*J1898/(2*J1898+L1898+K1898)</f>
        <v>0</v>
      </c>
      <c r="Q1898" s="11" t="n">
        <f aca="false">L1898/(L1898+M1898)</f>
        <v>0</v>
      </c>
      <c r="R1898" s="6" t="n">
        <v>0</v>
      </c>
      <c r="S1898" s="11"/>
      <c r="T1898" s="11" t="n">
        <v>0</v>
      </c>
      <c r="U1898" s="11" t="n">
        <v>0.9</v>
      </c>
      <c r="V1898" s="11" t="n">
        <v>0.9</v>
      </c>
    </row>
    <row r="1899" customFormat="false" ht="15" hidden="false" customHeight="false" outlineLevel="0" collapsed="false">
      <c r="A1899" s="6" t="s">
        <v>58</v>
      </c>
      <c r="B1899" s="6" t="s">
        <v>59</v>
      </c>
      <c r="C1899" s="6" t="s">
        <v>44</v>
      </c>
      <c r="D1899" s="6" t="s">
        <v>114</v>
      </c>
      <c r="E1899" s="6" t="n">
        <v>4</v>
      </c>
      <c r="F1899" s="6" t="n">
        <v>3</v>
      </c>
      <c r="G1899" s="6" t="s">
        <v>73</v>
      </c>
      <c r="H1899" s="11" t="n">
        <v>0.01</v>
      </c>
      <c r="I1899" s="6" t="n">
        <v>20</v>
      </c>
      <c r="J1899" s="6" t="n">
        <v>0</v>
      </c>
      <c r="K1899" s="6" t="n">
        <v>20</v>
      </c>
      <c r="L1899" s="6" t="n">
        <v>0</v>
      </c>
      <c r="M1899" s="6" t="n">
        <v>20</v>
      </c>
      <c r="N1899" s="11" t="n">
        <f aca="false">J1899/(J1899+K1899)</f>
        <v>0</v>
      </c>
      <c r="O1899" s="11" t="str">
        <f aca="false">IF(J1899+L1899=0,"",J1899/(J1899+L1899))</f>
        <v/>
      </c>
      <c r="P1899" s="11" t="n">
        <f aca="false">2*J1899/(2*J1899+L1899+K1899)</f>
        <v>0</v>
      </c>
      <c r="Q1899" s="11" t="n">
        <f aca="false">L1899/(L1899+M1899)</f>
        <v>0</v>
      </c>
      <c r="R1899" s="6" t="n">
        <v>1</v>
      </c>
      <c r="S1899" s="11" t="n">
        <v>0</v>
      </c>
      <c r="T1899" s="11" t="n">
        <v>0</v>
      </c>
      <c r="U1899" s="11" t="n">
        <v>0.65</v>
      </c>
      <c r="V1899" s="11" t="n">
        <v>0.65</v>
      </c>
    </row>
    <row r="1900" customFormat="false" ht="15" hidden="false" customHeight="false" outlineLevel="0" collapsed="false">
      <c r="A1900" s="6" t="s">
        <v>58</v>
      </c>
      <c r="B1900" s="6" t="s">
        <v>59</v>
      </c>
      <c r="C1900" s="6" t="s">
        <v>44</v>
      </c>
      <c r="D1900" s="6" t="s">
        <v>114</v>
      </c>
      <c r="E1900" s="6" t="n">
        <v>4</v>
      </c>
      <c r="F1900" s="6" t="n">
        <v>3</v>
      </c>
      <c r="G1900" s="6" t="s">
        <v>74</v>
      </c>
      <c r="H1900" s="11" t="n">
        <v>0.01</v>
      </c>
      <c r="I1900" s="6" t="n">
        <v>20</v>
      </c>
      <c r="J1900" s="6" t="n">
        <v>0</v>
      </c>
      <c r="K1900" s="6" t="n">
        <v>20</v>
      </c>
      <c r="L1900" s="6" t="n">
        <v>0</v>
      </c>
      <c r="M1900" s="6" t="n">
        <v>20</v>
      </c>
      <c r="N1900" s="11" t="n">
        <f aca="false">J1900/(J1900+K1900)</f>
        <v>0</v>
      </c>
      <c r="O1900" s="11" t="str">
        <f aca="false">IF(J1900+L1900=0,"",J1900/(J1900+L1900))</f>
        <v/>
      </c>
      <c r="P1900" s="11" t="n">
        <f aca="false">2*J1900/(2*J1900+L1900+K1900)</f>
        <v>0</v>
      </c>
      <c r="Q1900" s="11" t="n">
        <f aca="false">L1900/(L1900+M1900)</f>
        <v>0</v>
      </c>
      <c r="R1900" s="6" t="n">
        <v>3</v>
      </c>
      <c r="S1900" s="11" t="n">
        <v>0</v>
      </c>
      <c r="T1900" s="11" t="n">
        <v>0</v>
      </c>
      <c r="U1900" s="11" t="n">
        <v>0.85</v>
      </c>
      <c r="V1900" s="11" t="n">
        <v>0.7</v>
      </c>
    </row>
    <row r="1901" customFormat="false" ht="15" hidden="false" customHeight="false" outlineLevel="0" collapsed="false">
      <c r="A1901" s="6" t="s">
        <v>58</v>
      </c>
      <c r="B1901" s="6" t="s">
        <v>59</v>
      </c>
      <c r="C1901" s="6" t="s">
        <v>44</v>
      </c>
      <c r="D1901" s="6" t="s">
        <v>114</v>
      </c>
      <c r="E1901" s="6" t="n">
        <v>4</v>
      </c>
      <c r="F1901" s="6" t="n">
        <v>3</v>
      </c>
      <c r="G1901" s="6" t="s">
        <v>75</v>
      </c>
      <c r="H1901" s="11" t="n">
        <v>0.01</v>
      </c>
      <c r="I1901" s="6" t="n">
        <v>20</v>
      </c>
      <c r="J1901" s="6" t="n">
        <v>0</v>
      </c>
      <c r="K1901" s="6" t="n">
        <v>20</v>
      </c>
      <c r="L1901" s="6" t="n">
        <v>0</v>
      </c>
      <c r="M1901" s="6" t="n">
        <v>20</v>
      </c>
      <c r="N1901" s="11" t="n">
        <f aca="false">J1901/(J1901+K1901)</f>
        <v>0</v>
      </c>
      <c r="O1901" s="11" t="str">
        <f aca="false">IF(J1901+L1901=0,"",J1901/(J1901+L1901))</f>
        <v/>
      </c>
      <c r="P1901" s="11" t="n">
        <f aca="false">2*J1901/(2*J1901+L1901+K1901)</f>
        <v>0</v>
      </c>
      <c r="Q1901" s="11" t="n">
        <f aca="false">L1901/(L1901+M1901)</f>
        <v>0</v>
      </c>
      <c r="R1901" s="6" t="n">
        <v>1</v>
      </c>
      <c r="S1901" s="11" t="n">
        <v>0</v>
      </c>
      <c r="T1901" s="11" t="n">
        <v>0</v>
      </c>
      <c r="U1901" s="11" t="n">
        <v>0.9</v>
      </c>
      <c r="V1901" s="11" t="n">
        <v>0.95</v>
      </c>
    </row>
    <row r="1902" customFormat="false" ht="15" hidden="false" customHeight="false" outlineLevel="0" collapsed="false">
      <c r="A1902" s="6" t="s">
        <v>58</v>
      </c>
      <c r="B1902" s="6" t="s">
        <v>59</v>
      </c>
      <c r="C1902" s="6" t="s">
        <v>44</v>
      </c>
      <c r="D1902" s="6" t="s">
        <v>114</v>
      </c>
      <c r="E1902" s="6" t="n">
        <v>4</v>
      </c>
      <c r="F1902" s="6" t="n">
        <v>3</v>
      </c>
      <c r="G1902" s="6" t="s">
        <v>76</v>
      </c>
      <c r="H1902" s="11" t="n">
        <v>0.01</v>
      </c>
      <c r="I1902" s="6" t="n">
        <v>20</v>
      </c>
      <c r="J1902" s="6" t="n">
        <v>0</v>
      </c>
      <c r="K1902" s="6" t="n">
        <v>20</v>
      </c>
      <c r="L1902" s="6" t="n">
        <v>0</v>
      </c>
      <c r="M1902" s="6" t="n">
        <v>20</v>
      </c>
      <c r="N1902" s="11" t="n">
        <f aca="false">J1902/(J1902+K1902)</f>
        <v>0</v>
      </c>
      <c r="O1902" s="11" t="str">
        <f aca="false">IF(J1902+L1902=0,"",J1902/(J1902+L1902))</f>
        <v/>
      </c>
      <c r="P1902" s="11" t="n">
        <f aca="false">2*J1902/(2*J1902+L1902+K1902)</f>
        <v>0</v>
      </c>
      <c r="Q1902" s="11" t="n">
        <f aca="false">L1902/(L1902+M1902)</f>
        <v>0</v>
      </c>
      <c r="R1902" s="6" t="n">
        <v>0</v>
      </c>
      <c r="S1902" s="11"/>
      <c r="T1902" s="11" t="n">
        <v>0</v>
      </c>
      <c r="U1902" s="11" t="n">
        <v>0.95</v>
      </c>
      <c r="V1902" s="11" t="n">
        <v>0.95</v>
      </c>
    </row>
    <row r="1903" customFormat="false" ht="15" hidden="false" customHeight="false" outlineLevel="0" collapsed="false">
      <c r="A1903" s="6" t="s">
        <v>58</v>
      </c>
      <c r="B1903" s="6" t="s">
        <v>59</v>
      </c>
      <c r="C1903" s="6" t="s">
        <v>44</v>
      </c>
      <c r="D1903" s="6" t="s">
        <v>114</v>
      </c>
      <c r="E1903" s="6" t="n">
        <v>4</v>
      </c>
      <c r="F1903" s="6" t="n">
        <v>3</v>
      </c>
      <c r="G1903" s="6" t="s">
        <v>77</v>
      </c>
      <c r="H1903" s="11" t="n">
        <v>0.01</v>
      </c>
      <c r="I1903" s="6" t="n">
        <v>20</v>
      </c>
      <c r="J1903" s="6" t="n">
        <v>1</v>
      </c>
      <c r="K1903" s="6" t="n">
        <v>19</v>
      </c>
      <c r="L1903" s="6" t="n">
        <v>1</v>
      </c>
      <c r="M1903" s="6" t="n">
        <v>19</v>
      </c>
      <c r="N1903" s="11" t="n">
        <f aca="false">J1903/(J1903+K1903)</f>
        <v>0.05</v>
      </c>
      <c r="O1903" s="11" t="n">
        <f aca="false">IF(J1903+L1903=0,"",J1903/(J1903+L1903))</f>
        <v>0.5</v>
      </c>
      <c r="P1903" s="11" t="n">
        <f aca="false">2*J1903/(2*J1903+L1903+K1903)</f>
        <v>0.0909090909090909</v>
      </c>
      <c r="Q1903" s="11" t="n">
        <f aca="false">L1903/(L1903+M1903)</f>
        <v>0.05</v>
      </c>
      <c r="R1903" s="6" t="n">
        <v>0</v>
      </c>
      <c r="S1903" s="11"/>
      <c r="T1903" s="11" t="n">
        <v>0.05</v>
      </c>
      <c r="U1903" s="11" t="n">
        <v>1</v>
      </c>
      <c r="V1903" s="11" t="n">
        <v>1</v>
      </c>
    </row>
    <row r="1904" customFormat="false" ht="15" hidden="false" customHeight="false" outlineLevel="0" collapsed="false">
      <c r="A1904" s="6" t="s">
        <v>58</v>
      </c>
      <c r="B1904" s="6" t="s">
        <v>59</v>
      </c>
      <c r="C1904" s="6" t="s">
        <v>44</v>
      </c>
      <c r="D1904" s="6" t="s">
        <v>114</v>
      </c>
      <c r="E1904" s="6" t="n">
        <v>4</v>
      </c>
      <c r="F1904" s="6" t="n">
        <v>3</v>
      </c>
      <c r="G1904" s="6" t="s">
        <v>78</v>
      </c>
      <c r="H1904" s="11" t="n">
        <v>0.01</v>
      </c>
      <c r="I1904" s="6" t="n">
        <v>200</v>
      </c>
      <c r="J1904" s="6" t="n">
        <v>1</v>
      </c>
      <c r="K1904" s="6" t="n">
        <v>199</v>
      </c>
      <c r="L1904" s="6" t="n">
        <v>1</v>
      </c>
      <c r="M1904" s="6" t="n">
        <v>199</v>
      </c>
      <c r="N1904" s="11" t="n">
        <f aca="false">J1904/(J1904+K1904)</f>
        <v>0.005</v>
      </c>
      <c r="O1904" s="11" t="n">
        <f aca="false">IF(J1904+L1904=0,"",J1904/(J1904+L1904))</f>
        <v>0.5</v>
      </c>
      <c r="P1904" s="11" t="n">
        <f aca="false">2*J1904/(2*J1904+L1904+K1904)</f>
        <v>0.0099009900990099</v>
      </c>
      <c r="Q1904" s="11" t="n">
        <f aca="false">L1904/(L1904+M1904)</f>
        <v>0.005</v>
      </c>
      <c r="R1904" s="6" t="n">
        <v>6</v>
      </c>
      <c r="S1904" s="11" t="n">
        <v>0</v>
      </c>
      <c r="T1904" s="11" t="n">
        <v>0.00515463917525773</v>
      </c>
      <c r="U1904" s="11" t="n">
        <v>0.88</v>
      </c>
      <c r="V1904" s="11" t="n">
        <v>0.875</v>
      </c>
    </row>
    <row r="1905" customFormat="false" ht="15" hidden="false" customHeight="false" outlineLevel="0" collapsed="false">
      <c r="A1905" s="6" t="s">
        <v>58</v>
      </c>
      <c r="B1905" s="6" t="s">
        <v>59</v>
      </c>
      <c r="C1905" s="6" t="s">
        <v>44</v>
      </c>
      <c r="D1905" s="6" t="s">
        <v>114</v>
      </c>
      <c r="E1905" s="6" t="n">
        <v>4</v>
      </c>
      <c r="F1905" s="6" t="n">
        <v>4</v>
      </c>
      <c r="G1905" s="6" t="s">
        <v>68</v>
      </c>
      <c r="H1905" s="11" t="n">
        <v>0.01</v>
      </c>
      <c r="I1905" s="6" t="n">
        <v>20</v>
      </c>
      <c r="J1905" s="6" t="n">
        <v>0</v>
      </c>
      <c r="K1905" s="6" t="n">
        <v>20</v>
      </c>
      <c r="L1905" s="6" t="n">
        <v>0</v>
      </c>
      <c r="M1905" s="6" t="n">
        <v>20</v>
      </c>
      <c r="N1905" s="11" t="n">
        <f aca="false">J1905/(J1905+K1905)</f>
        <v>0</v>
      </c>
      <c r="O1905" s="11" t="str">
        <f aca="false">IF(J1905+L1905=0,"",J1905/(J1905+L1905))</f>
        <v/>
      </c>
      <c r="P1905" s="11" t="n">
        <f aca="false">2*J1905/(2*J1905+L1905+K1905)</f>
        <v>0</v>
      </c>
      <c r="Q1905" s="11" t="n">
        <f aca="false">L1905/(L1905+M1905)</f>
        <v>0</v>
      </c>
      <c r="R1905" s="6" t="n">
        <v>1</v>
      </c>
      <c r="S1905" s="11" t="n">
        <v>0</v>
      </c>
      <c r="T1905" s="11" t="n">
        <v>0</v>
      </c>
      <c r="U1905" s="11" t="n">
        <v>0.85</v>
      </c>
      <c r="V1905" s="11" t="n">
        <v>0.85</v>
      </c>
    </row>
    <row r="1906" customFormat="false" ht="15" hidden="false" customHeight="false" outlineLevel="0" collapsed="false">
      <c r="A1906" s="6" t="s">
        <v>58</v>
      </c>
      <c r="B1906" s="6" t="s">
        <v>59</v>
      </c>
      <c r="C1906" s="6" t="s">
        <v>44</v>
      </c>
      <c r="D1906" s="6" t="s">
        <v>114</v>
      </c>
      <c r="E1906" s="6" t="n">
        <v>4</v>
      </c>
      <c r="F1906" s="6" t="n">
        <v>4</v>
      </c>
      <c r="G1906" s="6" t="s">
        <v>69</v>
      </c>
      <c r="H1906" s="11" t="n">
        <v>0.01</v>
      </c>
      <c r="I1906" s="6" t="n">
        <v>20</v>
      </c>
      <c r="J1906" s="6" t="n">
        <v>0</v>
      </c>
      <c r="K1906" s="6" t="n">
        <v>20</v>
      </c>
      <c r="L1906" s="6" t="n">
        <v>0</v>
      </c>
      <c r="M1906" s="6" t="n">
        <v>20</v>
      </c>
      <c r="N1906" s="11" t="n">
        <f aca="false">J1906/(J1906+K1906)</f>
        <v>0</v>
      </c>
      <c r="O1906" s="11" t="str">
        <f aca="false">IF(J1906+L1906=0,"",J1906/(J1906+L1906))</f>
        <v/>
      </c>
      <c r="P1906" s="11" t="n">
        <f aca="false">2*J1906/(2*J1906+L1906+K1906)</f>
        <v>0</v>
      </c>
      <c r="Q1906" s="11" t="n">
        <f aca="false">L1906/(L1906+M1906)</f>
        <v>0</v>
      </c>
      <c r="R1906" s="6" t="n">
        <v>0</v>
      </c>
      <c r="S1906" s="11"/>
      <c r="T1906" s="11" t="n">
        <v>0</v>
      </c>
      <c r="U1906" s="11" t="n">
        <v>1</v>
      </c>
      <c r="V1906" s="11" t="n">
        <v>1</v>
      </c>
    </row>
    <row r="1907" customFormat="false" ht="15" hidden="false" customHeight="false" outlineLevel="0" collapsed="false">
      <c r="A1907" s="6" t="s">
        <v>58</v>
      </c>
      <c r="B1907" s="6" t="s">
        <v>59</v>
      </c>
      <c r="C1907" s="6" t="s">
        <v>44</v>
      </c>
      <c r="D1907" s="6" t="s">
        <v>114</v>
      </c>
      <c r="E1907" s="6" t="n">
        <v>4</v>
      </c>
      <c r="F1907" s="6" t="n">
        <v>4</v>
      </c>
      <c r="G1907" s="6" t="s">
        <v>70</v>
      </c>
      <c r="H1907" s="11" t="n">
        <v>0.01</v>
      </c>
      <c r="I1907" s="6" t="n">
        <v>20</v>
      </c>
      <c r="J1907" s="6" t="n">
        <v>0</v>
      </c>
      <c r="K1907" s="6" t="n">
        <v>20</v>
      </c>
      <c r="L1907" s="6" t="n">
        <v>0</v>
      </c>
      <c r="M1907" s="6" t="n">
        <v>20</v>
      </c>
      <c r="N1907" s="11" t="n">
        <f aca="false">J1907/(J1907+K1907)</f>
        <v>0</v>
      </c>
      <c r="O1907" s="11" t="str">
        <f aca="false">IF(J1907+L1907=0,"",J1907/(J1907+L1907))</f>
        <v/>
      </c>
      <c r="P1907" s="11" t="n">
        <f aca="false">2*J1907/(2*J1907+L1907+K1907)</f>
        <v>0</v>
      </c>
      <c r="Q1907" s="11" t="n">
        <f aca="false">L1907/(L1907+M1907)</f>
        <v>0</v>
      </c>
      <c r="R1907" s="6" t="n">
        <v>2</v>
      </c>
      <c r="S1907" s="11" t="n">
        <v>0</v>
      </c>
      <c r="T1907" s="11" t="n">
        <v>0</v>
      </c>
      <c r="U1907" s="11" t="n">
        <v>0.9</v>
      </c>
      <c r="V1907" s="11" t="n">
        <v>0.95</v>
      </c>
    </row>
    <row r="1908" customFormat="false" ht="15" hidden="false" customHeight="false" outlineLevel="0" collapsed="false">
      <c r="A1908" s="6" t="s">
        <v>58</v>
      </c>
      <c r="B1908" s="6" t="s">
        <v>59</v>
      </c>
      <c r="C1908" s="6" t="s">
        <v>44</v>
      </c>
      <c r="D1908" s="6" t="s">
        <v>114</v>
      </c>
      <c r="E1908" s="6" t="n">
        <v>4</v>
      </c>
      <c r="F1908" s="6" t="n">
        <v>4</v>
      </c>
      <c r="G1908" s="6" t="s">
        <v>71</v>
      </c>
      <c r="H1908" s="11" t="n">
        <v>0.01</v>
      </c>
      <c r="I1908" s="6" t="n">
        <v>20</v>
      </c>
      <c r="J1908" s="6" t="n">
        <v>0</v>
      </c>
      <c r="K1908" s="6" t="n">
        <v>20</v>
      </c>
      <c r="L1908" s="6" t="n">
        <v>0</v>
      </c>
      <c r="M1908" s="6" t="n">
        <v>20</v>
      </c>
      <c r="N1908" s="11" t="n">
        <f aca="false">J1908/(J1908+K1908)</f>
        <v>0</v>
      </c>
      <c r="O1908" s="11" t="str">
        <f aca="false">IF(J1908+L1908=0,"",J1908/(J1908+L1908))</f>
        <v/>
      </c>
      <c r="P1908" s="11" t="n">
        <f aca="false">2*J1908/(2*J1908+L1908+K1908)</f>
        <v>0</v>
      </c>
      <c r="Q1908" s="11" t="n">
        <f aca="false">L1908/(L1908+M1908)</f>
        <v>0</v>
      </c>
      <c r="R1908" s="6" t="n">
        <v>2</v>
      </c>
      <c r="S1908" s="11" t="n">
        <v>0</v>
      </c>
      <c r="T1908" s="11" t="n">
        <v>0</v>
      </c>
      <c r="U1908" s="11" t="n">
        <v>0.8</v>
      </c>
      <c r="V1908" s="11" t="n">
        <v>0.9</v>
      </c>
    </row>
    <row r="1909" customFormat="false" ht="15" hidden="false" customHeight="false" outlineLevel="0" collapsed="false">
      <c r="A1909" s="6" t="s">
        <v>58</v>
      </c>
      <c r="B1909" s="6" t="s">
        <v>59</v>
      </c>
      <c r="C1909" s="6" t="s">
        <v>44</v>
      </c>
      <c r="D1909" s="6" t="s">
        <v>114</v>
      </c>
      <c r="E1909" s="6" t="n">
        <v>4</v>
      </c>
      <c r="F1909" s="6" t="n">
        <v>4</v>
      </c>
      <c r="G1909" s="6" t="s">
        <v>72</v>
      </c>
      <c r="H1909" s="11" t="n">
        <v>0.01</v>
      </c>
      <c r="I1909" s="6" t="n">
        <v>20</v>
      </c>
      <c r="J1909" s="6" t="n">
        <v>0</v>
      </c>
      <c r="K1909" s="6" t="n">
        <v>20</v>
      </c>
      <c r="L1909" s="6" t="n">
        <v>0</v>
      </c>
      <c r="M1909" s="6" t="n">
        <v>20</v>
      </c>
      <c r="N1909" s="11" t="n">
        <f aca="false">J1909/(J1909+K1909)</f>
        <v>0</v>
      </c>
      <c r="O1909" s="11" t="str">
        <f aca="false">IF(J1909+L1909=0,"",J1909/(J1909+L1909))</f>
        <v/>
      </c>
      <c r="P1909" s="11" t="n">
        <f aca="false">2*J1909/(2*J1909+L1909+K1909)</f>
        <v>0</v>
      </c>
      <c r="Q1909" s="11" t="n">
        <f aca="false">L1909/(L1909+M1909)</f>
        <v>0</v>
      </c>
      <c r="R1909" s="6" t="n">
        <v>3</v>
      </c>
      <c r="S1909" s="11" t="n">
        <v>0</v>
      </c>
      <c r="T1909" s="11" t="n">
        <v>0</v>
      </c>
      <c r="U1909" s="11" t="n">
        <v>0.9</v>
      </c>
      <c r="V1909" s="11" t="n">
        <v>0.75</v>
      </c>
    </row>
    <row r="1910" customFormat="false" ht="15" hidden="false" customHeight="false" outlineLevel="0" collapsed="false">
      <c r="A1910" s="6" t="s">
        <v>58</v>
      </c>
      <c r="B1910" s="6" t="s">
        <v>59</v>
      </c>
      <c r="C1910" s="6" t="s">
        <v>44</v>
      </c>
      <c r="D1910" s="6" t="s">
        <v>114</v>
      </c>
      <c r="E1910" s="6" t="n">
        <v>4</v>
      </c>
      <c r="F1910" s="6" t="n">
        <v>4</v>
      </c>
      <c r="G1910" s="6" t="s">
        <v>73</v>
      </c>
      <c r="H1910" s="11" t="n">
        <v>0.01</v>
      </c>
      <c r="I1910" s="6" t="n">
        <v>20</v>
      </c>
      <c r="J1910" s="6" t="n">
        <v>0</v>
      </c>
      <c r="K1910" s="6" t="n">
        <v>20</v>
      </c>
      <c r="L1910" s="6" t="n">
        <v>0</v>
      </c>
      <c r="M1910" s="6" t="n">
        <v>20</v>
      </c>
      <c r="N1910" s="11" t="n">
        <f aca="false">J1910/(J1910+K1910)</f>
        <v>0</v>
      </c>
      <c r="O1910" s="11" t="str">
        <f aca="false">IF(J1910+L1910=0,"",J1910/(J1910+L1910))</f>
        <v/>
      </c>
      <c r="P1910" s="11" t="n">
        <f aca="false">2*J1910/(2*J1910+L1910+K1910)</f>
        <v>0</v>
      </c>
      <c r="Q1910" s="11" t="n">
        <f aca="false">L1910/(L1910+M1910)</f>
        <v>0</v>
      </c>
      <c r="R1910" s="6" t="n">
        <v>6</v>
      </c>
      <c r="S1910" s="11" t="n">
        <v>0</v>
      </c>
      <c r="T1910" s="11" t="n">
        <v>0</v>
      </c>
      <c r="U1910" s="11" t="n">
        <v>0.65</v>
      </c>
      <c r="V1910" s="11" t="n">
        <v>0.6</v>
      </c>
    </row>
    <row r="1911" customFormat="false" ht="15" hidden="false" customHeight="false" outlineLevel="0" collapsed="false">
      <c r="A1911" s="6" t="s">
        <v>58</v>
      </c>
      <c r="B1911" s="6" t="s">
        <v>59</v>
      </c>
      <c r="C1911" s="6" t="s">
        <v>44</v>
      </c>
      <c r="D1911" s="6" t="s">
        <v>114</v>
      </c>
      <c r="E1911" s="6" t="n">
        <v>4</v>
      </c>
      <c r="F1911" s="6" t="n">
        <v>4</v>
      </c>
      <c r="G1911" s="6" t="s">
        <v>74</v>
      </c>
      <c r="H1911" s="11" t="n">
        <v>0.01</v>
      </c>
      <c r="I1911" s="6" t="n">
        <v>20</v>
      </c>
      <c r="J1911" s="6" t="n">
        <v>0</v>
      </c>
      <c r="K1911" s="6" t="n">
        <v>20</v>
      </c>
      <c r="L1911" s="6" t="n">
        <v>0</v>
      </c>
      <c r="M1911" s="6" t="n">
        <v>20</v>
      </c>
      <c r="N1911" s="11" t="n">
        <f aca="false">J1911/(J1911+K1911)</f>
        <v>0</v>
      </c>
      <c r="O1911" s="11" t="str">
        <f aca="false">IF(J1911+L1911=0,"",J1911/(J1911+L1911))</f>
        <v/>
      </c>
      <c r="P1911" s="11" t="n">
        <f aca="false">2*J1911/(2*J1911+L1911+K1911)</f>
        <v>0</v>
      </c>
      <c r="Q1911" s="11" t="n">
        <f aca="false">L1911/(L1911+M1911)</f>
        <v>0</v>
      </c>
      <c r="R1911" s="6" t="n">
        <v>3</v>
      </c>
      <c r="S1911" s="11" t="n">
        <v>0</v>
      </c>
      <c r="T1911" s="11" t="n">
        <v>0</v>
      </c>
      <c r="U1911" s="11" t="n">
        <v>0.85</v>
      </c>
      <c r="V1911" s="11" t="n">
        <v>0.75</v>
      </c>
    </row>
    <row r="1912" customFormat="false" ht="15" hidden="false" customHeight="false" outlineLevel="0" collapsed="false">
      <c r="A1912" s="6" t="s">
        <v>58</v>
      </c>
      <c r="B1912" s="6" t="s">
        <v>59</v>
      </c>
      <c r="C1912" s="6" t="s">
        <v>44</v>
      </c>
      <c r="D1912" s="6" t="s">
        <v>114</v>
      </c>
      <c r="E1912" s="6" t="n">
        <v>4</v>
      </c>
      <c r="F1912" s="6" t="n">
        <v>4</v>
      </c>
      <c r="G1912" s="6" t="s">
        <v>75</v>
      </c>
      <c r="H1912" s="11" t="n">
        <v>0.01</v>
      </c>
      <c r="I1912" s="6" t="n">
        <v>20</v>
      </c>
      <c r="J1912" s="6" t="n">
        <v>0</v>
      </c>
      <c r="K1912" s="6" t="n">
        <v>20</v>
      </c>
      <c r="L1912" s="6" t="n">
        <v>0</v>
      </c>
      <c r="M1912" s="6" t="n">
        <v>20</v>
      </c>
      <c r="N1912" s="11" t="n">
        <f aca="false">J1912/(J1912+K1912)</f>
        <v>0</v>
      </c>
      <c r="O1912" s="11" t="str">
        <f aca="false">IF(J1912+L1912=0,"",J1912/(J1912+L1912))</f>
        <v/>
      </c>
      <c r="P1912" s="11" t="n">
        <f aca="false">2*J1912/(2*J1912+L1912+K1912)</f>
        <v>0</v>
      </c>
      <c r="Q1912" s="11" t="n">
        <f aca="false">L1912/(L1912+M1912)</f>
        <v>0</v>
      </c>
      <c r="R1912" s="6" t="n">
        <v>2</v>
      </c>
      <c r="S1912" s="11" t="n">
        <v>0</v>
      </c>
      <c r="T1912" s="11" t="n">
        <v>0</v>
      </c>
      <c r="U1912" s="11" t="n">
        <v>0.9</v>
      </c>
      <c r="V1912" s="11" t="n">
        <v>0.85</v>
      </c>
    </row>
    <row r="1913" customFormat="false" ht="15" hidden="false" customHeight="false" outlineLevel="0" collapsed="false">
      <c r="A1913" s="6" t="s">
        <v>58</v>
      </c>
      <c r="B1913" s="6" t="s">
        <v>59</v>
      </c>
      <c r="C1913" s="6" t="s">
        <v>44</v>
      </c>
      <c r="D1913" s="6" t="s">
        <v>114</v>
      </c>
      <c r="E1913" s="6" t="n">
        <v>4</v>
      </c>
      <c r="F1913" s="6" t="n">
        <v>4</v>
      </c>
      <c r="G1913" s="6" t="s">
        <v>76</v>
      </c>
      <c r="H1913" s="11" t="n">
        <v>0.01</v>
      </c>
      <c r="I1913" s="6" t="n">
        <v>20</v>
      </c>
      <c r="J1913" s="6" t="n">
        <v>0</v>
      </c>
      <c r="K1913" s="6" t="n">
        <v>20</v>
      </c>
      <c r="L1913" s="6" t="n">
        <v>0</v>
      </c>
      <c r="M1913" s="6" t="n">
        <v>20</v>
      </c>
      <c r="N1913" s="11" t="n">
        <f aca="false">J1913/(J1913+K1913)</f>
        <v>0</v>
      </c>
      <c r="O1913" s="11" t="str">
        <f aca="false">IF(J1913+L1913=0,"",J1913/(J1913+L1913))</f>
        <v/>
      </c>
      <c r="P1913" s="11" t="n">
        <f aca="false">2*J1913/(2*J1913+L1913+K1913)</f>
        <v>0</v>
      </c>
      <c r="Q1913" s="11" t="n">
        <f aca="false">L1913/(L1913+M1913)</f>
        <v>0</v>
      </c>
      <c r="R1913" s="6" t="n">
        <v>0</v>
      </c>
      <c r="S1913" s="11"/>
      <c r="T1913" s="11" t="n">
        <v>0</v>
      </c>
      <c r="U1913" s="11" t="n">
        <v>0.95</v>
      </c>
      <c r="V1913" s="11" t="n">
        <v>0.95</v>
      </c>
    </row>
    <row r="1914" customFormat="false" ht="15" hidden="false" customHeight="false" outlineLevel="0" collapsed="false">
      <c r="A1914" s="6" t="s">
        <v>58</v>
      </c>
      <c r="B1914" s="6" t="s">
        <v>59</v>
      </c>
      <c r="C1914" s="6" t="s">
        <v>44</v>
      </c>
      <c r="D1914" s="6" t="s">
        <v>114</v>
      </c>
      <c r="E1914" s="6" t="n">
        <v>4</v>
      </c>
      <c r="F1914" s="6" t="n">
        <v>4</v>
      </c>
      <c r="G1914" s="6" t="s">
        <v>77</v>
      </c>
      <c r="H1914" s="11" t="n">
        <v>0.01</v>
      </c>
      <c r="I1914" s="6" t="n">
        <v>20</v>
      </c>
      <c r="J1914" s="6" t="n">
        <v>0</v>
      </c>
      <c r="K1914" s="6" t="n">
        <v>20</v>
      </c>
      <c r="L1914" s="6" t="n">
        <v>1</v>
      </c>
      <c r="M1914" s="6" t="n">
        <v>19</v>
      </c>
      <c r="N1914" s="11" t="n">
        <f aca="false">J1914/(J1914+K1914)</f>
        <v>0</v>
      </c>
      <c r="O1914" s="11" t="n">
        <f aca="false">IF(J1914+L1914=0,"",J1914/(J1914+L1914))</f>
        <v>0</v>
      </c>
      <c r="P1914" s="11" t="n">
        <f aca="false">2*J1914/(2*J1914+L1914+K1914)</f>
        <v>0</v>
      </c>
      <c r="Q1914" s="11" t="n">
        <f aca="false">L1914/(L1914+M1914)</f>
        <v>0.05</v>
      </c>
      <c r="R1914" s="6" t="n">
        <v>1</v>
      </c>
      <c r="S1914" s="11" t="n">
        <v>0</v>
      </c>
      <c r="T1914" s="11" t="n">
        <v>0</v>
      </c>
      <c r="U1914" s="11" t="n">
        <v>1</v>
      </c>
      <c r="V1914" s="11" t="n">
        <v>0.95</v>
      </c>
    </row>
    <row r="1915" customFormat="false" ht="15" hidden="false" customHeight="false" outlineLevel="0" collapsed="false">
      <c r="A1915" s="6" t="s">
        <v>58</v>
      </c>
      <c r="B1915" s="6" t="s">
        <v>59</v>
      </c>
      <c r="C1915" s="6" t="s">
        <v>44</v>
      </c>
      <c r="D1915" s="6" t="s">
        <v>114</v>
      </c>
      <c r="E1915" s="6" t="n">
        <v>4</v>
      </c>
      <c r="F1915" s="6" t="n">
        <v>4</v>
      </c>
      <c r="G1915" s="6" t="s">
        <v>78</v>
      </c>
      <c r="H1915" s="11" t="n">
        <v>0.01</v>
      </c>
      <c r="I1915" s="6" t="n">
        <v>200</v>
      </c>
      <c r="J1915" s="6" t="n">
        <v>0</v>
      </c>
      <c r="K1915" s="6" t="n">
        <v>200</v>
      </c>
      <c r="L1915" s="6" t="n">
        <v>1</v>
      </c>
      <c r="M1915" s="6" t="n">
        <v>199</v>
      </c>
      <c r="N1915" s="11" t="n">
        <f aca="false">J1915/(J1915+K1915)</f>
        <v>0</v>
      </c>
      <c r="O1915" s="11" t="n">
        <f aca="false">IF(J1915+L1915=0,"",J1915/(J1915+L1915))</f>
        <v>0</v>
      </c>
      <c r="P1915" s="11" t="n">
        <f aca="false">2*J1915/(2*J1915+L1915+K1915)</f>
        <v>0</v>
      </c>
      <c r="Q1915" s="11" t="n">
        <f aca="false">L1915/(L1915+M1915)</f>
        <v>0.005</v>
      </c>
      <c r="R1915" s="6" t="n">
        <v>20</v>
      </c>
      <c r="S1915" s="11" t="n">
        <v>0</v>
      </c>
      <c r="T1915" s="11" t="n">
        <v>0</v>
      </c>
      <c r="U1915" s="11" t="n">
        <v>0.88</v>
      </c>
      <c r="V1915" s="11" t="n">
        <v>0.855</v>
      </c>
    </row>
    <row r="1916" customFormat="false" ht="15" hidden="false" customHeight="false" outlineLevel="0" collapsed="false">
      <c r="A1916" s="6" t="s">
        <v>58</v>
      </c>
      <c r="B1916" s="6" t="s">
        <v>59</v>
      </c>
      <c r="C1916" s="6" t="s">
        <v>44</v>
      </c>
      <c r="D1916" s="6" t="s">
        <v>114</v>
      </c>
      <c r="E1916" s="6" t="n">
        <v>4</v>
      </c>
      <c r="F1916" s="6" t="n">
        <v>5</v>
      </c>
      <c r="G1916" s="6" t="s">
        <v>68</v>
      </c>
      <c r="H1916" s="11" t="n">
        <v>0.01</v>
      </c>
      <c r="I1916" s="6" t="n">
        <v>20</v>
      </c>
      <c r="J1916" s="6" t="n">
        <v>0</v>
      </c>
      <c r="K1916" s="6" t="n">
        <v>20</v>
      </c>
      <c r="L1916" s="6" t="n">
        <v>0</v>
      </c>
      <c r="M1916" s="6" t="n">
        <v>20</v>
      </c>
      <c r="N1916" s="11" t="n">
        <f aca="false">J1916/(J1916+K1916)</f>
        <v>0</v>
      </c>
      <c r="O1916" s="11" t="str">
        <f aca="false">IF(J1916+L1916=0,"",J1916/(J1916+L1916))</f>
        <v/>
      </c>
      <c r="P1916" s="11" t="n">
        <f aca="false">2*J1916/(2*J1916+L1916+K1916)</f>
        <v>0</v>
      </c>
      <c r="Q1916" s="11" t="n">
        <f aca="false">L1916/(L1916+M1916)</f>
        <v>0</v>
      </c>
      <c r="R1916" s="6" t="n">
        <v>1</v>
      </c>
      <c r="S1916" s="11" t="n">
        <v>0</v>
      </c>
      <c r="T1916" s="11" t="n">
        <v>0</v>
      </c>
      <c r="U1916" s="11" t="n">
        <v>0.85</v>
      </c>
      <c r="V1916" s="11" t="n">
        <v>0.9</v>
      </c>
    </row>
    <row r="1917" customFormat="false" ht="15" hidden="false" customHeight="false" outlineLevel="0" collapsed="false">
      <c r="A1917" s="6" t="s">
        <v>58</v>
      </c>
      <c r="B1917" s="6" t="s">
        <v>59</v>
      </c>
      <c r="C1917" s="6" t="s">
        <v>44</v>
      </c>
      <c r="D1917" s="6" t="s">
        <v>114</v>
      </c>
      <c r="E1917" s="6" t="n">
        <v>4</v>
      </c>
      <c r="F1917" s="6" t="n">
        <v>5</v>
      </c>
      <c r="G1917" s="6" t="s">
        <v>69</v>
      </c>
      <c r="H1917" s="11" t="n">
        <v>0.01</v>
      </c>
      <c r="I1917" s="6" t="n">
        <v>20</v>
      </c>
      <c r="J1917" s="6" t="n">
        <v>0</v>
      </c>
      <c r="K1917" s="6" t="n">
        <v>20</v>
      </c>
      <c r="L1917" s="6" t="n">
        <v>0</v>
      </c>
      <c r="M1917" s="6" t="n">
        <v>20</v>
      </c>
      <c r="N1917" s="11" t="n">
        <f aca="false">J1917/(J1917+K1917)</f>
        <v>0</v>
      </c>
      <c r="O1917" s="11" t="str">
        <f aca="false">IF(J1917+L1917=0,"",J1917/(J1917+L1917))</f>
        <v/>
      </c>
      <c r="P1917" s="11" t="n">
        <f aca="false">2*J1917/(2*J1917+L1917+K1917)</f>
        <v>0</v>
      </c>
      <c r="Q1917" s="11" t="n">
        <f aca="false">L1917/(L1917+M1917)</f>
        <v>0</v>
      </c>
      <c r="R1917" s="6" t="n">
        <v>0</v>
      </c>
      <c r="S1917" s="11"/>
      <c r="T1917" s="11" t="n">
        <v>0</v>
      </c>
      <c r="U1917" s="11" t="n">
        <v>1</v>
      </c>
      <c r="V1917" s="11" t="n">
        <v>1</v>
      </c>
    </row>
    <row r="1918" customFormat="false" ht="15" hidden="false" customHeight="false" outlineLevel="0" collapsed="false">
      <c r="A1918" s="6" t="s">
        <v>58</v>
      </c>
      <c r="B1918" s="6" t="s">
        <v>59</v>
      </c>
      <c r="C1918" s="6" t="s">
        <v>44</v>
      </c>
      <c r="D1918" s="6" t="s">
        <v>114</v>
      </c>
      <c r="E1918" s="6" t="n">
        <v>4</v>
      </c>
      <c r="F1918" s="6" t="n">
        <v>5</v>
      </c>
      <c r="G1918" s="6" t="s">
        <v>70</v>
      </c>
      <c r="H1918" s="11" t="n">
        <v>0.01</v>
      </c>
      <c r="I1918" s="6" t="n">
        <v>20</v>
      </c>
      <c r="J1918" s="6" t="n">
        <v>0</v>
      </c>
      <c r="K1918" s="6" t="n">
        <v>20</v>
      </c>
      <c r="L1918" s="6" t="n">
        <v>0</v>
      </c>
      <c r="M1918" s="6" t="n">
        <v>20</v>
      </c>
      <c r="N1918" s="11" t="n">
        <f aca="false">J1918/(J1918+K1918)</f>
        <v>0</v>
      </c>
      <c r="O1918" s="11" t="str">
        <f aca="false">IF(J1918+L1918=0,"",J1918/(J1918+L1918))</f>
        <v/>
      </c>
      <c r="P1918" s="11" t="n">
        <f aca="false">2*J1918/(2*J1918+L1918+K1918)</f>
        <v>0</v>
      </c>
      <c r="Q1918" s="11" t="n">
        <f aca="false">L1918/(L1918+M1918)</f>
        <v>0</v>
      </c>
      <c r="R1918" s="6" t="n">
        <v>0</v>
      </c>
      <c r="S1918" s="11"/>
      <c r="T1918" s="11" t="n">
        <v>0</v>
      </c>
      <c r="U1918" s="11" t="n">
        <v>0.9</v>
      </c>
      <c r="V1918" s="11" t="n">
        <v>0.9</v>
      </c>
    </row>
    <row r="1919" customFormat="false" ht="15" hidden="false" customHeight="false" outlineLevel="0" collapsed="false">
      <c r="A1919" s="6" t="s">
        <v>58</v>
      </c>
      <c r="B1919" s="6" t="s">
        <v>59</v>
      </c>
      <c r="C1919" s="6" t="s">
        <v>44</v>
      </c>
      <c r="D1919" s="6" t="s">
        <v>114</v>
      </c>
      <c r="E1919" s="6" t="n">
        <v>4</v>
      </c>
      <c r="F1919" s="6" t="n">
        <v>5</v>
      </c>
      <c r="G1919" s="6" t="s">
        <v>71</v>
      </c>
      <c r="H1919" s="11" t="n">
        <v>0.01</v>
      </c>
      <c r="I1919" s="6" t="n">
        <v>20</v>
      </c>
      <c r="J1919" s="6" t="n">
        <v>0</v>
      </c>
      <c r="K1919" s="6" t="n">
        <v>20</v>
      </c>
      <c r="L1919" s="6" t="n">
        <v>0</v>
      </c>
      <c r="M1919" s="6" t="n">
        <v>20</v>
      </c>
      <c r="N1919" s="11" t="n">
        <f aca="false">J1919/(J1919+K1919)</f>
        <v>0</v>
      </c>
      <c r="O1919" s="11" t="str">
        <f aca="false">IF(J1919+L1919=0,"",J1919/(J1919+L1919))</f>
        <v/>
      </c>
      <c r="P1919" s="11" t="n">
        <f aca="false">2*J1919/(2*J1919+L1919+K1919)</f>
        <v>0</v>
      </c>
      <c r="Q1919" s="11" t="n">
        <f aca="false">L1919/(L1919+M1919)</f>
        <v>0</v>
      </c>
      <c r="R1919" s="6" t="n">
        <v>0</v>
      </c>
      <c r="S1919" s="11"/>
      <c r="T1919" s="11" t="n">
        <v>0</v>
      </c>
      <c r="U1919" s="11" t="n">
        <v>0.8</v>
      </c>
      <c r="V1919" s="11" t="n">
        <v>0.8</v>
      </c>
    </row>
    <row r="1920" customFormat="false" ht="15" hidden="false" customHeight="false" outlineLevel="0" collapsed="false">
      <c r="A1920" s="6" t="s">
        <v>58</v>
      </c>
      <c r="B1920" s="6" t="s">
        <v>59</v>
      </c>
      <c r="C1920" s="6" t="s">
        <v>44</v>
      </c>
      <c r="D1920" s="6" t="s">
        <v>114</v>
      </c>
      <c r="E1920" s="6" t="n">
        <v>4</v>
      </c>
      <c r="F1920" s="6" t="n">
        <v>5</v>
      </c>
      <c r="G1920" s="6" t="s">
        <v>72</v>
      </c>
      <c r="H1920" s="11" t="n">
        <v>0.01</v>
      </c>
      <c r="I1920" s="6" t="n">
        <v>20</v>
      </c>
      <c r="J1920" s="6" t="n">
        <v>0</v>
      </c>
      <c r="K1920" s="6" t="n">
        <v>20</v>
      </c>
      <c r="L1920" s="6" t="n">
        <v>0</v>
      </c>
      <c r="M1920" s="6" t="n">
        <v>20</v>
      </c>
      <c r="N1920" s="11" t="n">
        <f aca="false">J1920/(J1920+K1920)</f>
        <v>0</v>
      </c>
      <c r="O1920" s="11" t="str">
        <f aca="false">IF(J1920+L1920=0,"",J1920/(J1920+L1920))</f>
        <v/>
      </c>
      <c r="P1920" s="11" t="n">
        <f aca="false">2*J1920/(2*J1920+L1920+K1920)</f>
        <v>0</v>
      </c>
      <c r="Q1920" s="11" t="n">
        <f aca="false">L1920/(L1920+M1920)</f>
        <v>0</v>
      </c>
      <c r="R1920" s="6" t="n">
        <v>0</v>
      </c>
      <c r="S1920" s="11"/>
      <c r="T1920" s="11" t="n">
        <v>0</v>
      </c>
      <c r="U1920" s="11" t="n">
        <v>0.9</v>
      </c>
      <c r="V1920" s="11" t="n">
        <v>0.9</v>
      </c>
    </row>
    <row r="1921" customFormat="false" ht="15" hidden="false" customHeight="false" outlineLevel="0" collapsed="false">
      <c r="A1921" s="6" t="s">
        <v>58</v>
      </c>
      <c r="B1921" s="6" t="s">
        <v>59</v>
      </c>
      <c r="C1921" s="6" t="s">
        <v>44</v>
      </c>
      <c r="D1921" s="6" t="s">
        <v>114</v>
      </c>
      <c r="E1921" s="6" t="n">
        <v>4</v>
      </c>
      <c r="F1921" s="6" t="n">
        <v>5</v>
      </c>
      <c r="G1921" s="6" t="s">
        <v>73</v>
      </c>
      <c r="H1921" s="11" t="n">
        <v>0.01</v>
      </c>
      <c r="I1921" s="6" t="n">
        <v>20</v>
      </c>
      <c r="J1921" s="6" t="n">
        <v>0</v>
      </c>
      <c r="K1921" s="6" t="n">
        <v>20</v>
      </c>
      <c r="L1921" s="6" t="n">
        <v>0</v>
      </c>
      <c r="M1921" s="6" t="n">
        <v>20</v>
      </c>
      <c r="N1921" s="11" t="n">
        <f aca="false">J1921/(J1921+K1921)</f>
        <v>0</v>
      </c>
      <c r="O1921" s="11" t="str">
        <f aca="false">IF(J1921+L1921=0,"",J1921/(J1921+L1921))</f>
        <v/>
      </c>
      <c r="P1921" s="11" t="n">
        <f aca="false">2*J1921/(2*J1921+L1921+K1921)</f>
        <v>0</v>
      </c>
      <c r="Q1921" s="11" t="n">
        <f aca="false">L1921/(L1921+M1921)</f>
        <v>0</v>
      </c>
      <c r="R1921" s="6" t="n">
        <v>1</v>
      </c>
      <c r="S1921" s="11" t="n">
        <v>0</v>
      </c>
      <c r="T1921" s="11" t="n">
        <v>0</v>
      </c>
      <c r="U1921" s="11" t="n">
        <v>0.65</v>
      </c>
      <c r="V1921" s="11" t="n">
        <v>0.65</v>
      </c>
    </row>
    <row r="1922" customFormat="false" ht="15" hidden="false" customHeight="false" outlineLevel="0" collapsed="false">
      <c r="A1922" s="6" t="s">
        <v>58</v>
      </c>
      <c r="B1922" s="6" t="s">
        <v>59</v>
      </c>
      <c r="C1922" s="6" t="s">
        <v>44</v>
      </c>
      <c r="D1922" s="6" t="s">
        <v>114</v>
      </c>
      <c r="E1922" s="6" t="n">
        <v>4</v>
      </c>
      <c r="F1922" s="6" t="n">
        <v>5</v>
      </c>
      <c r="G1922" s="6" t="s">
        <v>74</v>
      </c>
      <c r="H1922" s="11" t="n">
        <v>0.01</v>
      </c>
      <c r="I1922" s="6" t="n">
        <v>20</v>
      </c>
      <c r="J1922" s="6" t="n">
        <v>0</v>
      </c>
      <c r="K1922" s="6" t="n">
        <v>20</v>
      </c>
      <c r="L1922" s="6" t="n">
        <v>0</v>
      </c>
      <c r="M1922" s="6" t="n">
        <v>20</v>
      </c>
      <c r="N1922" s="11" t="n">
        <f aca="false">J1922/(J1922+K1922)</f>
        <v>0</v>
      </c>
      <c r="O1922" s="11" t="str">
        <f aca="false">IF(J1922+L1922=0,"",J1922/(J1922+L1922))</f>
        <v/>
      </c>
      <c r="P1922" s="11" t="n">
        <f aca="false">2*J1922/(2*J1922+L1922+K1922)</f>
        <v>0</v>
      </c>
      <c r="Q1922" s="11" t="n">
        <f aca="false">L1922/(L1922+M1922)</f>
        <v>0</v>
      </c>
      <c r="R1922" s="6" t="n">
        <v>2</v>
      </c>
      <c r="S1922" s="11" t="n">
        <v>0</v>
      </c>
      <c r="T1922" s="11" t="n">
        <v>0</v>
      </c>
      <c r="U1922" s="11" t="n">
        <v>0.85</v>
      </c>
      <c r="V1922" s="11" t="n">
        <v>0.9</v>
      </c>
    </row>
    <row r="1923" customFormat="false" ht="15" hidden="false" customHeight="false" outlineLevel="0" collapsed="false">
      <c r="A1923" s="6" t="s">
        <v>58</v>
      </c>
      <c r="B1923" s="6" t="s">
        <v>59</v>
      </c>
      <c r="C1923" s="6" t="s">
        <v>44</v>
      </c>
      <c r="D1923" s="6" t="s">
        <v>114</v>
      </c>
      <c r="E1923" s="6" t="n">
        <v>4</v>
      </c>
      <c r="F1923" s="6" t="n">
        <v>5</v>
      </c>
      <c r="G1923" s="6" t="s">
        <v>75</v>
      </c>
      <c r="H1923" s="11" t="n">
        <v>0.01</v>
      </c>
      <c r="I1923" s="6" t="n">
        <v>20</v>
      </c>
      <c r="J1923" s="6" t="n">
        <v>0</v>
      </c>
      <c r="K1923" s="6" t="n">
        <v>20</v>
      </c>
      <c r="L1923" s="6" t="n">
        <v>0</v>
      </c>
      <c r="M1923" s="6" t="n">
        <v>20</v>
      </c>
      <c r="N1923" s="11" t="n">
        <f aca="false">J1923/(J1923+K1923)</f>
        <v>0</v>
      </c>
      <c r="O1923" s="11" t="str">
        <f aca="false">IF(J1923+L1923=0,"",J1923/(J1923+L1923))</f>
        <v/>
      </c>
      <c r="P1923" s="11" t="n">
        <f aca="false">2*J1923/(2*J1923+L1923+K1923)</f>
        <v>0</v>
      </c>
      <c r="Q1923" s="11" t="n">
        <f aca="false">L1923/(L1923+M1923)</f>
        <v>0</v>
      </c>
      <c r="R1923" s="6" t="n">
        <v>0</v>
      </c>
      <c r="S1923" s="11"/>
      <c r="T1923" s="11" t="n">
        <v>0</v>
      </c>
      <c r="U1923" s="11" t="n">
        <v>0.9</v>
      </c>
      <c r="V1923" s="11" t="n">
        <v>0.9</v>
      </c>
    </row>
    <row r="1924" customFormat="false" ht="15" hidden="false" customHeight="false" outlineLevel="0" collapsed="false">
      <c r="A1924" s="6" t="s">
        <v>58</v>
      </c>
      <c r="B1924" s="6" t="s">
        <v>59</v>
      </c>
      <c r="C1924" s="6" t="s">
        <v>44</v>
      </c>
      <c r="D1924" s="6" t="s">
        <v>114</v>
      </c>
      <c r="E1924" s="6" t="n">
        <v>4</v>
      </c>
      <c r="F1924" s="6" t="n">
        <v>5</v>
      </c>
      <c r="G1924" s="6" t="s">
        <v>76</v>
      </c>
      <c r="H1924" s="11" t="n">
        <v>0.01</v>
      </c>
      <c r="I1924" s="6" t="n">
        <v>20</v>
      </c>
      <c r="J1924" s="6" t="n">
        <v>0</v>
      </c>
      <c r="K1924" s="6" t="n">
        <v>20</v>
      </c>
      <c r="L1924" s="6" t="n">
        <v>0</v>
      </c>
      <c r="M1924" s="6" t="n">
        <v>20</v>
      </c>
      <c r="N1924" s="11" t="n">
        <f aca="false">J1924/(J1924+K1924)</f>
        <v>0</v>
      </c>
      <c r="O1924" s="11" t="str">
        <f aca="false">IF(J1924+L1924=0,"",J1924/(J1924+L1924))</f>
        <v/>
      </c>
      <c r="P1924" s="11" t="n">
        <f aca="false">2*J1924/(2*J1924+L1924+K1924)</f>
        <v>0</v>
      </c>
      <c r="Q1924" s="11" t="n">
        <f aca="false">L1924/(L1924+M1924)</f>
        <v>0</v>
      </c>
      <c r="R1924" s="6" t="n">
        <v>0</v>
      </c>
      <c r="S1924" s="11"/>
      <c r="T1924" s="11" t="n">
        <v>0</v>
      </c>
      <c r="U1924" s="11" t="n">
        <v>0.95</v>
      </c>
      <c r="V1924" s="11" t="n">
        <v>0.95</v>
      </c>
    </row>
    <row r="1925" customFormat="false" ht="15" hidden="false" customHeight="false" outlineLevel="0" collapsed="false">
      <c r="A1925" s="6" t="s">
        <v>58</v>
      </c>
      <c r="B1925" s="6" t="s">
        <v>59</v>
      </c>
      <c r="C1925" s="6" t="s">
        <v>44</v>
      </c>
      <c r="D1925" s="6" t="s">
        <v>114</v>
      </c>
      <c r="E1925" s="6" t="n">
        <v>4</v>
      </c>
      <c r="F1925" s="6" t="n">
        <v>5</v>
      </c>
      <c r="G1925" s="6" t="s">
        <v>77</v>
      </c>
      <c r="H1925" s="11" t="n">
        <v>0.01</v>
      </c>
      <c r="I1925" s="6" t="n">
        <v>20</v>
      </c>
      <c r="J1925" s="6" t="n">
        <v>1</v>
      </c>
      <c r="K1925" s="6" t="n">
        <v>19</v>
      </c>
      <c r="L1925" s="6" t="n">
        <v>1</v>
      </c>
      <c r="M1925" s="6" t="n">
        <v>19</v>
      </c>
      <c r="N1925" s="11" t="n">
        <f aca="false">J1925/(J1925+K1925)</f>
        <v>0.05</v>
      </c>
      <c r="O1925" s="11" t="n">
        <f aca="false">IF(J1925+L1925=0,"",J1925/(J1925+L1925))</f>
        <v>0.5</v>
      </c>
      <c r="P1925" s="11" t="n">
        <f aca="false">2*J1925/(2*J1925+L1925+K1925)</f>
        <v>0.0909090909090909</v>
      </c>
      <c r="Q1925" s="11" t="n">
        <f aca="false">L1925/(L1925+M1925)</f>
        <v>0.05</v>
      </c>
      <c r="R1925" s="6" t="n">
        <v>0</v>
      </c>
      <c r="S1925" s="11"/>
      <c r="T1925" s="11" t="n">
        <v>0.05</v>
      </c>
      <c r="U1925" s="11" t="n">
        <v>1</v>
      </c>
      <c r="V1925" s="11" t="n">
        <v>1</v>
      </c>
    </row>
    <row r="1926" customFormat="false" ht="15" hidden="false" customHeight="false" outlineLevel="0" collapsed="false">
      <c r="A1926" s="6" t="s">
        <v>58</v>
      </c>
      <c r="B1926" s="6" t="s">
        <v>59</v>
      </c>
      <c r="C1926" s="6" t="s">
        <v>44</v>
      </c>
      <c r="D1926" s="6" t="s">
        <v>114</v>
      </c>
      <c r="E1926" s="6" t="n">
        <v>4</v>
      </c>
      <c r="F1926" s="6" t="n">
        <v>5</v>
      </c>
      <c r="G1926" s="6" t="s">
        <v>78</v>
      </c>
      <c r="H1926" s="11" t="n">
        <v>0.01</v>
      </c>
      <c r="I1926" s="6" t="n">
        <v>200</v>
      </c>
      <c r="J1926" s="6" t="n">
        <v>1</v>
      </c>
      <c r="K1926" s="6" t="n">
        <v>199</v>
      </c>
      <c r="L1926" s="6" t="n">
        <v>1</v>
      </c>
      <c r="M1926" s="6" t="n">
        <v>199</v>
      </c>
      <c r="N1926" s="11" t="n">
        <f aca="false">J1926/(J1926+K1926)</f>
        <v>0.005</v>
      </c>
      <c r="O1926" s="11" t="n">
        <f aca="false">IF(J1926+L1926=0,"",J1926/(J1926+L1926))</f>
        <v>0.5</v>
      </c>
      <c r="P1926" s="11" t="n">
        <f aca="false">2*J1926/(2*J1926+L1926+K1926)</f>
        <v>0.0099009900990099</v>
      </c>
      <c r="Q1926" s="11" t="n">
        <f aca="false">L1926/(L1926+M1926)</f>
        <v>0.005</v>
      </c>
      <c r="R1926" s="6" t="n">
        <v>4</v>
      </c>
      <c r="S1926" s="11" t="n">
        <v>0</v>
      </c>
      <c r="T1926" s="11" t="n">
        <v>0.00510204081632653</v>
      </c>
      <c r="U1926" s="11" t="n">
        <v>0.88</v>
      </c>
      <c r="V1926" s="11" t="n">
        <v>0.89</v>
      </c>
    </row>
    <row r="1927" customFormat="false" ht="15" hidden="false" customHeight="false" outlineLevel="0" collapsed="false">
      <c r="A1927" s="6" t="s">
        <v>58</v>
      </c>
      <c r="B1927" s="6" t="s">
        <v>59</v>
      </c>
      <c r="C1927" s="6" t="s">
        <v>44</v>
      </c>
      <c r="D1927" s="6" t="s">
        <v>114</v>
      </c>
      <c r="E1927" s="6" t="n">
        <v>4</v>
      </c>
      <c r="F1927" s="6" t="n">
        <v>6</v>
      </c>
      <c r="G1927" s="6" t="s">
        <v>68</v>
      </c>
      <c r="H1927" s="11" t="n">
        <v>0.01</v>
      </c>
      <c r="I1927" s="6" t="n">
        <v>20</v>
      </c>
      <c r="J1927" s="6" t="n">
        <v>0</v>
      </c>
      <c r="K1927" s="6" t="n">
        <v>20</v>
      </c>
      <c r="L1927" s="6" t="n">
        <v>0</v>
      </c>
      <c r="M1927" s="6" t="n">
        <v>20</v>
      </c>
      <c r="N1927" s="11" t="n">
        <f aca="false">J1927/(J1927+K1927)</f>
        <v>0</v>
      </c>
      <c r="O1927" s="11" t="str">
        <f aca="false">IF(J1927+L1927=0,"",J1927/(J1927+L1927))</f>
        <v/>
      </c>
      <c r="P1927" s="11" t="n">
        <f aca="false">2*J1927/(2*J1927+L1927+K1927)</f>
        <v>0</v>
      </c>
      <c r="Q1927" s="11" t="n">
        <f aca="false">L1927/(L1927+M1927)</f>
        <v>0</v>
      </c>
      <c r="R1927" s="6" t="n">
        <v>0</v>
      </c>
      <c r="S1927" s="11"/>
      <c r="T1927" s="11" t="n">
        <v>0</v>
      </c>
      <c r="U1927" s="11" t="n">
        <v>0.85</v>
      </c>
      <c r="V1927" s="11" t="n">
        <v>0.85</v>
      </c>
    </row>
    <row r="1928" customFormat="false" ht="15" hidden="false" customHeight="false" outlineLevel="0" collapsed="false">
      <c r="A1928" s="6" t="s">
        <v>58</v>
      </c>
      <c r="B1928" s="6" t="s">
        <v>59</v>
      </c>
      <c r="C1928" s="6" t="s">
        <v>44</v>
      </c>
      <c r="D1928" s="6" t="s">
        <v>114</v>
      </c>
      <c r="E1928" s="6" t="n">
        <v>4</v>
      </c>
      <c r="F1928" s="6" t="n">
        <v>6</v>
      </c>
      <c r="G1928" s="6" t="s">
        <v>69</v>
      </c>
      <c r="H1928" s="11" t="n">
        <v>0.01</v>
      </c>
      <c r="I1928" s="6" t="n">
        <v>20</v>
      </c>
      <c r="J1928" s="6" t="n">
        <v>0</v>
      </c>
      <c r="K1928" s="6" t="n">
        <v>20</v>
      </c>
      <c r="L1928" s="6" t="n">
        <v>0</v>
      </c>
      <c r="M1928" s="6" t="n">
        <v>20</v>
      </c>
      <c r="N1928" s="11" t="n">
        <f aca="false">J1928/(J1928+K1928)</f>
        <v>0</v>
      </c>
      <c r="O1928" s="11" t="str">
        <f aca="false">IF(J1928+L1928=0,"",J1928/(J1928+L1928))</f>
        <v/>
      </c>
      <c r="P1928" s="11" t="n">
        <f aca="false">2*J1928/(2*J1928+L1928+K1928)</f>
        <v>0</v>
      </c>
      <c r="Q1928" s="11" t="n">
        <f aca="false">L1928/(L1928+M1928)</f>
        <v>0</v>
      </c>
      <c r="R1928" s="6" t="n">
        <v>0</v>
      </c>
      <c r="S1928" s="11"/>
      <c r="T1928" s="11" t="n">
        <v>0</v>
      </c>
      <c r="U1928" s="11" t="n">
        <v>1</v>
      </c>
      <c r="V1928" s="11" t="n">
        <v>1</v>
      </c>
    </row>
    <row r="1929" customFormat="false" ht="15" hidden="false" customHeight="false" outlineLevel="0" collapsed="false">
      <c r="A1929" s="6" t="s">
        <v>58</v>
      </c>
      <c r="B1929" s="6" t="s">
        <v>59</v>
      </c>
      <c r="C1929" s="6" t="s">
        <v>44</v>
      </c>
      <c r="D1929" s="6" t="s">
        <v>114</v>
      </c>
      <c r="E1929" s="6" t="n">
        <v>4</v>
      </c>
      <c r="F1929" s="6" t="n">
        <v>6</v>
      </c>
      <c r="G1929" s="6" t="s">
        <v>70</v>
      </c>
      <c r="H1929" s="11" t="n">
        <v>0.01</v>
      </c>
      <c r="I1929" s="6" t="n">
        <v>20</v>
      </c>
      <c r="J1929" s="6" t="n">
        <v>0</v>
      </c>
      <c r="K1929" s="6" t="n">
        <v>20</v>
      </c>
      <c r="L1929" s="6" t="n">
        <v>0</v>
      </c>
      <c r="M1929" s="6" t="n">
        <v>20</v>
      </c>
      <c r="N1929" s="11" t="n">
        <f aca="false">J1929/(J1929+K1929)</f>
        <v>0</v>
      </c>
      <c r="O1929" s="11" t="str">
        <f aca="false">IF(J1929+L1929=0,"",J1929/(J1929+L1929))</f>
        <v/>
      </c>
      <c r="P1929" s="11" t="n">
        <f aca="false">2*J1929/(2*J1929+L1929+K1929)</f>
        <v>0</v>
      </c>
      <c r="Q1929" s="11" t="n">
        <f aca="false">L1929/(L1929+M1929)</f>
        <v>0</v>
      </c>
      <c r="R1929" s="6" t="n">
        <v>0</v>
      </c>
      <c r="S1929" s="11"/>
      <c r="T1929" s="11" t="n">
        <v>0</v>
      </c>
      <c r="U1929" s="11" t="n">
        <v>0.9</v>
      </c>
      <c r="V1929" s="11" t="n">
        <v>0.9</v>
      </c>
    </row>
    <row r="1930" customFormat="false" ht="15" hidden="false" customHeight="false" outlineLevel="0" collapsed="false">
      <c r="A1930" s="6" t="s">
        <v>58</v>
      </c>
      <c r="B1930" s="6" t="s">
        <v>59</v>
      </c>
      <c r="C1930" s="6" t="s">
        <v>44</v>
      </c>
      <c r="D1930" s="6" t="s">
        <v>114</v>
      </c>
      <c r="E1930" s="6" t="n">
        <v>4</v>
      </c>
      <c r="F1930" s="6" t="n">
        <v>6</v>
      </c>
      <c r="G1930" s="6" t="s">
        <v>71</v>
      </c>
      <c r="H1930" s="11" t="n">
        <v>0.01</v>
      </c>
      <c r="I1930" s="6" t="n">
        <v>20</v>
      </c>
      <c r="J1930" s="6" t="n">
        <v>0</v>
      </c>
      <c r="K1930" s="6" t="n">
        <v>20</v>
      </c>
      <c r="L1930" s="6" t="n">
        <v>0</v>
      </c>
      <c r="M1930" s="6" t="n">
        <v>20</v>
      </c>
      <c r="N1930" s="11" t="n">
        <f aca="false">J1930/(J1930+K1930)</f>
        <v>0</v>
      </c>
      <c r="O1930" s="11" t="str">
        <f aca="false">IF(J1930+L1930=0,"",J1930/(J1930+L1930))</f>
        <v/>
      </c>
      <c r="P1930" s="11" t="n">
        <f aca="false">2*J1930/(2*J1930+L1930+K1930)</f>
        <v>0</v>
      </c>
      <c r="Q1930" s="11" t="n">
        <f aca="false">L1930/(L1930+M1930)</f>
        <v>0</v>
      </c>
      <c r="R1930" s="6" t="n">
        <v>0</v>
      </c>
      <c r="S1930" s="11"/>
      <c r="T1930" s="11" t="n">
        <v>0</v>
      </c>
      <c r="U1930" s="11" t="n">
        <v>0.8</v>
      </c>
      <c r="V1930" s="11" t="n">
        <v>0.8</v>
      </c>
    </row>
    <row r="1931" customFormat="false" ht="15" hidden="false" customHeight="false" outlineLevel="0" collapsed="false">
      <c r="A1931" s="6" t="s">
        <v>58</v>
      </c>
      <c r="B1931" s="6" t="s">
        <v>59</v>
      </c>
      <c r="C1931" s="6" t="s">
        <v>44</v>
      </c>
      <c r="D1931" s="6" t="s">
        <v>114</v>
      </c>
      <c r="E1931" s="6" t="n">
        <v>4</v>
      </c>
      <c r="F1931" s="6" t="n">
        <v>6</v>
      </c>
      <c r="G1931" s="6" t="s">
        <v>72</v>
      </c>
      <c r="H1931" s="11" t="n">
        <v>0.01</v>
      </c>
      <c r="I1931" s="6" t="n">
        <v>20</v>
      </c>
      <c r="J1931" s="6" t="n">
        <v>0</v>
      </c>
      <c r="K1931" s="6" t="n">
        <v>20</v>
      </c>
      <c r="L1931" s="6" t="n">
        <v>0</v>
      </c>
      <c r="M1931" s="6" t="n">
        <v>20</v>
      </c>
      <c r="N1931" s="11" t="n">
        <f aca="false">J1931/(J1931+K1931)</f>
        <v>0</v>
      </c>
      <c r="O1931" s="11" t="str">
        <f aca="false">IF(J1931+L1931=0,"",J1931/(J1931+L1931))</f>
        <v/>
      </c>
      <c r="P1931" s="11" t="n">
        <f aca="false">2*J1931/(2*J1931+L1931+K1931)</f>
        <v>0</v>
      </c>
      <c r="Q1931" s="11" t="n">
        <f aca="false">L1931/(L1931+M1931)</f>
        <v>0</v>
      </c>
      <c r="R1931" s="6" t="n">
        <v>1</v>
      </c>
      <c r="S1931" s="11" t="n">
        <v>0</v>
      </c>
      <c r="T1931" s="11" t="n">
        <v>0</v>
      </c>
      <c r="U1931" s="11" t="n">
        <v>0.9</v>
      </c>
      <c r="V1931" s="11" t="n">
        <v>0.9</v>
      </c>
    </row>
    <row r="1932" customFormat="false" ht="15" hidden="false" customHeight="false" outlineLevel="0" collapsed="false">
      <c r="A1932" s="6" t="s">
        <v>58</v>
      </c>
      <c r="B1932" s="6" t="s">
        <v>59</v>
      </c>
      <c r="C1932" s="6" t="s">
        <v>44</v>
      </c>
      <c r="D1932" s="6" t="s">
        <v>114</v>
      </c>
      <c r="E1932" s="6" t="n">
        <v>4</v>
      </c>
      <c r="F1932" s="6" t="n">
        <v>6</v>
      </c>
      <c r="G1932" s="6" t="s">
        <v>73</v>
      </c>
      <c r="H1932" s="11" t="n">
        <v>0.01</v>
      </c>
      <c r="I1932" s="6" t="n">
        <v>20</v>
      </c>
      <c r="J1932" s="6" t="n">
        <v>0</v>
      </c>
      <c r="K1932" s="6" t="n">
        <v>20</v>
      </c>
      <c r="L1932" s="6" t="n">
        <v>0</v>
      </c>
      <c r="M1932" s="6" t="n">
        <v>20</v>
      </c>
      <c r="N1932" s="11" t="n">
        <f aca="false">J1932/(J1932+K1932)</f>
        <v>0</v>
      </c>
      <c r="O1932" s="11" t="str">
        <f aca="false">IF(J1932+L1932=0,"",J1932/(J1932+L1932))</f>
        <v/>
      </c>
      <c r="P1932" s="11" t="n">
        <f aca="false">2*J1932/(2*J1932+L1932+K1932)</f>
        <v>0</v>
      </c>
      <c r="Q1932" s="11" t="n">
        <f aca="false">L1932/(L1932+M1932)</f>
        <v>0</v>
      </c>
      <c r="R1932" s="6" t="n">
        <v>0</v>
      </c>
      <c r="S1932" s="11"/>
      <c r="T1932" s="11" t="n">
        <v>0</v>
      </c>
      <c r="U1932" s="11" t="n">
        <v>0.65</v>
      </c>
      <c r="V1932" s="11" t="n">
        <v>0.65</v>
      </c>
    </row>
    <row r="1933" customFormat="false" ht="15" hidden="false" customHeight="false" outlineLevel="0" collapsed="false">
      <c r="A1933" s="6" t="s">
        <v>58</v>
      </c>
      <c r="B1933" s="6" t="s">
        <v>59</v>
      </c>
      <c r="C1933" s="6" t="s">
        <v>44</v>
      </c>
      <c r="D1933" s="6" t="s">
        <v>114</v>
      </c>
      <c r="E1933" s="6" t="n">
        <v>4</v>
      </c>
      <c r="F1933" s="6" t="n">
        <v>6</v>
      </c>
      <c r="G1933" s="6" t="s">
        <v>74</v>
      </c>
      <c r="H1933" s="11" t="n">
        <v>0.01</v>
      </c>
      <c r="I1933" s="6" t="n">
        <v>20</v>
      </c>
      <c r="J1933" s="6" t="n">
        <v>0</v>
      </c>
      <c r="K1933" s="6" t="n">
        <v>20</v>
      </c>
      <c r="L1933" s="6" t="n">
        <v>0</v>
      </c>
      <c r="M1933" s="6" t="n">
        <v>20</v>
      </c>
      <c r="N1933" s="11" t="n">
        <f aca="false">J1933/(J1933+K1933)</f>
        <v>0</v>
      </c>
      <c r="O1933" s="11" t="str">
        <f aca="false">IF(J1933+L1933=0,"",J1933/(J1933+L1933))</f>
        <v/>
      </c>
      <c r="P1933" s="11" t="n">
        <f aca="false">2*J1933/(2*J1933+L1933+K1933)</f>
        <v>0</v>
      </c>
      <c r="Q1933" s="11" t="n">
        <f aca="false">L1933/(L1933+M1933)</f>
        <v>0</v>
      </c>
      <c r="R1933" s="6" t="n">
        <v>2</v>
      </c>
      <c r="S1933" s="11" t="n">
        <v>0</v>
      </c>
      <c r="T1933" s="11" t="n">
        <v>0</v>
      </c>
      <c r="U1933" s="11" t="n">
        <v>0.85</v>
      </c>
      <c r="V1933" s="11" t="n">
        <v>0.85</v>
      </c>
    </row>
    <row r="1934" customFormat="false" ht="15" hidden="false" customHeight="false" outlineLevel="0" collapsed="false">
      <c r="A1934" s="6" t="s">
        <v>58</v>
      </c>
      <c r="B1934" s="6" t="s">
        <v>59</v>
      </c>
      <c r="C1934" s="6" t="s">
        <v>44</v>
      </c>
      <c r="D1934" s="6" t="s">
        <v>114</v>
      </c>
      <c r="E1934" s="6" t="n">
        <v>4</v>
      </c>
      <c r="F1934" s="6" t="n">
        <v>6</v>
      </c>
      <c r="G1934" s="6" t="s">
        <v>75</v>
      </c>
      <c r="H1934" s="11" t="n">
        <v>0.01</v>
      </c>
      <c r="I1934" s="6" t="n">
        <v>20</v>
      </c>
      <c r="J1934" s="6" t="n">
        <v>0</v>
      </c>
      <c r="K1934" s="6" t="n">
        <v>20</v>
      </c>
      <c r="L1934" s="6" t="n">
        <v>0</v>
      </c>
      <c r="M1934" s="6" t="n">
        <v>20</v>
      </c>
      <c r="N1934" s="11" t="n">
        <f aca="false">J1934/(J1934+K1934)</f>
        <v>0</v>
      </c>
      <c r="O1934" s="11" t="str">
        <f aca="false">IF(J1934+L1934=0,"",J1934/(J1934+L1934))</f>
        <v/>
      </c>
      <c r="P1934" s="11" t="n">
        <f aca="false">2*J1934/(2*J1934+L1934+K1934)</f>
        <v>0</v>
      </c>
      <c r="Q1934" s="11" t="n">
        <f aca="false">L1934/(L1934+M1934)</f>
        <v>0</v>
      </c>
      <c r="R1934" s="6" t="n">
        <v>1</v>
      </c>
      <c r="S1934" s="11" t="n">
        <v>0</v>
      </c>
      <c r="T1934" s="11" t="n">
        <v>0</v>
      </c>
      <c r="U1934" s="11" t="n">
        <v>0.9</v>
      </c>
      <c r="V1934" s="11" t="n">
        <v>0.9</v>
      </c>
    </row>
    <row r="1935" customFormat="false" ht="15" hidden="false" customHeight="false" outlineLevel="0" collapsed="false">
      <c r="A1935" s="6" t="s">
        <v>58</v>
      </c>
      <c r="B1935" s="6" t="s">
        <v>59</v>
      </c>
      <c r="C1935" s="6" t="s">
        <v>44</v>
      </c>
      <c r="D1935" s="6" t="s">
        <v>114</v>
      </c>
      <c r="E1935" s="6" t="n">
        <v>4</v>
      </c>
      <c r="F1935" s="6" t="n">
        <v>6</v>
      </c>
      <c r="G1935" s="6" t="s">
        <v>76</v>
      </c>
      <c r="H1935" s="11" t="n">
        <v>0.01</v>
      </c>
      <c r="I1935" s="6" t="n">
        <v>20</v>
      </c>
      <c r="J1935" s="6" t="n">
        <v>0</v>
      </c>
      <c r="K1935" s="6" t="n">
        <v>20</v>
      </c>
      <c r="L1935" s="6" t="n">
        <v>0</v>
      </c>
      <c r="M1935" s="6" t="n">
        <v>20</v>
      </c>
      <c r="N1935" s="11" t="n">
        <f aca="false">J1935/(J1935+K1935)</f>
        <v>0</v>
      </c>
      <c r="O1935" s="11" t="str">
        <f aca="false">IF(J1935+L1935=0,"",J1935/(J1935+L1935))</f>
        <v/>
      </c>
      <c r="P1935" s="11" t="n">
        <f aca="false">2*J1935/(2*J1935+L1935+K1935)</f>
        <v>0</v>
      </c>
      <c r="Q1935" s="11" t="n">
        <f aca="false">L1935/(L1935+M1935)</f>
        <v>0</v>
      </c>
      <c r="R1935" s="6" t="n">
        <v>0</v>
      </c>
      <c r="S1935" s="11"/>
      <c r="T1935" s="11" t="n">
        <v>0</v>
      </c>
      <c r="U1935" s="11" t="n">
        <v>0.95</v>
      </c>
      <c r="V1935" s="11" t="n">
        <v>0.95</v>
      </c>
    </row>
    <row r="1936" customFormat="false" ht="15" hidden="false" customHeight="false" outlineLevel="0" collapsed="false">
      <c r="A1936" s="6" t="s">
        <v>58</v>
      </c>
      <c r="B1936" s="6" t="s">
        <v>59</v>
      </c>
      <c r="C1936" s="6" t="s">
        <v>44</v>
      </c>
      <c r="D1936" s="6" t="s">
        <v>114</v>
      </c>
      <c r="E1936" s="6" t="n">
        <v>4</v>
      </c>
      <c r="F1936" s="6" t="n">
        <v>6</v>
      </c>
      <c r="G1936" s="6" t="s">
        <v>77</v>
      </c>
      <c r="H1936" s="11" t="n">
        <v>0.01</v>
      </c>
      <c r="I1936" s="6" t="n">
        <v>20</v>
      </c>
      <c r="J1936" s="6" t="n">
        <v>1</v>
      </c>
      <c r="K1936" s="6" t="n">
        <v>19</v>
      </c>
      <c r="L1936" s="6" t="n">
        <v>1</v>
      </c>
      <c r="M1936" s="6" t="n">
        <v>19</v>
      </c>
      <c r="N1936" s="11" t="n">
        <f aca="false">J1936/(J1936+K1936)</f>
        <v>0.05</v>
      </c>
      <c r="O1936" s="11" t="n">
        <f aca="false">IF(J1936+L1936=0,"",J1936/(J1936+L1936))</f>
        <v>0.5</v>
      </c>
      <c r="P1936" s="11" t="n">
        <f aca="false">2*J1936/(2*J1936+L1936+K1936)</f>
        <v>0.0909090909090909</v>
      </c>
      <c r="Q1936" s="11" t="n">
        <f aca="false">L1936/(L1936+M1936)</f>
        <v>0.05</v>
      </c>
      <c r="R1936" s="6" t="n">
        <v>0</v>
      </c>
      <c r="S1936" s="11"/>
      <c r="T1936" s="11" t="n">
        <v>0.05</v>
      </c>
      <c r="U1936" s="11" t="n">
        <v>1</v>
      </c>
      <c r="V1936" s="11" t="n">
        <v>1</v>
      </c>
    </row>
    <row r="1937" customFormat="false" ht="15" hidden="false" customHeight="false" outlineLevel="0" collapsed="false">
      <c r="A1937" s="6" t="s">
        <v>58</v>
      </c>
      <c r="B1937" s="6" t="s">
        <v>59</v>
      </c>
      <c r="C1937" s="6" t="s">
        <v>44</v>
      </c>
      <c r="D1937" s="6" t="s">
        <v>114</v>
      </c>
      <c r="E1937" s="6" t="n">
        <v>4</v>
      </c>
      <c r="F1937" s="6" t="n">
        <v>6</v>
      </c>
      <c r="G1937" s="6" t="s">
        <v>78</v>
      </c>
      <c r="H1937" s="11" t="n">
        <v>0.01</v>
      </c>
      <c r="I1937" s="6" t="n">
        <v>200</v>
      </c>
      <c r="J1937" s="6" t="n">
        <v>1</v>
      </c>
      <c r="K1937" s="6" t="n">
        <v>199</v>
      </c>
      <c r="L1937" s="6" t="n">
        <v>1</v>
      </c>
      <c r="M1937" s="6" t="n">
        <v>199</v>
      </c>
      <c r="N1937" s="11" t="n">
        <f aca="false">J1937/(J1937+K1937)</f>
        <v>0.005</v>
      </c>
      <c r="O1937" s="11" t="n">
        <f aca="false">IF(J1937+L1937=0,"",J1937/(J1937+L1937))</f>
        <v>0.5</v>
      </c>
      <c r="P1937" s="11" t="n">
        <f aca="false">2*J1937/(2*J1937+L1937+K1937)</f>
        <v>0.0099009900990099</v>
      </c>
      <c r="Q1937" s="11" t="n">
        <f aca="false">L1937/(L1937+M1937)</f>
        <v>0.005</v>
      </c>
      <c r="R1937" s="6" t="n">
        <v>4</v>
      </c>
      <c r="S1937" s="11" t="n">
        <v>0</v>
      </c>
      <c r="T1937" s="11" t="n">
        <v>0.00510204081632653</v>
      </c>
      <c r="U1937" s="11" t="n">
        <v>0.88</v>
      </c>
      <c r="V1937" s="11" t="n">
        <v>0.88</v>
      </c>
    </row>
    <row r="1938" customFormat="false" ht="15" hidden="false" customHeight="false" outlineLevel="0" collapsed="false">
      <c r="A1938" s="6" t="s">
        <v>58</v>
      </c>
      <c r="B1938" s="6" t="s">
        <v>59</v>
      </c>
      <c r="C1938" s="6" t="s">
        <v>44</v>
      </c>
      <c r="D1938" s="6" t="s">
        <v>114</v>
      </c>
      <c r="E1938" s="6" t="n">
        <v>4</v>
      </c>
      <c r="F1938" s="6" t="n">
        <v>7</v>
      </c>
      <c r="G1938" s="6" t="s">
        <v>68</v>
      </c>
      <c r="H1938" s="11" t="n">
        <v>0.01</v>
      </c>
      <c r="I1938" s="6" t="n">
        <v>20</v>
      </c>
      <c r="J1938" s="6" t="n">
        <v>0</v>
      </c>
      <c r="K1938" s="6" t="n">
        <v>20</v>
      </c>
      <c r="L1938" s="6" t="n">
        <v>0</v>
      </c>
      <c r="M1938" s="6" t="n">
        <v>20</v>
      </c>
      <c r="N1938" s="11" t="n">
        <f aca="false">J1938/(J1938+K1938)</f>
        <v>0</v>
      </c>
      <c r="O1938" s="11" t="str">
        <f aca="false">IF(J1938+L1938=0,"",J1938/(J1938+L1938))</f>
        <v/>
      </c>
      <c r="P1938" s="11" t="n">
        <f aca="false">2*J1938/(2*J1938+L1938+K1938)</f>
        <v>0</v>
      </c>
      <c r="Q1938" s="11" t="n">
        <f aca="false">L1938/(L1938+M1938)</f>
        <v>0</v>
      </c>
      <c r="R1938" s="6" t="n">
        <v>0</v>
      </c>
      <c r="S1938" s="11"/>
      <c r="T1938" s="11" t="n">
        <v>0</v>
      </c>
      <c r="U1938" s="11" t="n">
        <v>0.85</v>
      </c>
      <c r="V1938" s="11" t="n">
        <v>0.85</v>
      </c>
    </row>
    <row r="1939" customFormat="false" ht="15" hidden="false" customHeight="false" outlineLevel="0" collapsed="false">
      <c r="A1939" s="6" t="s">
        <v>58</v>
      </c>
      <c r="B1939" s="6" t="s">
        <v>59</v>
      </c>
      <c r="C1939" s="6" t="s">
        <v>44</v>
      </c>
      <c r="D1939" s="6" t="s">
        <v>114</v>
      </c>
      <c r="E1939" s="6" t="n">
        <v>4</v>
      </c>
      <c r="F1939" s="6" t="n">
        <v>7</v>
      </c>
      <c r="G1939" s="6" t="s">
        <v>69</v>
      </c>
      <c r="H1939" s="11" t="n">
        <v>0.01</v>
      </c>
      <c r="I1939" s="6" t="n">
        <v>20</v>
      </c>
      <c r="J1939" s="6" t="n">
        <v>0</v>
      </c>
      <c r="K1939" s="6" t="n">
        <v>20</v>
      </c>
      <c r="L1939" s="6" t="n">
        <v>0</v>
      </c>
      <c r="M1939" s="6" t="n">
        <v>20</v>
      </c>
      <c r="N1939" s="11" t="n">
        <f aca="false">J1939/(J1939+K1939)</f>
        <v>0</v>
      </c>
      <c r="O1939" s="11" t="str">
        <f aca="false">IF(J1939+L1939=0,"",J1939/(J1939+L1939))</f>
        <v/>
      </c>
      <c r="P1939" s="11" t="n">
        <f aca="false">2*J1939/(2*J1939+L1939+K1939)</f>
        <v>0</v>
      </c>
      <c r="Q1939" s="11" t="n">
        <f aca="false">L1939/(L1939+M1939)</f>
        <v>0</v>
      </c>
      <c r="R1939" s="6" t="n">
        <v>0</v>
      </c>
      <c r="S1939" s="11"/>
      <c r="T1939" s="11" t="n">
        <v>0</v>
      </c>
      <c r="U1939" s="11" t="n">
        <v>1</v>
      </c>
      <c r="V1939" s="11" t="n">
        <v>1</v>
      </c>
    </row>
    <row r="1940" customFormat="false" ht="15" hidden="false" customHeight="false" outlineLevel="0" collapsed="false">
      <c r="A1940" s="6" t="s">
        <v>58</v>
      </c>
      <c r="B1940" s="6" t="s">
        <v>59</v>
      </c>
      <c r="C1940" s="6" t="s">
        <v>44</v>
      </c>
      <c r="D1940" s="6" t="s">
        <v>114</v>
      </c>
      <c r="E1940" s="6" t="n">
        <v>4</v>
      </c>
      <c r="F1940" s="6" t="n">
        <v>7</v>
      </c>
      <c r="G1940" s="6" t="s">
        <v>70</v>
      </c>
      <c r="H1940" s="11" t="n">
        <v>0.01</v>
      </c>
      <c r="I1940" s="6" t="n">
        <v>20</v>
      </c>
      <c r="J1940" s="6" t="n">
        <v>0</v>
      </c>
      <c r="K1940" s="6" t="n">
        <v>20</v>
      </c>
      <c r="L1940" s="6" t="n">
        <v>0</v>
      </c>
      <c r="M1940" s="6" t="n">
        <v>20</v>
      </c>
      <c r="N1940" s="11" t="n">
        <f aca="false">J1940/(J1940+K1940)</f>
        <v>0</v>
      </c>
      <c r="O1940" s="11" t="str">
        <f aca="false">IF(J1940+L1940=0,"",J1940/(J1940+L1940))</f>
        <v/>
      </c>
      <c r="P1940" s="11" t="n">
        <f aca="false">2*J1940/(2*J1940+L1940+K1940)</f>
        <v>0</v>
      </c>
      <c r="Q1940" s="11" t="n">
        <f aca="false">L1940/(L1940+M1940)</f>
        <v>0</v>
      </c>
      <c r="R1940" s="6" t="n">
        <v>0</v>
      </c>
      <c r="S1940" s="11"/>
      <c r="T1940" s="11" t="n">
        <v>0</v>
      </c>
      <c r="U1940" s="11" t="n">
        <v>0.9</v>
      </c>
      <c r="V1940" s="11" t="n">
        <v>0.9</v>
      </c>
    </row>
    <row r="1941" customFormat="false" ht="15" hidden="false" customHeight="false" outlineLevel="0" collapsed="false">
      <c r="A1941" s="6" t="s">
        <v>58</v>
      </c>
      <c r="B1941" s="6" t="s">
        <v>59</v>
      </c>
      <c r="C1941" s="6" t="s">
        <v>44</v>
      </c>
      <c r="D1941" s="6" t="s">
        <v>114</v>
      </c>
      <c r="E1941" s="6" t="n">
        <v>4</v>
      </c>
      <c r="F1941" s="6" t="n">
        <v>7</v>
      </c>
      <c r="G1941" s="6" t="s">
        <v>71</v>
      </c>
      <c r="H1941" s="11" t="n">
        <v>0.01</v>
      </c>
      <c r="I1941" s="6" t="n">
        <v>20</v>
      </c>
      <c r="J1941" s="6" t="n">
        <v>0</v>
      </c>
      <c r="K1941" s="6" t="n">
        <v>20</v>
      </c>
      <c r="L1941" s="6" t="n">
        <v>0</v>
      </c>
      <c r="M1941" s="6" t="n">
        <v>20</v>
      </c>
      <c r="N1941" s="11" t="n">
        <f aca="false">J1941/(J1941+K1941)</f>
        <v>0</v>
      </c>
      <c r="O1941" s="11" t="str">
        <f aca="false">IF(J1941+L1941=0,"",J1941/(J1941+L1941))</f>
        <v/>
      </c>
      <c r="P1941" s="11" t="n">
        <f aca="false">2*J1941/(2*J1941+L1941+K1941)</f>
        <v>0</v>
      </c>
      <c r="Q1941" s="11" t="n">
        <f aca="false">L1941/(L1941+M1941)</f>
        <v>0</v>
      </c>
      <c r="R1941" s="6" t="n">
        <v>0</v>
      </c>
      <c r="S1941" s="11"/>
      <c r="T1941" s="11" t="n">
        <v>0</v>
      </c>
      <c r="U1941" s="11" t="n">
        <v>0.8</v>
      </c>
      <c r="V1941" s="11" t="n">
        <v>0.8</v>
      </c>
    </row>
    <row r="1942" customFormat="false" ht="15" hidden="false" customHeight="false" outlineLevel="0" collapsed="false">
      <c r="A1942" s="6" t="s">
        <v>58</v>
      </c>
      <c r="B1942" s="6" t="s">
        <v>59</v>
      </c>
      <c r="C1942" s="6" t="s">
        <v>44</v>
      </c>
      <c r="D1942" s="6" t="s">
        <v>114</v>
      </c>
      <c r="E1942" s="6" t="n">
        <v>4</v>
      </c>
      <c r="F1942" s="6" t="n">
        <v>7</v>
      </c>
      <c r="G1942" s="6" t="s">
        <v>72</v>
      </c>
      <c r="H1942" s="11" t="n">
        <v>0.01</v>
      </c>
      <c r="I1942" s="6" t="n">
        <v>20</v>
      </c>
      <c r="J1942" s="6" t="n">
        <v>0</v>
      </c>
      <c r="K1942" s="6" t="n">
        <v>20</v>
      </c>
      <c r="L1942" s="6" t="n">
        <v>0</v>
      </c>
      <c r="M1942" s="6" t="n">
        <v>20</v>
      </c>
      <c r="N1942" s="11" t="n">
        <f aca="false">J1942/(J1942+K1942)</f>
        <v>0</v>
      </c>
      <c r="O1942" s="11" t="str">
        <f aca="false">IF(J1942+L1942=0,"",J1942/(J1942+L1942))</f>
        <v/>
      </c>
      <c r="P1942" s="11" t="n">
        <f aca="false">2*J1942/(2*J1942+L1942+K1942)</f>
        <v>0</v>
      </c>
      <c r="Q1942" s="11" t="n">
        <f aca="false">L1942/(L1942+M1942)</f>
        <v>0</v>
      </c>
      <c r="R1942" s="6" t="n">
        <v>0</v>
      </c>
      <c r="S1942" s="11"/>
      <c r="T1942" s="11" t="n">
        <v>0</v>
      </c>
      <c r="U1942" s="11" t="n">
        <v>0.9</v>
      </c>
      <c r="V1942" s="11" t="n">
        <v>0.9</v>
      </c>
    </row>
    <row r="1943" customFormat="false" ht="15" hidden="false" customHeight="false" outlineLevel="0" collapsed="false">
      <c r="A1943" s="6" t="s">
        <v>58</v>
      </c>
      <c r="B1943" s="6" t="s">
        <v>59</v>
      </c>
      <c r="C1943" s="6" t="s">
        <v>44</v>
      </c>
      <c r="D1943" s="6" t="s">
        <v>114</v>
      </c>
      <c r="E1943" s="6" t="n">
        <v>4</v>
      </c>
      <c r="F1943" s="6" t="n">
        <v>7</v>
      </c>
      <c r="G1943" s="6" t="s">
        <v>73</v>
      </c>
      <c r="H1943" s="11" t="n">
        <v>0.01</v>
      </c>
      <c r="I1943" s="6" t="n">
        <v>20</v>
      </c>
      <c r="J1943" s="6" t="n">
        <v>0</v>
      </c>
      <c r="K1943" s="6" t="n">
        <v>20</v>
      </c>
      <c r="L1943" s="6" t="n">
        <v>0</v>
      </c>
      <c r="M1943" s="6" t="n">
        <v>20</v>
      </c>
      <c r="N1943" s="11" t="n">
        <f aca="false">J1943/(J1943+K1943)</f>
        <v>0</v>
      </c>
      <c r="O1943" s="11" t="str">
        <f aca="false">IF(J1943+L1943=0,"",J1943/(J1943+L1943))</f>
        <v/>
      </c>
      <c r="P1943" s="11" t="n">
        <f aca="false">2*J1943/(2*J1943+L1943+K1943)</f>
        <v>0</v>
      </c>
      <c r="Q1943" s="11" t="n">
        <f aca="false">L1943/(L1943+M1943)</f>
        <v>0</v>
      </c>
      <c r="R1943" s="6" t="n">
        <v>2</v>
      </c>
      <c r="S1943" s="11" t="n">
        <v>0</v>
      </c>
      <c r="T1943" s="11" t="n">
        <v>0</v>
      </c>
      <c r="U1943" s="11" t="n">
        <v>0.65</v>
      </c>
      <c r="V1943" s="11" t="n">
        <v>0.65</v>
      </c>
    </row>
    <row r="1944" customFormat="false" ht="15" hidden="false" customHeight="false" outlineLevel="0" collapsed="false">
      <c r="A1944" s="6" t="s">
        <v>58</v>
      </c>
      <c r="B1944" s="6" t="s">
        <v>59</v>
      </c>
      <c r="C1944" s="6" t="s">
        <v>44</v>
      </c>
      <c r="D1944" s="6" t="s">
        <v>114</v>
      </c>
      <c r="E1944" s="6" t="n">
        <v>4</v>
      </c>
      <c r="F1944" s="6" t="n">
        <v>7</v>
      </c>
      <c r="G1944" s="6" t="s">
        <v>74</v>
      </c>
      <c r="H1944" s="11" t="n">
        <v>0.01</v>
      </c>
      <c r="I1944" s="6" t="n">
        <v>20</v>
      </c>
      <c r="J1944" s="6" t="n">
        <v>0</v>
      </c>
      <c r="K1944" s="6" t="n">
        <v>20</v>
      </c>
      <c r="L1944" s="6" t="n">
        <v>0</v>
      </c>
      <c r="M1944" s="6" t="n">
        <v>20</v>
      </c>
      <c r="N1944" s="11" t="n">
        <f aca="false">J1944/(J1944+K1944)</f>
        <v>0</v>
      </c>
      <c r="O1944" s="11" t="str">
        <f aca="false">IF(J1944+L1944=0,"",J1944/(J1944+L1944))</f>
        <v/>
      </c>
      <c r="P1944" s="11" t="n">
        <f aca="false">2*J1944/(2*J1944+L1944+K1944)</f>
        <v>0</v>
      </c>
      <c r="Q1944" s="11" t="n">
        <f aca="false">L1944/(L1944+M1944)</f>
        <v>0</v>
      </c>
      <c r="R1944" s="6" t="n">
        <v>1</v>
      </c>
      <c r="S1944" s="11" t="n">
        <v>0</v>
      </c>
      <c r="T1944" s="11" t="n">
        <v>0</v>
      </c>
      <c r="U1944" s="11" t="n">
        <v>0.85</v>
      </c>
      <c r="V1944" s="11" t="n">
        <v>0.8</v>
      </c>
    </row>
    <row r="1945" customFormat="false" ht="15" hidden="false" customHeight="false" outlineLevel="0" collapsed="false">
      <c r="A1945" s="6" t="s">
        <v>58</v>
      </c>
      <c r="B1945" s="6" t="s">
        <v>59</v>
      </c>
      <c r="C1945" s="6" t="s">
        <v>44</v>
      </c>
      <c r="D1945" s="6" t="s">
        <v>114</v>
      </c>
      <c r="E1945" s="6" t="n">
        <v>4</v>
      </c>
      <c r="F1945" s="6" t="n">
        <v>7</v>
      </c>
      <c r="G1945" s="6" t="s">
        <v>75</v>
      </c>
      <c r="H1945" s="11" t="n">
        <v>0.01</v>
      </c>
      <c r="I1945" s="6" t="n">
        <v>20</v>
      </c>
      <c r="J1945" s="6" t="n">
        <v>0</v>
      </c>
      <c r="K1945" s="6" t="n">
        <v>20</v>
      </c>
      <c r="L1945" s="6" t="n">
        <v>0</v>
      </c>
      <c r="M1945" s="6" t="n">
        <v>20</v>
      </c>
      <c r="N1945" s="11" t="n">
        <f aca="false">J1945/(J1945+K1945)</f>
        <v>0</v>
      </c>
      <c r="O1945" s="11" t="str">
        <f aca="false">IF(J1945+L1945=0,"",J1945/(J1945+L1945))</f>
        <v/>
      </c>
      <c r="P1945" s="11" t="n">
        <f aca="false">2*J1945/(2*J1945+L1945+K1945)</f>
        <v>0</v>
      </c>
      <c r="Q1945" s="11" t="n">
        <f aca="false">L1945/(L1945+M1945)</f>
        <v>0</v>
      </c>
      <c r="R1945" s="6" t="n">
        <v>1</v>
      </c>
      <c r="S1945" s="11" t="n">
        <v>0</v>
      </c>
      <c r="T1945" s="11" t="n">
        <v>0</v>
      </c>
      <c r="U1945" s="11" t="n">
        <v>0.9</v>
      </c>
      <c r="V1945" s="11" t="n">
        <v>0.85</v>
      </c>
    </row>
    <row r="1946" customFormat="false" ht="15" hidden="false" customHeight="false" outlineLevel="0" collapsed="false">
      <c r="A1946" s="6" t="s">
        <v>58</v>
      </c>
      <c r="B1946" s="6" t="s">
        <v>59</v>
      </c>
      <c r="C1946" s="6" t="s">
        <v>44</v>
      </c>
      <c r="D1946" s="6" t="s">
        <v>114</v>
      </c>
      <c r="E1946" s="6" t="n">
        <v>4</v>
      </c>
      <c r="F1946" s="6" t="n">
        <v>7</v>
      </c>
      <c r="G1946" s="6" t="s">
        <v>76</v>
      </c>
      <c r="H1946" s="11" t="n">
        <v>0.01</v>
      </c>
      <c r="I1946" s="6" t="n">
        <v>20</v>
      </c>
      <c r="J1946" s="6" t="n">
        <v>0</v>
      </c>
      <c r="K1946" s="6" t="n">
        <v>20</v>
      </c>
      <c r="L1946" s="6" t="n">
        <v>0</v>
      </c>
      <c r="M1946" s="6" t="n">
        <v>20</v>
      </c>
      <c r="N1946" s="11" t="n">
        <f aca="false">J1946/(J1946+K1946)</f>
        <v>0</v>
      </c>
      <c r="O1946" s="11" t="str">
        <f aca="false">IF(J1946+L1946=0,"",J1946/(J1946+L1946))</f>
        <v/>
      </c>
      <c r="P1946" s="11" t="n">
        <f aca="false">2*J1946/(2*J1946+L1946+K1946)</f>
        <v>0</v>
      </c>
      <c r="Q1946" s="11" t="n">
        <f aca="false">L1946/(L1946+M1946)</f>
        <v>0</v>
      </c>
      <c r="R1946" s="6" t="n">
        <v>0</v>
      </c>
      <c r="S1946" s="11"/>
      <c r="T1946" s="11" t="n">
        <v>0</v>
      </c>
      <c r="U1946" s="11" t="n">
        <v>0.95</v>
      </c>
      <c r="V1946" s="11" t="n">
        <v>0.95</v>
      </c>
    </row>
    <row r="1947" customFormat="false" ht="15" hidden="false" customHeight="false" outlineLevel="0" collapsed="false">
      <c r="A1947" s="6" t="s">
        <v>58</v>
      </c>
      <c r="B1947" s="6" t="s">
        <v>59</v>
      </c>
      <c r="C1947" s="6" t="s">
        <v>44</v>
      </c>
      <c r="D1947" s="6" t="s">
        <v>114</v>
      </c>
      <c r="E1947" s="6" t="n">
        <v>4</v>
      </c>
      <c r="F1947" s="6" t="n">
        <v>7</v>
      </c>
      <c r="G1947" s="6" t="s">
        <v>77</v>
      </c>
      <c r="H1947" s="11" t="n">
        <v>0.01</v>
      </c>
      <c r="I1947" s="6" t="n">
        <v>20</v>
      </c>
      <c r="J1947" s="6" t="n">
        <v>1</v>
      </c>
      <c r="K1947" s="6" t="n">
        <v>19</v>
      </c>
      <c r="L1947" s="6" t="n">
        <v>1</v>
      </c>
      <c r="M1947" s="6" t="n">
        <v>19</v>
      </c>
      <c r="N1947" s="11" t="n">
        <f aca="false">J1947/(J1947+K1947)</f>
        <v>0.05</v>
      </c>
      <c r="O1947" s="11" t="n">
        <f aca="false">IF(J1947+L1947=0,"",J1947/(J1947+L1947))</f>
        <v>0.5</v>
      </c>
      <c r="P1947" s="11" t="n">
        <f aca="false">2*J1947/(2*J1947+L1947+K1947)</f>
        <v>0.0909090909090909</v>
      </c>
      <c r="Q1947" s="11" t="n">
        <f aca="false">L1947/(L1947+M1947)</f>
        <v>0.05</v>
      </c>
      <c r="R1947" s="6" t="n">
        <v>0</v>
      </c>
      <c r="S1947" s="11"/>
      <c r="T1947" s="11" t="n">
        <v>0.05</v>
      </c>
      <c r="U1947" s="11" t="n">
        <v>1</v>
      </c>
      <c r="V1947" s="11" t="n">
        <v>1</v>
      </c>
    </row>
    <row r="1948" customFormat="false" ht="15" hidden="false" customHeight="false" outlineLevel="0" collapsed="false">
      <c r="A1948" s="6" t="s">
        <v>58</v>
      </c>
      <c r="B1948" s="6" t="s">
        <v>59</v>
      </c>
      <c r="C1948" s="6" t="s">
        <v>44</v>
      </c>
      <c r="D1948" s="6" t="s">
        <v>114</v>
      </c>
      <c r="E1948" s="6" t="n">
        <v>4</v>
      </c>
      <c r="F1948" s="6" t="n">
        <v>7</v>
      </c>
      <c r="G1948" s="6" t="s">
        <v>78</v>
      </c>
      <c r="H1948" s="11" t="n">
        <v>0.01</v>
      </c>
      <c r="I1948" s="6" t="n">
        <v>200</v>
      </c>
      <c r="J1948" s="6" t="n">
        <v>1</v>
      </c>
      <c r="K1948" s="6" t="n">
        <v>199</v>
      </c>
      <c r="L1948" s="6" t="n">
        <v>1</v>
      </c>
      <c r="M1948" s="6" t="n">
        <v>199</v>
      </c>
      <c r="N1948" s="11" t="n">
        <f aca="false">J1948/(J1948+K1948)</f>
        <v>0.005</v>
      </c>
      <c r="O1948" s="11" t="n">
        <f aca="false">IF(J1948+L1948=0,"",J1948/(J1948+L1948))</f>
        <v>0.5</v>
      </c>
      <c r="P1948" s="11" t="n">
        <f aca="false">2*J1948/(2*J1948+L1948+K1948)</f>
        <v>0.0099009900990099</v>
      </c>
      <c r="Q1948" s="11" t="n">
        <f aca="false">L1948/(L1948+M1948)</f>
        <v>0.005</v>
      </c>
      <c r="R1948" s="6" t="n">
        <v>4</v>
      </c>
      <c r="S1948" s="11" t="n">
        <v>0</v>
      </c>
      <c r="T1948" s="11" t="n">
        <v>0.00510204081632653</v>
      </c>
      <c r="U1948" s="11" t="n">
        <v>0.88</v>
      </c>
      <c r="V1948" s="11" t="n">
        <v>0.87</v>
      </c>
    </row>
    <row r="1949" customFormat="false" ht="15" hidden="false" customHeight="false" outlineLevel="0" collapsed="false">
      <c r="A1949" s="6" t="s">
        <v>58</v>
      </c>
      <c r="B1949" s="6" t="s">
        <v>59</v>
      </c>
      <c r="C1949" s="6" t="s">
        <v>44</v>
      </c>
      <c r="D1949" s="6" t="s">
        <v>114</v>
      </c>
      <c r="E1949" s="6" t="n">
        <v>4</v>
      </c>
      <c r="F1949" s="6" t="n">
        <v>8</v>
      </c>
      <c r="G1949" s="6" t="s">
        <v>68</v>
      </c>
      <c r="H1949" s="11" t="n">
        <v>0.01</v>
      </c>
      <c r="I1949" s="6" t="n">
        <v>20</v>
      </c>
      <c r="J1949" s="6" t="n">
        <v>0</v>
      </c>
      <c r="K1949" s="6" t="n">
        <v>20</v>
      </c>
      <c r="L1949" s="6" t="n">
        <v>0</v>
      </c>
      <c r="M1949" s="6" t="n">
        <v>20</v>
      </c>
      <c r="N1949" s="11" t="n">
        <f aca="false">J1949/(J1949+K1949)</f>
        <v>0</v>
      </c>
      <c r="O1949" s="11" t="str">
        <f aca="false">IF(J1949+L1949=0,"",J1949/(J1949+L1949))</f>
        <v/>
      </c>
      <c r="P1949" s="11" t="n">
        <f aca="false">2*J1949/(2*J1949+L1949+K1949)</f>
        <v>0</v>
      </c>
      <c r="Q1949" s="11" t="n">
        <f aca="false">L1949/(L1949+M1949)</f>
        <v>0</v>
      </c>
      <c r="R1949" s="6" t="n">
        <v>0</v>
      </c>
      <c r="S1949" s="11"/>
      <c r="T1949" s="11" t="n">
        <v>0</v>
      </c>
      <c r="U1949" s="11" t="n">
        <v>0.85</v>
      </c>
      <c r="V1949" s="11" t="n">
        <v>0.85</v>
      </c>
    </row>
    <row r="1950" customFormat="false" ht="15" hidden="false" customHeight="false" outlineLevel="0" collapsed="false">
      <c r="A1950" s="6" t="s">
        <v>58</v>
      </c>
      <c r="B1950" s="6" t="s">
        <v>59</v>
      </c>
      <c r="C1950" s="6" t="s">
        <v>44</v>
      </c>
      <c r="D1950" s="6" t="s">
        <v>114</v>
      </c>
      <c r="E1950" s="6" t="n">
        <v>4</v>
      </c>
      <c r="F1950" s="6" t="n">
        <v>8</v>
      </c>
      <c r="G1950" s="6" t="s">
        <v>69</v>
      </c>
      <c r="H1950" s="11" t="n">
        <v>0.01</v>
      </c>
      <c r="I1950" s="6" t="n">
        <v>20</v>
      </c>
      <c r="J1950" s="6" t="n">
        <v>0</v>
      </c>
      <c r="K1950" s="6" t="n">
        <v>20</v>
      </c>
      <c r="L1950" s="6" t="n">
        <v>0</v>
      </c>
      <c r="M1950" s="6" t="n">
        <v>20</v>
      </c>
      <c r="N1950" s="11" t="n">
        <f aca="false">J1950/(J1950+K1950)</f>
        <v>0</v>
      </c>
      <c r="O1950" s="11" t="str">
        <f aca="false">IF(J1950+L1950=0,"",J1950/(J1950+L1950))</f>
        <v/>
      </c>
      <c r="P1950" s="11" t="n">
        <f aca="false">2*J1950/(2*J1950+L1950+K1950)</f>
        <v>0</v>
      </c>
      <c r="Q1950" s="11" t="n">
        <f aca="false">L1950/(L1950+M1950)</f>
        <v>0</v>
      </c>
      <c r="R1950" s="6" t="n">
        <v>0</v>
      </c>
      <c r="S1950" s="11"/>
      <c r="T1950" s="11" t="n">
        <v>0</v>
      </c>
      <c r="U1950" s="11" t="n">
        <v>1</v>
      </c>
      <c r="V1950" s="11" t="n">
        <v>1</v>
      </c>
    </row>
    <row r="1951" customFormat="false" ht="15" hidden="false" customHeight="false" outlineLevel="0" collapsed="false">
      <c r="A1951" s="6" t="s">
        <v>58</v>
      </c>
      <c r="B1951" s="6" t="s">
        <v>59</v>
      </c>
      <c r="C1951" s="6" t="s">
        <v>44</v>
      </c>
      <c r="D1951" s="6" t="s">
        <v>114</v>
      </c>
      <c r="E1951" s="6" t="n">
        <v>4</v>
      </c>
      <c r="F1951" s="6" t="n">
        <v>8</v>
      </c>
      <c r="G1951" s="6" t="s">
        <v>70</v>
      </c>
      <c r="H1951" s="11" t="n">
        <v>0.01</v>
      </c>
      <c r="I1951" s="6" t="n">
        <v>20</v>
      </c>
      <c r="J1951" s="6" t="n">
        <v>0</v>
      </c>
      <c r="K1951" s="6" t="n">
        <v>20</v>
      </c>
      <c r="L1951" s="6" t="n">
        <v>0</v>
      </c>
      <c r="M1951" s="6" t="n">
        <v>20</v>
      </c>
      <c r="N1951" s="11" t="n">
        <f aca="false">J1951/(J1951+K1951)</f>
        <v>0</v>
      </c>
      <c r="O1951" s="11" t="str">
        <f aca="false">IF(J1951+L1951=0,"",J1951/(J1951+L1951))</f>
        <v/>
      </c>
      <c r="P1951" s="11" t="n">
        <f aca="false">2*J1951/(2*J1951+L1951+K1951)</f>
        <v>0</v>
      </c>
      <c r="Q1951" s="11" t="n">
        <f aca="false">L1951/(L1951+M1951)</f>
        <v>0</v>
      </c>
      <c r="R1951" s="6" t="n">
        <v>0</v>
      </c>
      <c r="S1951" s="11"/>
      <c r="T1951" s="11" t="n">
        <v>0</v>
      </c>
      <c r="U1951" s="11" t="n">
        <v>0.9</v>
      </c>
      <c r="V1951" s="11" t="n">
        <v>0.9</v>
      </c>
    </row>
    <row r="1952" customFormat="false" ht="15" hidden="false" customHeight="false" outlineLevel="0" collapsed="false">
      <c r="A1952" s="6" t="s">
        <v>58</v>
      </c>
      <c r="B1952" s="6" t="s">
        <v>59</v>
      </c>
      <c r="C1952" s="6" t="s">
        <v>44</v>
      </c>
      <c r="D1952" s="6" t="s">
        <v>114</v>
      </c>
      <c r="E1952" s="6" t="n">
        <v>4</v>
      </c>
      <c r="F1952" s="6" t="n">
        <v>8</v>
      </c>
      <c r="G1952" s="6" t="s">
        <v>71</v>
      </c>
      <c r="H1952" s="11" t="n">
        <v>0.01</v>
      </c>
      <c r="I1952" s="6" t="n">
        <v>20</v>
      </c>
      <c r="J1952" s="6" t="n">
        <v>0</v>
      </c>
      <c r="K1952" s="6" t="n">
        <v>20</v>
      </c>
      <c r="L1952" s="6" t="n">
        <v>0</v>
      </c>
      <c r="M1952" s="6" t="n">
        <v>20</v>
      </c>
      <c r="N1952" s="11" t="n">
        <f aca="false">J1952/(J1952+K1952)</f>
        <v>0</v>
      </c>
      <c r="O1952" s="11" t="str">
        <f aca="false">IF(J1952+L1952=0,"",J1952/(J1952+L1952))</f>
        <v/>
      </c>
      <c r="P1952" s="11" t="n">
        <f aca="false">2*J1952/(2*J1952+L1952+K1952)</f>
        <v>0</v>
      </c>
      <c r="Q1952" s="11" t="n">
        <f aca="false">L1952/(L1952+M1952)</f>
        <v>0</v>
      </c>
      <c r="R1952" s="6" t="n">
        <v>0</v>
      </c>
      <c r="S1952" s="11"/>
      <c r="T1952" s="11" t="n">
        <v>0</v>
      </c>
      <c r="U1952" s="11" t="n">
        <v>0.8</v>
      </c>
      <c r="V1952" s="11" t="n">
        <v>0.8</v>
      </c>
    </row>
    <row r="1953" customFormat="false" ht="15" hidden="false" customHeight="false" outlineLevel="0" collapsed="false">
      <c r="A1953" s="6" t="s">
        <v>58</v>
      </c>
      <c r="B1953" s="6" t="s">
        <v>59</v>
      </c>
      <c r="C1953" s="6" t="s">
        <v>44</v>
      </c>
      <c r="D1953" s="6" t="s">
        <v>114</v>
      </c>
      <c r="E1953" s="6" t="n">
        <v>4</v>
      </c>
      <c r="F1953" s="6" t="n">
        <v>8</v>
      </c>
      <c r="G1953" s="6" t="s">
        <v>72</v>
      </c>
      <c r="H1953" s="11" t="n">
        <v>0.01</v>
      </c>
      <c r="I1953" s="6" t="n">
        <v>20</v>
      </c>
      <c r="J1953" s="6" t="n">
        <v>0</v>
      </c>
      <c r="K1953" s="6" t="n">
        <v>20</v>
      </c>
      <c r="L1953" s="6" t="n">
        <v>0</v>
      </c>
      <c r="M1953" s="6" t="n">
        <v>20</v>
      </c>
      <c r="N1953" s="11" t="n">
        <f aca="false">J1953/(J1953+K1953)</f>
        <v>0</v>
      </c>
      <c r="O1953" s="11" t="str">
        <f aca="false">IF(J1953+L1953=0,"",J1953/(J1953+L1953))</f>
        <v/>
      </c>
      <c r="P1953" s="11" t="n">
        <f aca="false">2*J1953/(2*J1953+L1953+K1953)</f>
        <v>0</v>
      </c>
      <c r="Q1953" s="11" t="n">
        <f aca="false">L1953/(L1953+M1953)</f>
        <v>0</v>
      </c>
      <c r="R1953" s="6" t="n">
        <v>0</v>
      </c>
      <c r="S1953" s="11"/>
      <c r="T1953" s="11" t="n">
        <v>0</v>
      </c>
      <c r="U1953" s="11" t="n">
        <v>0.9</v>
      </c>
      <c r="V1953" s="11" t="n">
        <v>0.9</v>
      </c>
    </row>
    <row r="1954" customFormat="false" ht="15" hidden="false" customHeight="false" outlineLevel="0" collapsed="false">
      <c r="A1954" s="6" t="s">
        <v>58</v>
      </c>
      <c r="B1954" s="6" t="s">
        <v>59</v>
      </c>
      <c r="C1954" s="6" t="s">
        <v>44</v>
      </c>
      <c r="D1954" s="6" t="s">
        <v>114</v>
      </c>
      <c r="E1954" s="6" t="n">
        <v>4</v>
      </c>
      <c r="F1954" s="6" t="n">
        <v>8</v>
      </c>
      <c r="G1954" s="6" t="s">
        <v>73</v>
      </c>
      <c r="H1954" s="11" t="n">
        <v>0.01</v>
      </c>
      <c r="I1954" s="6" t="n">
        <v>20</v>
      </c>
      <c r="J1954" s="6" t="n">
        <v>0</v>
      </c>
      <c r="K1954" s="6" t="n">
        <v>20</v>
      </c>
      <c r="L1954" s="6" t="n">
        <v>0</v>
      </c>
      <c r="M1954" s="6" t="n">
        <v>20</v>
      </c>
      <c r="N1954" s="11" t="n">
        <f aca="false">J1954/(J1954+K1954)</f>
        <v>0</v>
      </c>
      <c r="O1954" s="11" t="str">
        <f aca="false">IF(J1954+L1954=0,"",J1954/(J1954+L1954))</f>
        <v/>
      </c>
      <c r="P1954" s="11" t="n">
        <f aca="false">2*J1954/(2*J1954+L1954+K1954)</f>
        <v>0</v>
      </c>
      <c r="Q1954" s="11" t="n">
        <f aca="false">L1954/(L1954+M1954)</f>
        <v>0</v>
      </c>
      <c r="R1954" s="6" t="n">
        <v>1</v>
      </c>
      <c r="S1954" s="11" t="n">
        <v>0</v>
      </c>
      <c r="T1954" s="11" t="n">
        <v>0</v>
      </c>
      <c r="U1954" s="11" t="n">
        <v>0.65</v>
      </c>
      <c r="V1954" s="11" t="n">
        <v>0.65</v>
      </c>
    </row>
    <row r="1955" customFormat="false" ht="15" hidden="false" customHeight="false" outlineLevel="0" collapsed="false">
      <c r="A1955" s="6" t="s">
        <v>58</v>
      </c>
      <c r="B1955" s="6" t="s">
        <v>59</v>
      </c>
      <c r="C1955" s="6" t="s">
        <v>44</v>
      </c>
      <c r="D1955" s="6" t="s">
        <v>114</v>
      </c>
      <c r="E1955" s="6" t="n">
        <v>4</v>
      </c>
      <c r="F1955" s="6" t="n">
        <v>8</v>
      </c>
      <c r="G1955" s="6" t="s">
        <v>74</v>
      </c>
      <c r="H1955" s="11" t="n">
        <v>0.01</v>
      </c>
      <c r="I1955" s="6" t="n">
        <v>20</v>
      </c>
      <c r="J1955" s="6" t="n">
        <v>0</v>
      </c>
      <c r="K1955" s="6" t="n">
        <v>20</v>
      </c>
      <c r="L1955" s="6" t="n">
        <v>0</v>
      </c>
      <c r="M1955" s="6" t="n">
        <v>20</v>
      </c>
      <c r="N1955" s="11" t="n">
        <f aca="false">J1955/(J1955+K1955)</f>
        <v>0</v>
      </c>
      <c r="O1955" s="11" t="str">
        <f aca="false">IF(J1955+L1955=0,"",J1955/(J1955+L1955))</f>
        <v/>
      </c>
      <c r="P1955" s="11" t="n">
        <f aca="false">2*J1955/(2*J1955+L1955+K1955)</f>
        <v>0</v>
      </c>
      <c r="Q1955" s="11" t="n">
        <f aca="false">L1955/(L1955+M1955)</f>
        <v>0</v>
      </c>
      <c r="R1955" s="6" t="n">
        <v>3</v>
      </c>
      <c r="S1955" s="11" t="n">
        <v>0</v>
      </c>
      <c r="T1955" s="11" t="n">
        <v>0</v>
      </c>
      <c r="U1955" s="11" t="n">
        <v>0.85</v>
      </c>
      <c r="V1955" s="11" t="n">
        <v>0.7</v>
      </c>
    </row>
    <row r="1956" customFormat="false" ht="15" hidden="false" customHeight="false" outlineLevel="0" collapsed="false">
      <c r="A1956" s="6" t="s">
        <v>58</v>
      </c>
      <c r="B1956" s="6" t="s">
        <v>59</v>
      </c>
      <c r="C1956" s="6" t="s">
        <v>44</v>
      </c>
      <c r="D1956" s="6" t="s">
        <v>114</v>
      </c>
      <c r="E1956" s="6" t="n">
        <v>4</v>
      </c>
      <c r="F1956" s="6" t="n">
        <v>8</v>
      </c>
      <c r="G1956" s="6" t="s">
        <v>75</v>
      </c>
      <c r="H1956" s="11" t="n">
        <v>0.01</v>
      </c>
      <c r="I1956" s="6" t="n">
        <v>20</v>
      </c>
      <c r="J1956" s="6" t="n">
        <v>0</v>
      </c>
      <c r="K1956" s="6" t="n">
        <v>20</v>
      </c>
      <c r="L1956" s="6" t="n">
        <v>0</v>
      </c>
      <c r="M1956" s="6" t="n">
        <v>20</v>
      </c>
      <c r="N1956" s="11" t="n">
        <f aca="false">J1956/(J1956+K1956)</f>
        <v>0</v>
      </c>
      <c r="O1956" s="11" t="str">
        <f aca="false">IF(J1956+L1956=0,"",J1956/(J1956+L1956))</f>
        <v/>
      </c>
      <c r="P1956" s="11" t="n">
        <f aca="false">2*J1956/(2*J1956+L1956+K1956)</f>
        <v>0</v>
      </c>
      <c r="Q1956" s="11" t="n">
        <f aca="false">L1956/(L1956+M1956)</f>
        <v>0</v>
      </c>
      <c r="R1956" s="6" t="n">
        <v>1</v>
      </c>
      <c r="S1956" s="11" t="n">
        <v>0</v>
      </c>
      <c r="T1956" s="11" t="n">
        <v>0</v>
      </c>
      <c r="U1956" s="11" t="n">
        <v>0.9</v>
      </c>
      <c r="V1956" s="11" t="n">
        <v>0.95</v>
      </c>
    </row>
    <row r="1957" customFormat="false" ht="15" hidden="false" customHeight="false" outlineLevel="0" collapsed="false">
      <c r="A1957" s="6" t="s">
        <v>58</v>
      </c>
      <c r="B1957" s="6" t="s">
        <v>59</v>
      </c>
      <c r="C1957" s="6" t="s">
        <v>44</v>
      </c>
      <c r="D1957" s="6" t="s">
        <v>114</v>
      </c>
      <c r="E1957" s="6" t="n">
        <v>4</v>
      </c>
      <c r="F1957" s="6" t="n">
        <v>8</v>
      </c>
      <c r="G1957" s="6" t="s">
        <v>76</v>
      </c>
      <c r="H1957" s="11" t="n">
        <v>0.01</v>
      </c>
      <c r="I1957" s="6" t="n">
        <v>20</v>
      </c>
      <c r="J1957" s="6" t="n">
        <v>0</v>
      </c>
      <c r="K1957" s="6" t="n">
        <v>20</v>
      </c>
      <c r="L1957" s="6" t="n">
        <v>0</v>
      </c>
      <c r="M1957" s="6" t="n">
        <v>20</v>
      </c>
      <c r="N1957" s="11" t="n">
        <f aca="false">J1957/(J1957+K1957)</f>
        <v>0</v>
      </c>
      <c r="O1957" s="11" t="str">
        <f aca="false">IF(J1957+L1957=0,"",J1957/(J1957+L1957))</f>
        <v/>
      </c>
      <c r="P1957" s="11" t="n">
        <f aca="false">2*J1957/(2*J1957+L1957+K1957)</f>
        <v>0</v>
      </c>
      <c r="Q1957" s="11" t="n">
        <f aca="false">L1957/(L1957+M1957)</f>
        <v>0</v>
      </c>
      <c r="R1957" s="6" t="n">
        <v>0</v>
      </c>
      <c r="S1957" s="11"/>
      <c r="T1957" s="11" t="n">
        <v>0</v>
      </c>
      <c r="U1957" s="11" t="n">
        <v>0.95</v>
      </c>
      <c r="V1957" s="11" t="n">
        <v>0.95</v>
      </c>
    </row>
    <row r="1958" customFormat="false" ht="15" hidden="false" customHeight="false" outlineLevel="0" collapsed="false">
      <c r="A1958" s="6" t="s">
        <v>58</v>
      </c>
      <c r="B1958" s="6" t="s">
        <v>59</v>
      </c>
      <c r="C1958" s="6" t="s">
        <v>44</v>
      </c>
      <c r="D1958" s="6" t="s">
        <v>114</v>
      </c>
      <c r="E1958" s="6" t="n">
        <v>4</v>
      </c>
      <c r="F1958" s="6" t="n">
        <v>8</v>
      </c>
      <c r="G1958" s="6" t="s">
        <v>77</v>
      </c>
      <c r="H1958" s="11" t="n">
        <v>0.01</v>
      </c>
      <c r="I1958" s="6" t="n">
        <v>20</v>
      </c>
      <c r="J1958" s="6" t="n">
        <v>1</v>
      </c>
      <c r="K1958" s="6" t="n">
        <v>19</v>
      </c>
      <c r="L1958" s="6" t="n">
        <v>1</v>
      </c>
      <c r="M1958" s="6" t="n">
        <v>19</v>
      </c>
      <c r="N1958" s="11" t="n">
        <f aca="false">J1958/(J1958+K1958)</f>
        <v>0.05</v>
      </c>
      <c r="O1958" s="11" t="n">
        <f aca="false">IF(J1958+L1958=0,"",J1958/(J1958+L1958))</f>
        <v>0.5</v>
      </c>
      <c r="P1958" s="11" t="n">
        <f aca="false">2*J1958/(2*J1958+L1958+K1958)</f>
        <v>0.0909090909090909</v>
      </c>
      <c r="Q1958" s="11" t="n">
        <f aca="false">L1958/(L1958+M1958)</f>
        <v>0.05</v>
      </c>
      <c r="R1958" s="6" t="n">
        <v>0</v>
      </c>
      <c r="S1958" s="11"/>
      <c r="T1958" s="11" t="n">
        <v>0.05</v>
      </c>
      <c r="U1958" s="11" t="n">
        <v>1</v>
      </c>
      <c r="V1958" s="11" t="n">
        <v>1</v>
      </c>
    </row>
    <row r="1959" customFormat="false" ht="15" hidden="false" customHeight="false" outlineLevel="0" collapsed="false">
      <c r="A1959" s="6" t="s">
        <v>58</v>
      </c>
      <c r="B1959" s="6" t="s">
        <v>59</v>
      </c>
      <c r="C1959" s="6" t="s">
        <v>44</v>
      </c>
      <c r="D1959" s="6" t="s">
        <v>114</v>
      </c>
      <c r="E1959" s="6" t="n">
        <v>4</v>
      </c>
      <c r="F1959" s="6" t="n">
        <v>8</v>
      </c>
      <c r="G1959" s="6" t="s">
        <v>78</v>
      </c>
      <c r="H1959" s="11" t="n">
        <v>0.01</v>
      </c>
      <c r="I1959" s="6" t="n">
        <v>200</v>
      </c>
      <c r="J1959" s="6" t="n">
        <v>1</v>
      </c>
      <c r="K1959" s="6" t="n">
        <v>199</v>
      </c>
      <c r="L1959" s="6" t="n">
        <v>1</v>
      </c>
      <c r="M1959" s="6" t="n">
        <v>199</v>
      </c>
      <c r="N1959" s="11" t="n">
        <f aca="false">J1959/(J1959+K1959)</f>
        <v>0.005</v>
      </c>
      <c r="O1959" s="11" t="n">
        <f aca="false">IF(J1959+L1959=0,"",J1959/(J1959+L1959))</f>
        <v>0.5</v>
      </c>
      <c r="P1959" s="11" t="n">
        <f aca="false">2*J1959/(2*J1959+L1959+K1959)</f>
        <v>0.0099009900990099</v>
      </c>
      <c r="Q1959" s="11" t="n">
        <f aca="false">L1959/(L1959+M1959)</f>
        <v>0.005</v>
      </c>
      <c r="R1959" s="6" t="n">
        <v>5</v>
      </c>
      <c r="S1959" s="11" t="n">
        <v>0</v>
      </c>
      <c r="T1959" s="11" t="n">
        <v>0.00512820512820513</v>
      </c>
      <c r="U1959" s="11" t="n">
        <v>0.88</v>
      </c>
      <c r="V1959" s="11" t="n">
        <v>0.87</v>
      </c>
    </row>
    <row r="1960" customFormat="false" ht="15" hidden="false" customHeight="false" outlineLevel="0" collapsed="false">
      <c r="A1960" s="6" t="s">
        <v>58</v>
      </c>
      <c r="B1960" s="6" t="s">
        <v>59</v>
      </c>
      <c r="C1960" s="6" t="s">
        <v>44</v>
      </c>
      <c r="D1960" s="6" t="s">
        <v>114</v>
      </c>
      <c r="E1960" s="6" t="n">
        <v>4</v>
      </c>
      <c r="F1960" s="6" t="n">
        <v>9</v>
      </c>
      <c r="G1960" s="6" t="s">
        <v>68</v>
      </c>
      <c r="H1960" s="11" t="n">
        <v>0.01</v>
      </c>
      <c r="I1960" s="6" t="n">
        <v>20</v>
      </c>
      <c r="J1960" s="6" t="n">
        <v>0</v>
      </c>
      <c r="K1960" s="6" t="n">
        <v>20</v>
      </c>
      <c r="L1960" s="6" t="n">
        <v>0</v>
      </c>
      <c r="M1960" s="6" t="n">
        <v>20</v>
      </c>
      <c r="N1960" s="11" t="n">
        <f aca="false">J1960/(J1960+K1960)</f>
        <v>0</v>
      </c>
      <c r="O1960" s="11" t="str">
        <f aca="false">IF(J1960+L1960=0,"",J1960/(J1960+L1960))</f>
        <v/>
      </c>
      <c r="P1960" s="11" t="n">
        <f aca="false">2*J1960/(2*J1960+L1960+K1960)</f>
        <v>0</v>
      </c>
      <c r="Q1960" s="11" t="n">
        <f aca="false">L1960/(L1960+M1960)</f>
        <v>0</v>
      </c>
      <c r="R1960" s="6" t="n">
        <v>0</v>
      </c>
      <c r="S1960" s="11"/>
      <c r="T1960" s="11" t="n">
        <v>0</v>
      </c>
      <c r="U1960" s="11" t="n">
        <v>0.85</v>
      </c>
      <c r="V1960" s="11" t="n">
        <v>0.85</v>
      </c>
    </row>
    <row r="1961" customFormat="false" ht="15" hidden="false" customHeight="false" outlineLevel="0" collapsed="false">
      <c r="A1961" s="6" t="s">
        <v>58</v>
      </c>
      <c r="B1961" s="6" t="s">
        <v>59</v>
      </c>
      <c r="C1961" s="6" t="s">
        <v>44</v>
      </c>
      <c r="D1961" s="6" t="s">
        <v>114</v>
      </c>
      <c r="E1961" s="6" t="n">
        <v>4</v>
      </c>
      <c r="F1961" s="6" t="n">
        <v>9</v>
      </c>
      <c r="G1961" s="6" t="s">
        <v>69</v>
      </c>
      <c r="H1961" s="11" t="n">
        <v>0.01</v>
      </c>
      <c r="I1961" s="6" t="n">
        <v>20</v>
      </c>
      <c r="J1961" s="6" t="n">
        <v>0</v>
      </c>
      <c r="K1961" s="6" t="n">
        <v>20</v>
      </c>
      <c r="L1961" s="6" t="n">
        <v>0</v>
      </c>
      <c r="M1961" s="6" t="n">
        <v>20</v>
      </c>
      <c r="N1961" s="11" t="n">
        <f aca="false">J1961/(J1961+K1961)</f>
        <v>0</v>
      </c>
      <c r="O1961" s="11" t="str">
        <f aca="false">IF(J1961+L1961=0,"",J1961/(J1961+L1961))</f>
        <v/>
      </c>
      <c r="P1961" s="11" t="n">
        <f aca="false">2*J1961/(2*J1961+L1961+K1961)</f>
        <v>0</v>
      </c>
      <c r="Q1961" s="11" t="n">
        <f aca="false">L1961/(L1961+M1961)</f>
        <v>0</v>
      </c>
      <c r="R1961" s="6" t="n">
        <v>1</v>
      </c>
      <c r="S1961" s="11" t="n">
        <v>0</v>
      </c>
      <c r="T1961" s="11" t="n">
        <v>0</v>
      </c>
      <c r="U1961" s="11" t="n">
        <v>1</v>
      </c>
      <c r="V1961" s="11" t="n">
        <v>0.95</v>
      </c>
    </row>
    <row r="1962" customFormat="false" ht="15" hidden="false" customHeight="false" outlineLevel="0" collapsed="false">
      <c r="A1962" s="6" t="s">
        <v>58</v>
      </c>
      <c r="B1962" s="6" t="s">
        <v>59</v>
      </c>
      <c r="C1962" s="6" t="s">
        <v>44</v>
      </c>
      <c r="D1962" s="6" t="s">
        <v>114</v>
      </c>
      <c r="E1962" s="6" t="n">
        <v>4</v>
      </c>
      <c r="F1962" s="6" t="n">
        <v>9</v>
      </c>
      <c r="G1962" s="6" t="s">
        <v>70</v>
      </c>
      <c r="H1962" s="11" t="n">
        <v>0.01</v>
      </c>
      <c r="I1962" s="6" t="n">
        <v>20</v>
      </c>
      <c r="J1962" s="6" t="n">
        <v>0</v>
      </c>
      <c r="K1962" s="6" t="n">
        <v>20</v>
      </c>
      <c r="L1962" s="6" t="n">
        <v>0</v>
      </c>
      <c r="M1962" s="6" t="n">
        <v>20</v>
      </c>
      <c r="N1962" s="11" t="n">
        <f aca="false">J1962/(J1962+K1962)</f>
        <v>0</v>
      </c>
      <c r="O1962" s="11" t="str">
        <f aca="false">IF(J1962+L1962=0,"",J1962/(J1962+L1962))</f>
        <v/>
      </c>
      <c r="P1962" s="11" t="n">
        <f aca="false">2*J1962/(2*J1962+L1962+K1962)</f>
        <v>0</v>
      </c>
      <c r="Q1962" s="11" t="n">
        <f aca="false">L1962/(L1962+M1962)</f>
        <v>0</v>
      </c>
      <c r="R1962" s="6" t="n">
        <v>0</v>
      </c>
      <c r="S1962" s="11"/>
      <c r="T1962" s="11" t="n">
        <v>0</v>
      </c>
      <c r="U1962" s="11" t="n">
        <v>0.9</v>
      </c>
      <c r="V1962" s="11" t="n">
        <v>0.9</v>
      </c>
    </row>
    <row r="1963" customFormat="false" ht="15" hidden="false" customHeight="false" outlineLevel="0" collapsed="false">
      <c r="A1963" s="6" t="s">
        <v>58</v>
      </c>
      <c r="B1963" s="6" t="s">
        <v>59</v>
      </c>
      <c r="C1963" s="6" t="s">
        <v>44</v>
      </c>
      <c r="D1963" s="6" t="s">
        <v>114</v>
      </c>
      <c r="E1963" s="6" t="n">
        <v>4</v>
      </c>
      <c r="F1963" s="6" t="n">
        <v>9</v>
      </c>
      <c r="G1963" s="6" t="s">
        <v>71</v>
      </c>
      <c r="H1963" s="11" t="n">
        <v>0.01</v>
      </c>
      <c r="I1963" s="6" t="n">
        <v>20</v>
      </c>
      <c r="J1963" s="6" t="n">
        <v>0</v>
      </c>
      <c r="K1963" s="6" t="n">
        <v>20</v>
      </c>
      <c r="L1963" s="6" t="n">
        <v>0</v>
      </c>
      <c r="M1963" s="6" t="n">
        <v>20</v>
      </c>
      <c r="N1963" s="11" t="n">
        <f aca="false">J1963/(J1963+K1963)</f>
        <v>0</v>
      </c>
      <c r="O1963" s="11" t="str">
        <f aca="false">IF(J1963+L1963=0,"",J1963/(J1963+L1963))</f>
        <v/>
      </c>
      <c r="P1963" s="11" t="n">
        <f aca="false">2*J1963/(2*J1963+L1963+K1963)</f>
        <v>0</v>
      </c>
      <c r="Q1963" s="11" t="n">
        <f aca="false">L1963/(L1963+M1963)</f>
        <v>0</v>
      </c>
      <c r="R1963" s="6" t="n">
        <v>1</v>
      </c>
      <c r="S1963" s="11" t="n">
        <v>0</v>
      </c>
      <c r="T1963" s="11" t="n">
        <v>0</v>
      </c>
      <c r="U1963" s="11" t="n">
        <v>0.8</v>
      </c>
      <c r="V1963" s="11" t="n">
        <v>0.8</v>
      </c>
    </row>
    <row r="1964" customFormat="false" ht="15" hidden="false" customHeight="false" outlineLevel="0" collapsed="false">
      <c r="A1964" s="6" t="s">
        <v>58</v>
      </c>
      <c r="B1964" s="6" t="s">
        <v>59</v>
      </c>
      <c r="C1964" s="6" t="s">
        <v>44</v>
      </c>
      <c r="D1964" s="6" t="s">
        <v>114</v>
      </c>
      <c r="E1964" s="6" t="n">
        <v>4</v>
      </c>
      <c r="F1964" s="6" t="n">
        <v>9</v>
      </c>
      <c r="G1964" s="6" t="s">
        <v>72</v>
      </c>
      <c r="H1964" s="11" t="n">
        <v>0.01</v>
      </c>
      <c r="I1964" s="6" t="n">
        <v>20</v>
      </c>
      <c r="J1964" s="6" t="n">
        <v>0</v>
      </c>
      <c r="K1964" s="6" t="n">
        <v>20</v>
      </c>
      <c r="L1964" s="6" t="n">
        <v>0</v>
      </c>
      <c r="M1964" s="6" t="n">
        <v>20</v>
      </c>
      <c r="N1964" s="11" t="n">
        <f aca="false">J1964/(J1964+K1964)</f>
        <v>0</v>
      </c>
      <c r="O1964" s="11" t="str">
        <f aca="false">IF(J1964+L1964=0,"",J1964/(J1964+L1964))</f>
        <v/>
      </c>
      <c r="P1964" s="11" t="n">
        <f aca="false">2*J1964/(2*J1964+L1964+K1964)</f>
        <v>0</v>
      </c>
      <c r="Q1964" s="11" t="n">
        <f aca="false">L1964/(L1964+M1964)</f>
        <v>0</v>
      </c>
      <c r="R1964" s="6" t="n">
        <v>1</v>
      </c>
      <c r="S1964" s="11" t="n">
        <v>0</v>
      </c>
      <c r="T1964" s="11" t="n">
        <v>0</v>
      </c>
      <c r="U1964" s="11" t="n">
        <v>0.9</v>
      </c>
      <c r="V1964" s="11" t="n">
        <v>0.9</v>
      </c>
    </row>
    <row r="1965" customFormat="false" ht="15" hidden="false" customHeight="false" outlineLevel="0" collapsed="false">
      <c r="A1965" s="6" t="s">
        <v>58</v>
      </c>
      <c r="B1965" s="6" t="s">
        <v>59</v>
      </c>
      <c r="C1965" s="6" t="s">
        <v>44</v>
      </c>
      <c r="D1965" s="6" t="s">
        <v>114</v>
      </c>
      <c r="E1965" s="6" t="n">
        <v>4</v>
      </c>
      <c r="F1965" s="6" t="n">
        <v>9</v>
      </c>
      <c r="G1965" s="6" t="s">
        <v>73</v>
      </c>
      <c r="H1965" s="11" t="n">
        <v>0.01</v>
      </c>
      <c r="I1965" s="6" t="n">
        <v>20</v>
      </c>
      <c r="J1965" s="6" t="n">
        <v>1</v>
      </c>
      <c r="K1965" s="6" t="n">
        <v>19</v>
      </c>
      <c r="L1965" s="6" t="n">
        <v>0</v>
      </c>
      <c r="M1965" s="6" t="n">
        <v>20</v>
      </c>
      <c r="N1965" s="11" t="n">
        <f aca="false">J1965/(J1965+K1965)</f>
        <v>0.05</v>
      </c>
      <c r="O1965" s="11" t="n">
        <f aca="false">IF(J1965+L1965=0,"",J1965/(J1965+L1965))</f>
        <v>1</v>
      </c>
      <c r="P1965" s="11" t="n">
        <f aca="false">2*J1965/(2*J1965+L1965+K1965)</f>
        <v>0.0952380952380952</v>
      </c>
      <c r="Q1965" s="11" t="n">
        <f aca="false">L1965/(L1965+M1965)</f>
        <v>0</v>
      </c>
      <c r="R1965" s="6" t="n">
        <v>1</v>
      </c>
      <c r="S1965" s="11" t="n">
        <v>0</v>
      </c>
      <c r="T1965" s="11" t="n">
        <v>0.0526315789473684</v>
      </c>
      <c r="U1965" s="11" t="n">
        <v>0.65</v>
      </c>
      <c r="V1965" s="11" t="n">
        <v>0.6</v>
      </c>
    </row>
    <row r="1966" customFormat="false" ht="15" hidden="false" customHeight="false" outlineLevel="0" collapsed="false">
      <c r="A1966" s="6" t="s">
        <v>58</v>
      </c>
      <c r="B1966" s="6" t="s">
        <v>59</v>
      </c>
      <c r="C1966" s="6" t="s">
        <v>44</v>
      </c>
      <c r="D1966" s="6" t="s">
        <v>114</v>
      </c>
      <c r="E1966" s="6" t="n">
        <v>4</v>
      </c>
      <c r="F1966" s="6" t="n">
        <v>9</v>
      </c>
      <c r="G1966" s="6" t="s">
        <v>74</v>
      </c>
      <c r="H1966" s="11" t="n">
        <v>0.01</v>
      </c>
      <c r="I1966" s="6" t="n">
        <v>20</v>
      </c>
      <c r="J1966" s="6" t="n">
        <v>1</v>
      </c>
      <c r="K1966" s="6" t="n">
        <v>19</v>
      </c>
      <c r="L1966" s="6" t="n">
        <v>0</v>
      </c>
      <c r="M1966" s="6" t="n">
        <v>20</v>
      </c>
      <c r="N1966" s="11" t="n">
        <f aca="false">J1966/(J1966+K1966)</f>
        <v>0.05</v>
      </c>
      <c r="O1966" s="11" t="n">
        <f aca="false">IF(J1966+L1966=0,"",J1966/(J1966+L1966))</f>
        <v>1</v>
      </c>
      <c r="P1966" s="11" t="n">
        <f aca="false">2*J1966/(2*J1966+L1966+K1966)</f>
        <v>0.0952380952380952</v>
      </c>
      <c r="Q1966" s="11" t="n">
        <f aca="false">L1966/(L1966+M1966)</f>
        <v>0</v>
      </c>
      <c r="R1966" s="6" t="n">
        <v>2</v>
      </c>
      <c r="S1966" s="11" t="n">
        <v>0.5</v>
      </c>
      <c r="T1966" s="11" t="n">
        <v>0</v>
      </c>
      <c r="U1966" s="11" t="n">
        <v>0.85</v>
      </c>
      <c r="V1966" s="11" t="n">
        <v>0.85</v>
      </c>
    </row>
    <row r="1967" customFormat="false" ht="15" hidden="false" customHeight="false" outlineLevel="0" collapsed="false">
      <c r="A1967" s="6" t="s">
        <v>58</v>
      </c>
      <c r="B1967" s="6" t="s">
        <v>59</v>
      </c>
      <c r="C1967" s="6" t="s">
        <v>44</v>
      </c>
      <c r="D1967" s="6" t="s">
        <v>114</v>
      </c>
      <c r="E1967" s="6" t="n">
        <v>4</v>
      </c>
      <c r="F1967" s="6" t="n">
        <v>9</v>
      </c>
      <c r="G1967" s="6" t="s">
        <v>75</v>
      </c>
      <c r="H1967" s="11" t="n">
        <v>0.01</v>
      </c>
      <c r="I1967" s="6" t="n">
        <v>20</v>
      </c>
      <c r="J1967" s="6" t="n">
        <v>0</v>
      </c>
      <c r="K1967" s="6" t="n">
        <v>20</v>
      </c>
      <c r="L1967" s="6" t="n">
        <v>0</v>
      </c>
      <c r="M1967" s="6" t="n">
        <v>20</v>
      </c>
      <c r="N1967" s="11" t="n">
        <f aca="false">J1967/(J1967+K1967)</f>
        <v>0</v>
      </c>
      <c r="O1967" s="11" t="str">
        <f aca="false">IF(J1967+L1967=0,"",J1967/(J1967+L1967))</f>
        <v/>
      </c>
      <c r="P1967" s="11" t="n">
        <f aca="false">2*J1967/(2*J1967+L1967+K1967)</f>
        <v>0</v>
      </c>
      <c r="Q1967" s="11" t="n">
        <f aca="false">L1967/(L1967+M1967)</f>
        <v>0</v>
      </c>
      <c r="R1967" s="6" t="n">
        <v>0</v>
      </c>
      <c r="S1967" s="11"/>
      <c r="T1967" s="11" t="n">
        <v>0</v>
      </c>
      <c r="U1967" s="11" t="n">
        <v>0.9</v>
      </c>
      <c r="V1967" s="11" t="n">
        <v>0.9</v>
      </c>
    </row>
    <row r="1968" customFormat="false" ht="15" hidden="false" customHeight="false" outlineLevel="0" collapsed="false">
      <c r="A1968" s="6" t="s">
        <v>58</v>
      </c>
      <c r="B1968" s="6" t="s">
        <v>59</v>
      </c>
      <c r="C1968" s="6" t="s">
        <v>44</v>
      </c>
      <c r="D1968" s="6" t="s">
        <v>114</v>
      </c>
      <c r="E1968" s="6" t="n">
        <v>4</v>
      </c>
      <c r="F1968" s="6" t="n">
        <v>9</v>
      </c>
      <c r="G1968" s="6" t="s">
        <v>76</v>
      </c>
      <c r="H1968" s="11" t="n">
        <v>0.01</v>
      </c>
      <c r="I1968" s="6" t="n">
        <v>20</v>
      </c>
      <c r="J1968" s="6" t="n">
        <v>0</v>
      </c>
      <c r="K1968" s="6" t="n">
        <v>20</v>
      </c>
      <c r="L1968" s="6" t="n">
        <v>0</v>
      </c>
      <c r="M1968" s="6" t="n">
        <v>20</v>
      </c>
      <c r="N1968" s="11" t="n">
        <f aca="false">J1968/(J1968+K1968)</f>
        <v>0</v>
      </c>
      <c r="O1968" s="11" t="str">
        <f aca="false">IF(J1968+L1968=0,"",J1968/(J1968+L1968))</f>
        <v/>
      </c>
      <c r="P1968" s="11" t="n">
        <f aca="false">2*J1968/(2*J1968+L1968+K1968)</f>
        <v>0</v>
      </c>
      <c r="Q1968" s="11" t="n">
        <f aca="false">L1968/(L1968+M1968)</f>
        <v>0</v>
      </c>
      <c r="R1968" s="6" t="n">
        <v>0</v>
      </c>
      <c r="S1968" s="11"/>
      <c r="T1968" s="11" t="n">
        <v>0</v>
      </c>
      <c r="U1968" s="11" t="n">
        <v>0.95</v>
      </c>
      <c r="V1968" s="11" t="n">
        <v>0.95</v>
      </c>
    </row>
    <row r="1969" customFormat="false" ht="15" hidden="false" customHeight="false" outlineLevel="0" collapsed="false">
      <c r="A1969" s="6" t="s">
        <v>58</v>
      </c>
      <c r="B1969" s="6" t="s">
        <v>59</v>
      </c>
      <c r="C1969" s="6" t="s">
        <v>44</v>
      </c>
      <c r="D1969" s="6" t="s">
        <v>114</v>
      </c>
      <c r="E1969" s="6" t="n">
        <v>4</v>
      </c>
      <c r="F1969" s="6" t="n">
        <v>9</v>
      </c>
      <c r="G1969" s="6" t="s">
        <v>77</v>
      </c>
      <c r="H1969" s="11" t="n">
        <v>0.01</v>
      </c>
      <c r="I1969" s="6" t="n">
        <v>20</v>
      </c>
      <c r="J1969" s="6" t="n">
        <v>0</v>
      </c>
      <c r="K1969" s="6" t="n">
        <v>20</v>
      </c>
      <c r="L1969" s="6" t="n">
        <v>1</v>
      </c>
      <c r="M1969" s="6" t="n">
        <v>19</v>
      </c>
      <c r="N1969" s="11" t="n">
        <f aca="false">J1969/(J1969+K1969)</f>
        <v>0</v>
      </c>
      <c r="O1969" s="11" t="n">
        <f aca="false">IF(J1969+L1969=0,"",J1969/(J1969+L1969))</f>
        <v>0</v>
      </c>
      <c r="P1969" s="11" t="n">
        <f aca="false">2*J1969/(2*J1969+L1969+K1969)</f>
        <v>0</v>
      </c>
      <c r="Q1969" s="11" t="n">
        <f aca="false">L1969/(L1969+M1969)</f>
        <v>0.05</v>
      </c>
      <c r="R1969" s="6" t="n">
        <v>0</v>
      </c>
      <c r="S1969" s="11"/>
      <c r="T1969" s="11" t="n">
        <v>0</v>
      </c>
      <c r="U1969" s="11" t="n">
        <v>1</v>
      </c>
      <c r="V1969" s="11" t="n">
        <v>1</v>
      </c>
    </row>
    <row r="1970" customFormat="false" ht="15" hidden="false" customHeight="false" outlineLevel="0" collapsed="false">
      <c r="A1970" s="6" t="s">
        <v>58</v>
      </c>
      <c r="B1970" s="6" t="s">
        <v>59</v>
      </c>
      <c r="C1970" s="6" t="s">
        <v>44</v>
      </c>
      <c r="D1970" s="6" t="s">
        <v>114</v>
      </c>
      <c r="E1970" s="6" t="n">
        <v>4</v>
      </c>
      <c r="F1970" s="6" t="n">
        <v>9</v>
      </c>
      <c r="G1970" s="6" t="s">
        <v>78</v>
      </c>
      <c r="H1970" s="11" t="n">
        <v>0.01</v>
      </c>
      <c r="I1970" s="6" t="n">
        <v>200</v>
      </c>
      <c r="J1970" s="6" t="n">
        <v>2</v>
      </c>
      <c r="K1970" s="6" t="n">
        <v>198</v>
      </c>
      <c r="L1970" s="6" t="n">
        <v>1</v>
      </c>
      <c r="M1970" s="6" t="n">
        <v>199</v>
      </c>
      <c r="N1970" s="11" t="n">
        <f aca="false">J1970/(J1970+K1970)</f>
        <v>0.01</v>
      </c>
      <c r="O1970" s="11" t="n">
        <f aca="false">IF(J1970+L1970=0,"",J1970/(J1970+L1970))</f>
        <v>0.666666666666667</v>
      </c>
      <c r="P1970" s="11" t="n">
        <f aca="false">2*J1970/(2*J1970+L1970+K1970)</f>
        <v>0.0197044334975369</v>
      </c>
      <c r="Q1970" s="11" t="n">
        <f aca="false">L1970/(L1970+M1970)</f>
        <v>0.005</v>
      </c>
      <c r="R1970" s="6" t="n">
        <v>6</v>
      </c>
      <c r="S1970" s="11" t="n">
        <v>0.166666666666667</v>
      </c>
      <c r="T1970" s="11" t="n">
        <v>0.00515463917525773</v>
      </c>
      <c r="U1970" s="11" t="n">
        <v>0.88</v>
      </c>
      <c r="V1970" s="11" t="n">
        <v>0.87</v>
      </c>
    </row>
    <row r="1971" customFormat="false" ht="15" hidden="false" customHeight="false" outlineLevel="0" collapsed="false">
      <c r="A1971" s="6" t="s">
        <v>58</v>
      </c>
      <c r="B1971" s="6" t="s">
        <v>59</v>
      </c>
      <c r="C1971" s="6" t="s">
        <v>44</v>
      </c>
      <c r="D1971" s="6" t="s">
        <v>114</v>
      </c>
      <c r="E1971" s="6" t="n">
        <v>4</v>
      </c>
      <c r="F1971" s="6" t="n">
        <v>10</v>
      </c>
      <c r="G1971" s="6" t="s">
        <v>68</v>
      </c>
      <c r="H1971" s="11" t="n">
        <v>0.01</v>
      </c>
      <c r="I1971" s="6" t="n">
        <v>20</v>
      </c>
      <c r="J1971" s="6" t="n">
        <v>0</v>
      </c>
      <c r="K1971" s="6" t="n">
        <v>20</v>
      </c>
      <c r="L1971" s="6" t="n">
        <v>0</v>
      </c>
      <c r="M1971" s="6" t="n">
        <v>20</v>
      </c>
      <c r="N1971" s="11" t="n">
        <f aca="false">J1971/(J1971+K1971)</f>
        <v>0</v>
      </c>
      <c r="O1971" s="11" t="str">
        <f aca="false">IF(J1971+L1971=0,"",J1971/(J1971+L1971))</f>
        <v/>
      </c>
      <c r="P1971" s="11" t="n">
        <f aca="false">2*J1971/(2*J1971+L1971+K1971)</f>
        <v>0</v>
      </c>
      <c r="Q1971" s="11" t="n">
        <f aca="false">L1971/(L1971+M1971)</f>
        <v>0</v>
      </c>
      <c r="R1971" s="6" t="n">
        <v>1</v>
      </c>
      <c r="S1971" s="11" t="n">
        <v>0</v>
      </c>
      <c r="T1971" s="11" t="n">
        <v>0</v>
      </c>
      <c r="U1971" s="11" t="n">
        <v>0.85</v>
      </c>
      <c r="V1971" s="11" t="n">
        <v>0.8</v>
      </c>
    </row>
    <row r="1972" customFormat="false" ht="15" hidden="false" customHeight="false" outlineLevel="0" collapsed="false">
      <c r="A1972" s="6" t="s">
        <v>58</v>
      </c>
      <c r="B1972" s="6" t="s">
        <v>59</v>
      </c>
      <c r="C1972" s="6" t="s">
        <v>44</v>
      </c>
      <c r="D1972" s="6" t="s">
        <v>114</v>
      </c>
      <c r="E1972" s="6" t="n">
        <v>4</v>
      </c>
      <c r="F1972" s="6" t="n">
        <v>10</v>
      </c>
      <c r="G1972" s="6" t="s">
        <v>69</v>
      </c>
      <c r="H1972" s="11" t="n">
        <v>0.01</v>
      </c>
      <c r="I1972" s="6" t="n">
        <v>20</v>
      </c>
      <c r="J1972" s="6" t="n">
        <v>0</v>
      </c>
      <c r="K1972" s="6" t="n">
        <v>20</v>
      </c>
      <c r="L1972" s="6" t="n">
        <v>0</v>
      </c>
      <c r="M1972" s="6" t="n">
        <v>20</v>
      </c>
      <c r="N1972" s="11" t="n">
        <f aca="false">J1972/(J1972+K1972)</f>
        <v>0</v>
      </c>
      <c r="O1972" s="11" t="str">
        <f aca="false">IF(J1972+L1972=0,"",J1972/(J1972+L1972))</f>
        <v/>
      </c>
      <c r="P1972" s="11" t="n">
        <f aca="false">2*J1972/(2*J1972+L1972+K1972)</f>
        <v>0</v>
      </c>
      <c r="Q1972" s="11" t="n">
        <f aca="false">L1972/(L1972+M1972)</f>
        <v>0</v>
      </c>
      <c r="R1972" s="6" t="n">
        <v>0</v>
      </c>
      <c r="S1972" s="11"/>
      <c r="T1972" s="11" t="n">
        <v>0</v>
      </c>
      <c r="U1972" s="11" t="n">
        <v>1</v>
      </c>
      <c r="V1972" s="11" t="n">
        <v>1</v>
      </c>
    </row>
    <row r="1973" customFormat="false" ht="15" hidden="false" customHeight="false" outlineLevel="0" collapsed="false">
      <c r="A1973" s="6" t="s">
        <v>58</v>
      </c>
      <c r="B1973" s="6" t="s">
        <v>59</v>
      </c>
      <c r="C1973" s="6" t="s">
        <v>44</v>
      </c>
      <c r="D1973" s="6" t="s">
        <v>114</v>
      </c>
      <c r="E1973" s="6" t="n">
        <v>4</v>
      </c>
      <c r="F1973" s="6" t="n">
        <v>10</v>
      </c>
      <c r="G1973" s="6" t="s">
        <v>70</v>
      </c>
      <c r="H1973" s="11" t="n">
        <v>0.01</v>
      </c>
      <c r="I1973" s="6" t="n">
        <v>20</v>
      </c>
      <c r="J1973" s="6" t="n">
        <v>0</v>
      </c>
      <c r="K1973" s="6" t="n">
        <v>20</v>
      </c>
      <c r="L1973" s="6" t="n">
        <v>0</v>
      </c>
      <c r="M1973" s="6" t="n">
        <v>20</v>
      </c>
      <c r="N1973" s="11" t="n">
        <f aca="false">J1973/(J1973+K1973)</f>
        <v>0</v>
      </c>
      <c r="O1973" s="11" t="str">
        <f aca="false">IF(J1973+L1973=0,"",J1973/(J1973+L1973))</f>
        <v/>
      </c>
      <c r="P1973" s="11" t="n">
        <f aca="false">2*J1973/(2*J1973+L1973+K1973)</f>
        <v>0</v>
      </c>
      <c r="Q1973" s="11" t="n">
        <f aca="false">L1973/(L1973+M1973)</f>
        <v>0</v>
      </c>
      <c r="R1973" s="6" t="n">
        <v>0</v>
      </c>
      <c r="S1973" s="11"/>
      <c r="T1973" s="11" t="n">
        <v>0</v>
      </c>
      <c r="U1973" s="11" t="n">
        <v>0.9</v>
      </c>
      <c r="V1973" s="11" t="n">
        <v>0.9</v>
      </c>
    </row>
    <row r="1974" customFormat="false" ht="15" hidden="false" customHeight="false" outlineLevel="0" collapsed="false">
      <c r="A1974" s="6" t="s">
        <v>58</v>
      </c>
      <c r="B1974" s="6" t="s">
        <v>59</v>
      </c>
      <c r="C1974" s="6" t="s">
        <v>44</v>
      </c>
      <c r="D1974" s="6" t="s">
        <v>114</v>
      </c>
      <c r="E1974" s="6" t="n">
        <v>4</v>
      </c>
      <c r="F1974" s="6" t="n">
        <v>10</v>
      </c>
      <c r="G1974" s="6" t="s">
        <v>71</v>
      </c>
      <c r="H1974" s="11" t="n">
        <v>0.01</v>
      </c>
      <c r="I1974" s="6" t="n">
        <v>20</v>
      </c>
      <c r="J1974" s="6" t="n">
        <v>0</v>
      </c>
      <c r="K1974" s="6" t="n">
        <v>20</v>
      </c>
      <c r="L1974" s="6" t="n">
        <v>0</v>
      </c>
      <c r="M1974" s="6" t="n">
        <v>20</v>
      </c>
      <c r="N1974" s="11" t="n">
        <f aca="false">J1974/(J1974+K1974)</f>
        <v>0</v>
      </c>
      <c r="O1974" s="11" t="str">
        <f aca="false">IF(J1974+L1974=0,"",J1974/(J1974+L1974))</f>
        <v/>
      </c>
      <c r="P1974" s="11" t="n">
        <f aca="false">2*J1974/(2*J1974+L1974+K1974)</f>
        <v>0</v>
      </c>
      <c r="Q1974" s="11" t="n">
        <f aca="false">L1974/(L1974+M1974)</f>
        <v>0</v>
      </c>
      <c r="R1974" s="6" t="n">
        <v>0</v>
      </c>
      <c r="S1974" s="11"/>
      <c r="T1974" s="11" t="n">
        <v>0</v>
      </c>
      <c r="U1974" s="11" t="n">
        <v>0.8</v>
      </c>
      <c r="V1974" s="11" t="n">
        <v>0.8</v>
      </c>
    </row>
    <row r="1975" customFormat="false" ht="15" hidden="false" customHeight="false" outlineLevel="0" collapsed="false">
      <c r="A1975" s="6" t="s">
        <v>58</v>
      </c>
      <c r="B1975" s="6" t="s">
        <v>59</v>
      </c>
      <c r="C1975" s="6" t="s">
        <v>44</v>
      </c>
      <c r="D1975" s="6" t="s">
        <v>114</v>
      </c>
      <c r="E1975" s="6" t="n">
        <v>4</v>
      </c>
      <c r="F1975" s="6" t="n">
        <v>10</v>
      </c>
      <c r="G1975" s="6" t="s">
        <v>72</v>
      </c>
      <c r="H1975" s="11" t="n">
        <v>0.01</v>
      </c>
      <c r="I1975" s="6" t="n">
        <v>20</v>
      </c>
      <c r="J1975" s="6" t="n">
        <v>0</v>
      </c>
      <c r="K1975" s="6" t="n">
        <v>20</v>
      </c>
      <c r="L1975" s="6" t="n">
        <v>0</v>
      </c>
      <c r="M1975" s="6" t="n">
        <v>20</v>
      </c>
      <c r="N1975" s="11" t="n">
        <f aca="false">J1975/(J1975+K1975)</f>
        <v>0</v>
      </c>
      <c r="O1975" s="11" t="str">
        <f aca="false">IF(J1975+L1975=0,"",J1975/(J1975+L1975))</f>
        <v/>
      </c>
      <c r="P1975" s="11" t="n">
        <f aca="false">2*J1975/(2*J1975+L1975+K1975)</f>
        <v>0</v>
      </c>
      <c r="Q1975" s="11" t="n">
        <f aca="false">L1975/(L1975+M1975)</f>
        <v>0</v>
      </c>
      <c r="R1975" s="6" t="n">
        <v>0</v>
      </c>
      <c r="S1975" s="11"/>
      <c r="T1975" s="11" t="n">
        <v>0</v>
      </c>
      <c r="U1975" s="11" t="n">
        <v>0.9</v>
      </c>
      <c r="V1975" s="11" t="n">
        <v>0.9</v>
      </c>
    </row>
    <row r="1976" customFormat="false" ht="15" hidden="false" customHeight="false" outlineLevel="0" collapsed="false">
      <c r="A1976" s="6" t="s">
        <v>58</v>
      </c>
      <c r="B1976" s="6" t="s">
        <v>59</v>
      </c>
      <c r="C1976" s="6" t="s">
        <v>44</v>
      </c>
      <c r="D1976" s="6" t="s">
        <v>114</v>
      </c>
      <c r="E1976" s="6" t="n">
        <v>4</v>
      </c>
      <c r="F1976" s="6" t="n">
        <v>10</v>
      </c>
      <c r="G1976" s="6" t="s">
        <v>73</v>
      </c>
      <c r="H1976" s="11" t="n">
        <v>0.01</v>
      </c>
      <c r="I1976" s="6" t="n">
        <v>20</v>
      </c>
      <c r="J1976" s="6" t="n">
        <v>0</v>
      </c>
      <c r="K1976" s="6" t="n">
        <v>20</v>
      </c>
      <c r="L1976" s="6" t="n">
        <v>0</v>
      </c>
      <c r="M1976" s="6" t="n">
        <v>20</v>
      </c>
      <c r="N1976" s="11" t="n">
        <f aca="false">J1976/(J1976+K1976)</f>
        <v>0</v>
      </c>
      <c r="O1976" s="11" t="str">
        <f aca="false">IF(J1976+L1976=0,"",J1976/(J1976+L1976))</f>
        <v/>
      </c>
      <c r="P1976" s="11" t="n">
        <f aca="false">2*J1976/(2*J1976+L1976+K1976)</f>
        <v>0</v>
      </c>
      <c r="Q1976" s="11" t="n">
        <f aca="false">L1976/(L1976+M1976)</f>
        <v>0</v>
      </c>
      <c r="R1976" s="6" t="n">
        <v>1</v>
      </c>
      <c r="S1976" s="11" t="n">
        <v>0</v>
      </c>
      <c r="T1976" s="11" t="n">
        <v>0</v>
      </c>
      <c r="U1976" s="11" t="n">
        <v>0.65</v>
      </c>
      <c r="V1976" s="11" t="n">
        <v>0.65</v>
      </c>
    </row>
    <row r="1977" customFormat="false" ht="15" hidden="false" customHeight="false" outlineLevel="0" collapsed="false">
      <c r="A1977" s="6" t="s">
        <v>58</v>
      </c>
      <c r="B1977" s="6" t="s">
        <v>59</v>
      </c>
      <c r="C1977" s="6" t="s">
        <v>44</v>
      </c>
      <c r="D1977" s="6" t="s">
        <v>114</v>
      </c>
      <c r="E1977" s="6" t="n">
        <v>4</v>
      </c>
      <c r="F1977" s="6" t="n">
        <v>10</v>
      </c>
      <c r="G1977" s="6" t="s">
        <v>74</v>
      </c>
      <c r="H1977" s="11" t="n">
        <v>0.01</v>
      </c>
      <c r="I1977" s="6" t="n">
        <v>20</v>
      </c>
      <c r="J1977" s="6" t="n">
        <v>0</v>
      </c>
      <c r="K1977" s="6" t="n">
        <v>20</v>
      </c>
      <c r="L1977" s="6" t="n">
        <v>0</v>
      </c>
      <c r="M1977" s="6" t="n">
        <v>20</v>
      </c>
      <c r="N1977" s="11" t="n">
        <f aca="false">J1977/(J1977+K1977)</f>
        <v>0</v>
      </c>
      <c r="O1977" s="11" t="str">
        <f aca="false">IF(J1977+L1977=0,"",J1977/(J1977+L1977))</f>
        <v/>
      </c>
      <c r="P1977" s="11" t="n">
        <f aca="false">2*J1977/(2*J1977+L1977+K1977)</f>
        <v>0</v>
      </c>
      <c r="Q1977" s="11" t="n">
        <f aca="false">L1977/(L1977+M1977)</f>
        <v>0</v>
      </c>
      <c r="R1977" s="6" t="n">
        <v>1</v>
      </c>
      <c r="S1977" s="11" t="n">
        <v>0</v>
      </c>
      <c r="T1977" s="11" t="n">
        <v>0</v>
      </c>
      <c r="U1977" s="11" t="n">
        <v>0.85</v>
      </c>
      <c r="V1977" s="11" t="n">
        <v>0.85</v>
      </c>
    </row>
    <row r="1978" customFormat="false" ht="15" hidden="false" customHeight="false" outlineLevel="0" collapsed="false">
      <c r="A1978" s="6" t="s">
        <v>58</v>
      </c>
      <c r="B1978" s="6" t="s">
        <v>59</v>
      </c>
      <c r="C1978" s="6" t="s">
        <v>44</v>
      </c>
      <c r="D1978" s="6" t="s">
        <v>114</v>
      </c>
      <c r="E1978" s="6" t="n">
        <v>4</v>
      </c>
      <c r="F1978" s="6" t="n">
        <v>10</v>
      </c>
      <c r="G1978" s="6" t="s">
        <v>75</v>
      </c>
      <c r="H1978" s="11" t="n">
        <v>0.01</v>
      </c>
      <c r="I1978" s="6" t="n">
        <v>20</v>
      </c>
      <c r="J1978" s="6" t="n">
        <v>0</v>
      </c>
      <c r="K1978" s="6" t="n">
        <v>20</v>
      </c>
      <c r="L1978" s="6" t="n">
        <v>0</v>
      </c>
      <c r="M1978" s="6" t="n">
        <v>20</v>
      </c>
      <c r="N1978" s="11" t="n">
        <f aca="false">J1978/(J1978+K1978)</f>
        <v>0</v>
      </c>
      <c r="O1978" s="11" t="str">
        <f aca="false">IF(J1978+L1978=0,"",J1978/(J1978+L1978))</f>
        <v/>
      </c>
      <c r="P1978" s="11" t="n">
        <f aca="false">2*J1978/(2*J1978+L1978+K1978)</f>
        <v>0</v>
      </c>
      <c r="Q1978" s="11" t="n">
        <f aca="false">L1978/(L1978+M1978)</f>
        <v>0</v>
      </c>
      <c r="R1978" s="6" t="n">
        <v>0</v>
      </c>
      <c r="S1978" s="11"/>
      <c r="T1978" s="11" t="n">
        <v>0</v>
      </c>
      <c r="U1978" s="11" t="n">
        <v>0.9</v>
      </c>
      <c r="V1978" s="11" t="n">
        <v>0.9</v>
      </c>
    </row>
    <row r="1979" customFormat="false" ht="15" hidden="false" customHeight="false" outlineLevel="0" collapsed="false">
      <c r="A1979" s="6" t="s">
        <v>58</v>
      </c>
      <c r="B1979" s="6" t="s">
        <v>59</v>
      </c>
      <c r="C1979" s="6" t="s">
        <v>44</v>
      </c>
      <c r="D1979" s="6" t="s">
        <v>114</v>
      </c>
      <c r="E1979" s="6" t="n">
        <v>4</v>
      </c>
      <c r="F1979" s="6" t="n">
        <v>10</v>
      </c>
      <c r="G1979" s="6" t="s">
        <v>76</v>
      </c>
      <c r="H1979" s="11" t="n">
        <v>0.01</v>
      </c>
      <c r="I1979" s="6" t="n">
        <v>20</v>
      </c>
      <c r="J1979" s="6" t="n">
        <v>0</v>
      </c>
      <c r="K1979" s="6" t="n">
        <v>20</v>
      </c>
      <c r="L1979" s="6" t="n">
        <v>0</v>
      </c>
      <c r="M1979" s="6" t="n">
        <v>20</v>
      </c>
      <c r="N1979" s="11" t="n">
        <f aca="false">J1979/(J1979+K1979)</f>
        <v>0</v>
      </c>
      <c r="O1979" s="11" t="str">
        <f aca="false">IF(J1979+L1979=0,"",J1979/(J1979+L1979))</f>
        <v/>
      </c>
      <c r="P1979" s="11" t="n">
        <f aca="false">2*J1979/(2*J1979+L1979+K1979)</f>
        <v>0</v>
      </c>
      <c r="Q1979" s="11" t="n">
        <f aca="false">L1979/(L1979+M1979)</f>
        <v>0</v>
      </c>
      <c r="R1979" s="6" t="n">
        <v>0</v>
      </c>
      <c r="S1979" s="11"/>
      <c r="T1979" s="11" t="n">
        <v>0</v>
      </c>
      <c r="U1979" s="11" t="n">
        <v>0.95</v>
      </c>
      <c r="V1979" s="11" t="n">
        <v>0.95</v>
      </c>
    </row>
    <row r="1980" customFormat="false" ht="15" hidden="false" customHeight="false" outlineLevel="0" collapsed="false">
      <c r="A1980" s="6" t="s">
        <v>58</v>
      </c>
      <c r="B1980" s="6" t="s">
        <v>59</v>
      </c>
      <c r="C1980" s="6" t="s">
        <v>44</v>
      </c>
      <c r="D1980" s="6" t="s">
        <v>114</v>
      </c>
      <c r="E1980" s="6" t="n">
        <v>4</v>
      </c>
      <c r="F1980" s="6" t="n">
        <v>10</v>
      </c>
      <c r="G1980" s="6" t="s">
        <v>77</v>
      </c>
      <c r="H1980" s="11" t="n">
        <v>0.01</v>
      </c>
      <c r="I1980" s="6" t="n">
        <v>20</v>
      </c>
      <c r="J1980" s="6" t="n">
        <v>1</v>
      </c>
      <c r="K1980" s="6" t="n">
        <v>19</v>
      </c>
      <c r="L1980" s="6" t="n">
        <v>1</v>
      </c>
      <c r="M1980" s="6" t="n">
        <v>19</v>
      </c>
      <c r="N1980" s="11" t="n">
        <f aca="false">J1980/(J1980+K1980)</f>
        <v>0.05</v>
      </c>
      <c r="O1980" s="11" t="n">
        <f aca="false">IF(J1980+L1980=0,"",J1980/(J1980+L1980))</f>
        <v>0.5</v>
      </c>
      <c r="P1980" s="11" t="n">
        <f aca="false">2*J1980/(2*J1980+L1980+K1980)</f>
        <v>0.0909090909090909</v>
      </c>
      <c r="Q1980" s="11" t="n">
        <f aca="false">L1980/(L1980+M1980)</f>
        <v>0.05</v>
      </c>
      <c r="R1980" s="6" t="n">
        <v>0</v>
      </c>
      <c r="S1980" s="11"/>
      <c r="T1980" s="11" t="n">
        <v>0.05</v>
      </c>
      <c r="U1980" s="11" t="n">
        <v>1</v>
      </c>
      <c r="V1980" s="11" t="n">
        <v>1</v>
      </c>
    </row>
    <row r="1981" customFormat="false" ht="15" hidden="false" customHeight="false" outlineLevel="0" collapsed="false">
      <c r="A1981" s="6" t="s">
        <v>58</v>
      </c>
      <c r="B1981" s="6" t="s">
        <v>59</v>
      </c>
      <c r="C1981" s="6" t="s">
        <v>44</v>
      </c>
      <c r="D1981" s="6" t="s">
        <v>114</v>
      </c>
      <c r="E1981" s="6" t="n">
        <v>4</v>
      </c>
      <c r="F1981" s="6" t="n">
        <v>10</v>
      </c>
      <c r="G1981" s="6" t="s">
        <v>78</v>
      </c>
      <c r="H1981" s="11" t="n">
        <v>0.01</v>
      </c>
      <c r="I1981" s="6" t="n">
        <v>200</v>
      </c>
      <c r="J1981" s="6" t="n">
        <v>1</v>
      </c>
      <c r="K1981" s="6" t="n">
        <v>199</v>
      </c>
      <c r="L1981" s="6" t="n">
        <v>1</v>
      </c>
      <c r="M1981" s="6" t="n">
        <v>199</v>
      </c>
      <c r="N1981" s="11" t="n">
        <f aca="false">J1981/(J1981+K1981)</f>
        <v>0.005</v>
      </c>
      <c r="O1981" s="11" t="n">
        <f aca="false">IF(J1981+L1981=0,"",J1981/(J1981+L1981))</f>
        <v>0.5</v>
      </c>
      <c r="P1981" s="11" t="n">
        <f aca="false">2*J1981/(2*J1981+L1981+K1981)</f>
        <v>0.0099009900990099</v>
      </c>
      <c r="Q1981" s="11" t="n">
        <f aca="false">L1981/(L1981+M1981)</f>
        <v>0.005</v>
      </c>
      <c r="R1981" s="6" t="n">
        <v>3</v>
      </c>
      <c r="S1981" s="11" t="n">
        <v>0</v>
      </c>
      <c r="T1981" s="11" t="n">
        <v>0.0050761421319797</v>
      </c>
      <c r="U1981" s="11" t="n">
        <v>0.88</v>
      </c>
      <c r="V1981" s="11" t="n">
        <v>0.875</v>
      </c>
    </row>
    <row r="1982" customFormat="false" ht="15" hidden="false" customHeight="false" outlineLevel="0" collapsed="false">
      <c r="A1982" s="6" t="s">
        <v>60</v>
      </c>
      <c r="B1982" s="6" t="s">
        <v>59</v>
      </c>
      <c r="C1982" s="6" t="s">
        <v>51</v>
      </c>
      <c r="D1982" s="6" t="s">
        <v>119</v>
      </c>
      <c r="E1982" s="6" t="n">
        <v>16</v>
      </c>
      <c r="F1982" s="6" t="n">
        <v>1</v>
      </c>
      <c r="G1982" s="6" t="s">
        <v>68</v>
      </c>
      <c r="H1982" s="11" t="n">
        <v>0.01</v>
      </c>
      <c r="I1982" s="6" t="n">
        <v>20</v>
      </c>
      <c r="J1982" s="6" t="n">
        <v>0</v>
      </c>
      <c r="K1982" s="6" t="n">
        <v>20</v>
      </c>
      <c r="L1982" s="6" t="n">
        <v>0</v>
      </c>
      <c r="M1982" s="6" t="n">
        <v>20</v>
      </c>
      <c r="N1982" s="11" t="n">
        <f aca="false">J1982/(J1982+K1982)</f>
        <v>0</v>
      </c>
      <c r="O1982" s="11" t="str">
        <f aca="false">IF(J1982+L1982=0,"",J1982/(J1982+L1982))</f>
        <v/>
      </c>
      <c r="P1982" s="11" t="n">
        <f aca="false">2*J1982/(2*J1982+L1982+K1982)</f>
        <v>0</v>
      </c>
      <c r="Q1982" s="11" t="n">
        <f aca="false">L1982/(L1982+M1982)</f>
        <v>0</v>
      </c>
      <c r="R1982" s="6" t="n">
        <v>0</v>
      </c>
      <c r="S1982" s="11"/>
      <c r="T1982" s="11" t="n">
        <v>0</v>
      </c>
      <c r="U1982" s="11" t="n">
        <v>0.85</v>
      </c>
      <c r="V1982" s="11" t="n">
        <v>0.85</v>
      </c>
    </row>
    <row r="1983" customFormat="false" ht="15" hidden="false" customHeight="false" outlineLevel="0" collapsed="false">
      <c r="A1983" s="6" t="s">
        <v>60</v>
      </c>
      <c r="B1983" s="6" t="s">
        <v>59</v>
      </c>
      <c r="C1983" s="6" t="s">
        <v>51</v>
      </c>
      <c r="D1983" s="6" t="s">
        <v>119</v>
      </c>
      <c r="E1983" s="6" t="n">
        <v>16</v>
      </c>
      <c r="F1983" s="6" t="n">
        <v>1</v>
      </c>
      <c r="G1983" s="6" t="s">
        <v>69</v>
      </c>
      <c r="H1983" s="11" t="n">
        <v>0.01</v>
      </c>
      <c r="I1983" s="6" t="n">
        <v>20</v>
      </c>
      <c r="J1983" s="6" t="n">
        <v>0</v>
      </c>
      <c r="K1983" s="6" t="n">
        <v>20</v>
      </c>
      <c r="L1983" s="6" t="n">
        <v>0</v>
      </c>
      <c r="M1983" s="6" t="n">
        <v>20</v>
      </c>
      <c r="N1983" s="11" t="n">
        <f aca="false">J1983/(J1983+K1983)</f>
        <v>0</v>
      </c>
      <c r="O1983" s="11" t="str">
        <f aca="false">IF(J1983+L1983=0,"",J1983/(J1983+L1983))</f>
        <v/>
      </c>
      <c r="P1983" s="11" t="n">
        <f aca="false">2*J1983/(2*J1983+L1983+K1983)</f>
        <v>0</v>
      </c>
      <c r="Q1983" s="11" t="n">
        <f aca="false">L1983/(L1983+M1983)</f>
        <v>0</v>
      </c>
      <c r="R1983" s="6" t="n">
        <v>0</v>
      </c>
      <c r="S1983" s="11"/>
      <c r="T1983" s="11" t="n">
        <v>0</v>
      </c>
      <c r="U1983" s="11" t="n">
        <v>1</v>
      </c>
      <c r="V1983" s="11" t="n">
        <v>1</v>
      </c>
    </row>
    <row r="1984" customFormat="false" ht="15" hidden="false" customHeight="false" outlineLevel="0" collapsed="false">
      <c r="A1984" s="6" t="s">
        <v>60</v>
      </c>
      <c r="B1984" s="6" t="s">
        <v>59</v>
      </c>
      <c r="C1984" s="6" t="s">
        <v>51</v>
      </c>
      <c r="D1984" s="6" t="s">
        <v>119</v>
      </c>
      <c r="E1984" s="6" t="n">
        <v>16</v>
      </c>
      <c r="F1984" s="6" t="n">
        <v>1</v>
      </c>
      <c r="G1984" s="6" t="s">
        <v>70</v>
      </c>
      <c r="H1984" s="11" t="n">
        <v>0.01</v>
      </c>
      <c r="I1984" s="6" t="n">
        <v>20</v>
      </c>
      <c r="J1984" s="6" t="n">
        <v>0</v>
      </c>
      <c r="K1984" s="6" t="n">
        <v>20</v>
      </c>
      <c r="L1984" s="6" t="n">
        <v>0</v>
      </c>
      <c r="M1984" s="6" t="n">
        <v>20</v>
      </c>
      <c r="N1984" s="11" t="n">
        <f aca="false">J1984/(J1984+K1984)</f>
        <v>0</v>
      </c>
      <c r="O1984" s="11" t="str">
        <f aca="false">IF(J1984+L1984=0,"",J1984/(J1984+L1984))</f>
        <v/>
      </c>
      <c r="P1984" s="11" t="n">
        <f aca="false">2*J1984/(2*J1984+L1984+K1984)</f>
        <v>0</v>
      </c>
      <c r="Q1984" s="11" t="n">
        <f aca="false">L1984/(L1984+M1984)</f>
        <v>0</v>
      </c>
      <c r="R1984" s="6" t="n">
        <v>0</v>
      </c>
      <c r="S1984" s="11"/>
      <c r="T1984" s="11" t="n">
        <v>0</v>
      </c>
      <c r="U1984" s="11" t="n">
        <v>0.9</v>
      </c>
      <c r="V1984" s="11" t="n">
        <v>0.9</v>
      </c>
    </row>
    <row r="1985" customFormat="false" ht="15" hidden="false" customHeight="false" outlineLevel="0" collapsed="false">
      <c r="A1985" s="6" t="s">
        <v>60</v>
      </c>
      <c r="B1985" s="6" t="s">
        <v>59</v>
      </c>
      <c r="C1985" s="6" t="s">
        <v>51</v>
      </c>
      <c r="D1985" s="6" t="s">
        <v>119</v>
      </c>
      <c r="E1985" s="6" t="n">
        <v>16</v>
      </c>
      <c r="F1985" s="6" t="n">
        <v>1</v>
      </c>
      <c r="G1985" s="6" t="s">
        <v>71</v>
      </c>
      <c r="H1985" s="11" t="n">
        <v>0.01</v>
      </c>
      <c r="I1985" s="6" t="n">
        <v>20</v>
      </c>
      <c r="J1985" s="6" t="n">
        <v>2</v>
      </c>
      <c r="K1985" s="6" t="n">
        <v>18</v>
      </c>
      <c r="L1985" s="6" t="n">
        <v>0</v>
      </c>
      <c r="M1985" s="6" t="n">
        <v>20</v>
      </c>
      <c r="N1985" s="11" t="n">
        <f aca="false">J1985/(J1985+K1985)</f>
        <v>0.1</v>
      </c>
      <c r="O1985" s="11" t="n">
        <f aca="false">IF(J1985+L1985=0,"",J1985/(J1985+L1985))</f>
        <v>1</v>
      </c>
      <c r="P1985" s="11" t="n">
        <f aca="false">2*J1985/(2*J1985+L1985+K1985)</f>
        <v>0.181818181818182</v>
      </c>
      <c r="Q1985" s="11" t="n">
        <f aca="false">L1985/(L1985+M1985)</f>
        <v>0</v>
      </c>
      <c r="R1985" s="6" t="n">
        <v>0</v>
      </c>
      <c r="S1985" s="11"/>
      <c r="T1985" s="11" t="n">
        <v>0.1</v>
      </c>
      <c r="U1985" s="11" t="n">
        <v>0.8</v>
      </c>
      <c r="V1985" s="11" t="n">
        <v>0.8</v>
      </c>
    </row>
    <row r="1986" customFormat="false" ht="15" hidden="false" customHeight="false" outlineLevel="0" collapsed="false">
      <c r="A1986" s="6" t="s">
        <v>60</v>
      </c>
      <c r="B1986" s="6" t="s">
        <v>59</v>
      </c>
      <c r="C1986" s="6" t="s">
        <v>51</v>
      </c>
      <c r="D1986" s="6" t="s">
        <v>119</v>
      </c>
      <c r="E1986" s="6" t="n">
        <v>16</v>
      </c>
      <c r="F1986" s="6" t="n">
        <v>1</v>
      </c>
      <c r="G1986" s="6" t="s">
        <v>72</v>
      </c>
      <c r="H1986" s="11" t="n">
        <v>0.01</v>
      </c>
      <c r="I1986" s="6" t="n">
        <v>20</v>
      </c>
      <c r="J1986" s="6" t="n">
        <v>1</v>
      </c>
      <c r="K1986" s="6" t="n">
        <v>19</v>
      </c>
      <c r="L1986" s="6" t="n">
        <v>0</v>
      </c>
      <c r="M1986" s="6" t="n">
        <v>20</v>
      </c>
      <c r="N1986" s="11" t="n">
        <f aca="false">J1986/(J1986+K1986)</f>
        <v>0.05</v>
      </c>
      <c r="O1986" s="11" t="n">
        <f aca="false">IF(J1986+L1986=0,"",J1986/(J1986+L1986))</f>
        <v>1</v>
      </c>
      <c r="P1986" s="11" t="n">
        <f aca="false">2*J1986/(2*J1986+L1986+K1986)</f>
        <v>0.0952380952380952</v>
      </c>
      <c r="Q1986" s="11" t="n">
        <f aca="false">L1986/(L1986+M1986)</f>
        <v>0</v>
      </c>
      <c r="R1986" s="6" t="n">
        <v>0</v>
      </c>
      <c r="S1986" s="11"/>
      <c r="T1986" s="11" t="n">
        <v>0.05</v>
      </c>
      <c r="U1986" s="11" t="n">
        <v>0.9</v>
      </c>
      <c r="V1986" s="11" t="n">
        <v>0.9</v>
      </c>
    </row>
    <row r="1987" customFormat="false" ht="15" hidden="false" customHeight="false" outlineLevel="0" collapsed="false">
      <c r="A1987" s="6" t="s">
        <v>60</v>
      </c>
      <c r="B1987" s="6" t="s">
        <v>59</v>
      </c>
      <c r="C1987" s="6" t="s">
        <v>51</v>
      </c>
      <c r="D1987" s="6" t="s">
        <v>119</v>
      </c>
      <c r="E1987" s="6" t="n">
        <v>16</v>
      </c>
      <c r="F1987" s="6" t="n">
        <v>1</v>
      </c>
      <c r="G1987" s="6" t="s">
        <v>73</v>
      </c>
      <c r="H1987" s="11" t="n">
        <v>0.01</v>
      </c>
      <c r="I1987" s="6" t="n">
        <v>20</v>
      </c>
      <c r="J1987" s="6" t="n">
        <v>0</v>
      </c>
      <c r="K1987" s="6" t="n">
        <v>20</v>
      </c>
      <c r="L1987" s="6" t="n">
        <v>0</v>
      </c>
      <c r="M1987" s="6" t="n">
        <v>20</v>
      </c>
      <c r="N1987" s="11" t="n">
        <f aca="false">J1987/(J1987+K1987)</f>
        <v>0</v>
      </c>
      <c r="O1987" s="11" t="str">
        <f aca="false">IF(J1987+L1987=0,"",J1987/(J1987+L1987))</f>
        <v/>
      </c>
      <c r="P1987" s="11" t="n">
        <f aca="false">2*J1987/(2*J1987+L1987+K1987)</f>
        <v>0</v>
      </c>
      <c r="Q1987" s="11" t="n">
        <f aca="false">L1987/(L1987+M1987)</f>
        <v>0</v>
      </c>
      <c r="R1987" s="6" t="n">
        <v>2</v>
      </c>
      <c r="S1987" s="11" t="n">
        <v>0</v>
      </c>
      <c r="T1987" s="11" t="n">
        <v>0</v>
      </c>
      <c r="U1987" s="11" t="n">
        <v>0.65</v>
      </c>
      <c r="V1987" s="11" t="n">
        <v>0.65</v>
      </c>
    </row>
    <row r="1988" customFormat="false" ht="15" hidden="false" customHeight="false" outlineLevel="0" collapsed="false">
      <c r="A1988" s="6" t="s">
        <v>60</v>
      </c>
      <c r="B1988" s="6" t="s">
        <v>59</v>
      </c>
      <c r="C1988" s="6" t="s">
        <v>51</v>
      </c>
      <c r="D1988" s="6" t="s">
        <v>119</v>
      </c>
      <c r="E1988" s="6" t="n">
        <v>16</v>
      </c>
      <c r="F1988" s="6" t="n">
        <v>1</v>
      </c>
      <c r="G1988" s="6" t="s">
        <v>74</v>
      </c>
      <c r="H1988" s="11" t="n">
        <v>0.01</v>
      </c>
      <c r="I1988" s="6" t="n">
        <v>20</v>
      </c>
      <c r="J1988" s="6" t="n">
        <v>0</v>
      </c>
      <c r="K1988" s="6" t="n">
        <v>20</v>
      </c>
      <c r="L1988" s="6" t="n">
        <v>0</v>
      </c>
      <c r="M1988" s="6" t="n">
        <v>20</v>
      </c>
      <c r="N1988" s="11" t="n">
        <f aca="false">J1988/(J1988+K1988)</f>
        <v>0</v>
      </c>
      <c r="O1988" s="11" t="str">
        <f aca="false">IF(J1988+L1988=0,"",J1988/(J1988+L1988))</f>
        <v/>
      </c>
      <c r="P1988" s="11" t="n">
        <f aca="false">2*J1988/(2*J1988+L1988+K1988)</f>
        <v>0</v>
      </c>
      <c r="Q1988" s="11" t="n">
        <f aca="false">L1988/(L1988+M1988)</f>
        <v>0</v>
      </c>
      <c r="R1988" s="6" t="n">
        <v>1</v>
      </c>
      <c r="S1988" s="11" t="n">
        <v>0</v>
      </c>
      <c r="T1988" s="11" t="n">
        <v>0</v>
      </c>
      <c r="U1988" s="11" t="n">
        <v>0.85</v>
      </c>
      <c r="V1988" s="11" t="n">
        <v>0.85</v>
      </c>
    </row>
    <row r="1989" customFormat="false" ht="15" hidden="false" customHeight="false" outlineLevel="0" collapsed="false">
      <c r="A1989" s="6" t="s">
        <v>60</v>
      </c>
      <c r="B1989" s="6" t="s">
        <v>59</v>
      </c>
      <c r="C1989" s="6" t="s">
        <v>51</v>
      </c>
      <c r="D1989" s="6" t="s">
        <v>119</v>
      </c>
      <c r="E1989" s="6" t="n">
        <v>16</v>
      </c>
      <c r="F1989" s="6" t="n">
        <v>1</v>
      </c>
      <c r="G1989" s="6" t="s">
        <v>75</v>
      </c>
      <c r="H1989" s="11" t="n">
        <v>0.01</v>
      </c>
      <c r="I1989" s="6" t="n">
        <v>20</v>
      </c>
      <c r="J1989" s="6" t="n">
        <v>1</v>
      </c>
      <c r="K1989" s="6" t="n">
        <v>19</v>
      </c>
      <c r="L1989" s="6" t="n">
        <v>0</v>
      </c>
      <c r="M1989" s="6" t="n">
        <v>20</v>
      </c>
      <c r="N1989" s="11" t="n">
        <f aca="false">J1989/(J1989+K1989)</f>
        <v>0.05</v>
      </c>
      <c r="O1989" s="11" t="n">
        <f aca="false">IF(J1989+L1989=0,"",J1989/(J1989+L1989))</f>
        <v>1</v>
      </c>
      <c r="P1989" s="11" t="n">
        <f aca="false">2*J1989/(2*J1989+L1989+K1989)</f>
        <v>0.0952380952380952</v>
      </c>
      <c r="Q1989" s="11" t="n">
        <f aca="false">L1989/(L1989+M1989)</f>
        <v>0</v>
      </c>
      <c r="R1989" s="6" t="n">
        <v>1</v>
      </c>
      <c r="S1989" s="11" t="n">
        <v>0</v>
      </c>
      <c r="T1989" s="11" t="n">
        <v>0.0526315789473684</v>
      </c>
      <c r="U1989" s="11" t="n">
        <v>0.9</v>
      </c>
      <c r="V1989" s="11" t="n">
        <v>0.95</v>
      </c>
    </row>
    <row r="1990" customFormat="false" ht="15" hidden="false" customHeight="false" outlineLevel="0" collapsed="false">
      <c r="A1990" s="6" t="s">
        <v>60</v>
      </c>
      <c r="B1990" s="6" t="s">
        <v>59</v>
      </c>
      <c r="C1990" s="6" t="s">
        <v>51</v>
      </c>
      <c r="D1990" s="6" t="s">
        <v>119</v>
      </c>
      <c r="E1990" s="6" t="n">
        <v>16</v>
      </c>
      <c r="F1990" s="6" t="n">
        <v>1</v>
      </c>
      <c r="G1990" s="6" t="s">
        <v>76</v>
      </c>
      <c r="H1990" s="11" t="n">
        <v>0.01</v>
      </c>
      <c r="I1990" s="6" t="n">
        <v>20</v>
      </c>
      <c r="J1990" s="6" t="n">
        <v>0</v>
      </c>
      <c r="K1990" s="6" t="n">
        <v>20</v>
      </c>
      <c r="L1990" s="6" t="n">
        <v>0</v>
      </c>
      <c r="M1990" s="6" t="n">
        <v>20</v>
      </c>
      <c r="N1990" s="11" t="n">
        <f aca="false">J1990/(J1990+K1990)</f>
        <v>0</v>
      </c>
      <c r="O1990" s="11" t="str">
        <f aca="false">IF(J1990+L1990=0,"",J1990/(J1990+L1990))</f>
        <v/>
      </c>
      <c r="P1990" s="11" t="n">
        <f aca="false">2*J1990/(2*J1990+L1990+K1990)</f>
        <v>0</v>
      </c>
      <c r="Q1990" s="11" t="n">
        <f aca="false">L1990/(L1990+M1990)</f>
        <v>0</v>
      </c>
      <c r="R1990" s="6" t="n">
        <v>0</v>
      </c>
      <c r="S1990" s="11"/>
      <c r="T1990" s="11" t="n">
        <v>0</v>
      </c>
      <c r="U1990" s="11" t="n">
        <v>0.95</v>
      </c>
      <c r="V1990" s="11" t="n">
        <v>0.95</v>
      </c>
    </row>
    <row r="1991" customFormat="false" ht="15" hidden="false" customHeight="false" outlineLevel="0" collapsed="false">
      <c r="A1991" s="6" t="s">
        <v>60</v>
      </c>
      <c r="B1991" s="6" t="s">
        <v>59</v>
      </c>
      <c r="C1991" s="6" t="s">
        <v>51</v>
      </c>
      <c r="D1991" s="6" t="s">
        <v>119</v>
      </c>
      <c r="E1991" s="6" t="n">
        <v>16</v>
      </c>
      <c r="F1991" s="6" t="n">
        <v>1</v>
      </c>
      <c r="G1991" s="6" t="s">
        <v>77</v>
      </c>
      <c r="H1991" s="11" t="n">
        <v>0.01</v>
      </c>
      <c r="I1991" s="6" t="n">
        <v>20</v>
      </c>
      <c r="J1991" s="6" t="n">
        <v>1</v>
      </c>
      <c r="K1991" s="6" t="n">
        <v>19</v>
      </c>
      <c r="L1991" s="6" t="n">
        <v>1</v>
      </c>
      <c r="M1991" s="6" t="n">
        <v>19</v>
      </c>
      <c r="N1991" s="11" t="n">
        <f aca="false">J1991/(J1991+K1991)</f>
        <v>0.05</v>
      </c>
      <c r="O1991" s="11" t="n">
        <f aca="false">IF(J1991+L1991=0,"",J1991/(J1991+L1991))</f>
        <v>0.5</v>
      </c>
      <c r="P1991" s="11" t="n">
        <f aca="false">2*J1991/(2*J1991+L1991+K1991)</f>
        <v>0.0909090909090909</v>
      </c>
      <c r="Q1991" s="11" t="n">
        <f aca="false">L1991/(L1991+M1991)</f>
        <v>0.05</v>
      </c>
      <c r="R1991" s="6" t="n">
        <v>0</v>
      </c>
      <c r="S1991" s="11"/>
      <c r="T1991" s="11" t="n">
        <v>0.05</v>
      </c>
      <c r="U1991" s="11" t="n">
        <v>1</v>
      </c>
      <c r="V1991" s="11" t="n">
        <v>1</v>
      </c>
    </row>
    <row r="1992" customFormat="false" ht="15" hidden="false" customHeight="false" outlineLevel="0" collapsed="false">
      <c r="A1992" s="6" t="s">
        <v>60</v>
      </c>
      <c r="B1992" s="6" t="s">
        <v>59</v>
      </c>
      <c r="C1992" s="6" t="s">
        <v>51</v>
      </c>
      <c r="D1992" s="6" t="s">
        <v>119</v>
      </c>
      <c r="E1992" s="6" t="n">
        <v>16</v>
      </c>
      <c r="F1992" s="6" t="n">
        <v>1</v>
      </c>
      <c r="G1992" s="6" t="s">
        <v>78</v>
      </c>
      <c r="H1992" s="11" t="n">
        <v>0.01</v>
      </c>
      <c r="I1992" s="6" t="n">
        <v>200</v>
      </c>
      <c r="J1992" s="6" t="n">
        <v>5</v>
      </c>
      <c r="K1992" s="6" t="n">
        <v>195</v>
      </c>
      <c r="L1992" s="6" t="n">
        <v>1</v>
      </c>
      <c r="M1992" s="6" t="n">
        <v>199</v>
      </c>
      <c r="N1992" s="11" t="n">
        <f aca="false">J1992/(J1992+K1992)</f>
        <v>0.025</v>
      </c>
      <c r="O1992" s="11" t="n">
        <f aca="false">IF(J1992+L1992=0,"",J1992/(J1992+L1992))</f>
        <v>0.833333333333333</v>
      </c>
      <c r="P1992" s="11" t="n">
        <f aca="false">2*J1992/(2*J1992+L1992+K1992)</f>
        <v>0.0485436893203884</v>
      </c>
      <c r="Q1992" s="11" t="n">
        <f aca="false">L1992/(L1992+M1992)</f>
        <v>0.005</v>
      </c>
      <c r="R1992" s="6" t="n">
        <v>4</v>
      </c>
      <c r="S1992" s="11" t="n">
        <v>0</v>
      </c>
      <c r="T1992" s="11" t="n">
        <v>0.0255102040816327</v>
      </c>
      <c r="U1992" s="11" t="n">
        <v>0.88</v>
      </c>
      <c r="V1992" s="11" t="n">
        <v>0.885</v>
      </c>
    </row>
    <row r="1993" customFormat="false" ht="15" hidden="false" customHeight="false" outlineLevel="0" collapsed="false">
      <c r="A1993" s="6" t="s">
        <v>60</v>
      </c>
      <c r="B1993" s="6" t="s">
        <v>59</v>
      </c>
      <c r="C1993" s="6" t="s">
        <v>51</v>
      </c>
      <c r="D1993" s="6" t="s">
        <v>119</v>
      </c>
      <c r="E1993" s="6" t="n">
        <v>16</v>
      </c>
      <c r="F1993" s="6" t="n">
        <v>2</v>
      </c>
      <c r="G1993" s="6" t="s">
        <v>68</v>
      </c>
      <c r="H1993" s="11" t="n">
        <v>0.01</v>
      </c>
      <c r="I1993" s="6" t="n">
        <v>20</v>
      </c>
      <c r="J1993" s="6" t="n">
        <v>0</v>
      </c>
      <c r="K1993" s="6" t="n">
        <v>20</v>
      </c>
      <c r="L1993" s="6" t="n">
        <v>0</v>
      </c>
      <c r="M1993" s="6" t="n">
        <v>20</v>
      </c>
      <c r="N1993" s="11" t="n">
        <f aca="false">J1993/(J1993+K1993)</f>
        <v>0</v>
      </c>
      <c r="O1993" s="11" t="str">
        <f aca="false">IF(J1993+L1993=0,"",J1993/(J1993+L1993))</f>
        <v/>
      </c>
      <c r="P1993" s="11" t="n">
        <f aca="false">2*J1993/(2*J1993+L1993+K1993)</f>
        <v>0</v>
      </c>
      <c r="Q1993" s="11" t="n">
        <f aca="false">L1993/(L1993+M1993)</f>
        <v>0</v>
      </c>
      <c r="R1993" s="6" t="n">
        <v>0</v>
      </c>
      <c r="S1993" s="11"/>
      <c r="T1993" s="11" t="n">
        <v>0</v>
      </c>
      <c r="U1993" s="11" t="n">
        <v>0.85</v>
      </c>
      <c r="V1993" s="11" t="n">
        <v>0.85</v>
      </c>
    </row>
    <row r="1994" customFormat="false" ht="15" hidden="false" customHeight="false" outlineLevel="0" collapsed="false">
      <c r="A1994" s="6" t="s">
        <v>60</v>
      </c>
      <c r="B1994" s="6" t="s">
        <v>59</v>
      </c>
      <c r="C1994" s="6" t="s">
        <v>51</v>
      </c>
      <c r="D1994" s="6" t="s">
        <v>119</v>
      </c>
      <c r="E1994" s="6" t="n">
        <v>16</v>
      </c>
      <c r="F1994" s="6" t="n">
        <v>2</v>
      </c>
      <c r="G1994" s="6" t="s">
        <v>69</v>
      </c>
      <c r="H1994" s="11" t="n">
        <v>0.01</v>
      </c>
      <c r="I1994" s="6" t="n">
        <v>20</v>
      </c>
      <c r="J1994" s="6" t="n">
        <v>0</v>
      </c>
      <c r="K1994" s="6" t="n">
        <v>20</v>
      </c>
      <c r="L1994" s="6" t="n">
        <v>0</v>
      </c>
      <c r="M1994" s="6" t="n">
        <v>20</v>
      </c>
      <c r="N1994" s="11" t="n">
        <f aca="false">J1994/(J1994+K1994)</f>
        <v>0</v>
      </c>
      <c r="O1994" s="11" t="str">
        <f aca="false">IF(J1994+L1994=0,"",J1994/(J1994+L1994))</f>
        <v/>
      </c>
      <c r="P1994" s="11" t="n">
        <f aca="false">2*J1994/(2*J1994+L1994+K1994)</f>
        <v>0</v>
      </c>
      <c r="Q1994" s="11" t="n">
        <f aca="false">L1994/(L1994+M1994)</f>
        <v>0</v>
      </c>
      <c r="R1994" s="6" t="n">
        <v>0</v>
      </c>
      <c r="S1994" s="11"/>
      <c r="T1994" s="11" t="n">
        <v>0</v>
      </c>
      <c r="U1994" s="11" t="n">
        <v>1</v>
      </c>
      <c r="V1994" s="11" t="n">
        <v>1</v>
      </c>
    </row>
    <row r="1995" customFormat="false" ht="15" hidden="false" customHeight="false" outlineLevel="0" collapsed="false">
      <c r="A1995" s="6" t="s">
        <v>60</v>
      </c>
      <c r="B1995" s="6" t="s">
        <v>59</v>
      </c>
      <c r="C1995" s="6" t="s">
        <v>51</v>
      </c>
      <c r="D1995" s="6" t="s">
        <v>119</v>
      </c>
      <c r="E1995" s="6" t="n">
        <v>16</v>
      </c>
      <c r="F1995" s="6" t="n">
        <v>2</v>
      </c>
      <c r="G1995" s="6" t="s">
        <v>70</v>
      </c>
      <c r="H1995" s="11" t="n">
        <v>0.01</v>
      </c>
      <c r="I1995" s="6" t="n">
        <v>20</v>
      </c>
      <c r="J1995" s="6" t="n">
        <v>0</v>
      </c>
      <c r="K1995" s="6" t="n">
        <v>20</v>
      </c>
      <c r="L1995" s="6" t="n">
        <v>0</v>
      </c>
      <c r="M1995" s="6" t="n">
        <v>20</v>
      </c>
      <c r="N1995" s="11" t="n">
        <f aca="false">J1995/(J1995+K1995)</f>
        <v>0</v>
      </c>
      <c r="O1995" s="11" t="str">
        <f aca="false">IF(J1995+L1995=0,"",J1995/(J1995+L1995))</f>
        <v/>
      </c>
      <c r="P1995" s="11" t="n">
        <f aca="false">2*J1995/(2*J1995+L1995+K1995)</f>
        <v>0</v>
      </c>
      <c r="Q1995" s="11" t="n">
        <f aca="false">L1995/(L1995+M1995)</f>
        <v>0</v>
      </c>
      <c r="R1995" s="6" t="n">
        <v>0</v>
      </c>
      <c r="S1995" s="11"/>
      <c r="T1995" s="11" t="n">
        <v>0</v>
      </c>
      <c r="U1995" s="11" t="n">
        <v>0.9</v>
      </c>
      <c r="V1995" s="11" t="n">
        <v>0.9</v>
      </c>
    </row>
    <row r="1996" customFormat="false" ht="15" hidden="false" customHeight="false" outlineLevel="0" collapsed="false">
      <c r="A1996" s="6" t="s">
        <v>60</v>
      </c>
      <c r="B1996" s="6" t="s">
        <v>59</v>
      </c>
      <c r="C1996" s="6" t="s">
        <v>51</v>
      </c>
      <c r="D1996" s="6" t="s">
        <v>119</v>
      </c>
      <c r="E1996" s="6" t="n">
        <v>16</v>
      </c>
      <c r="F1996" s="6" t="n">
        <v>2</v>
      </c>
      <c r="G1996" s="6" t="s">
        <v>71</v>
      </c>
      <c r="H1996" s="11" t="n">
        <v>0.01</v>
      </c>
      <c r="I1996" s="6" t="n">
        <v>20</v>
      </c>
      <c r="J1996" s="6" t="n">
        <v>0</v>
      </c>
      <c r="K1996" s="6" t="n">
        <v>20</v>
      </c>
      <c r="L1996" s="6" t="n">
        <v>0</v>
      </c>
      <c r="M1996" s="6" t="n">
        <v>20</v>
      </c>
      <c r="N1996" s="11" t="n">
        <f aca="false">J1996/(J1996+K1996)</f>
        <v>0</v>
      </c>
      <c r="O1996" s="11" t="str">
        <f aca="false">IF(J1996+L1996=0,"",J1996/(J1996+L1996))</f>
        <v/>
      </c>
      <c r="P1996" s="11" t="n">
        <f aca="false">2*J1996/(2*J1996+L1996+K1996)</f>
        <v>0</v>
      </c>
      <c r="Q1996" s="11" t="n">
        <f aca="false">L1996/(L1996+M1996)</f>
        <v>0</v>
      </c>
      <c r="R1996" s="6" t="n">
        <v>0</v>
      </c>
      <c r="S1996" s="11"/>
      <c r="T1996" s="11" t="n">
        <v>0</v>
      </c>
      <c r="U1996" s="11" t="n">
        <v>0.8</v>
      </c>
      <c r="V1996" s="11" t="n">
        <v>0.8</v>
      </c>
    </row>
    <row r="1997" customFormat="false" ht="15" hidden="false" customHeight="false" outlineLevel="0" collapsed="false">
      <c r="A1997" s="6" t="s">
        <v>60</v>
      </c>
      <c r="B1997" s="6" t="s">
        <v>59</v>
      </c>
      <c r="C1997" s="6" t="s">
        <v>51</v>
      </c>
      <c r="D1997" s="6" t="s">
        <v>119</v>
      </c>
      <c r="E1997" s="6" t="n">
        <v>16</v>
      </c>
      <c r="F1997" s="6" t="n">
        <v>2</v>
      </c>
      <c r="G1997" s="6" t="s">
        <v>72</v>
      </c>
      <c r="H1997" s="11" t="n">
        <v>0.01</v>
      </c>
      <c r="I1997" s="6" t="n">
        <v>20</v>
      </c>
      <c r="J1997" s="6" t="n">
        <v>0</v>
      </c>
      <c r="K1997" s="6" t="n">
        <v>20</v>
      </c>
      <c r="L1997" s="6" t="n">
        <v>0</v>
      </c>
      <c r="M1997" s="6" t="n">
        <v>20</v>
      </c>
      <c r="N1997" s="11" t="n">
        <f aca="false">J1997/(J1997+K1997)</f>
        <v>0</v>
      </c>
      <c r="O1997" s="11" t="str">
        <f aca="false">IF(J1997+L1997=0,"",J1997/(J1997+L1997))</f>
        <v/>
      </c>
      <c r="P1997" s="11" t="n">
        <f aca="false">2*J1997/(2*J1997+L1997+K1997)</f>
        <v>0</v>
      </c>
      <c r="Q1997" s="11" t="n">
        <f aca="false">L1997/(L1997+M1997)</f>
        <v>0</v>
      </c>
      <c r="R1997" s="6" t="n">
        <v>0</v>
      </c>
      <c r="S1997" s="11"/>
      <c r="T1997" s="11" t="n">
        <v>0</v>
      </c>
      <c r="U1997" s="11" t="n">
        <v>0.9</v>
      </c>
      <c r="V1997" s="11" t="n">
        <v>0.9</v>
      </c>
    </row>
    <row r="1998" customFormat="false" ht="15" hidden="false" customHeight="false" outlineLevel="0" collapsed="false">
      <c r="A1998" s="6" t="s">
        <v>60</v>
      </c>
      <c r="B1998" s="6" t="s">
        <v>59</v>
      </c>
      <c r="C1998" s="6" t="s">
        <v>51</v>
      </c>
      <c r="D1998" s="6" t="s">
        <v>119</v>
      </c>
      <c r="E1998" s="6" t="n">
        <v>16</v>
      </c>
      <c r="F1998" s="6" t="n">
        <v>2</v>
      </c>
      <c r="G1998" s="6" t="s">
        <v>73</v>
      </c>
      <c r="H1998" s="11" t="n">
        <v>0.01</v>
      </c>
      <c r="I1998" s="6" t="n">
        <v>20</v>
      </c>
      <c r="J1998" s="6" t="n">
        <v>0</v>
      </c>
      <c r="K1998" s="6" t="n">
        <v>20</v>
      </c>
      <c r="L1998" s="6" t="n">
        <v>0</v>
      </c>
      <c r="M1998" s="6" t="n">
        <v>20</v>
      </c>
      <c r="N1998" s="11" t="n">
        <f aca="false">J1998/(J1998+K1998)</f>
        <v>0</v>
      </c>
      <c r="O1998" s="11" t="str">
        <f aca="false">IF(J1998+L1998=0,"",J1998/(J1998+L1998))</f>
        <v/>
      </c>
      <c r="P1998" s="11" t="n">
        <f aca="false">2*J1998/(2*J1998+L1998+K1998)</f>
        <v>0</v>
      </c>
      <c r="Q1998" s="11" t="n">
        <f aca="false">L1998/(L1998+M1998)</f>
        <v>0</v>
      </c>
      <c r="R1998" s="6" t="n">
        <v>0</v>
      </c>
      <c r="S1998" s="11"/>
      <c r="T1998" s="11" t="n">
        <v>0</v>
      </c>
      <c r="U1998" s="11" t="n">
        <v>0.65</v>
      </c>
      <c r="V1998" s="11" t="n">
        <v>0.65</v>
      </c>
    </row>
    <row r="1999" customFormat="false" ht="15" hidden="false" customHeight="false" outlineLevel="0" collapsed="false">
      <c r="A1999" s="6" t="s">
        <v>60</v>
      </c>
      <c r="B1999" s="6" t="s">
        <v>59</v>
      </c>
      <c r="C1999" s="6" t="s">
        <v>51</v>
      </c>
      <c r="D1999" s="6" t="s">
        <v>119</v>
      </c>
      <c r="E1999" s="6" t="n">
        <v>16</v>
      </c>
      <c r="F1999" s="6" t="n">
        <v>2</v>
      </c>
      <c r="G1999" s="6" t="s">
        <v>74</v>
      </c>
      <c r="H1999" s="11" t="n">
        <v>0.01</v>
      </c>
      <c r="I1999" s="6" t="n">
        <v>20</v>
      </c>
      <c r="J1999" s="6" t="n">
        <v>0</v>
      </c>
      <c r="K1999" s="6" t="n">
        <v>20</v>
      </c>
      <c r="L1999" s="6" t="n">
        <v>0</v>
      </c>
      <c r="M1999" s="6" t="n">
        <v>20</v>
      </c>
      <c r="N1999" s="11" t="n">
        <f aca="false">J1999/(J1999+K1999)</f>
        <v>0</v>
      </c>
      <c r="O1999" s="11" t="str">
        <f aca="false">IF(J1999+L1999=0,"",J1999/(J1999+L1999))</f>
        <v/>
      </c>
      <c r="P1999" s="11" t="n">
        <f aca="false">2*J1999/(2*J1999+L1999+K1999)</f>
        <v>0</v>
      </c>
      <c r="Q1999" s="11" t="n">
        <f aca="false">L1999/(L1999+M1999)</f>
        <v>0</v>
      </c>
      <c r="R1999" s="6" t="n">
        <v>0</v>
      </c>
      <c r="S1999" s="11"/>
      <c r="T1999" s="11" t="n">
        <v>0</v>
      </c>
      <c r="U1999" s="11" t="n">
        <v>0.85</v>
      </c>
      <c r="V1999" s="11" t="n">
        <v>0.85</v>
      </c>
    </row>
    <row r="2000" customFormat="false" ht="15" hidden="false" customHeight="false" outlineLevel="0" collapsed="false">
      <c r="A2000" s="6" t="s">
        <v>60</v>
      </c>
      <c r="B2000" s="6" t="s">
        <v>59</v>
      </c>
      <c r="C2000" s="6" t="s">
        <v>51</v>
      </c>
      <c r="D2000" s="6" t="s">
        <v>119</v>
      </c>
      <c r="E2000" s="6" t="n">
        <v>16</v>
      </c>
      <c r="F2000" s="6" t="n">
        <v>2</v>
      </c>
      <c r="G2000" s="6" t="s">
        <v>75</v>
      </c>
      <c r="H2000" s="11" t="n">
        <v>0.01</v>
      </c>
      <c r="I2000" s="6" t="n">
        <v>20</v>
      </c>
      <c r="J2000" s="6" t="n">
        <v>0</v>
      </c>
      <c r="K2000" s="6" t="n">
        <v>20</v>
      </c>
      <c r="L2000" s="6" t="n">
        <v>0</v>
      </c>
      <c r="M2000" s="6" t="n">
        <v>20</v>
      </c>
      <c r="N2000" s="11" t="n">
        <f aca="false">J2000/(J2000+K2000)</f>
        <v>0</v>
      </c>
      <c r="O2000" s="11" t="str">
        <f aca="false">IF(J2000+L2000=0,"",J2000/(J2000+L2000))</f>
        <v/>
      </c>
      <c r="P2000" s="11" t="n">
        <f aca="false">2*J2000/(2*J2000+L2000+K2000)</f>
        <v>0</v>
      </c>
      <c r="Q2000" s="11" t="n">
        <f aca="false">L2000/(L2000+M2000)</f>
        <v>0</v>
      </c>
      <c r="R2000" s="6" t="n">
        <v>0</v>
      </c>
      <c r="S2000" s="11"/>
      <c r="T2000" s="11" t="n">
        <v>0</v>
      </c>
      <c r="U2000" s="11" t="n">
        <v>0.9</v>
      </c>
      <c r="V2000" s="11" t="n">
        <v>0.9</v>
      </c>
    </row>
    <row r="2001" customFormat="false" ht="15" hidden="false" customHeight="false" outlineLevel="0" collapsed="false">
      <c r="A2001" s="6" t="s">
        <v>60</v>
      </c>
      <c r="B2001" s="6" t="s">
        <v>59</v>
      </c>
      <c r="C2001" s="6" t="s">
        <v>51</v>
      </c>
      <c r="D2001" s="6" t="s">
        <v>119</v>
      </c>
      <c r="E2001" s="6" t="n">
        <v>16</v>
      </c>
      <c r="F2001" s="6" t="n">
        <v>2</v>
      </c>
      <c r="G2001" s="6" t="s">
        <v>76</v>
      </c>
      <c r="H2001" s="11" t="n">
        <v>0.01</v>
      </c>
      <c r="I2001" s="6" t="n">
        <v>20</v>
      </c>
      <c r="J2001" s="6" t="n">
        <v>0</v>
      </c>
      <c r="K2001" s="6" t="n">
        <v>20</v>
      </c>
      <c r="L2001" s="6" t="n">
        <v>0</v>
      </c>
      <c r="M2001" s="6" t="n">
        <v>20</v>
      </c>
      <c r="N2001" s="11" t="n">
        <f aca="false">J2001/(J2001+K2001)</f>
        <v>0</v>
      </c>
      <c r="O2001" s="11" t="str">
        <f aca="false">IF(J2001+L2001=0,"",J2001/(J2001+L2001))</f>
        <v/>
      </c>
      <c r="P2001" s="11" t="n">
        <f aca="false">2*J2001/(2*J2001+L2001+K2001)</f>
        <v>0</v>
      </c>
      <c r="Q2001" s="11" t="n">
        <f aca="false">L2001/(L2001+M2001)</f>
        <v>0</v>
      </c>
      <c r="R2001" s="6" t="n">
        <v>0</v>
      </c>
      <c r="S2001" s="11"/>
      <c r="T2001" s="11" t="n">
        <v>0</v>
      </c>
      <c r="U2001" s="11" t="n">
        <v>0.95</v>
      </c>
      <c r="V2001" s="11" t="n">
        <v>0.95</v>
      </c>
    </row>
    <row r="2002" customFormat="false" ht="15" hidden="false" customHeight="false" outlineLevel="0" collapsed="false">
      <c r="A2002" s="6" t="s">
        <v>60</v>
      </c>
      <c r="B2002" s="6" t="s">
        <v>59</v>
      </c>
      <c r="C2002" s="6" t="s">
        <v>51</v>
      </c>
      <c r="D2002" s="6" t="s">
        <v>119</v>
      </c>
      <c r="E2002" s="6" t="n">
        <v>16</v>
      </c>
      <c r="F2002" s="6" t="n">
        <v>2</v>
      </c>
      <c r="G2002" s="6" t="s">
        <v>77</v>
      </c>
      <c r="H2002" s="11" t="n">
        <v>0.01</v>
      </c>
      <c r="I2002" s="6" t="n">
        <v>20</v>
      </c>
      <c r="J2002" s="6" t="n">
        <v>1</v>
      </c>
      <c r="K2002" s="6" t="n">
        <v>19</v>
      </c>
      <c r="L2002" s="6" t="n">
        <v>1</v>
      </c>
      <c r="M2002" s="6" t="n">
        <v>19</v>
      </c>
      <c r="N2002" s="11" t="n">
        <f aca="false">J2002/(J2002+K2002)</f>
        <v>0.05</v>
      </c>
      <c r="O2002" s="11" t="n">
        <f aca="false">IF(J2002+L2002=0,"",J2002/(J2002+L2002))</f>
        <v>0.5</v>
      </c>
      <c r="P2002" s="11" t="n">
        <f aca="false">2*J2002/(2*J2002+L2002+K2002)</f>
        <v>0.0909090909090909</v>
      </c>
      <c r="Q2002" s="11" t="n">
        <f aca="false">L2002/(L2002+M2002)</f>
        <v>0.05</v>
      </c>
      <c r="R2002" s="6" t="n">
        <v>0</v>
      </c>
      <c r="S2002" s="11"/>
      <c r="T2002" s="11" t="n">
        <v>0.05</v>
      </c>
      <c r="U2002" s="11" t="n">
        <v>1</v>
      </c>
      <c r="V2002" s="11" t="n">
        <v>1</v>
      </c>
    </row>
    <row r="2003" customFormat="false" ht="15" hidden="false" customHeight="false" outlineLevel="0" collapsed="false">
      <c r="A2003" s="6" t="s">
        <v>60</v>
      </c>
      <c r="B2003" s="6" t="s">
        <v>59</v>
      </c>
      <c r="C2003" s="6" t="s">
        <v>51</v>
      </c>
      <c r="D2003" s="6" t="s">
        <v>119</v>
      </c>
      <c r="E2003" s="6" t="n">
        <v>16</v>
      </c>
      <c r="F2003" s="6" t="n">
        <v>2</v>
      </c>
      <c r="G2003" s="6" t="s">
        <v>78</v>
      </c>
      <c r="H2003" s="11" t="n">
        <v>0.01</v>
      </c>
      <c r="I2003" s="6" t="n">
        <v>200</v>
      </c>
      <c r="J2003" s="6" t="n">
        <v>1</v>
      </c>
      <c r="K2003" s="6" t="n">
        <v>199</v>
      </c>
      <c r="L2003" s="6" t="n">
        <v>1</v>
      </c>
      <c r="M2003" s="6" t="n">
        <v>199</v>
      </c>
      <c r="N2003" s="11" t="n">
        <f aca="false">J2003/(J2003+K2003)</f>
        <v>0.005</v>
      </c>
      <c r="O2003" s="11" t="n">
        <f aca="false">IF(J2003+L2003=0,"",J2003/(J2003+L2003))</f>
        <v>0.5</v>
      </c>
      <c r="P2003" s="11" t="n">
        <f aca="false">2*J2003/(2*J2003+L2003+K2003)</f>
        <v>0.0099009900990099</v>
      </c>
      <c r="Q2003" s="11" t="n">
        <f aca="false">L2003/(L2003+M2003)</f>
        <v>0.005</v>
      </c>
      <c r="R2003" s="6" t="n">
        <v>0</v>
      </c>
      <c r="S2003" s="11"/>
      <c r="T2003" s="11" t="n">
        <v>0.005</v>
      </c>
      <c r="U2003" s="11" t="n">
        <v>0.88</v>
      </c>
      <c r="V2003" s="11" t="n">
        <v>0.88</v>
      </c>
    </row>
    <row r="2004" customFormat="false" ht="15" hidden="false" customHeight="false" outlineLevel="0" collapsed="false">
      <c r="A2004" s="6" t="s">
        <v>60</v>
      </c>
      <c r="B2004" s="6" t="s">
        <v>59</v>
      </c>
      <c r="C2004" s="6" t="s">
        <v>51</v>
      </c>
      <c r="D2004" s="6" t="s">
        <v>119</v>
      </c>
      <c r="E2004" s="6" t="n">
        <v>16</v>
      </c>
      <c r="F2004" s="6" t="n">
        <v>3</v>
      </c>
      <c r="G2004" s="6" t="s">
        <v>68</v>
      </c>
      <c r="H2004" s="11" t="n">
        <v>0.01</v>
      </c>
      <c r="I2004" s="6" t="n">
        <v>20</v>
      </c>
      <c r="J2004" s="6" t="n">
        <v>0</v>
      </c>
      <c r="K2004" s="6" t="n">
        <v>20</v>
      </c>
      <c r="L2004" s="6" t="n">
        <v>0</v>
      </c>
      <c r="M2004" s="6" t="n">
        <v>20</v>
      </c>
      <c r="N2004" s="11" t="n">
        <f aca="false">J2004/(J2004+K2004)</f>
        <v>0</v>
      </c>
      <c r="O2004" s="11" t="str">
        <f aca="false">IF(J2004+L2004=0,"",J2004/(J2004+L2004))</f>
        <v/>
      </c>
      <c r="P2004" s="11" t="n">
        <f aca="false">2*J2004/(2*J2004+L2004+K2004)</f>
        <v>0</v>
      </c>
      <c r="Q2004" s="11" t="n">
        <f aca="false">L2004/(L2004+M2004)</f>
        <v>0</v>
      </c>
      <c r="R2004" s="6" t="n">
        <v>0</v>
      </c>
      <c r="S2004" s="11"/>
      <c r="T2004" s="11" t="n">
        <v>0</v>
      </c>
      <c r="U2004" s="11" t="n">
        <v>0.85</v>
      </c>
      <c r="V2004" s="11" t="n">
        <v>0.85</v>
      </c>
    </row>
    <row r="2005" customFormat="false" ht="15" hidden="false" customHeight="false" outlineLevel="0" collapsed="false">
      <c r="A2005" s="6" t="s">
        <v>60</v>
      </c>
      <c r="B2005" s="6" t="s">
        <v>59</v>
      </c>
      <c r="C2005" s="6" t="s">
        <v>51</v>
      </c>
      <c r="D2005" s="6" t="s">
        <v>119</v>
      </c>
      <c r="E2005" s="6" t="n">
        <v>16</v>
      </c>
      <c r="F2005" s="6" t="n">
        <v>3</v>
      </c>
      <c r="G2005" s="6" t="s">
        <v>69</v>
      </c>
      <c r="H2005" s="11" t="n">
        <v>0.01</v>
      </c>
      <c r="I2005" s="6" t="n">
        <v>20</v>
      </c>
      <c r="J2005" s="6" t="n">
        <v>0</v>
      </c>
      <c r="K2005" s="6" t="n">
        <v>20</v>
      </c>
      <c r="L2005" s="6" t="n">
        <v>0</v>
      </c>
      <c r="M2005" s="6" t="n">
        <v>20</v>
      </c>
      <c r="N2005" s="11" t="n">
        <f aca="false">J2005/(J2005+K2005)</f>
        <v>0</v>
      </c>
      <c r="O2005" s="11" t="str">
        <f aca="false">IF(J2005+L2005=0,"",J2005/(J2005+L2005))</f>
        <v/>
      </c>
      <c r="P2005" s="11" t="n">
        <f aca="false">2*J2005/(2*J2005+L2005+K2005)</f>
        <v>0</v>
      </c>
      <c r="Q2005" s="11" t="n">
        <f aca="false">L2005/(L2005+M2005)</f>
        <v>0</v>
      </c>
      <c r="R2005" s="6" t="n">
        <v>0</v>
      </c>
      <c r="S2005" s="11"/>
      <c r="T2005" s="11" t="n">
        <v>0</v>
      </c>
      <c r="U2005" s="11" t="n">
        <v>1</v>
      </c>
      <c r="V2005" s="11" t="n">
        <v>1</v>
      </c>
    </row>
    <row r="2006" customFormat="false" ht="15" hidden="false" customHeight="false" outlineLevel="0" collapsed="false">
      <c r="A2006" s="6" t="s">
        <v>60</v>
      </c>
      <c r="B2006" s="6" t="s">
        <v>59</v>
      </c>
      <c r="C2006" s="6" t="s">
        <v>51</v>
      </c>
      <c r="D2006" s="6" t="s">
        <v>119</v>
      </c>
      <c r="E2006" s="6" t="n">
        <v>16</v>
      </c>
      <c r="F2006" s="6" t="n">
        <v>3</v>
      </c>
      <c r="G2006" s="6" t="s">
        <v>70</v>
      </c>
      <c r="H2006" s="11" t="n">
        <v>0.01</v>
      </c>
      <c r="I2006" s="6" t="n">
        <v>20</v>
      </c>
      <c r="J2006" s="6" t="n">
        <v>0</v>
      </c>
      <c r="K2006" s="6" t="n">
        <v>20</v>
      </c>
      <c r="L2006" s="6" t="n">
        <v>0</v>
      </c>
      <c r="M2006" s="6" t="n">
        <v>20</v>
      </c>
      <c r="N2006" s="11" t="n">
        <f aca="false">J2006/(J2006+K2006)</f>
        <v>0</v>
      </c>
      <c r="O2006" s="11" t="str">
        <f aca="false">IF(J2006+L2006=0,"",J2006/(J2006+L2006))</f>
        <v/>
      </c>
      <c r="P2006" s="11" t="n">
        <f aca="false">2*J2006/(2*J2006+L2006+K2006)</f>
        <v>0</v>
      </c>
      <c r="Q2006" s="11" t="n">
        <f aca="false">L2006/(L2006+M2006)</f>
        <v>0</v>
      </c>
      <c r="R2006" s="6" t="n">
        <v>0</v>
      </c>
      <c r="S2006" s="11"/>
      <c r="T2006" s="11" t="n">
        <v>0</v>
      </c>
      <c r="U2006" s="11" t="n">
        <v>0.9</v>
      </c>
      <c r="V2006" s="11" t="n">
        <v>0.9</v>
      </c>
    </row>
    <row r="2007" customFormat="false" ht="15" hidden="false" customHeight="false" outlineLevel="0" collapsed="false">
      <c r="A2007" s="6" t="s">
        <v>60</v>
      </c>
      <c r="B2007" s="6" t="s">
        <v>59</v>
      </c>
      <c r="C2007" s="6" t="s">
        <v>51</v>
      </c>
      <c r="D2007" s="6" t="s">
        <v>119</v>
      </c>
      <c r="E2007" s="6" t="n">
        <v>16</v>
      </c>
      <c r="F2007" s="6" t="n">
        <v>3</v>
      </c>
      <c r="G2007" s="6" t="s">
        <v>71</v>
      </c>
      <c r="H2007" s="11" t="n">
        <v>0.01</v>
      </c>
      <c r="I2007" s="6" t="n">
        <v>20</v>
      </c>
      <c r="J2007" s="6" t="n">
        <v>0</v>
      </c>
      <c r="K2007" s="6" t="n">
        <v>20</v>
      </c>
      <c r="L2007" s="6" t="n">
        <v>0</v>
      </c>
      <c r="M2007" s="6" t="n">
        <v>20</v>
      </c>
      <c r="N2007" s="11" t="n">
        <f aca="false">J2007/(J2007+K2007)</f>
        <v>0</v>
      </c>
      <c r="O2007" s="11" t="str">
        <f aca="false">IF(J2007+L2007=0,"",J2007/(J2007+L2007))</f>
        <v/>
      </c>
      <c r="P2007" s="11" t="n">
        <f aca="false">2*J2007/(2*J2007+L2007+K2007)</f>
        <v>0</v>
      </c>
      <c r="Q2007" s="11" t="n">
        <f aca="false">L2007/(L2007+M2007)</f>
        <v>0</v>
      </c>
      <c r="R2007" s="6" t="n">
        <v>0</v>
      </c>
      <c r="S2007" s="11"/>
      <c r="T2007" s="11" t="n">
        <v>0</v>
      </c>
      <c r="U2007" s="11" t="n">
        <v>0.8</v>
      </c>
      <c r="V2007" s="11" t="n">
        <v>0.8</v>
      </c>
    </row>
    <row r="2008" customFormat="false" ht="15" hidden="false" customHeight="false" outlineLevel="0" collapsed="false">
      <c r="A2008" s="6" t="s">
        <v>60</v>
      </c>
      <c r="B2008" s="6" t="s">
        <v>59</v>
      </c>
      <c r="C2008" s="6" t="s">
        <v>51</v>
      </c>
      <c r="D2008" s="6" t="s">
        <v>119</v>
      </c>
      <c r="E2008" s="6" t="n">
        <v>16</v>
      </c>
      <c r="F2008" s="6" t="n">
        <v>3</v>
      </c>
      <c r="G2008" s="6" t="s">
        <v>72</v>
      </c>
      <c r="H2008" s="11" t="n">
        <v>0.01</v>
      </c>
      <c r="I2008" s="6" t="n">
        <v>20</v>
      </c>
      <c r="J2008" s="6" t="n">
        <v>0</v>
      </c>
      <c r="K2008" s="6" t="n">
        <v>20</v>
      </c>
      <c r="L2008" s="6" t="n">
        <v>0</v>
      </c>
      <c r="M2008" s="6" t="n">
        <v>20</v>
      </c>
      <c r="N2008" s="11" t="n">
        <f aca="false">J2008/(J2008+K2008)</f>
        <v>0</v>
      </c>
      <c r="O2008" s="11" t="str">
        <f aca="false">IF(J2008+L2008=0,"",J2008/(J2008+L2008))</f>
        <v/>
      </c>
      <c r="P2008" s="11" t="n">
        <f aca="false">2*J2008/(2*J2008+L2008+K2008)</f>
        <v>0</v>
      </c>
      <c r="Q2008" s="11" t="n">
        <f aca="false">L2008/(L2008+M2008)</f>
        <v>0</v>
      </c>
      <c r="R2008" s="6" t="n">
        <v>0</v>
      </c>
      <c r="S2008" s="11"/>
      <c r="T2008" s="11" t="n">
        <v>0</v>
      </c>
      <c r="U2008" s="11" t="n">
        <v>0.9</v>
      </c>
      <c r="V2008" s="11" t="n">
        <v>0.9</v>
      </c>
    </row>
    <row r="2009" customFormat="false" ht="15" hidden="false" customHeight="false" outlineLevel="0" collapsed="false">
      <c r="A2009" s="6" t="s">
        <v>60</v>
      </c>
      <c r="B2009" s="6" t="s">
        <v>59</v>
      </c>
      <c r="C2009" s="6" t="s">
        <v>51</v>
      </c>
      <c r="D2009" s="6" t="s">
        <v>119</v>
      </c>
      <c r="E2009" s="6" t="n">
        <v>16</v>
      </c>
      <c r="F2009" s="6" t="n">
        <v>3</v>
      </c>
      <c r="G2009" s="6" t="s">
        <v>73</v>
      </c>
      <c r="H2009" s="11" t="n">
        <v>0.01</v>
      </c>
      <c r="I2009" s="6" t="n">
        <v>20</v>
      </c>
      <c r="J2009" s="6" t="n">
        <v>0</v>
      </c>
      <c r="K2009" s="6" t="n">
        <v>20</v>
      </c>
      <c r="L2009" s="6" t="n">
        <v>0</v>
      </c>
      <c r="M2009" s="6" t="n">
        <v>20</v>
      </c>
      <c r="N2009" s="11" t="n">
        <f aca="false">J2009/(J2009+K2009)</f>
        <v>0</v>
      </c>
      <c r="O2009" s="11" t="str">
        <f aca="false">IF(J2009+L2009=0,"",J2009/(J2009+L2009))</f>
        <v/>
      </c>
      <c r="P2009" s="11" t="n">
        <f aca="false">2*J2009/(2*J2009+L2009+K2009)</f>
        <v>0</v>
      </c>
      <c r="Q2009" s="11" t="n">
        <f aca="false">L2009/(L2009+M2009)</f>
        <v>0</v>
      </c>
      <c r="R2009" s="6" t="n">
        <v>0</v>
      </c>
      <c r="S2009" s="11"/>
      <c r="T2009" s="11" t="n">
        <v>0</v>
      </c>
      <c r="U2009" s="11" t="n">
        <v>0.65</v>
      </c>
      <c r="V2009" s="11" t="n">
        <v>0.65</v>
      </c>
    </row>
    <row r="2010" customFormat="false" ht="15" hidden="false" customHeight="false" outlineLevel="0" collapsed="false">
      <c r="A2010" s="6" t="s">
        <v>60</v>
      </c>
      <c r="B2010" s="6" t="s">
        <v>59</v>
      </c>
      <c r="C2010" s="6" t="s">
        <v>51</v>
      </c>
      <c r="D2010" s="6" t="s">
        <v>119</v>
      </c>
      <c r="E2010" s="6" t="n">
        <v>16</v>
      </c>
      <c r="F2010" s="6" t="n">
        <v>3</v>
      </c>
      <c r="G2010" s="6" t="s">
        <v>74</v>
      </c>
      <c r="H2010" s="11" t="n">
        <v>0.01</v>
      </c>
      <c r="I2010" s="6" t="n">
        <v>20</v>
      </c>
      <c r="J2010" s="6" t="n">
        <v>0</v>
      </c>
      <c r="K2010" s="6" t="n">
        <v>20</v>
      </c>
      <c r="L2010" s="6" t="n">
        <v>0</v>
      </c>
      <c r="M2010" s="6" t="n">
        <v>20</v>
      </c>
      <c r="N2010" s="11" t="n">
        <f aca="false">J2010/(J2010+K2010)</f>
        <v>0</v>
      </c>
      <c r="O2010" s="11" t="str">
        <f aca="false">IF(J2010+L2010=0,"",J2010/(J2010+L2010))</f>
        <v/>
      </c>
      <c r="P2010" s="11" t="n">
        <f aca="false">2*J2010/(2*J2010+L2010+K2010)</f>
        <v>0</v>
      </c>
      <c r="Q2010" s="11" t="n">
        <f aca="false">L2010/(L2010+M2010)</f>
        <v>0</v>
      </c>
      <c r="R2010" s="6" t="n">
        <v>0</v>
      </c>
      <c r="S2010" s="11"/>
      <c r="T2010" s="11" t="n">
        <v>0</v>
      </c>
      <c r="U2010" s="11" t="n">
        <v>0.85</v>
      </c>
      <c r="V2010" s="11" t="n">
        <v>0.85</v>
      </c>
    </row>
    <row r="2011" customFormat="false" ht="15" hidden="false" customHeight="false" outlineLevel="0" collapsed="false">
      <c r="A2011" s="6" t="s">
        <v>60</v>
      </c>
      <c r="B2011" s="6" t="s">
        <v>59</v>
      </c>
      <c r="C2011" s="6" t="s">
        <v>51</v>
      </c>
      <c r="D2011" s="6" t="s">
        <v>119</v>
      </c>
      <c r="E2011" s="6" t="n">
        <v>16</v>
      </c>
      <c r="F2011" s="6" t="n">
        <v>3</v>
      </c>
      <c r="G2011" s="6" t="s">
        <v>75</v>
      </c>
      <c r="H2011" s="11" t="n">
        <v>0.01</v>
      </c>
      <c r="I2011" s="6" t="n">
        <v>20</v>
      </c>
      <c r="J2011" s="6" t="n">
        <v>0</v>
      </c>
      <c r="K2011" s="6" t="n">
        <v>20</v>
      </c>
      <c r="L2011" s="6" t="n">
        <v>0</v>
      </c>
      <c r="M2011" s="6" t="n">
        <v>20</v>
      </c>
      <c r="N2011" s="11" t="n">
        <f aca="false">J2011/(J2011+K2011)</f>
        <v>0</v>
      </c>
      <c r="O2011" s="11" t="str">
        <f aca="false">IF(J2011+L2011=0,"",J2011/(J2011+L2011))</f>
        <v/>
      </c>
      <c r="P2011" s="11" t="n">
        <f aca="false">2*J2011/(2*J2011+L2011+K2011)</f>
        <v>0</v>
      </c>
      <c r="Q2011" s="11" t="n">
        <f aca="false">L2011/(L2011+M2011)</f>
        <v>0</v>
      </c>
      <c r="R2011" s="6" t="n">
        <v>0</v>
      </c>
      <c r="S2011" s="11"/>
      <c r="T2011" s="11" t="n">
        <v>0</v>
      </c>
      <c r="U2011" s="11" t="n">
        <v>0.9</v>
      </c>
      <c r="V2011" s="11" t="n">
        <v>0.9</v>
      </c>
    </row>
    <row r="2012" customFormat="false" ht="15" hidden="false" customHeight="false" outlineLevel="0" collapsed="false">
      <c r="A2012" s="6" t="s">
        <v>60</v>
      </c>
      <c r="B2012" s="6" t="s">
        <v>59</v>
      </c>
      <c r="C2012" s="6" t="s">
        <v>51</v>
      </c>
      <c r="D2012" s="6" t="s">
        <v>119</v>
      </c>
      <c r="E2012" s="6" t="n">
        <v>16</v>
      </c>
      <c r="F2012" s="6" t="n">
        <v>3</v>
      </c>
      <c r="G2012" s="6" t="s">
        <v>76</v>
      </c>
      <c r="H2012" s="11" t="n">
        <v>0.01</v>
      </c>
      <c r="I2012" s="6" t="n">
        <v>20</v>
      </c>
      <c r="J2012" s="6" t="n">
        <v>0</v>
      </c>
      <c r="K2012" s="6" t="n">
        <v>20</v>
      </c>
      <c r="L2012" s="6" t="n">
        <v>0</v>
      </c>
      <c r="M2012" s="6" t="n">
        <v>20</v>
      </c>
      <c r="N2012" s="11" t="n">
        <f aca="false">J2012/(J2012+K2012)</f>
        <v>0</v>
      </c>
      <c r="O2012" s="11" t="str">
        <f aca="false">IF(J2012+L2012=0,"",J2012/(J2012+L2012))</f>
        <v/>
      </c>
      <c r="P2012" s="11" t="n">
        <f aca="false">2*J2012/(2*J2012+L2012+K2012)</f>
        <v>0</v>
      </c>
      <c r="Q2012" s="11" t="n">
        <f aca="false">L2012/(L2012+M2012)</f>
        <v>0</v>
      </c>
      <c r="R2012" s="6" t="n">
        <v>0</v>
      </c>
      <c r="S2012" s="11"/>
      <c r="T2012" s="11" t="n">
        <v>0</v>
      </c>
      <c r="U2012" s="11" t="n">
        <v>0.95</v>
      </c>
      <c r="V2012" s="11" t="n">
        <v>0.95</v>
      </c>
    </row>
    <row r="2013" customFormat="false" ht="15" hidden="false" customHeight="false" outlineLevel="0" collapsed="false">
      <c r="A2013" s="6" t="s">
        <v>60</v>
      </c>
      <c r="B2013" s="6" t="s">
        <v>59</v>
      </c>
      <c r="C2013" s="6" t="s">
        <v>51</v>
      </c>
      <c r="D2013" s="6" t="s">
        <v>119</v>
      </c>
      <c r="E2013" s="6" t="n">
        <v>16</v>
      </c>
      <c r="F2013" s="6" t="n">
        <v>3</v>
      </c>
      <c r="G2013" s="6" t="s">
        <v>77</v>
      </c>
      <c r="H2013" s="11" t="n">
        <v>0.01</v>
      </c>
      <c r="I2013" s="6" t="n">
        <v>20</v>
      </c>
      <c r="J2013" s="6" t="n">
        <v>1</v>
      </c>
      <c r="K2013" s="6" t="n">
        <v>19</v>
      </c>
      <c r="L2013" s="6" t="n">
        <v>1</v>
      </c>
      <c r="M2013" s="6" t="n">
        <v>19</v>
      </c>
      <c r="N2013" s="11" t="n">
        <f aca="false">J2013/(J2013+K2013)</f>
        <v>0.05</v>
      </c>
      <c r="O2013" s="11" t="n">
        <f aca="false">IF(J2013+L2013=0,"",J2013/(J2013+L2013))</f>
        <v>0.5</v>
      </c>
      <c r="P2013" s="11" t="n">
        <f aca="false">2*J2013/(2*J2013+L2013+K2013)</f>
        <v>0.0909090909090909</v>
      </c>
      <c r="Q2013" s="11" t="n">
        <f aca="false">L2013/(L2013+M2013)</f>
        <v>0.05</v>
      </c>
      <c r="R2013" s="6" t="n">
        <v>0</v>
      </c>
      <c r="S2013" s="11"/>
      <c r="T2013" s="11" t="n">
        <v>0.05</v>
      </c>
      <c r="U2013" s="11" t="n">
        <v>1</v>
      </c>
      <c r="V2013" s="11" t="n">
        <v>1</v>
      </c>
    </row>
    <row r="2014" customFormat="false" ht="15" hidden="false" customHeight="false" outlineLevel="0" collapsed="false">
      <c r="A2014" s="6" t="s">
        <v>60</v>
      </c>
      <c r="B2014" s="6" t="s">
        <v>59</v>
      </c>
      <c r="C2014" s="6" t="s">
        <v>51</v>
      </c>
      <c r="D2014" s="6" t="s">
        <v>119</v>
      </c>
      <c r="E2014" s="6" t="n">
        <v>16</v>
      </c>
      <c r="F2014" s="6" t="n">
        <v>3</v>
      </c>
      <c r="G2014" s="6" t="s">
        <v>78</v>
      </c>
      <c r="H2014" s="11" t="n">
        <v>0.01</v>
      </c>
      <c r="I2014" s="6" t="n">
        <v>200</v>
      </c>
      <c r="J2014" s="6" t="n">
        <v>1</v>
      </c>
      <c r="K2014" s="6" t="n">
        <v>199</v>
      </c>
      <c r="L2014" s="6" t="n">
        <v>1</v>
      </c>
      <c r="M2014" s="6" t="n">
        <v>199</v>
      </c>
      <c r="N2014" s="11" t="n">
        <f aca="false">J2014/(J2014+K2014)</f>
        <v>0.005</v>
      </c>
      <c r="O2014" s="11" t="n">
        <f aca="false">IF(J2014+L2014=0,"",J2014/(J2014+L2014))</f>
        <v>0.5</v>
      </c>
      <c r="P2014" s="11" t="n">
        <f aca="false">2*J2014/(2*J2014+L2014+K2014)</f>
        <v>0.0099009900990099</v>
      </c>
      <c r="Q2014" s="11" t="n">
        <f aca="false">L2014/(L2014+M2014)</f>
        <v>0.005</v>
      </c>
      <c r="R2014" s="6" t="n">
        <v>0</v>
      </c>
      <c r="S2014" s="11"/>
      <c r="T2014" s="11" t="n">
        <v>0.005</v>
      </c>
      <c r="U2014" s="11" t="n">
        <v>0.88</v>
      </c>
      <c r="V2014" s="11" t="n">
        <v>0.88</v>
      </c>
    </row>
    <row r="2015" customFormat="false" ht="15" hidden="false" customHeight="false" outlineLevel="0" collapsed="false">
      <c r="A2015" s="6" t="s">
        <v>60</v>
      </c>
      <c r="B2015" s="6" t="s">
        <v>59</v>
      </c>
      <c r="C2015" s="6" t="s">
        <v>51</v>
      </c>
      <c r="D2015" s="6" t="s">
        <v>119</v>
      </c>
      <c r="E2015" s="6" t="n">
        <v>16</v>
      </c>
      <c r="F2015" s="6" t="n">
        <v>4</v>
      </c>
      <c r="G2015" s="6" t="s">
        <v>68</v>
      </c>
      <c r="H2015" s="11" t="n">
        <v>0.01</v>
      </c>
      <c r="I2015" s="6" t="n">
        <v>20</v>
      </c>
      <c r="J2015" s="6" t="n">
        <v>0</v>
      </c>
      <c r="K2015" s="6" t="n">
        <v>20</v>
      </c>
      <c r="L2015" s="6" t="n">
        <v>0</v>
      </c>
      <c r="M2015" s="6" t="n">
        <v>20</v>
      </c>
      <c r="N2015" s="11" t="n">
        <f aca="false">J2015/(J2015+K2015)</f>
        <v>0</v>
      </c>
      <c r="O2015" s="11" t="str">
        <f aca="false">IF(J2015+L2015=0,"",J2015/(J2015+L2015))</f>
        <v/>
      </c>
      <c r="P2015" s="11" t="n">
        <f aca="false">2*J2015/(2*J2015+L2015+K2015)</f>
        <v>0</v>
      </c>
      <c r="Q2015" s="11" t="n">
        <f aca="false">L2015/(L2015+M2015)</f>
        <v>0</v>
      </c>
      <c r="R2015" s="6" t="n">
        <v>0</v>
      </c>
      <c r="S2015" s="11"/>
      <c r="T2015" s="11" t="n">
        <v>0</v>
      </c>
      <c r="U2015" s="11" t="n">
        <v>0.85</v>
      </c>
      <c r="V2015" s="11" t="n">
        <v>0.85</v>
      </c>
    </row>
    <row r="2016" customFormat="false" ht="15" hidden="false" customHeight="false" outlineLevel="0" collapsed="false">
      <c r="A2016" s="6" t="s">
        <v>60</v>
      </c>
      <c r="B2016" s="6" t="s">
        <v>59</v>
      </c>
      <c r="C2016" s="6" t="s">
        <v>51</v>
      </c>
      <c r="D2016" s="6" t="s">
        <v>119</v>
      </c>
      <c r="E2016" s="6" t="n">
        <v>16</v>
      </c>
      <c r="F2016" s="6" t="n">
        <v>4</v>
      </c>
      <c r="G2016" s="6" t="s">
        <v>69</v>
      </c>
      <c r="H2016" s="11" t="n">
        <v>0.01</v>
      </c>
      <c r="I2016" s="6" t="n">
        <v>20</v>
      </c>
      <c r="J2016" s="6" t="n">
        <v>0</v>
      </c>
      <c r="K2016" s="6" t="n">
        <v>20</v>
      </c>
      <c r="L2016" s="6" t="n">
        <v>0</v>
      </c>
      <c r="M2016" s="6" t="n">
        <v>20</v>
      </c>
      <c r="N2016" s="11" t="n">
        <f aca="false">J2016/(J2016+K2016)</f>
        <v>0</v>
      </c>
      <c r="O2016" s="11" t="str">
        <f aca="false">IF(J2016+L2016=0,"",J2016/(J2016+L2016))</f>
        <v/>
      </c>
      <c r="P2016" s="11" t="n">
        <f aca="false">2*J2016/(2*J2016+L2016+K2016)</f>
        <v>0</v>
      </c>
      <c r="Q2016" s="11" t="n">
        <f aca="false">L2016/(L2016+M2016)</f>
        <v>0</v>
      </c>
      <c r="R2016" s="6" t="n">
        <v>0</v>
      </c>
      <c r="S2016" s="11"/>
      <c r="T2016" s="11" t="n">
        <v>0</v>
      </c>
      <c r="U2016" s="11" t="n">
        <v>1</v>
      </c>
      <c r="V2016" s="11" t="n">
        <v>1</v>
      </c>
    </row>
    <row r="2017" customFormat="false" ht="15" hidden="false" customHeight="false" outlineLevel="0" collapsed="false">
      <c r="A2017" s="6" t="s">
        <v>60</v>
      </c>
      <c r="B2017" s="6" t="s">
        <v>59</v>
      </c>
      <c r="C2017" s="6" t="s">
        <v>51</v>
      </c>
      <c r="D2017" s="6" t="s">
        <v>119</v>
      </c>
      <c r="E2017" s="6" t="n">
        <v>16</v>
      </c>
      <c r="F2017" s="6" t="n">
        <v>4</v>
      </c>
      <c r="G2017" s="6" t="s">
        <v>70</v>
      </c>
      <c r="H2017" s="11" t="n">
        <v>0.01</v>
      </c>
      <c r="I2017" s="6" t="n">
        <v>20</v>
      </c>
      <c r="J2017" s="6" t="n">
        <v>0</v>
      </c>
      <c r="K2017" s="6" t="n">
        <v>20</v>
      </c>
      <c r="L2017" s="6" t="n">
        <v>0</v>
      </c>
      <c r="M2017" s="6" t="n">
        <v>20</v>
      </c>
      <c r="N2017" s="11" t="n">
        <f aca="false">J2017/(J2017+K2017)</f>
        <v>0</v>
      </c>
      <c r="O2017" s="11" t="str">
        <f aca="false">IF(J2017+L2017=0,"",J2017/(J2017+L2017))</f>
        <v/>
      </c>
      <c r="P2017" s="11" t="n">
        <f aca="false">2*J2017/(2*J2017+L2017+K2017)</f>
        <v>0</v>
      </c>
      <c r="Q2017" s="11" t="n">
        <f aca="false">L2017/(L2017+M2017)</f>
        <v>0</v>
      </c>
      <c r="R2017" s="6" t="n">
        <v>0</v>
      </c>
      <c r="S2017" s="11"/>
      <c r="T2017" s="11" t="n">
        <v>0</v>
      </c>
      <c r="U2017" s="11" t="n">
        <v>0.9</v>
      </c>
      <c r="V2017" s="11" t="n">
        <v>0.9</v>
      </c>
    </row>
    <row r="2018" customFormat="false" ht="15" hidden="false" customHeight="false" outlineLevel="0" collapsed="false">
      <c r="A2018" s="6" t="s">
        <v>60</v>
      </c>
      <c r="B2018" s="6" t="s">
        <v>59</v>
      </c>
      <c r="C2018" s="6" t="s">
        <v>51</v>
      </c>
      <c r="D2018" s="6" t="s">
        <v>119</v>
      </c>
      <c r="E2018" s="6" t="n">
        <v>16</v>
      </c>
      <c r="F2018" s="6" t="n">
        <v>4</v>
      </c>
      <c r="G2018" s="6" t="s">
        <v>71</v>
      </c>
      <c r="H2018" s="11" t="n">
        <v>0.01</v>
      </c>
      <c r="I2018" s="6" t="n">
        <v>20</v>
      </c>
      <c r="J2018" s="6" t="n">
        <v>0</v>
      </c>
      <c r="K2018" s="6" t="n">
        <v>20</v>
      </c>
      <c r="L2018" s="6" t="n">
        <v>0</v>
      </c>
      <c r="M2018" s="6" t="n">
        <v>20</v>
      </c>
      <c r="N2018" s="11" t="n">
        <f aca="false">J2018/(J2018+K2018)</f>
        <v>0</v>
      </c>
      <c r="O2018" s="11" t="str">
        <f aca="false">IF(J2018+L2018=0,"",J2018/(J2018+L2018))</f>
        <v/>
      </c>
      <c r="P2018" s="11" t="n">
        <f aca="false">2*J2018/(2*J2018+L2018+K2018)</f>
        <v>0</v>
      </c>
      <c r="Q2018" s="11" t="n">
        <f aca="false">L2018/(L2018+M2018)</f>
        <v>0</v>
      </c>
      <c r="R2018" s="6" t="n">
        <v>0</v>
      </c>
      <c r="S2018" s="11"/>
      <c r="T2018" s="11" t="n">
        <v>0</v>
      </c>
      <c r="U2018" s="11" t="n">
        <v>0.8</v>
      </c>
      <c r="V2018" s="11" t="n">
        <v>0.8</v>
      </c>
    </row>
    <row r="2019" customFormat="false" ht="15" hidden="false" customHeight="false" outlineLevel="0" collapsed="false">
      <c r="A2019" s="6" t="s">
        <v>60</v>
      </c>
      <c r="B2019" s="6" t="s">
        <v>59</v>
      </c>
      <c r="C2019" s="6" t="s">
        <v>51</v>
      </c>
      <c r="D2019" s="6" t="s">
        <v>119</v>
      </c>
      <c r="E2019" s="6" t="n">
        <v>16</v>
      </c>
      <c r="F2019" s="6" t="n">
        <v>4</v>
      </c>
      <c r="G2019" s="6" t="s">
        <v>72</v>
      </c>
      <c r="H2019" s="11" t="n">
        <v>0.01</v>
      </c>
      <c r="I2019" s="6" t="n">
        <v>20</v>
      </c>
      <c r="J2019" s="6" t="n">
        <v>0</v>
      </c>
      <c r="K2019" s="6" t="n">
        <v>20</v>
      </c>
      <c r="L2019" s="6" t="n">
        <v>0</v>
      </c>
      <c r="M2019" s="6" t="n">
        <v>20</v>
      </c>
      <c r="N2019" s="11" t="n">
        <f aca="false">J2019/(J2019+K2019)</f>
        <v>0</v>
      </c>
      <c r="O2019" s="11" t="str">
        <f aca="false">IF(J2019+L2019=0,"",J2019/(J2019+L2019))</f>
        <v/>
      </c>
      <c r="P2019" s="11" t="n">
        <f aca="false">2*J2019/(2*J2019+L2019+K2019)</f>
        <v>0</v>
      </c>
      <c r="Q2019" s="11" t="n">
        <f aca="false">L2019/(L2019+M2019)</f>
        <v>0</v>
      </c>
      <c r="R2019" s="6" t="n">
        <v>0</v>
      </c>
      <c r="S2019" s="11"/>
      <c r="T2019" s="11" t="n">
        <v>0</v>
      </c>
      <c r="U2019" s="11" t="n">
        <v>0.9</v>
      </c>
      <c r="V2019" s="11" t="n">
        <v>0.9</v>
      </c>
    </row>
    <row r="2020" customFormat="false" ht="15" hidden="false" customHeight="false" outlineLevel="0" collapsed="false">
      <c r="A2020" s="6" t="s">
        <v>60</v>
      </c>
      <c r="B2020" s="6" t="s">
        <v>59</v>
      </c>
      <c r="C2020" s="6" t="s">
        <v>51</v>
      </c>
      <c r="D2020" s="6" t="s">
        <v>119</v>
      </c>
      <c r="E2020" s="6" t="n">
        <v>16</v>
      </c>
      <c r="F2020" s="6" t="n">
        <v>4</v>
      </c>
      <c r="G2020" s="6" t="s">
        <v>73</v>
      </c>
      <c r="H2020" s="11" t="n">
        <v>0.01</v>
      </c>
      <c r="I2020" s="6" t="n">
        <v>20</v>
      </c>
      <c r="J2020" s="6" t="n">
        <v>0</v>
      </c>
      <c r="K2020" s="6" t="n">
        <v>20</v>
      </c>
      <c r="L2020" s="6" t="n">
        <v>0</v>
      </c>
      <c r="M2020" s="6" t="n">
        <v>20</v>
      </c>
      <c r="N2020" s="11" t="n">
        <f aca="false">J2020/(J2020+K2020)</f>
        <v>0</v>
      </c>
      <c r="O2020" s="11" t="str">
        <f aca="false">IF(J2020+L2020=0,"",J2020/(J2020+L2020))</f>
        <v/>
      </c>
      <c r="P2020" s="11" t="n">
        <f aca="false">2*J2020/(2*J2020+L2020+K2020)</f>
        <v>0</v>
      </c>
      <c r="Q2020" s="11" t="n">
        <f aca="false">L2020/(L2020+M2020)</f>
        <v>0</v>
      </c>
      <c r="R2020" s="6" t="n">
        <v>0</v>
      </c>
      <c r="S2020" s="11"/>
      <c r="T2020" s="11" t="n">
        <v>0</v>
      </c>
      <c r="U2020" s="11" t="n">
        <v>0.65</v>
      </c>
      <c r="V2020" s="11" t="n">
        <v>0.65</v>
      </c>
    </row>
    <row r="2021" customFormat="false" ht="15" hidden="false" customHeight="false" outlineLevel="0" collapsed="false">
      <c r="A2021" s="6" t="s">
        <v>60</v>
      </c>
      <c r="B2021" s="6" t="s">
        <v>59</v>
      </c>
      <c r="C2021" s="6" t="s">
        <v>51</v>
      </c>
      <c r="D2021" s="6" t="s">
        <v>119</v>
      </c>
      <c r="E2021" s="6" t="n">
        <v>16</v>
      </c>
      <c r="F2021" s="6" t="n">
        <v>4</v>
      </c>
      <c r="G2021" s="6" t="s">
        <v>74</v>
      </c>
      <c r="H2021" s="11" t="n">
        <v>0.01</v>
      </c>
      <c r="I2021" s="6" t="n">
        <v>20</v>
      </c>
      <c r="J2021" s="6" t="n">
        <v>0</v>
      </c>
      <c r="K2021" s="6" t="n">
        <v>20</v>
      </c>
      <c r="L2021" s="6" t="n">
        <v>0</v>
      </c>
      <c r="M2021" s="6" t="n">
        <v>20</v>
      </c>
      <c r="N2021" s="11" t="n">
        <f aca="false">J2021/(J2021+K2021)</f>
        <v>0</v>
      </c>
      <c r="O2021" s="11" t="str">
        <f aca="false">IF(J2021+L2021=0,"",J2021/(J2021+L2021))</f>
        <v/>
      </c>
      <c r="P2021" s="11" t="n">
        <f aca="false">2*J2021/(2*J2021+L2021+K2021)</f>
        <v>0</v>
      </c>
      <c r="Q2021" s="11" t="n">
        <f aca="false">L2021/(L2021+M2021)</f>
        <v>0</v>
      </c>
      <c r="R2021" s="6" t="n">
        <v>1</v>
      </c>
      <c r="S2021" s="11" t="n">
        <v>0</v>
      </c>
      <c r="T2021" s="11" t="n">
        <v>0</v>
      </c>
      <c r="U2021" s="11" t="n">
        <v>0.85</v>
      </c>
      <c r="V2021" s="11" t="n">
        <v>0.9</v>
      </c>
    </row>
    <row r="2022" customFormat="false" ht="15" hidden="false" customHeight="false" outlineLevel="0" collapsed="false">
      <c r="A2022" s="6" t="s">
        <v>60</v>
      </c>
      <c r="B2022" s="6" t="s">
        <v>59</v>
      </c>
      <c r="C2022" s="6" t="s">
        <v>51</v>
      </c>
      <c r="D2022" s="6" t="s">
        <v>119</v>
      </c>
      <c r="E2022" s="6" t="n">
        <v>16</v>
      </c>
      <c r="F2022" s="6" t="n">
        <v>4</v>
      </c>
      <c r="G2022" s="6" t="s">
        <v>75</v>
      </c>
      <c r="H2022" s="11" t="n">
        <v>0.01</v>
      </c>
      <c r="I2022" s="6" t="n">
        <v>20</v>
      </c>
      <c r="J2022" s="6" t="n">
        <v>0</v>
      </c>
      <c r="K2022" s="6" t="n">
        <v>20</v>
      </c>
      <c r="L2022" s="6" t="n">
        <v>0</v>
      </c>
      <c r="M2022" s="6" t="n">
        <v>20</v>
      </c>
      <c r="N2022" s="11" t="n">
        <f aca="false">J2022/(J2022+K2022)</f>
        <v>0</v>
      </c>
      <c r="O2022" s="11" t="str">
        <f aca="false">IF(J2022+L2022=0,"",J2022/(J2022+L2022))</f>
        <v/>
      </c>
      <c r="P2022" s="11" t="n">
        <f aca="false">2*J2022/(2*J2022+L2022+K2022)</f>
        <v>0</v>
      </c>
      <c r="Q2022" s="11" t="n">
        <f aca="false">L2022/(L2022+M2022)</f>
        <v>0</v>
      </c>
      <c r="R2022" s="6" t="n">
        <v>1</v>
      </c>
      <c r="S2022" s="11" t="n">
        <v>0</v>
      </c>
      <c r="T2022" s="11" t="n">
        <v>0</v>
      </c>
      <c r="U2022" s="11" t="n">
        <v>0.9</v>
      </c>
      <c r="V2022" s="11" t="n">
        <v>0.95</v>
      </c>
    </row>
    <row r="2023" customFormat="false" ht="15" hidden="false" customHeight="false" outlineLevel="0" collapsed="false">
      <c r="A2023" s="6" t="s">
        <v>60</v>
      </c>
      <c r="B2023" s="6" t="s">
        <v>59</v>
      </c>
      <c r="C2023" s="6" t="s">
        <v>51</v>
      </c>
      <c r="D2023" s="6" t="s">
        <v>119</v>
      </c>
      <c r="E2023" s="6" t="n">
        <v>16</v>
      </c>
      <c r="F2023" s="6" t="n">
        <v>4</v>
      </c>
      <c r="G2023" s="6" t="s">
        <v>76</v>
      </c>
      <c r="H2023" s="11" t="n">
        <v>0.01</v>
      </c>
      <c r="I2023" s="6" t="n">
        <v>20</v>
      </c>
      <c r="J2023" s="6" t="n">
        <v>0</v>
      </c>
      <c r="K2023" s="6" t="n">
        <v>20</v>
      </c>
      <c r="L2023" s="6" t="n">
        <v>0</v>
      </c>
      <c r="M2023" s="6" t="n">
        <v>20</v>
      </c>
      <c r="N2023" s="11" t="n">
        <f aca="false">J2023/(J2023+K2023)</f>
        <v>0</v>
      </c>
      <c r="O2023" s="11" t="str">
        <f aca="false">IF(J2023+L2023=0,"",J2023/(J2023+L2023))</f>
        <v/>
      </c>
      <c r="P2023" s="11" t="n">
        <f aca="false">2*J2023/(2*J2023+L2023+K2023)</f>
        <v>0</v>
      </c>
      <c r="Q2023" s="11" t="n">
        <f aca="false">L2023/(L2023+M2023)</f>
        <v>0</v>
      </c>
      <c r="R2023" s="6" t="n">
        <v>0</v>
      </c>
      <c r="S2023" s="11"/>
      <c r="T2023" s="11" t="n">
        <v>0</v>
      </c>
      <c r="U2023" s="11" t="n">
        <v>0.95</v>
      </c>
      <c r="V2023" s="11" t="n">
        <v>0.95</v>
      </c>
    </row>
    <row r="2024" customFormat="false" ht="15" hidden="false" customHeight="false" outlineLevel="0" collapsed="false">
      <c r="A2024" s="6" t="s">
        <v>60</v>
      </c>
      <c r="B2024" s="6" t="s">
        <v>59</v>
      </c>
      <c r="C2024" s="6" t="s">
        <v>51</v>
      </c>
      <c r="D2024" s="6" t="s">
        <v>119</v>
      </c>
      <c r="E2024" s="6" t="n">
        <v>16</v>
      </c>
      <c r="F2024" s="6" t="n">
        <v>4</v>
      </c>
      <c r="G2024" s="6" t="s">
        <v>77</v>
      </c>
      <c r="H2024" s="11" t="n">
        <v>0.01</v>
      </c>
      <c r="I2024" s="6" t="n">
        <v>20</v>
      </c>
      <c r="J2024" s="6" t="n">
        <v>1</v>
      </c>
      <c r="K2024" s="6" t="n">
        <v>19</v>
      </c>
      <c r="L2024" s="6" t="n">
        <v>1</v>
      </c>
      <c r="M2024" s="6" t="n">
        <v>19</v>
      </c>
      <c r="N2024" s="11" t="n">
        <f aca="false">J2024/(J2024+K2024)</f>
        <v>0.05</v>
      </c>
      <c r="O2024" s="11" t="n">
        <f aca="false">IF(J2024+L2024=0,"",J2024/(J2024+L2024))</f>
        <v>0.5</v>
      </c>
      <c r="P2024" s="11" t="n">
        <f aca="false">2*J2024/(2*J2024+L2024+K2024)</f>
        <v>0.0909090909090909</v>
      </c>
      <c r="Q2024" s="11" t="n">
        <f aca="false">L2024/(L2024+M2024)</f>
        <v>0.05</v>
      </c>
      <c r="R2024" s="6" t="n">
        <v>0</v>
      </c>
      <c r="S2024" s="11"/>
      <c r="T2024" s="11" t="n">
        <v>0.05</v>
      </c>
      <c r="U2024" s="11" t="n">
        <v>1</v>
      </c>
      <c r="V2024" s="11" t="n">
        <v>1</v>
      </c>
    </row>
    <row r="2025" customFormat="false" ht="15" hidden="false" customHeight="false" outlineLevel="0" collapsed="false">
      <c r="A2025" s="6" t="s">
        <v>60</v>
      </c>
      <c r="B2025" s="6" t="s">
        <v>59</v>
      </c>
      <c r="C2025" s="6" t="s">
        <v>51</v>
      </c>
      <c r="D2025" s="6" t="s">
        <v>119</v>
      </c>
      <c r="E2025" s="6" t="n">
        <v>16</v>
      </c>
      <c r="F2025" s="6" t="n">
        <v>4</v>
      </c>
      <c r="G2025" s="6" t="s">
        <v>78</v>
      </c>
      <c r="H2025" s="11" t="n">
        <v>0.01</v>
      </c>
      <c r="I2025" s="6" t="n">
        <v>200</v>
      </c>
      <c r="J2025" s="6" t="n">
        <v>1</v>
      </c>
      <c r="K2025" s="6" t="n">
        <v>199</v>
      </c>
      <c r="L2025" s="6" t="n">
        <v>1</v>
      </c>
      <c r="M2025" s="6" t="n">
        <v>199</v>
      </c>
      <c r="N2025" s="11" t="n">
        <f aca="false">J2025/(J2025+K2025)</f>
        <v>0.005</v>
      </c>
      <c r="O2025" s="11" t="n">
        <f aca="false">IF(J2025+L2025=0,"",J2025/(J2025+L2025))</f>
        <v>0.5</v>
      </c>
      <c r="P2025" s="11" t="n">
        <f aca="false">2*J2025/(2*J2025+L2025+K2025)</f>
        <v>0.0099009900990099</v>
      </c>
      <c r="Q2025" s="11" t="n">
        <f aca="false">L2025/(L2025+M2025)</f>
        <v>0.005</v>
      </c>
      <c r="R2025" s="6" t="n">
        <v>2</v>
      </c>
      <c r="S2025" s="11" t="n">
        <v>0</v>
      </c>
      <c r="T2025" s="11" t="n">
        <v>0.00505050505050505</v>
      </c>
      <c r="U2025" s="11" t="n">
        <v>0.88</v>
      </c>
      <c r="V2025" s="11" t="n">
        <v>0.89</v>
      </c>
    </row>
    <row r="2026" customFormat="false" ht="15" hidden="false" customHeight="false" outlineLevel="0" collapsed="false">
      <c r="A2026" s="6" t="s">
        <v>60</v>
      </c>
      <c r="B2026" s="6" t="s">
        <v>59</v>
      </c>
      <c r="C2026" s="6" t="s">
        <v>51</v>
      </c>
      <c r="D2026" s="6" t="s">
        <v>119</v>
      </c>
      <c r="E2026" s="6" t="n">
        <v>16</v>
      </c>
      <c r="F2026" s="6" t="n">
        <v>5</v>
      </c>
      <c r="G2026" s="6" t="s">
        <v>68</v>
      </c>
      <c r="H2026" s="11" t="n">
        <v>0.01</v>
      </c>
      <c r="I2026" s="6" t="n">
        <v>20</v>
      </c>
      <c r="J2026" s="6" t="n">
        <v>0</v>
      </c>
      <c r="K2026" s="6" t="n">
        <v>20</v>
      </c>
      <c r="L2026" s="6" t="n">
        <v>0</v>
      </c>
      <c r="M2026" s="6" t="n">
        <v>20</v>
      </c>
      <c r="N2026" s="11" t="n">
        <f aca="false">J2026/(J2026+K2026)</f>
        <v>0</v>
      </c>
      <c r="O2026" s="11" t="str">
        <f aca="false">IF(J2026+L2026=0,"",J2026/(J2026+L2026))</f>
        <v/>
      </c>
      <c r="P2026" s="11" t="n">
        <f aca="false">2*J2026/(2*J2026+L2026+K2026)</f>
        <v>0</v>
      </c>
      <c r="Q2026" s="11" t="n">
        <f aca="false">L2026/(L2026+M2026)</f>
        <v>0</v>
      </c>
      <c r="R2026" s="6" t="n">
        <v>0</v>
      </c>
      <c r="S2026" s="11"/>
      <c r="T2026" s="11" t="n">
        <v>0</v>
      </c>
      <c r="U2026" s="11" t="n">
        <v>0.85</v>
      </c>
      <c r="V2026" s="11" t="n">
        <v>0.85</v>
      </c>
    </row>
    <row r="2027" customFormat="false" ht="15" hidden="false" customHeight="false" outlineLevel="0" collapsed="false">
      <c r="A2027" s="6" t="s">
        <v>60</v>
      </c>
      <c r="B2027" s="6" t="s">
        <v>59</v>
      </c>
      <c r="C2027" s="6" t="s">
        <v>51</v>
      </c>
      <c r="D2027" s="6" t="s">
        <v>119</v>
      </c>
      <c r="E2027" s="6" t="n">
        <v>16</v>
      </c>
      <c r="F2027" s="6" t="n">
        <v>5</v>
      </c>
      <c r="G2027" s="6" t="s">
        <v>69</v>
      </c>
      <c r="H2027" s="11" t="n">
        <v>0.01</v>
      </c>
      <c r="I2027" s="6" t="n">
        <v>20</v>
      </c>
      <c r="J2027" s="6" t="n">
        <v>0</v>
      </c>
      <c r="K2027" s="6" t="n">
        <v>20</v>
      </c>
      <c r="L2027" s="6" t="n">
        <v>0</v>
      </c>
      <c r="M2027" s="6" t="n">
        <v>20</v>
      </c>
      <c r="N2027" s="11" t="n">
        <f aca="false">J2027/(J2027+K2027)</f>
        <v>0</v>
      </c>
      <c r="O2027" s="11" t="str">
        <f aca="false">IF(J2027+L2027=0,"",J2027/(J2027+L2027))</f>
        <v/>
      </c>
      <c r="P2027" s="11" t="n">
        <f aca="false">2*J2027/(2*J2027+L2027+K2027)</f>
        <v>0</v>
      </c>
      <c r="Q2027" s="11" t="n">
        <f aca="false">L2027/(L2027+M2027)</f>
        <v>0</v>
      </c>
      <c r="R2027" s="6" t="n">
        <v>0</v>
      </c>
      <c r="S2027" s="11"/>
      <c r="T2027" s="11" t="n">
        <v>0</v>
      </c>
      <c r="U2027" s="11" t="n">
        <v>1</v>
      </c>
      <c r="V2027" s="11" t="n">
        <v>1</v>
      </c>
    </row>
    <row r="2028" customFormat="false" ht="15" hidden="false" customHeight="false" outlineLevel="0" collapsed="false">
      <c r="A2028" s="6" t="s">
        <v>60</v>
      </c>
      <c r="B2028" s="6" t="s">
        <v>59</v>
      </c>
      <c r="C2028" s="6" t="s">
        <v>51</v>
      </c>
      <c r="D2028" s="6" t="s">
        <v>119</v>
      </c>
      <c r="E2028" s="6" t="n">
        <v>16</v>
      </c>
      <c r="F2028" s="6" t="n">
        <v>5</v>
      </c>
      <c r="G2028" s="6" t="s">
        <v>70</v>
      </c>
      <c r="H2028" s="11" t="n">
        <v>0.01</v>
      </c>
      <c r="I2028" s="6" t="n">
        <v>20</v>
      </c>
      <c r="J2028" s="6" t="n">
        <v>0</v>
      </c>
      <c r="K2028" s="6" t="n">
        <v>20</v>
      </c>
      <c r="L2028" s="6" t="n">
        <v>0</v>
      </c>
      <c r="M2028" s="6" t="n">
        <v>20</v>
      </c>
      <c r="N2028" s="11" t="n">
        <f aca="false">J2028/(J2028+K2028)</f>
        <v>0</v>
      </c>
      <c r="O2028" s="11" t="str">
        <f aca="false">IF(J2028+L2028=0,"",J2028/(J2028+L2028))</f>
        <v/>
      </c>
      <c r="P2028" s="11" t="n">
        <f aca="false">2*J2028/(2*J2028+L2028+K2028)</f>
        <v>0</v>
      </c>
      <c r="Q2028" s="11" t="n">
        <f aca="false">L2028/(L2028+M2028)</f>
        <v>0</v>
      </c>
      <c r="R2028" s="6" t="n">
        <v>0</v>
      </c>
      <c r="S2028" s="11"/>
      <c r="T2028" s="11" t="n">
        <v>0</v>
      </c>
      <c r="U2028" s="11" t="n">
        <v>0.9</v>
      </c>
      <c r="V2028" s="11" t="n">
        <v>0.9</v>
      </c>
    </row>
    <row r="2029" customFormat="false" ht="15" hidden="false" customHeight="false" outlineLevel="0" collapsed="false">
      <c r="A2029" s="6" t="s">
        <v>60</v>
      </c>
      <c r="B2029" s="6" t="s">
        <v>59</v>
      </c>
      <c r="C2029" s="6" t="s">
        <v>51</v>
      </c>
      <c r="D2029" s="6" t="s">
        <v>119</v>
      </c>
      <c r="E2029" s="6" t="n">
        <v>16</v>
      </c>
      <c r="F2029" s="6" t="n">
        <v>5</v>
      </c>
      <c r="G2029" s="6" t="s">
        <v>71</v>
      </c>
      <c r="H2029" s="11" t="n">
        <v>0.01</v>
      </c>
      <c r="I2029" s="6" t="n">
        <v>20</v>
      </c>
      <c r="J2029" s="6" t="n">
        <v>0</v>
      </c>
      <c r="K2029" s="6" t="n">
        <v>20</v>
      </c>
      <c r="L2029" s="6" t="n">
        <v>0</v>
      </c>
      <c r="M2029" s="6" t="n">
        <v>20</v>
      </c>
      <c r="N2029" s="11" t="n">
        <f aca="false">J2029/(J2029+K2029)</f>
        <v>0</v>
      </c>
      <c r="O2029" s="11" t="str">
        <f aca="false">IF(J2029+L2029=0,"",J2029/(J2029+L2029))</f>
        <v/>
      </c>
      <c r="P2029" s="11" t="n">
        <f aca="false">2*J2029/(2*J2029+L2029+K2029)</f>
        <v>0</v>
      </c>
      <c r="Q2029" s="11" t="n">
        <f aca="false">L2029/(L2029+M2029)</f>
        <v>0</v>
      </c>
      <c r="R2029" s="6" t="n">
        <v>0</v>
      </c>
      <c r="S2029" s="11"/>
      <c r="T2029" s="11" t="n">
        <v>0</v>
      </c>
      <c r="U2029" s="11" t="n">
        <v>0.8</v>
      </c>
      <c r="V2029" s="11" t="n">
        <v>0.8</v>
      </c>
    </row>
    <row r="2030" customFormat="false" ht="15" hidden="false" customHeight="false" outlineLevel="0" collapsed="false">
      <c r="A2030" s="6" t="s">
        <v>60</v>
      </c>
      <c r="B2030" s="6" t="s">
        <v>59</v>
      </c>
      <c r="C2030" s="6" t="s">
        <v>51</v>
      </c>
      <c r="D2030" s="6" t="s">
        <v>119</v>
      </c>
      <c r="E2030" s="6" t="n">
        <v>16</v>
      </c>
      <c r="F2030" s="6" t="n">
        <v>5</v>
      </c>
      <c r="G2030" s="6" t="s">
        <v>72</v>
      </c>
      <c r="H2030" s="11" t="n">
        <v>0.01</v>
      </c>
      <c r="I2030" s="6" t="n">
        <v>20</v>
      </c>
      <c r="J2030" s="6" t="n">
        <v>0</v>
      </c>
      <c r="K2030" s="6" t="n">
        <v>20</v>
      </c>
      <c r="L2030" s="6" t="n">
        <v>0</v>
      </c>
      <c r="M2030" s="6" t="n">
        <v>20</v>
      </c>
      <c r="N2030" s="11" t="n">
        <f aca="false">J2030/(J2030+K2030)</f>
        <v>0</v>
      </c>
      <c r="O2030" s="11" t="str">
        <f aca="false">IF(J2030+L2030=0,"",J2030/(J2030+L2030))</f>
        <v/>
      </c>
      <c r="P2030" s="11" t="n">
        <f aca="false">2*J2030/(2*J2030+L2030+K2030)</f>
        <v>0</v>
      </c>
      <c r="Q2030" s="11" t="n">
        <f aca="false">L2030/(L2030+M2030)</f>
        <v>0</v>
      </c>
      <c r="R2030" s="6" t="n">
        <v>0</v>
      </c>
      <c r="S2030" s="11"/>
      <c r="T2030" s="11" t="n">
        <v>0</v>
      </c>
      <c r="U2030" s="11" t="n">
        <v>0.9</v>
      </c>
      <c r="V2030" s="11" t="n">
        <v>0.9</v>
      </c>
    </row>
    <row r="2031" customFormat="false" ht="15" hidden="false" customHeight="false" outlineLevel="0" collapsed="false">
      <c r="A2031" s="6" t="s">
        <v>60</v>
      </c>
      <c r="B2031" s="6" t="s">
        <v>59</v>
      </c>
      <c r="C2031" s="6" t="s">
        <v>51</v>
      </c>
      <c r="D2031" s="6" t="s">
        <v>119</v>
      </c>
      <c r="E2031" s="6" t="n">
        <v>16</v>
      </c>
      <c r="F2031" s="6" t="n">
        <v>5</v>
      </c>
      <c r="G2031" s="6" t="s">
        <v>73</v>
      </c>
      <c r="H2031" s="11" t="n">
        <v>0.01</v>
      </c>
      <c r="I2031" s="6" t="n">
        <v>20</v>
      </c>
      <c r="J2031" s="6" t="n">
        <v>0</v>
      </c>
      <c r="K2031" s="6" t="n">
        <v>20</v>
      </c>
      <c r="L2031" s="6" t="n">
        <v>0</v>
      </c>
      <c r="M2031" s="6" t="n">
        <v>20</v>
      </c>
      <c r="N2031" s="11" t="n">
        <f aca="false">J2031/(J2031+K2031)</f>
        <v>0</v>
      </c>
      <c r="O2031" s="11" t="str">
        <f aca="false">IF(J2031+L2031=0,"",J2031/(J2031+L2031))</f>
        <v/>
      </c>
      <c r="P2031" s="11" t="n">
        <f aca="false">2*J2031/(2*J2031+L2031+K2031)</f>
        <v>0</v>
      </c>
      <c r="Q2031" s="11" t="n">
        <f aca="false">L2031/(L2031+M2031)</f>
        <v>0</v>
      </c>
      <c r="R2031" s="6" t="n">
        <v>2</v>
      </c>
      <c r="S2031" s="11" t="n">
        <v>0</v>
      </c>
      <c r="T2031" s="11" t="n">
        <v>0</v>
      </c>
      <c r="U2031" s="11" t="n">
        <v>0.65</v>
      </c>
      <c r="V2031" s="11" t="n">
        <v>0.65</v>
      </c>
    </row>
    <row r="2032" customFormat="false" ht="15" hidden="false" customHeight="false" outlineLevel="0" collapsed="false">
      <c r="A2032" s="6" t="s">
        <v>60</v>
      </c>
      <c r="B2032" s="6" t="s">
        <v>59</v>
      </c>
      <c r="C2032" s="6" t="s">
        <v>51</v>
      </c>
      <c r="D2032" s="6" t="s">
        <v>119</v>
      </c>
      <c r="E2032" s="6" t="n">
        <v>16</v>
      </c>
      <c r="F2032" s="6" t="n">
        <v>5</v>
      </c>
      <c r="G2032" s="6" t="s">
        <v>74</v>
      </c>
      <c r="H2032" s="11" t="n">
        <v>0.01</v>
      </c>
      <c r="I2032" s="6" t="n">
        <v>20</v>
      </c>
      <c r="J2032" s="6" t="n">
        <v>0</v>
      </c>
      <c r="K2032" s="6" t="n">
        <v>20</v>
      </c>
      <c r="L2032" s="6" t="n">
        <v>0</v>
      </c>
      <c r="M2032" s="6" t="n">
        <v>20</v>
      </c>
      <c r="N2032" s="11" t="n">
        <f aca="false">J2032/(J2032+K2032)</f>
        <v>0</v>
      </c>
      <c r="O2032" s="11" t="str">
        <f aca="false">IF(J2032+L2032=0,"",J2032/(J2032+L2032))</f>
        <v/>
      </c>
      <c r="P2032" s="11" t="n">
        <f aca="false">2*J2032/(2*J2032+L2032+K2032)</f>
        <v>0</v>
      </c>
      <c r="Q2032" s="11" t="n">
        <f aca="false">L2032/(L2032+M2032)</f>
        <v>0</v>
      </c>
      <c r="R2032" s="6" t="n">
        <v>2</v>
      </c>
      <c r="S2032" s="11" t="n">
        <v>0</v>
      </c>
      <c r="T2032" s="11" t="n">
        <v>0</v>
      </c>
      <c r="U2032" s="11" t="n">
        <v>0.85</v>
      </c>
      <c r="V2032" s="11" t="n">
        <v>0.9</v>
      </c>
    </row>
    <row r="2033" customFormat="false" ht="15" hidden="false" customHeight="false" outlineLevel="0" collapsed="false">
      <c r="A2033" s="6" t="s">
        <v>60</v>
      </c>
      <c r="B2033" s="6" t="s">
        <v>59</v>
      </c>
      <c r="C2033" s="6" t="s">
        <v>51</v>
      </c>
      <c r="D2033" s="6" t="s">
        <v>119</v>
      </c>
      <c r="E2033" s="6" t="n">
        <v>16</v>
      </c>
      <c r="F2033" s="6" t="n">
        <v>5</v>
      </c>
      <c r="G2033" s="6" t="s">
        <v>75</v>
      </c>
      <c r="H2033" s="11" t="n">
        <v>0.01</v>
      </c>
      <c r="I2033" s="6" t="n">
        <v>20</v>
      </c>
      <c r="J2033" s="6" t="n">
        <v>0</v>
      </c>
      <c r="K2033" s="6" t="n">
        <v>20</v>
      </c>
      <c r="L2033" s="6" t="n">
        <v>0</v>
      </c>
      <c r="M2033" s="6" t="n">
        <v>20</v>
      </c>
      <c r="N2033" s="11" t="n">
        <f aca="false">J2033/(J2033+K2033)</f>
        <v>0</v>
      </c>
      <c r="O2033" s="11" t="str">
        <f aca="false">IF(J2033+L2033=0,"",J2033/(J2033+L2033))</f>
        <v/>
      </c>
      <c r="P2033" s="11" t="n">
        <f aca="false">2*J2033/(2*J2033+L2033+K2033)</f>
        <v>0</v>
      </c>
      <c r="Q2033" s="11" t="n">
        <f aca="false">L2033/(L2033+M2033)</f>
        <v>0</v>
      </c>
      <c r="R2033" s="6" t="n">
        <v>0</v>
      </c>
      <c r="S2033" s="11"/>
      <c r="T2033" s="11" t="n">
        <v>0</v>
      </c>
      <c r="U2033" s="11" t="n">
        <v>0.9</v>
      </c>
      <c r="V2033" s="11" t="n">
        <v>0.9</v>
      </c>
    </row>
    <row r="2034" customFormat="false" ht="15" hidden="false" customHeight="false" outlineLevel="0" collapsed="false">
      <c r="A2034" s="6" t="s">
        <v>60</v>
      </c>
      <c r="B2034" s="6" t="s">
        <v>59</v>
      </c>
      <c r="C2034" s="6" t="s">
        <v>51</v>
      </c>
      <c r="D2034" s="6" t="s">
        <v>119</v>
      </c>
      <c r="E2034" s="6" t="n">
        <v>16</v>
      </c>
      <c r="F2034" s="6" t="n">
        <v>5</v>
      </c>
      <c r="G2034" s="6" t="s">
        <v>76</v>
      </c>
      <c r="H2034" s="11" t="n">
        <v>0.01</v>
      </c>
      <c r="I2034" s="6" t="n">
        <v>20</v>
      </c>
      <c r="J2034" s="6" t="n">
        <v>0</v>
      </c>
      <c r="K2034" s="6" t="n">
        <v>20</v>
      </c>
      <c r="L2034" s="6" t="n">
        <v>0</v>
      </c>
      <c r="M2034" s="6" t="n">
        <v>20</v>
      </c>
      <c r="N2034" s="11" t="n">
        <f aca="false">J2034/(J2034+K2034)</f>
        <v>0</v>
      </c>
      <c r="O2034" s="11" t="str">
        <f aca="false">IF(J2034+L2034=0,"",J2034/(J2034+L2034))</f>
        <v/>
      </c>
      <c r="P2034" s="11" t="n">
        <f aca="false">2*J2034/(2*J2034+L2034+K2034)</f>
        <v>0</v>
      </c>
      <c r="Q2034" s="11" t="n">
        <f aca="false">L2034/(L2034+M2034)</f>
        <v>0</v>
      </c>
      <c r="R2034" s="6" t="n">
        <v>0</v>
      </c>
      <c r="S2034" s="11"/>
      <c r="T2034" s="11" t="n">
        <v>0</v>
      </c>
      <c r="U2034" s="11" t="n">
        <v>0.95</v>
      </c>
      <c r="V2034" s="11" t="n">
        <v>0.95</v>
      </c>
    </row>
    <row r="2035" customFormat="false" ht="15" hidden="false" customHeight="false" outlineLevel="0" collapsed="false">
      <c r="A2035" s="6" t="s">
        <v>60</v>
      </c>
      <c r="B2035" s="6" t="s">
        <v>59</v>
      </c>
      <c r="C2035" s="6" t="s">
        <v>51</v>
      </c>
      <c r="D2035" s="6" t="s">
        <v>119</v>
      </c>
      <c r="E2035" s="6" t="n">
        <v>16</v>
      </c>
      <c r="F2035" s="6" t="n">
        <v>5</v>
      </c>
      <c r="G2035" s="6" t="s">
        <v>77</v>
      </c>
      <c r="H2035" s="11" t="n">
        <v>0.01</v>
      </c>
      <c r="I2035" s="6" t="n">
        <v>20</v>
      </c>
      <c r="J2035" s="6" t="n">
        <v>1</v>
      </c>
      <c r="K2035" s="6" t="n">
        <v>19</v>
      </c>
      <c r="L2035" s="6" t="n">
        <v>1</v>
      </c>
      <c r="M2035" s="6" t="n">
        <v>19</v>
      </c>
      <c r="N2035" s="11" t="n">
        <f aca="false">J2035/(J2035+K2035)</f>
        <v>0.05</v>
      </c>
      <c r="O2035" s="11" t="n">
        <f aca="false">IF(J2035+L2035=0,"",J2035/(J2035+L2035))</f>
        <v>0.5</v>
      </c>
      <c r="P2035" s="11" t="n">
        <f aca="false">2*J2035/(2*J2035+L2035+K2035)</f>
        <v>0.0909090909090909</v>
      </c>
      <c r="Q2035" s="11" t="n">
        <f aca="false">L2035/(L2035+M2035)</f>
        <v>0.05</v>
      </c>
      <c r="R2035" s="6" t="n">
        <v>0</v>
      </c>
      <c r="S2035" s="11"/>
      <c r="T2035" s="11" t="n">
        <v>0.05</v>
      </c>
      <c r="U2035" s="11" t="n">
        <v>1</v>
      </c>
      <c r="V2035" s="11" t="n">
        <v>1</v>
      </c>
    </row>
    <row r="2036" customFormat="false" ht="15" hidden="false" customHeight="false" outlineLevel="0" collapsed="false">
      <c r="A2036" s="6" t="s">
        <v>60</v>
      </c>
      <c r="B2036" s="6" t="s">
        <v>59</v>
      </c>
      <c r="C2036" s="6" t="s">
        <v>51</v>
      </c>
      <c r="D2036" s="6" t="s">
        <v>119</v>
      </c>
      <c r="E2036" s="6" t="n">
        <v>16</v>
      </c>
      <c r="F2036" s="6" t="n">
        <v>5</v>
      </c>
      <c r="G2036" s="6" t="s">
        <v>78</v>
      </c>
      <c r="H2036" s="11" t="n">
        <v>0.01</v>
      </c>
      <c r="I2036" s="6" t="n">
        <v>200</v>
      </c>
      <c r="J2036" s="6" t="n">
        <v>1</v>
      </c>
      <c r="K2036" s="6" t="n">
        <v>199</v>
      </c>
      <c r="L2036" s="6" t="n">
        <v>1</v>
      </c>
      <c r="M2036" s="6" t="n">
        <v>199</v>
      </c>
      <c r="N2036" s="11" t="n">
        <f aca="false">J2036/(J2036+K2036)</f>
        <v>0.005</v>
      </c>
      <c r="O2036" s="11" t="n">
        <f aca="false">IF(J2036+L2036=0,"",J2036/(J2036+L2036))</f>
        <v>0.5</v>
      </c>
      <c r="P2036" s="11" t="n">
        <f aca="false">2*J2036/(2*J2036+L2036+K2036)</f>
        <v>0.0099009900990099</v>
      </c>
      <c r="Q2036" s="11" t="n">
        <f aca="false">L2036/(L2036+M2036)</f>
        <v>0.005</v>
      </c>
      <c r="R2036" s="6" t="n">
        <v>4</v>
      </c>
      <c r="S2036" s="11" t="n">
        <v>0</v>
      </c>
      <c r="T2036" s="11" t="n">
        <v>0.00510204081632653</v>
      </c>
      <c r="U2036" s="11" t="n">
        <v>0.88</v>
      </c>
      <c r="V2036" s="11" t="n">
        <v>0.885</v>
      </c>
    </row>
    <row r="2037" customFormat="false" ht="15" hidden="false" customHeight="false" outlineLevel="0" collapsed="false">
      <c r="A2037" s="6" t="s">
        <v>60</v>
      </c>
      <c r="B2037" s="6" t="s">
        <v>59</v>
      </c>
      <c r="C2037" s="6" t="s">
        <v>51</v>
      </c>
      <c r="D2037" s="6" t="s">
        <v>119</v>
      </c>
      <c r="E2037" s="6" t="n">
        <v>16</v>
      </c>
      <c r="F2037" s="6" t="n">
        <v>6</v>
      </c>
      <c r="G2037" s="6" t="s">
        <v>68</v>
      </c>
      <c r="H2037" s="11" t="n">
        <v>0.01</v>
      </c>
      <c r="I2037" s="6" t="n">
        <v>20</v>
      </c>
      <c r="J2037" s="6" t="n">
        <v>0</v>
      </c>
      <c r="K2037" s="6" t="n">
        <v>20</v>
      </c>
      <c r="L2037" s="6" t="n">
        <v>0</v>
      </c>
      <c r="M2037" s="6" t="n">
        <v>20</v>
      </c>
      <c r="N2037" s="11" t="n">
        <f aca="false">J2037/(J2037+K2037)</f>
        <v>0</v>
      </c>
      <c r="O2037" s="11" t="str">
        <f aca="false">IF(J2037+L2037=0,"",J2037/(J2037+L2037))</f>
        <v/>
      </c>
      <c r="P2037" s="11" t="n">
        <f aca="false">2*J2037/(2*J2037+L2037+K2037)</f>
        <v>0</v>
      </c>
      <c r="Q2037" s="11" t="n">
        <f aca="false">L2037/(L2037+M2037)</f>
        <v>0</v>
      </c>
      <c r="R2037" s="6" t="n">
        <v>0</v>
      </c>
      <c r="S2037" s="11"/>
      <c r="T2037" s="11" t="n">
        <v>0</v>
      </c>
      <c r="U2037" s="11" t="n">
        <v>0.85</v>
      </c>
      <c r="V2037" s="11" t="n">
        <v>0.85</v>
      </c>
    </row>
    <row r="2038" customFormat="false" ht="15" hidden="false" customHeight="false" outlineLevel="0" collapsed="false">
      <c r="A2038" s="6" t="s">
        <v>60</v>
      </c>
      <c r="B2038" s="6" t="s">
        <v>59</v>
      </c>
      <c r="C2038" s="6" t="s">
        <v>51</v>
      </c>
      <c r="D2038" s="6" t="s">
        <v>119</v>
      </c>
      <c r="E2038" s="6" t="n">
        <v>16</v>
      </c>
      <c r="F2038" s="6" t="n">
        <v>6</v>
      </c>
      <c r="G2038" s="6" t="s">
        <v>69</v>
      </c>
      <c r="H2038" s="11" t="n">
        <v>0.01</v>
      </c>
      <c r="I2038" s="6" t="n">
        <v>20</v>
      </c>
      <c r="J2038" s="6" t="n">
        <v>0</v>
      </c>
      <c r="K2038" s="6" t="n">
        <v>20</v>
      </c>
      <c r="L2038" s="6" t="n">
        <v>0</v>
      </c>
      <c r="M2038" s="6" t="n">
        <v>20</v>
      </c>
      <c r="N2038" s="11" t="n">
        <f aca="false">J2038/(J2038+K2038)</f>
        <v>0</v>
      </c>
      <c r="O2038" s="11" t="str">
        <f aca="false">IF(J2038+L2038=0,"",J2038/(J2038+L2038))</f>
        <v/>
      </c>
      <c r="P2038" s="11" t="n">
        <f aca="false">2*J2038/(2*J2038+L2038+K2038)</f>
        <v>0</v>
      </c>
      <c r="Q2038" s="11" t="n">
        <f aca="false">L2038/(L2038+M2038)</f>
        <v>0</v>
      </c>
      <c r="R2038" s="6" t="n">
        <v>0</v>
      </c>
      <c r="S2038" s="11"/>
      <c r="T2038" s="11" t="n">
        <v>0</v>
      </c>
      <c r="U2038" s="11" t="n">
        <v>1</v>
      </c>
      <c r="V2038" s="11" t="n">
        <v>1</v>
      </c>
    </row>
    <row r="2039" customFormat="false" ht="15" hidden="false" customHeight="false" outlineLevel="0" collapsed="false">
      <c r="A2039" s="6" t="s">
        <v>60</v>
      </c>
      <c r="B2039" s="6" t="s">
        <v>59</v>
      </c>
      <c r="C2039" s="6" t="s">
        <v>51</v>
      </c>
      <c r="D2039" s="6" t="s">
        <v>119</v>
      </c>
      <c r="E2039" s="6" t="n">
        <v>16</v>
      </c>
      <c r="F2039" s="6" t="n">
        <v>6</v>
      </c>
      <c r="G2039" s="6" t="s">
        <v>70</v>
      </c>
      <c r="H2039" s="11" t="n">
        <v>0.01</v>
      </c>
      <c r="I2039" s="6" t="n">
        <v>20</v>
      </c>
      <c r="J2039" s="6" t="n">
        <v>0</v>
      </c>
      <c r="K2039" s="6" t="n">
        <v>20</v>
      </c>
      <c r="L2039" s="6" t="n">
        <v>0</v>
      </c>
      <c r="M2039" s="6" t="n">
        <v>20</v>
      </c>
      <c r="N2039" s="11" t="n">
        <f aca="false">J2039/(J2039+K2039)</f>
        <v>0</v>
      </c>
      <c r="O2039" s="11" t="str">
        <f aca="false">IF(J2039+L2039=0,"",J2039/(J2039+L2039))</f>
        <v/>
      </c>
      <c r="P2039" s="11" t="n">
        <f aca="false">2*J2039/(2*J2039+L2039+K2039)</f>
        <v>0</v>
      </c>
      <c r="Q2039" s="11" t="n">
        <f aca="false">L2039/(L2039+M2039)</f>
        <v>0</v>
      </c>
      <c r="R2039" s="6" t="n">
        <v>0</v>
      </c>
      <c r="S2039" s="11"/>
      <c r="T2039" s="11" t="n">
        <v>0</v>
      </c>
      <c r="U2039" s="11" t="n">
        <v>0.9</v>
      </c>
      <c r="V2039" s="11" t="n">
        <v>0.9</v>
      </c>
    </row>
    <row r="2040" customFormat="false" ht="15" hidden="false" customHeight="false" outlineLevel="0" collapsed="false">
      <c r="A2040" s="6" t="s">
        <v>60</v>
      </c>
      <c r="B2040" s="6" t="s">
        <v>59</v>
      </c>
      <c r="C2040" s="6" t="s">
        <v>51</v>
      </c>
      <c r="D2040" s="6" t="s">
        <v>119</v>
      </c>
      <c r="E2040" s="6" t="n">
        <v>16</v>
      </c>
      <c r="F2040" s="6" t="n">
        <v>6</v>
      </c>
      <c r="G2040" s="6" t="s">
        <v>71</v>
      </c>
      <c r="H2040" s="11" t="n">
        <v>0.01</v>
      </c>
      <c r="I2040" s="6" t="n">
        <v>20</v>
      </c>
      <c r="J2040" s="6" t="n">
        <v>0</v>
      </c>
      <c r="K2040" s="6" t="n">
        <v>20</v>
      </c>
      <c r="L2040" s="6" t="n">
        <v>0</v>
      </c>
      <c r="M2040" s="6" t="n">
        <v>20</v>
      </c>
      <c r="N2040" s="11" t="n">
        <f aca="false">J2040/(J2040+K2040)</f>
        <v>0</v>
      </c>
      <c r="O2040" s="11" t="str">
        <f aca="false">IF(J2040+L2040=0,"",J2040/(J2040+L2040))</f>
        <v/>
      </c>
      <c r="P2040" s="11" t="n">
        <f aca="false">2*J2040/(2*J2040+L2040+K2040)</f>
        <v>0</v>
      </c>
      <c r="Q2040" s="11" t="n">
        <f aca="false">L2040/(L2040+M2040)</f>
        <v>0</v>
      </c>
      <c r="R2040" s="6" t="n">
        <v>0</v>
      </c>
      <c r="S2040" s="11"/>
      <c r="T2040" s="11" t="n">
        <v>0</v>
      </c>
      <c r="U2040" s="11" t="n">
        <v>0.8</v>
      </c>
      <c r="V2040" s="11" t="n">
        <v>0.8</v>
      </c>
    </row>
    <row r="2041" customFormat="false" ht="15" hidden="false" customHeight="false" outlineLevel="0" collapsed="false">
      <c r="A2041" s="6" t="s">
        <v>60</v>
      </c>
      <c r="B2041" s="6" t="s">
        <v>59</v>
      </c>
      <c r="C2041" s="6" t="s">
        <v>51</v>
      </c>
      <c r="D2041" s="6" t="s">
        <v>119</v>
      </c>
      <c r="E2041" s="6" t="n">
        <v>16</v>
      </c>
      <c r="F2041" s="6" t="n">
        <v>6</v>
      </c>
      <c r="G2041" s="6" t="s">
        <v>72</v>
      </c>
      <c r="H2041" s="11" t="n">
        <v>0.01</v>
      </c>
      <c r="I2041" s="6" t="n">
        <v>20</v>
      </c>
      <c r="J2041" s="6" t="n">
        <v>0</v>
      </c>
      <c r="K2041" s="6" t="n">
        <v>20</v>
      </c>
      <c r="L2041" s="6" t="n">
        <v>0</v>
      </c>
      <c r="M2041" s="6" t="n">
        <v>20</v>
      </c>
      <c r="N2041" s="11" t="n">
        <f aca="false">J2041/(J2041+K2041)</f>
        <v>0</v>
      </c>
      <c r="O2041" s="11" t="str">
        <f aca="false">IF(J2041+L2041=0,"",J2041/(J2041+L2041))</f>
        <v/>
      </c>
      <c r="P2041" s="11" t="n">
        <f aca="false">2*J2041/(2*J2041+L2041+K2041)</f>
        <v>0</v>
      </c>
      <c r="Q2041" s="11" t="n">
        <f aca="false">L2041/(L2041+M2041)</f>
        <v>0</v>
      </c>
      <c r="R2041" s="6" t="n">
        <v>0</v>
      </c>
      <c r="S2041" s="11"/>
      <c r="T2041" s="11" t="n">
        <v>0</v>
      </c>
      <c r="U2041" s="11" t="n">
        <v>0.9</v>
      </c>
      <c r="V2041" s="11" t="n">
        <v>0.9</v>
      </c>
    </row>
    <row r="2042" customFormat="false" ht="15" hidden="false" customHeight="false" outlineLevel="0" collapsed="false">
      <c r="A2042" s="6" t="s">
        <v>60</v>
      </c>
      <c r="B2042" s="6" t="s">
        <v>59</v>
      </c>
      <c r="C2042" s="6" t="s">
        <v>51</v>
      </c>
      <c r="D2042" s="6" t="s">
        <v>119</v>
      </c>
      <c r="E2042" s="6" t="n">
        <v>16</v>
      </c>
      <c r="F2042" s="6" t="n">
        <v>6</v>
      </c>
      <c r="G2042" s="6" t="s">
        <v>73</v>
      </c>
      <c r="H2042" s="11" t="n">
        <v>0.01</v>
      </c>
      <c r="I2042" s="6" t="n">
        <v>20</v>
      </c>
      <c r="J2042" s="6" t="n">
        <v>0</v>
      </c>
      <c r="K2042" s="6" t="n">
        <v>20</v>
      </c>
      <c r="L2042" s="6" t="n">
        <v>0</v>
      </c>
      <c r="M2042" s="6" t="n">
        <v>20</v>
      </c>
      <c r="N2042" s="11" t="n">
        <f aca="false">J2042/(J2042+K2042)</f>
        <v>0</v>
      </c>
      <c r="O2042" s="11" t="str">
        <f aca="false">IF(J2042+L2042=0,"",J2042/(J2042+L2042))</f>
        <v/>
      </c>
      <c r="P2042" s="11" t="n">
        <f aca="false">2*J2042/(2*J2042+L2042+K2042)</f>
        <v>0</v>
      </c>
      <c r="Q2042" s="11" t="n">
        <f aca="false">L2042/(L2042+M2042)</f>
        <v>0</v>
      </c>
      <c r="R2042" s="6" t="n">
        <v>1</v>
      </c>
      <c r="S2042" s="11" t="n">
        <v>0</v>
      </c>
      <c r="T2042" s="11" t="n">
        <v>0</v>
      </c>
      <c r="U2042" s="11" t="n">
        <v>0.65</v>
      </c>
      <c r="V2042" s="11" t="n">
        <v>0.65</v>
      </c>
    </row>
    <row r="2043" customFormat="false" ht="15" hidden="false" customHeight="false" outlineLevel="0" collapsed="false">
      <c r="A2043" s="6" t="s">
        <v>60</v>
      </c>
      <c r="B2043" s="6" t="s">
        <v>59</v>
      </c>
      <c r="C2043" s="6" t="s">
        <v>51</v>
      </c>
      <c r="D2043" s="6" t="s">
        <v>119</v>
      </c>
      <c r="E2043" s="6" t="n">
        <v>16</v>
      </c>
      <c r="F2043" s="6" t="n">
        <v>6</v>
      </c>
      <c r="G2043" s="6" t="s">
        <v>74</v>
      </c>
      <c r="H2043" s="11" t="n">
        <v>0.01</v>
      </c>
      <c r="I2043" s="6" t="n">
        <v>20</v>
      </c>
      <c r="J2043" s="6" t="n">
        <v>0</v>
      </c>
      <c r="K2043" s="6" t="n">
        <v>20</v>
      </c>
      <c r="L2043" s="6" t="n">
        <v>0</v>
      </c>
      <c r="M2043" s="6" t="n">
        <v>20</v>
      </c>
      <c r="N2043" s="11" t="n">
        <f aca="false">J2043/(J2043+K2043)</f>
        <v>0</v>
      </c>
      <c r="O2043" s="11" t="str">
        <f aca="false">IF(J2043+L2043=0,"",J2043/(J2043+L2043))</f>
        <v/>
      </c>
      <c r="P2043" s="11" t="n">
        <f aca="false">2*J2043/(2*J2043+L2043+K2043)</f>
        <v>0</v>
      </c>
      <c r="Q2043" s="11" t="n">
        <f aca="false">L2043/(L2043+M2043)</f>
        <v>0</v>
      </c>
      <c r="R2043" s="6" t="n">
        <v>0</v>
      </c>
      <c r="S2043" s="11"/>
      <c r="T2043" s="11" t="n">
        <v>0</v>
      </c>
      <c r="U2043" s="11" t="n">
        <v>0.85</v>
      </c>
      <c r="V2043" s="11" t="n">
        <v>0.85</v>
      </c>
    </row>
    <row r="2044" customFormat="false" ht="15" hidden="false" customHeight="false" outlineLevel="0" collapsed="false">
      <c r="A2044" s="6" t="s">
        <v>60</v>
      </c>
      <c r="B2044" s="6" t="s">
        <v>59</v>
      </c>
      <c r="C2044" s="6" t="s">
        <v>51</v>
      </c>
      <c r="D2044" s="6" t="s">
        <v>119</v>
      </c>
      <c r="E2044" s="6" t="n">
        <v>16</v>
      </c>
      <c r="F2044" s="6" t="n">
        <v>6</v>
      </c>
      <c r="G2044" s="6" t="s">
        <v>75</v>
      </c>
      <c r="H2044" s="11" t="n">
        <v>0.01</v>
      </c>
      <c r="I2044" s="6" t="n">
        <v>20</v>
      </c>
      <c r="J2044" s="6" t="n">
        <v>0</v>
      </c>
      <c r="K2044" s="6" t="n">
        <v>20</v>
      </c>
      <c r="L2044" s="6" t="n">
        <v>0</v>
      </c>
      <c r="M2044" s="6" t="n">
        <v>20</v>
      </c>
      <c r="N2044" s="11" t="n">
        <f aca="false">J2044/(J2044+K2044)</f>
        <v>0</v>
      </c>
      <c r="O2044" s="11" t="str">
        <f aca="false">IF(J2044+L2044=0,"",J2044/(J2044+L2044))</f>
        <v/>
      </c>
      <c r="P2044" s="11" t="n">
        <f aca="false">2*J2044/(2*J2044+L2044+K2044)</f>
        <v>0</v>
      </c>
      <c r="Q2044" s="11" t="n">
        <f aca="false">L2044/(L2044+M2044)</f>
        <v>0</v>
      </c>
      <c r="R2044" s="6" t="n">
        <v>0</v>
      </c>
      <c r="S2044" s="11"/>
      <c r="T2044" s="11" t="n">
        <v>0</v>
      </c>
      <c r="U2044" s="11" t="n">
        <v>0.9</v>
      </c>
      <c r="V2044" s="11" t="n">
        <v>0.9</v>
      </c>
    </row>
    <row r="2045" customFormat="false" ht="15" hidden="false" customHeight="false" outlineLevel="0" collapsed="false">
      <c r="A2045" s="6" t="s">
        <v>60</v>
      </c>
      <c r="B2045" s="6" t="s">
        <v>59</v>
      </c>
      <c r="C2045" s="6" t="s">
        <v>51</v>
      </c>
      <c r="D2045" s="6" t="s">
        <v>119</v>
      </c>
      <c r="E2045" s="6" t="n">
        <v>16</v>
      </c>
      <c r="F2045" s="6" t="n">
        <v>6</v>
      </c>
      <c r="G2045" s="6" t="s">
        <v>76</v>
      </c>
      <c r="H2045" s="11" t="n">
        <v>0.01</v>
      </c>
      <c r="I2045" s="6" t="n">
        <v>20</v>
      </c>
      <c r="J2045" s="6" t="n">
        <v>0</v>
      </c>
      <c r="K2045" s="6" t="n">
        <v>20</v>
      </c>
      <c r="L2045" s="6" t="n">
        <v>0</v>
      </c>
      <c r="M2045" s="6" t="n">
        <v>20</v>
      </c>
      <c r="N2045" s="11" t="n">
        <f aca="false">J2045/(J2045+K2045)</f>
        <v>0</v>
      </c>
      <c r="O2045" s="11" t="str">
        <f aca="false">IF(J2045+L2045=0,"",J2045/(J2045+L2045))</f>
        <v/>
      </c>
      <c r="P2045" s="11" t="n">
        <f aca="false">2*J2045/(2*J2045+L2045+K2045)</f>
        <v>0</v>
      </c>
      <c r="Q2045" s="11" t="n">
        <f aca="false">L2045/(L2045+M2045)</f>
        <v>0</v>
      </c>
      <c r="R2045" s="6" t="n">
        <v>0</v>
      </c>
      <c r="S2045" s="11"/>
      <c r="T2045" s="11" t="n">
        <v>0</v>
      </c>
      <c r="U2045" s="11" t="n">
        <v>0.95</v>
      </c>
      <c r="V2045" s="11" t="n">
        <v>0.95</v>
      </c>
    </row>
    <row r="2046" customFormat="false" ht="15" hidden="false" customHeight="false" outlineLevel="0" collapsed="false">
      <c r="A2046" s="6" t="s">
        <v>60</v>
      </c>
      <c r="B2046" s="6" t="s">
        <v>59</v>
      </c>
      <c r="C2046" s="6" t="s">
        <v>51</v>
      </c>
      <c r="D2046" s="6" t="s">
        <v>119</v>
      </c>
      <c r="E2046" s="6" t="n">
        <v>16</v>
      </c>
      <c r="F2046" s="6" t="n">
        <v>6</v>
      </c>
      <c r="G2046" s="6" t="s">
        <v>77</v>
      </c>
      <c r="H2046" s="11" t="n">
        <v>0.01</v>
      </c>
      <c r="I2046" s="6" t="n">
        <v>20</v>
      </c>
      <c r="J2046" s="6" t="n">
        <v>1</v>
      </c>
      <c r="K2046" s="6" t="n">
        <v>19</v>
      </c>
      <c r="L2046" s="6" t="n">
        <v>1</v>
      </c>
      <c r="M2046" s="6" t="n">
        <v>19</v>
      </c>
      <c r="N2046" s="11" t="n">
        <f aca="false">J2046/(J2046+K2046)</f>
        <v>0.05</v>
      </c>
      <c r="O2046" s="11" t="n">
        <f aca="false">IF(J2046+L2046=0,"",J2046/(J2046+L2046))</f>
        <v>0.5</v>
      </c>
      <c r="P2046" s="11" t="n">
        <f aca="false">2*J2046/(2*J2046+L2046+K2046)</f>
        <v>0.0909090909090909</v>
      </c>
      <c r="Q2046" s="11" t="n">
        <f aca="false">L2046/(L2046+M2046)</f>
        <v>0.05</v>
      </c>
      <c r="R2046" s="6" t="n">
        <v>0</v>
      </c>
      <c r="S2046" s="11"/>
      <c r="T2046" s="11" t="n">
        <v>0.05</v>
      </c>
      <c r="U2046" s="11" t="n">
        <v>1</v>
      </c>
      <c r="V2046" s="11" t="n">
        <v>1</v>
      </c>
    </row>
    <row r="2047" customFormat="false" ht="15" hidden="false" customHeight="false" outlineLevel="0" collapsed="false">
      <c r="A2047" s="6" t="s">
        <v>60</v>
      </c>
      <c r="B2047" s="6" t="s">
        <v>59</v>
      </c>
      <c r="C2047" s="6" t="s">
        <v>51</v>
      </c>
      <c r="D2047" s="6" t="s">
        <v>119</v>
      </c>
      <c r="E2047" s="6" t="n">
        <v>16</v>
      </c>
      <c r="F2047" s="6" t="n">
        <v>6</v>
      </c>
      <c r="G2047" s="6" t="s">
        <v>78</v>
      </c>
      <c r="H2047" s="11" t="n">
        <v>0.01</v>
      </c>
      <c r="I2047" s="6" t="n">
        <v>200</v>
      </c>
      <c r="J2047" s="6" t="n">
        <v>1</v>
      </c>
      <c r="K2047" s="6" t="n">
        <v>199</v>
      </c>
      <c r="L2047" s="6" t="n">
        <v>1</v>
      </c>
      <c r="M2047" s="6" t="n">
        <v>199</v>
      </c>
      <c r="N2047" s="11" t="n">
        <f aca="false">J2047/(J2047+K2047)</f>
        <v>0.005</v>
      </c>
      <c r="O2047" s="11" t="n">
        <f aca="false">IF(J2047+L2047=0,"",J2047/(J2047+L2047))</f>
        <v>0.5</v>
      </c>
      <c r="P2047" s="11" t="n">
        <f aca="false">2*J2047/(2*J2047+L2047+K2047)</f>
        <v>0.0099009900990099</v>
      </c>
      <c r="Q2047" s="11" t="n">
        <f aca="false">L2047/(L2047+M2047)</f>
        <v>0.005</v>
      </c>
      <c r="R2047" s="6" t="n">
        <v>1</v>
      </c>
      <c r="S2047" s="11" t="n">
        <v>0</v>
      </c>
      <c r="T2047" s="11" t="n">
        <v>0.0050251256281407</v>
      </c>
      <c r="U2047" s="11" t="n">
        <v>0.88</v>
      </c>
      <c r="V2047" s="11" t="n">
        <v>0.88</v>
      </c>
    </row>
    <row r="2048" customFormat="false" ht="15" hidden="false" customHeight="false" outlineLevel="0" collapsed="false">
      <c r="A2048" s="6" t="s">
        <v>60</v>
      </c>
      <c r="B2048" s="6" t="s">
        <v>59</v>
      </c>
      <c r="C2048" s="6" t="s">
        <v>51</v>
      </c>
      <c r="D2048" s="6" t="s">
        <v>119</v>
      </c>
      <c r="E2048" s="6" t="n">
        <v>16</v>
      </c>
      <c r="F2048" s="6" t="n">
        <v>7</v>
      </c>
      <c r="G2048" s="6" t="s">
        <v>68</v>
      </c>
      <c r="H2048" s="11" t="n">
        <v>0.01</v>
      </c>
      <c r="I2048" s="6" t="n">
        <v>20</v>
      </c>
      <c r="J2048" s="6" t="n">
        <v>0</v>
      </c>
      <c r="K2048" s="6" t="n">
        <v>20</v>
      </c>
      <c r="L2048" s="6" t="n">
        <v>0</v>
      </c>
      <c r="M2048" s="6" t="n">
        <v>20</v>
      </c>
      <c r="N2048" s="11" t="n">
        <f aca="false">J2048/(J2048+K2048)</f>
        <v>0</v>
      </c>
      <c r="O2048" s="11" t="str">
        <f aca="false">IF(J2048+L2048=0,"",J2048/(J2048+L2048))</f>
        <v/>
      </c>
      <c r="P2048" s="11" t="n">
        <f aca="false">2*J2048/(2*J2048+L2048+K2048)</f>
        <v>0</v>
      </c>
      <c r="Q2048" s="11" t="n">
        <f aca="false">L2048/(L2048+M2048)</f>
        <v>0</v>
      </c>
      <c r="R2048" s="6" t="n">
        <v>0</v>
      </c>
      <c r="S2048" s="11"/>
      <c r="T2048" s="11" t="n">
        <v>0</v>
      </c>
      <c r="U2048" s="11" t="n">
        <v>0.85</v>
      </c>
      <c r="V2048" s="11" t="n">
        <v>0.85</v>
      </c>
    </row>
    <row r="2049" customFormat="false" ht="15" hidden="false" customHeight="false" outlineLevel="0" collapsed="false">
      <c r="A2049" s="6" t="s">
        <v>60</v>
      </c>
      <c r="B2049" s="6" t="s">
        <v>59</v>
      </c>
      <c r="C2049" s="6" t="s">
        <v>51</v>
      </c>
      <c r="D2049" s="6" t="s">
        <v>119</v>
      </c>
      <c r="E2049" s="6" t="n">
        <v>16</v>
      </c>
      <c r="F2049" s="6" t="n">
        <v>7</v>
      </c>
      <c r="G2049" s="6" t="s">
        <v>69</v>
      </c>
      <c r="H2049" s="11" t="n">
        <v>0.01</v>
      </c>
      <c r="I2049" s="6" t="n">
        <v>20</v>
      </c>
      <c r="J2049" s="6" t="n">
        <v>0</v>
      </c>
      <c r="K2049" s="6" t="n">
        <v>20</v>
      </c>
      <c r="L2049" s="6" t="n">
        <v>0</v>
      </c>
      <c r="M2049" s="6" t="n">
        <v>20</v>
      </c>
      <c r="N2049" s="11" t="n">
        <f aca="false">J2049/(J2049+K2049)</f>
        <v>0</v>
      </c>
      <c r="O2049" s="11" t="str">
        <f aca="false">IF(J2049+L2049=0,"",J2049/(J2049+L2049))</f>
        <v/>
      </c>
      <c r="P2049" s="11" t="n">
        <f aca="false">2*J2049/(2*J2049+L2049+K2049)</f>
        <v>0</v>
      </c>
      <c r="Q2049" s="11" t="n">
        <f aca="false">L2049/(L2049+M2049)</f>
        <v>0</v>
      </c>
      <c r="R2049" s="6" t="n">
        <v>0</v>
      </c>
      <c r="S2049" s="11"/>
      <c r="T2049" s="11" t="n">
        <v>0</v>
      </c>
      <c r="U2049" s="11" t="n">
        <v>1</v>
      </c>
      <c r="V2049" s="11" t="n">
        <v>1</v>
      </c>
    </row>
    <row r="2050" customFormat="false" ht="15" hidden="false" customHeight="false" outlineLevel="0" collapsed="false">
      <c r="A2050" s="6" t="s">
        <v>60</v>
      </c>
      <c r="B2050" s="6" t="s">
        <v>59</v>
      </c>
      <c r="C2050" s="6" t="s">
        <v>51</v>
      </c>
      <c r="D2050" s="6" t="s">
        <v>119</v>
      </c>
      <c r="E2050" s="6" t="n">
        <v>16</v>
      </c>
      <c r="F2050" s="6" t="n">
        <v>7</v>
      </c>
      <c r="G2050" s="6" t="s">
        <v>70</v>
      </c>
      <c r="H2050" s="11" t="n">
        <v>0.01</v>
      </c>
      <c r="I2050" s="6" t="n">
        <v>20</v>
      </c>
      <c r="J2050" s="6" t="n">
        <v>0</v>
      </c>
      <c r="K2050" s="6" t="n">
        <v>20</v>
      </c>
      <c r="L2050" s="6" t="n">
        <v>0</v>
      </c>
      <c r="M2050" s="6" t="n">
        <v>20</v>
      </c>
      <c r="N2050" s="11" t="n">
        <f aca="false">J2050/(J2050+K2050)</f>
        <v>0</v>
      </c>
      <c r="O2050" s="11" t="str">
        <f aca="false">IF(J2050+L2050=0,"",J2050/(J2050+L2050))</f>
        <v/>
      </c>
      <c r="P2050" s="11" t="n">
        <f aca="false">2*J2050/(2*J2050+L2050+K2050)</f>
        <v>0</v>
      </c>
      <c r="Q2050" s="11" t="n">
        <f aca="false">L2050/(L2050+M2050)</f>
        <v>0</v>
      </c>
      <c r="R2050" s="6" t="n">
        <v>0</v>
      </c>
      <c r="S2050" s="11"/>
      <c r="T2050" s="11" t="n">
        <v>0</v>
      </c>
      <c r="U2050" s="11" t="n">
        <v>0.9</v>
      </c>
      <c r="V2050" s="11" t="n">
        <v>0.9</v>
      </c>
    </row>
    <row r="2051" customFormat="false" ht="15" hidden="false" customHeight="false" outlineLevel="0" collapsed="false">
      <c r="A2051" s="6" t="s">
        <v>60</v>
      </c>
      <c r="B2051" s="6" t="s">
        <v>59</v>
      </c>
      <c r="C2051" s="6" t="s">
        <v>51</v>
      </c>
      <c r="D2051" s="6" t="s">
        <v>119</v>
      </c>
      <c r="E2051" s="6" t="n">
        <v>16</v>
      </c>
      <c r="F2051" s="6" t="n">
        <v>7</v>
      </c>
      <c r="G2051" s="6" t="s">
        <v>71</v>
      </c>
      <c r="H2051" s="11" t="n">
        <v>0.01</v>
      </c>
      <c r="I2051" s="6" t="n">
        <v>20</v>
      </c>
      <c r="J2051" s="6" t="n">
        <v>0</v>
      </c>
      <c r="K2051" s="6" t="n">
        <v>20</v>
      </c>
      <c r="L2051" s="6" t="n">
        <v>0</v>
      </c>
      <c r="M2051" s="6" t="n">
        <v>20</v>
      </c>
      <c r="N2051" s="11" t="n">
        <f aca="false">J2051/(J2051+K2051)</f>
        <v>0</v>
      </c>
      <c r="O2051" s="11" t="str">
        <f aca="false">IF(J2051+L2051=0,"",J2051/(J2051+L2051))</f>
        <v/>
      </c>
      <c r="P2051" s="11" t="n">
        <f aca="false">2*J2051/(2*J2051+L2051+K2051)</f>
        <v>0</v>
      </c>
      <c r="Q2051" s="11" t="n">
        <f aca="false">L2051/(L2051+M2051)</f>
        <v>0</v>
      </c>
      <c r="R2051" s="6" t="n">
        <v>0</v>
      </c>
      <c r="S2051" s="11"/>
      <c r="T2051" s="11" t="n">
        <v>0</v>
      </c>
      <c r="U2051" s="11" t="n">
        <v>0.8</v>
      </c>
      <c r="V2051" s="11" t="n">
        <v>0.8</v>
      </c>
    </row>
    <row r="2052" customFormat="false" ht="15" hidden="false" customHeight="false" outlineLevel="0" collapsed="false">
      <c r="A2052" s="6" t="s">
        <v>60</v>
      </c>
      <c r="B2052" s="6" t="s">
        <v>59</v>
      </c>
      <c r="C2052" s="6" t="s">
        <v>51</v>
      </c>
      <c r="D2052" s="6" t="s">
        <v>119</v>
      </c>
      <c r="E2052" s="6" t="n">
        <v>16</v>
      </c>
      <c r="F2052" s="6" t="n">
        <v>7</v>
      </c>
      <c r="G2052" s="6" t="s">
        <v>72</v>
      </c>
      <c r="H2052" s="11" t="n">
        <v>0.01</v>
      </c>
      <c r="I2052" s="6" t="n">
        <v>20</v>
      </c>
      <c r="J2052" s="6" t="n">
        <v>0</v>
      </c>
      <c r="K2052" s="6" t="n">
        <v>20</v>
      </c>
      <c r="L2052" s="6" t="n">
        <v>0</v>
      </c>
      <c r="M2052" s="6" t="n">
        <v>20</v>
      </c>
      <c r="N2052" s="11" t="n">
        <f aca="false">J2052/(J2052+K2052)</f>
        <v>0</v>
      </c>
      <c r="O2052" s="11" t="str">
        <f aca="false">IF(J2052+L2052=0,"",J2052/(J2052+L2052))</f>
        <v/>
      </c>
      <c r="P2052" s="11" t="n">
        <f aca="false">2*J2052/(2*J2052+L2052+K2052)</f>
        <v>0</v>
      </c>
      <c r="Q2052" s="11" t="n">
        <f aca="false">L2052/(L2052+M2052)</f>
        <v>0</v>
      </c>
      <c r="R2052" s="6" t="n">
        <v>0</v>
      </c>
      <c r="S2052" s="11"/>
      <c r="T2052" s="11" t="n">
        <v>0</v>
      </c>
      <c r="U2052" s="11" t="n">
        <v>0.9</v>
      </c>
      <c r="V2052" s="11" t="n">
        <v>0.9</v>
      </c>
    </row>
    <row r="2053" customFormat="false" ht="15" hidden="false" customHeight="false" outlineLevel="0" collapsed="false">
      <c r="A2053" s="6" t="s">
        <v>60</v>
      </c>
      <c r="B2053" s="6" t="s">
        <v>59</v>
      </c>
      <c r="C2053" s="6" t="s">
        <v>51</v>
      </c>
      <c r="D2053" s="6" t="s">
        <v>119</v>
      </c>
      <c r="E2053" s="6" t="n">
        <v>16</v>
      </c>
      <c r="F2053" s="6" t="n">
        <v>7</v>
      </c>
      <c r="G2053" s="6" t="s">
        <v>73</v>
      </c>
      <c r="H2053" s="11" t="n">
        <v>0.01</v>
      </c>
      <c r="I2053" s="6" t="n">
        <v>20</v>
      </c>
      <c r="J2053" s="6" t="n">
        <v>0</v>
      </c>
      <c r="K2053" s="6" t="n">
        <v>20</v>
      </c>
      <c r="L2053" s="6" t="n">
        <v>0</v>
      </c>
      <c r="M2053" s="6" t="n">
        <v>20</v>
      </c>
      <c r="N2053" s="11" t="n">
        <f aca="false">J2053/(J2053+K2053)</f>
        <v>0</v>
      </c>
      <c r="O2053" s="11" t="str">
        <f aca="false">IF(J2053+L2053=0,"",J2053/(J2053+L2053))</f>
        <v/>
      </c>
      <c r="P2053" s="11" t="n">
        <f aca="false">2*J2053/(2*J2053+L2053+K2053)</f>
        <v>0</v>
      </c>
      <c r="Q2053" s="11" t="n">
        <f aca="false">L2053/(L2053+M2053)</f>
        <v>0</v>
      </c>
      <c r="R2053" s="6" t="n">
        <v>1</v>
      </c>
      <c r="S2053" s="11" t="n">
        <v>0</v>
      </c>
      <c r="T2053" s="11" t="n">
        <v>0</v>
      </c>
      <c r="U2053" s="11" t="n">
        <v>0.65</v>
      </c>
      <c r="V2053" s="11" t="n">
        <v>0.65</v>
      </c>
    </row>
    <row r="2054" customFormat="false" ht="15" hidden="false" customHeight="false" outlineLevel="0" collapsed="false">
      <c r="A2054" s="6" t="s">
        <v>60</v>
      </c>
      <c r="B2054" s="6" t="s">
        <v>59</v>
      </c>
      <c r="C2054" s="6" t="s">
        <v>51</v>
      </c>
      <c r="D2054" s="6" t="s">
        <v>119</v>
      </c>
      <c r="E2054" s="6" t="n">
        <v>16</v>
      </c>
      <c r="F2054" s="6" t="n">
        <v>7</v>
      </c>
      <c r="G2054" s="6" t="s">
        <v>74</v>
      </c>
      <c r="H2054" s="11" t="n">
        <v>0.01</v>
      </c>
      <c r="I2054" s="6" t="n">
        <v>20</v>
      </c>
      <c r="J2054" s="6" t="n">
        <v>0</v>
      </c>
      <c r="K2054" s="6" t="n">
        <v>20</v>
      </c>
      <c r="L2054" s="6" t="n">
        <v>0</v>
      </c>
      <c r="M2054" s="6" t="n">
        <v>20</v>
      </c>
      <c r="N2054" s="11" t="n">
        <f aca="false">J2054/(J2054+K2054)</f>
        <v>0</v>
      </c>
      <c r="O2054" s="11" t="str">
        <f aca="false">IF(J2054+L2054=0,"",J2054/(J2054+L2054))</f>
        <v/>
      </c>
      <c r="P2054" s="11" t="n">
        <f aca="false">2*J2054/(2*J2054+L2054+K2054)</f>
        <v>0</v>
      </c>
      <c r="Q2054" s="11" t="n">
        <f aca="false">L2054/(L2054+M2054)</f>
        <v>0</v>
      </c>
      <c r="R2054" s="6" t="n">
        <v>1</v>
      </c>
      <c r="S2054" s="11" t="n">
        <v>0</v>
      </c>
      <c r="T2054" s="11" t="n">
        <v>0</v>
      </c>
      <c r="U2054" s="11" t="n">
        <v>0.85</v>
      </c>
      <c r="V2054" s="11" t="n">
        <v>0.9</v>
      </c>
    </row>
    <row r="2055" customFormat="false" ht="15" hidden="false" customHeight="false" outlineLevel="0" collapsed="false">
      <c r="A2055" s="6" t="s">
        <v>60</v>
      </c>
      <c r="B2055" s="6" t="s">
        <v>59</v>
      </c>
      <c r="C2055" s="6" t="s">
        <v>51</v>
      </c>
      <c r="D2055" s="6" t="s">
        <v>119</v>
      </c>
      <c r="E2055" s="6" t="n">
        <v>16</v>
      </c>
      <c r="F2055" s="6" t="n">
        <v>7</v>
      </c>
      <c r="G2055" s="6" t="s">
        <v>75</v>
      </c>
      <c r="H2055" s="11" t="n">
        <v>0.01</v>
      </c>
      <c r="I2055" s="6" t="n">
        <v>20</v>
      </c>
      <c r="J2055" s="6" t="n">
        <v>0</v>
      </c>
      <c r="K2055" s="6" t="n">
        <v>20</v>
      </c>
      <c r="L2055" s="6" t="n">
        <v>0</v>
      </c>
      <c r="M2055" s="6" t="n">
        <v>20</v>
      </c>
      <c r="N2055" s="11" t="n">
        <f aca="false">J2055/(J2055+K2055)</f>
        <v>0</v>
      </c>
      <c r="O2055" s="11" t="str">
        <f aca="false">IF(J2055+L2055=0,"",J2055/(J2055+L2055))</f>
        <v/>
      </c>
      <c r="P2055" s="11" t="n">
        <f aca="false">2*J2055/(2*J2055+L2055+K2055)</f>
        <v>0</v>
      </c>
      <c r="Q2055" s="11" t="n">
        <f aca="false">L2055/(L2055+M2055)</f>
        <v>0</v>
      </c>
      <c r="R2055" s="6" t="n">
        <v>0</v>
      </c>
      <c r="S2055" s="11"/>
      <c r="T2055" s="11" t="n">
        <v>0</v>
      </c>
      <c r="U2055" s="11" t="n">
        <v>0.9</v>
      </c>
      <c r="V2055" s="11" t="n">
        <v>0.9</v>
      </c>
    </row>
    <row r="2056" customFormat="false" ht="15" hidden="false" customHeight="false" outlineLevel="0" collapsed="false">
      <c r="A2056" s="6" t="s">
        <v>60</v>
      </c>
      <c r="B2056" s="6" t="s">
        <v>59</v>
      </c>
      <c r="C2056" s="6" t="s">
        <v>51</v>
      </c>
      <c r="D2056" s="6" t="s">
        <v>119</v>
      </c>
      <c r="E2056" s="6" t="n">
        <v>16</v>
      </c>
      <c r="F2056" s="6" t="n">
        <v>7</v>
      </c>
      <c r="G2056" s="6" t="s">
        <v>76</v>
      </c>
      <c r="H2056" s="11" t="n">
        <v>0.01</v>
      </c>
      <c r="I2056" s="6" t="n">
        <v>20</v>
      </c>
      <c r="J2056" s="6" t="n">
        <v>0</v>
      </c>
      <c r="K2056" s="6" t="n">
        <v>20</v>
      </c>
      <c r="L2056" s="6" t="n">
        <v>0</v>
      </c>
      <c r="M2056" s="6" t="n">
        <v>20</v>
      </c>
      <c r="N2056" s="11" t="n">
        <f aca="false">J2056/(J2056+K2056)</f>
        <v>0</v>
      </c>
      <c r="O2056" s="11" t="str">
        <f aca="false">IF(J2056+L2056=0,"",J2056/(J2056+L2056))</f>
        <v/>
      </c>
      <c r="P2056" s="11" t="n">
        <f aca="false">2*J2056/(2*J2056+L2056+K2056)</f>
        <v>0</v>
      </c>
      <c r="Q2056" s="11" t="n">
        <f aca="false">L2056/(L2056+M2056)</f>
        <v>0</v>
      </c>
      <c r="R2056" s="6" t="n">
        <v>0</v>
      </c>
      <c r="S2056" s="11"/>
      <c r="T2056" s="11" t="n">
        <v>0</v>
      </c>
      <c r="U2056" s="11" t="n">
        <v>0.95</v>
      </c>
      <c r="V2056" s="11" t="n">
        <v>0.95</v>
      </c>
    </row>
    <row r="2057" customFormat="false" ht="15" hidden="false" customHeight="false" outlineLevel="0" collapsed="false">
      <c r="A2057" s="6" t="s">
        <v>60</v>
      </c>
      <c r="B2057" s="6" t="s">
        <v>59</v>
      </c>
      <c r="C2057" s="6" t="s">
        <v>51</v>
      </c>
      <c r="D2057" s="6" t="s">
        <v>119</v>
      </c>
      <c r="E2057" s="6" t="n">
        <v>16</v>
      </c>
      <c r="F2057" s="6" t="n">
        <v>7</v>
      </c>
      <c r="G2057" s="6" t="s">
        <v>77</v>
      </c>
      <c r="H2057" s="11" t="n">
        <v>0.01</v>
      </c>
      <c r="I2057" s="6" t="n">
        <v>20</v>
      </c>
      <c r="J2057" s="6" t="n">
        <v>1</v>
      </c>
      <c r="K2057" s="6" t="n">
        <v>19</v>
      </c>
      <c r="L2057" s="6" t="n">
        <v>1</v>
      </c>
      <c r="M2057" s="6" t="n">
        <v>19</v>
      </c>
      <c r="N2057" s="11" t="n">
        <f aca="false">J2057/(J2057+K2057)</f>
        <v>0.05</v>
      </c>
      <c r="O2057" s="11" t="n">
        <f aca="false">IF(J2057+L2057=0,"",J2057/(J2057+L2057))</f>
        <v>0.5</v>
      </c>
      <c r="P2057" s="11" t="n">
        <f aca="false">2*J2057/(2*J2057+L2057+K2057)</f>
        <v>0.0909090909090909</v>
      </c>
      <c r="Q2057" s="11" t="n">
        <f aca="false">L2057/(L2057+M2057)</f>
        <v>0.05</v>
      </c>
      <c r="R2057" s="6" t="n">
        <v>0</v>
      </c>
      <c r="S2057" s="11"/>
      <c r="T2057" s="11" t="n">
        <v>0.05</v>
      </c>
      <c r="U2057" s="11" t="n">
        <v>1</v>
      </c>
      <c r="V2057" s="11" t="n">
        <v>1</v>
      </c>
    </row>
    <row r="2058" customFormat="false" ht="15" hidden="false" customHeight="false" outlineLevel="0" collapsed="false">
      <c r="A2058" s="6" t="s">
        <v>60</v>
      </c>
      <c r="B2058" s="6" t="s">
        <v>59</v>
      </c>
      <c r="C2058" s="6" t="s">
        <v>51</v>
      </c>
      <c r="D2058" s="6" t="s">
        <v>119</v>
      </c>
      <c r="E2058" s="6" t="n">
        <v>16</v>
      </c>
      <c r="F2058" s="6" t="n">
        <v>7</v>
      </c>
      <c r="G2058" s="6" t="s">
        <v>78</v>
      </c>
      <c r="H2058" s="11" t="n">
        <v>0.01</v>
      </c>
      <c r="I2058" s="6" t="n">
        <v>200</v>
      </c>
      <c r="J2058" s="6" t="n">
        <v>1</v>
      </c>
      <c r="K2058" s="6" t="n">
        <v>199</v>
      </c>
      <c r="L2058" s="6" t="n">
        <v>1</v>
      </c>
      <c r="M2058" s="6" t="n">
        <v>199</v>
      </c>
      <c r="N2058" s="11" t="n">
        <f aca="false">J2058/(J2058+K2058)</f>
        <v>0.005</v>
      </c>
      <c r="O2058" s="11" t="n">
        <f aca="false">IF(J2058+L2058=0,"",J2058/(J2058+L2058))</f>
        <v>0.5</v>
      </c>
      <c r="P2058" s="11" t="n">
        <f aca="false">2*J2058/(2*J2058+L2058+K2058)</f>
        <v>0.0099009900990099</v>
      </c>
      <c r="Q2058" s="11" t="n">
        <f aca="false">L2058/(L2058+M2058)</f>
        <v>0.005</v>
      </c>
      <c r="R2058" s="6" t="n">
        <v>2</v>
      </c>
      <c r="S2058" s="11" t="n">
        <v>0</v>
      </c>
      <c r="T2058" s="11" t="n">
        <v>0.00505050505050505</v>
      </c>
      <c r="U2058" s="11" t="n">
        <v>0.88</v>
      </c>
      <c r="V2058" s="11" t="n">
        <v>0.885</v>
      </c>
    </row>
    <row r="2059" customFormat="false" ht="15" hidden="false" customHeight="false" outlineLevel="0" collapsed="false">
      <c r="A2059" s="6" t="s">
        <v>60</v>
      </c>
      <c r="B2059" s="6" t="s">
        <v>59</v>
      </c>
      <c r="C2059" s="6" t="s">
        <v>51</v>
      </c>
      <c r="D2059" s="6" t="s">
        <v>119</v>
      </c>
      <c r="E2059" s="6" t="n">
        <v>16</v>
      </c>
      <c r="F2059" s="6" t="n">
        <v>8</v>
      </c>
      <c r="G2059" s="6" t="s">
        <v>68</v>
      </c>
      <c r="H2059" s="11" t="n">
        <v>0.01</v>
      </c>
      <c r="I2059" s="6" t="n">
        <v>20</v>
      </c>
      <c r="J2059" s="6" t="n">
        <v>0</v>
      </c>
      <c r="K2059" s="6" t="n">
        <v>20</v>
      </c>
      <c r="L2059" s="6" t="n">
        <v>0</v>
      </c>
      <c r="M2059" s="6" t="n">
        <v>20</v>
      </c>
      <c r="N2059" s="11" t="n">
        <f aca="false">J2059/(J2059+K2059)</f>
        <v>0</v>
      </c>
      <c r="O2059" s="11" t="str">
        <f aca="false">IF(J2059+L2059=0,"",J2059/(J2059+L2059))</f>
        <v/>
      </c>
      <c r="P2059" s="11" t="n">
        <f aca="false">2*J2059/(2*J2059+L2059+K2059)</f>
        <v>0</v>
      </c>
      <c r="Q2059" s="11" t="n">
        <f aca="false">L2059/(L2059+M2059)</f>
        <v>0</v>
      </c>
      <c r="R2059" s="6" t="n">
        <v>0</v>
      </c>
      <c r="S2059" s="11"/>
      <c r="T2059" s="11" t="n">
        <v>0</v>
      </c>
      <c r="U2059" s="11" t="n">
        <v>0.85</v>
      </c>
      <c r="V2059" s="11" t="n">
        <v>0.85</v>
      </c>
    </row>
    <row r="2060" customFormat="false" ht="15" hidden="false" customHeight="false" outlineLevel="0" collapsed="false">
      <c r="A2060" s="6" t="s">
        <v>60</v>
      </c>
      <c r="B2060" s="6" t="s">
        <v>59</v>
      </c>
      <c r="C2060" s="6" t="s">
        <v>51</v>
      </c>
      <c r="D2060" s="6" t="s">
        <v>119</v>
      </c>
      <c r="E2060" s="6" t="n">
        <v>16</v>
      </c>
      <c r="F2060" s="6" t="n">
        <v>8</v>
      </c>
      <c r="G2060" s="6" t="s">
        <v>69</v>
      </c>
      <c r="H2060" s="11" t="n">
        <v>0.01</v>
      </c>
      <c r="I2060" s="6" t="n">
        <v>20</v>
      </c>
      <c r="J2060" s="6" t="n">
        <v>0</v>
      </c>
      <c r="K2060" s="6" t="n">
        <v>20</v>
      </c>
      <c r="L2060" s="6" t="n">
        <v>0</v>
      </c>
      <c r="M2060" s="6" t="n">
        <v>20</v>
      </c>
      <c r="N2060" s="11" t="n">
        <f aca="false">J2060/(J2060+K2060)</f>
        <v>0</v>
      </c>
      <c r="O2060" s="11" t="str">
        <f aca="false">IF(J2060+L2060=0,"",J2060/(J2060+L2060))</f>
        <v/>
      </c>
      <c r="P2060" s="11" t="n">
        <f aca="false">2*J2060/(2*J2060+L2060+K2060)</f>
        <v>0</v>
      </c>
      <c r="Q2060" s="11" t="n">
        <f aca="false">L2060/(L2060+M2060)</f>
        <v>0</v>
      </c>
      <c r="R2060" s="6" t="n">
        <v>0</v>
      </c>
      <c r="S2060" s="11"/>
      <c r="T2060" s="11" t="n">
        <v>0</v>
      </c>
      <c r="U2060" s="11" t="n">
        <v>1</v>
      </c>
      <c r="V2060" s="11" t="n">
        <v>1</v>
      </c>
    </row>
    <row r="2061" customFormat="false" ht="15" hidden="false" customHeight="false" outlineLevel="0" collapsed="false">
      <c r="A2061" s="6" t="s">
        <v>60</v>
      </c>
      <c r="B2061" s="6" t="s">
        <v>59</v>
      </c>
      <c r="C2061" s="6" t="s">
        <v>51</v>
      </c>
      <c r="D2061" s="6" t="s">
        <v>119</v>
      </c>
      <c r="E2061" s="6" t="n">
        <v>16</v>
      </c>
      <c r="F2061" s="6" t="n">
        <v>8</v>
      </c>
      <c r="G2061" s="6" t="s">
        <v>70</v>
      </c>
      <c r="H2061" s="11" t="n">
        <v>0.01</v>
      </c>
      <c r="I2061" s="6" t="n">
        <v>20</v>
      </c>
      <c r="J2061" s="6" t="n">
        <v>0</v>
      </c>
      <c r="K2061" s="6" t="n">
        <v>20</v>
      </c>
      <c r="L2061" s="6" t="n">
        <v>0</v>
      </c>
      <c r="M2061" s="6" t="n">
        <v>20</v>
      </c>
      <c r="N2061" s="11" t="n">
        <f aca="false">J2061/(J2061+K2061)</f>
        <v>0</v>
      </c>
      <c r="O2061" s="11" t="str">
        <f aca="false">IF(J2061+L2061=0,"",J2061/(J2061+L2061))</f>
        <v/>
      </c>
      <c r="P2061" s="11" t="n">
        <f aca="false">2*J2061/(2*J2061+L2061+K2061)</f>
        <v>0</v>
      </c>
      <c r="Q2061" s="11" t="n">
        <f aca="false">L2061/(L2061+M2061)</f>
        <v>0</v>
      </c>
      <c r="R2061" s="6" t="n">
        <v>0</v>
      </c>
      <c r="S2061" s="11"/>
      <c r="T2061" s="11" t="n">
        <v>0</v>
      </c>
      <c r="U2061" s="11" t="n">
        <v>0.9</v>
      </c>
      <c r="V2061" s="11" t="n">
        <v>0.9</v>
      </c>
    </row>
    <row r="2062" customFormat="false" ht="15" hidden="false" customHeight="false" outlineLevel="0" collapsed="false">
      <c r="A2062" s="6" t="s">
        <v>60</v>
      </c>
      <c r="B2062" s="6" t="s">
        <v>59</v>
      </c>
      <c r="C2062" s="6" t="s">
        <v>51</v>
      </c>
      <c r="D2062" s="6" t="s">
        <v>119</v>
      </c>
      <c r="E2062" s="6" t="n">
        <v>16</v>
      </c>
      <c r="F2062" s="6" t="n">
        <v>8</v>
      </c>
      <c r="G2062" s="6" t="s">
        <v>71</v>
      </c>
      <c r="H2062" s="11" t="n">
        <v>0.01</v>
      </c>
      <c r="I2062" s="6" t="n">
        <v>20</v>
      </c>
      <c r="J2062" s="6" t="n">
        <v>0</v>
      </c>
      <c r="K2062" s="6" t="n">
        <v>20</v>
      </c>
      <c r="L2062" s="6" t="n">
        <v>0</v>
      </c>
      <c r="M2062" s="6" t="n">
        <v>20</v>
      </c>
      <c r="N2062" s="11" t="n">
        <f aca="false">J2062/(J2062+K2062)</f>
        <v>0</v>
      </c>
      <c r="O2062" s="11" t="str">
        <f aca="false">IF(J2062+L2062=0,"",J2062/(J2062+L2062))</f>
        <v/>
      </c>
      <c r="P2062" s="11" t="n">
        <f aca="false">2*J2062/(2*J2062+L2062+K2062)</f>
        <v>0</v>
      </c>
      <c r="Q2062" s="11" t="n">
        <f aca="false">L2062/(L2062+M2062)</f>
        <v>0</v>
      </c>
      <c r="R2062" s="6" t="n">
        <v>0</v>
      </c>
      <c r="S2062" s="11"/>
      <c r="T2062" s="11" t="n">
        <v>0</v>
      </c>
      <c r="U2062" s="11" t="n">
        <v>0.8</v>
      </c>
      <c r="V2062" s="11" t="n">
        <v>0.8</v>
      </c>
    </row>
    <row r="2063" customFormat="false" ht="15" hidden="false" customHeight="false" outlineLevel="0" collapsed="false">
      <c r="A2063" s="6" t="s">
        <v>60</v>
      </c>
      <c r="B2063" s="6" t="s">
        <v>59</v>
      </c>
      <c r="C2063" s="6" t="s">
        <v>51</v>
      </c>
      <c r="D2063" s="6" t="s">
        <v>119</v>
      </c>
      <c r="E2063" s="6" t="n">
        <v>16</v>
      </c>
      <c r="F2063" s="6" t="n">
        <v>8</v>
      </c>
      <c r="G2063" s="6" t="s">
        <v>72</v>
      </c>
      <c r="H2063" s="11" t="n">
        <v>0.01</v>
      </c>
      <c r="I2063" s="6" t="n">
        <v>20</v>
      </c>
      <c r="J2063" s="6" t="n">
        <v>0</v>
      </c>
      <c r="K2063" s="6" t="n">
        <v>20</v>
      </c>
      <c r="L2063" s="6" t="n">
        <v>0</v>
      </c>
      <c r="M2063" s="6" t="n">
        <v>20</v>
      </c>
      <c r="N2063" s="11" t="n">
        <f aca="false">J2063/(J2063+K2063)</f>
        <v>0</v>
      </c>
      <c r="O2063" s="11" t="str">
        <f aca="false">IF(J2063+L2063=0,"",J2063/(J2063+L2063))</f>
        <v/>
      </c>
      <c r="P2063" s="11" t="n">
        <f aca="false">2*J2063/(2*J2063+L2063+K2063)</f>
        <v>0</v>
      </c>
      <c r="Q2063" s="11" t="n">
        <f aca="false">L2063/(L2063+M2063)</f>
        <v>0</v>
      </c>
      <c r="R2063" s="6" t="n">
        <v>0</v>
      </c>
      <c r="S2063" s="11"/>
      <c r="T2063" s="11" t="n">
        <v>0</v>
      </c>
      <c r="U2063" s="11" t="n">
        <v>0.9</v>
      </c>
      <c r="V2063" s="11" t="n">
        <v>0.9</v>
      </c>
    </row>
    <row r="2064" customFormat="false" ht="15" hidden="false" customHeight="false" outlineLevel="0" collapsed="false">
      <c r="A2064" s="6" t="s">
        <v>60</v>
      </c>
      <c r="B2064" s="6" t="s">
        <v>59</v>
      </c>
      <c r="C2064" s="6" t="s">
        <v>51</v>
      </c>
      <c r="D2064" s="6" t="s">
        <v>119</v>
      </c>
      <c r="E2064" s="6" t="n">
        <v>16</v>
      </c>
      <c r="F2064" s="6" t="n">
        <v>8</v>
      </c>
      <c r="G2064" s="6" t="s">
        <v>73</v>
      </c>
      <c r="H2064" s="11" t="n">
        <v>0.01</v>
      </c>
      <c r="I2064" s="6" t="n">
        <v>20</v>
      </c>
      <c r="J2064" s="6" t="n">
        <v>0</v>
      </c>
      <c r="K2064" s="6" t="n">
        <v>20</v>
      </c>
      <c r="L2064" s="6" t="n">
        <v>0</v>
      </c>
      <c r="M2064" s="6" t="n">
        <v>20</v>
      </c>
      <c r="N2064" s="11" t="n">
        <f aca="false">J2064/(J2064+K2064)</f>
        <v>0</v>
      </c>
      <c r="O2064" s="11" t="str">
        <f aca="false">IF(J2064+L2064=0,"",J2064/(J2064+L2064))</f>
        <v/>
      </c>
      <c r="P2064" s="11" t="n">
        <f aca="false">2*J2064/(2*J2064+L2064+K2064)</f>
        <v>0</v>
      </c>
      <c r="Q2064" s="11" t="n">
        <f aca="false">L2064/(L2064+M2064)</f>
        <v>0</v>
      </c>
      <c r="R2064" s="6" t="n">
        <v>1</v>
      </c>
      <c r="S2064" s="11" t="n">
        <v>0</v>
      </c>
      <c r="T2064" s="11" t="n">
        <v>0</v>
      </c>
      <c r="U2064" s="11" t="n">
        <v>0.65</v>
      </c>
      <c r="V2064" s="11" t="n">
        <v>0.65</v>
      </c>
    </row>
    <row r="2065" customFormat="false" ht="15" hidden="false" customHeight="false" outlineLevel="0" collapsed="false">
      <c r="A2065" s="6" t="s">
        <v>60</v>
      </c>
      <c r="B2065" s="6" t="s">
        <v>59</v>
      </c>
      <c r="C2065" s="6" t="s">
        <v>51</v>
      </c>
      <c r="D2065" s="6" t="s">
        <v>119</v>
      </c>
      <c r="E2065" s="6" t="n">
        <v>16</v>
      </c>
      <c r="F2065" s="6" t="n">
        <v>8</v>
      </c>
      <c r="G2065" s="6" t="s">
        <v>74</v>
      </c>
      <c r="H2065" s="11" t="n">
        <v>0.01</v>
      </c>
      <c r="I2065" s="6" t="n">
        <v>20</v>
      </c>
      <c r="J2065" s="6" t="n">
        <v>0</v>
      </c>
      <c r="K2065" s="6" t="n">
        <v>20</v>
      </c>
      <c r="L2065" s="6" t="n">
        <v>0</v>
      </c>
      <c r="M2065" s="6" t="n">
        <v>20</v>
      </c>
      <c r="N2065" s="11" t="n">
        <f aca="false">J2065/(J2065+K2065)</f>
        <v>0</v>
      </c>
      <c r="O2065" s="11" t="str">
        <f aca="false">IF(J2065+L2065=0,"",J2065/(J2065+L2065))</f>
        <v/>
      </c>
      <c r="P2065" s="11" t="n">
        <f aca="false">2*J2065/(2*J2065+L2065+K2065)</f>
        <v>0</v>
      </c>
      <c r="Q2065" s="11" t="n">
        <f aca="false">L2065/(L2065+M2065)</f>
        <v>0</v>
      </c>
      <c r="R2065" s="6" t="n">
        <v>0</v>
      </c>
      <c r="S2065" s="11"/>
      <c r="T2065" s="11" t="n">
        <v>0</v>
      </c>
      <c r="U2065" s="11" t="n">
        <v>0.85</v>
      </c>
      <c r="V2065" s="11" t="n">
        <v>0.85</v>
      </c>
    </row>
    <row r="2066" customFormat="false" ht="15" hidden="false" customHeight="false" outlineLevel="0" collapsed="false">
      <c r="A2066" s="6" t="s">
        <v>60</v>
      </c>
      <c r="B2066" s="6" t="s">
        <v>59</v>
      </c>
      <c r="C2066" s="6" t="s">
        <v>51</v>
      </c>
      <c r="D2066" s="6" t="s">
        <v>119</v>
      </c>
      <c r="E2066" s="6" t="n">
        <v>16</v>
      </c>
      <c r="F2066" s="6" t="n">
        <v>8</v>
      </c>
      <c r="G2066" s="6" t="s">
        <v>75</v>
      </c>
      <c r="H2066" s="11" t="n">
        <v>0.01</v>
      </c>
      <c r="I2066" s="6" t="n">
        <v>20</v>
      </c>
      <c r="J2066" s="6" t="n">
        <v>0</v>
      </c>
      <c r="K2066" s="6" t="n">
        <v>20</v>
      </c>
      <c r="L2066" s="6" t="n">
        <v>0</v>
      </c>
      <c r="M2066" s="6" t="n">
        <v>20</v>
      </c>
      <c r="N2066" s="11" t="n">
        <f aca="false">J2066/(J2066+K2066)</f>
        <v>0</v>
      </c>
      <c r="O2066" s="11" t="str">
        <f aca="false">IF(J2066+L2066=0,"",J2066/(J2066+L2066))</f>
        <v/>
      </c>
      <c r="P2066" s="11" t="n">
        <f aca="false">2*J2066/(2*J2066+L2066+K2066)</f>
        <v>0</v>
      </c>
      <c r="Q2066" s="11" t="n">
        <f aca="false">L2066/(L2066+M2066)</f>
        <v>0</v>
      </c>
      <c r="R2066" s="6" t="n">
        <v>1</v>
      </c>
      <c r="S2066" s="11" t="n">
        <v>0</v>
      </c>
      <c r="T2066" s="11" t="n">
        <v>0</v>
      </c>
      <c r="U2066" s="11" t="n">
        <v>0.9</v>
      </c>
      <c r="V2066" s="11" t="n">
        <v>0.95</v>
      </c>
    </row>
    <row r="2067" customFormat="false" ht="15" hidden="false" customHeight="false" outlineLevel="0" collapsed="false">
      <c r="A2067" s="6" t="s">
        <v>60</v>
      </c>
      <c r="B2067" s="6" t="s">
        <v>59</v>
      </c>
      <c r="C2067" s="6" t="s">
        <v>51</v>
      </c>
      <c r="D2067" s="6" t="s">
        <v>119</v>
      </c>
      <c r="E2067" s="6" t="n">
        <v>16</v>
      </c>
      <c r="F2067" s="6" t="n">
        <v>8</v>
      </c>
      <c r="G2067" s="6" t="s">
        <v>76</v>
      </c>
      <c r="H2067" s="11" t="n">
        <v>0.01</v>
      </c>
      <c r="I2067" s="6" t="n">
        <v>20</v>
      </c>
      <c r="J2067" s="6" t="n">
        <v>0</v>
      </c>
      <c r="K2067" s="6" t="n">
        <v>20</v>
      </c>
      <c r="L2067" s="6" t="n">
        <v>0</v>
      </c>
      <c r="M2067" s="6" t="n">
        <v>20</v>
      </c>
      <c r="N2067" s="11" t="n">
        <f aca="false">J2067/(J2067+K2067)</f>
        <v>0</v>
      </c>
      <c r="O2067" s="11" t="str">
        <f aca="false">IF(J2067+L2067=0,"",J2067/(J2067+L2067))</f>
        <v/>
      </c>
      <c r="P2067" s="11" t="n">
        <f aca="false">2*J2067/(2*J2067+L2067+K2067)</f>
        <v>0</v>
      </c>
      <c r="Q2067" s="11" t="n">
        <f aca="false">L2067/(L2067+M2067)</f>
        <v>0</v>
      </c>
      <c r="R2067" s="6" t="n">
        <v>0</v>
      </c>
      <c r="S2067" s="11"/>
      <c r="T2067" s="11" t="n">
        <v>0</v>
      </c>
      <c r="U2067" s="11" t="n">
        <v>0.95</v>
      </c>
      <c r="V2067" s="11" t="n">
        <v>0.95</v>
      </c>
    </row>
    <row r="2068" customFormat="false" ht="15" hidden="false" customHeight="false" outlineLevel="0" collapsed="false">
      <c r="A2068" s="6" t="s">
        <v>60</v>
      </c>
      <c r="B2068" s="6" t="s">
        <v>59</v>
      </c>
      <c r="C2068" s="6" t="s">
        <v>51</v>
      </c>
      <c r="D2068" s="6" t="s">
        <v>119</v>
      </c>
      <c r="E2068" s="6" t="n">
        <v>16</v>
      </c>
      <c r="F2068" s="6" t="n">
        <v>8</v>
      </c>
      <c r="G2068" s="6" t="s">
        <v>77</v>
      </c>
      <c r="H2068" s="11" t="n">
        <v>0.01</v>
      </c>
      <c r="I2068" s="6" t="n">
        <v>20</v>
      </c>
      <c r="J2068" s="6" t="n">
        <v>1</v>
      </c>
      <c r="K2068" s="6" t="n">
        <v>19</v>
      </c>
      <c r="L2068" s="6" t="n">
        <v>1</v>
      </c>
      <c r="M2068" s="6" t="n">
        <v>19</v>
      </c>
      <c r="N2068" s="11" t="n">
        <f aca="false">J2068/(J2068+K2068)</f>
        <v>0.05</v>
      </c>
      <c r="O2068" s="11" t="n">
        <f aca="false">IF(J2068+L2068=0,"",J2068/(J2068+L2068))</f>
        <v>0.5</v>
      </c>
      <c r="P2068" s="11" t="n">
        <f aca="false">2*J2068/(2*J2068+L2068+K2068)</f>
        <v>0.0909090909090909</v>
      </c>
      <c r="Q2068" s="11" t="n">
        <f aca="false">L2068/(L2068+M2068)</f>
        <v>0.05</v>
      </c>
      <c r="R2068" s="6" t="n">
        <v>0</v>
      </c>
      <c r="S2068" s="11"/>
      <c r="T2068" s="11" t="n">
        <v>0.05</v>
      </c>
      <c r="U2068" s="11" t="n">
        <v>1</v>
      </c>
      <c r="V2068" s="11" t="n">
        <v>1</v>
      </c>
    </row>
    <row r="2069" customFormat="false" ht="15" hidden="false" customHeight="false" outlineLevel="0" collapsed="false">
      <c r="A2069" s="6" t="s">
        <v>60</v>
      </c>
      <c r="B2069" s="6" t="s">
        <v>59</v>
      </c>
      <c r="C2069" s="6" t="s">
        <v>51</v>
      </c>
      <c r="D2069" s="6" t="s">
        <v>119</v>
      </c>
      <c r="E2069" s="6" t="n">
        <v>16</v>
      </c>
      <c r="F2069" s="6" t="n">
        <v>8</v>
      </c>
      <c r="G2069" s="6" t="s">
        <v>78</v>
      </c>
      <c r="H2069" s="11" t="n">
        <v>0.01</v>
      </c>
      <c r="I2069" s="6" t="n">
        <v>200</v>
      </c>
      <c r="J2069" s="6" t="n">
        <v>1</v>
      </c>
      <c r="K2069" s="6" t="n">
        <v>199</v>
      </c>
      <c r="L2069" s="6" t="n">
        <v>1</v>
      </c>
      <c r="M2069" s="6" t="n">
        <v>199</v>
      </c>
      <c r="N2069" s="11" t="n">
        <f aca="false">J2069/(J2069+K2069)</f>
        <v>0.005</v>
      </c>
      <c r="O2069" s="11" t="n">
        <f aca="false">IF(J2069+L2069=0,"",J2069/(J2069+L2069))</f>
        <v>0.5</v>
      </c>
      <c r="P2069" s="11" t="n">
        <f aca="false">2*J2069/(2*J2069+L2069+K2069)</f>
        <v>0.0099009900990099</v>
      </c>
      <c r="Q2069" s="11" t="n">
        <f aca="false">L2069/(L2069+M2069)</f>
        <v>0.005</v>
      </c>
      <c r="R2069" s="6" t="n">
        <v>2</v>
      </c>
      <c r="S2069" s="11" t="n">
        <v>0</v>
      </c>
      <c r="T2069" s="11" t="n">
        <v>0.00505050505050505</v>
      </c>
      <c r="U2069" s="11" t="n">
        <v>0.88</v>
      </c>
      <c r="V2069" s="11" t="n">
        <v>0.885</v>
      </c>
    </row>
    <row r="2070" customFormat="false" ht="15" hidden="false" customHeight="false" outlineLevel="0" collapsed="false">
      <c r="A2070" s="6" t="s">
        <v>60</v>
      </c>
      <c r="B2070" s="6" t="s">
        <v>59</v>
      </c>
      <c r="C2070" s="6" t="s">
        <v>51</v>
      </c>
      <c r="D2070" s="6" t="s">
        <v>119</v>
      </c>
      <c r="E2070" s="6" t="n">
        <v>16</v>
      </c>
      <c r="F2070" s="6" t="n">
        <v>9</v>
      </c>
      <c r="G2070" s="6" t="s">
        <v>68</v>
      </c>
      <c r="H2070" s="11" t="n">
        <v>0.01</v>
      </c>
      <c r="I2070" s="6" t="n">
        <v>20</v>
      </c>
      <c r="J2070" s="6" t="n">
        <v>0</v>
      </c>
      <c r="K2070" s="6" t="n">
        <v>20</v>
      </c>
      <c r="L2070" s="6" t="n">
        <v>0</v>
      </c>
      <c r="M2070" s="6" t="n">
        <v>20</v>
      </c>
      <c r="N2070" s="11" t="n">
        <f aca="false">J2070/(J2070+K2070)</f>
        <v>0</v>
      </c>
      <c r="O2070" s="11" t="str">
        <f aca="false">IF(J2070+L2070=0,"",J2070/(J2070+L2070))</f>
        <v/>
      </c>
      <c r="P2070" s="11" t="n">
        <f aca="false">2*J2070/(2*J2070+L2070+K2070)</f>
        <v>0</v>
      </c>
      <c r="Q2070" s="11" t="n">
        <f aca="false">L2070/(L2070+M2070)</f>
        <v>0</v>
      </c>
      <c r="R2070" s="6" t="n">
        <v>0</v>
      </c>
      <c r="S2070" s="11"/>
      <c r="T2070" s="11" t="n">
        <v>0</v>
      </c>
      <c r="U2070" s="11" t="n">
        <v>0.85</v>
      </c>
      <c r="V2070" s="11" t="n">
        <v>0.85</v>
      </c>
    </row>
    <row r="2071" customFormat="false" ht="15" hidden="false" customHeight="false" outlineLevel="0" collapsed="false">
      <c r="A2071" s="6" t="s">
        <v>60</v>
      </c>
      <c r="B2071" s="6" t="s">
        <v>59</v>
      </c>
      <c r="C2071" s="6" t="s">
        <v>51</v>
      </c>
      <c r="D2071" s="6" t="s">
        <v>119</v>
      </c>
      <c r="E2071" s="6" t="n">
        <v>16</v>
      </c>
      <c r="F2071" s="6" t="n">
        <v>9</v>
      </c>
      <c r="G2071" s="6" t="s">
        <v>69</v>
      </c>
      <c r="H2071" s="11" t="n">
        <v>0.01</v>
      </c>
      <c r="I2071" s="6" t="n">
        <v>20</v>
      </c>
      <c r="J2071" s="6" t="n">
        <v>0</v>
      </c>
      <c r="K2071" s="6" t="n">
        <v>20</v>
      </c>
      <c r="L2071" s="6" t="n">
        <v>0</v>
      </c>
      <c r="M2071" s="6" t="n">
        <v>20</v>
      </c>
      <c r="N2071" s="11" t="n">
        <f aca="false">J2071/(J2071+K2071)</f>
        <v>0</v>
      </c>
      <c r="O2071" s="11" t="str">
        <f aca="false">IF(J2071+L2071=0,"",J2071/(J2071+L2071))</f>
        <v/>
      </c>
      <c r="P2071" s="11" t="n">
        <f aca="false">2*J2071/(2*J2071+L2071+K2071)</f>
        <v>0</v>
      </c>
      <c r="Q2071" s="11" t="n">
        <f aca="false">L2071/(L2071+M2071)</f>
        <v>0</v>
      </c>
      <c r="R2071" s="6" t="n">
        <v>0</v>
      </c>
      <c r="S2071" s="11"/>
      <c r="T2071" s="11" t="n">
        <v>0</v>
      </c>
      <c r="U2071" s="11" t="n">
        <v>1</v>
      </c>
      <c r="V2071" s="11" t="n">
        <v>1</v>
      </c>
    </row>
    <row r="2072" customFormat="false" ht="15" hidden="false" customHeight="false" outlineLevel="0" collapsed="false">
      <c r="A2072" s="6" t="s">
        <v>60</v>
      </c>
      <c r="B2072" s="6" t="s">
        <v>59</v>
      </c>
      <c r="C2072" s="6" t="s">
        <v>51</v>
      </c>
      <c r="D2072" s="6" t="s">
        <v>119</v>
      </c>
      <c r="E2072" s="6" t="n">
        <v>16</v>
      </c>
      <c r="F2072" s="6" t="n">
        <v>9</v>
      </c>
      <c r="G2072" s="6" t="s">
        <v>70</v>
      </c>
      <c r="H2072" s="11" t="n">
        <v>0.01</v>
      </c>
      <c r="I2072" s="6" t="n">
        <v>20</v>
      </c>
      <c r="J2072" s="6" t="n">
        <v>0</v>
      </c>
      <c r="K2072" s="6" t="n">
        <v>20</v>
      </c>
      <c r="L2072" s="6" t="n">
        <v>0</v>
      </c>
      <c r="M2072" s="6" t="n">
        <v>20</v>
      </c>
      <c r="N2072" s="11" t="n">
        <f aca="false">J2072/(J2072+K2072)</f>
        <v>0</v>
      </c>
      <c r="O2072" s="11" t="str">
        <f aca="false">IF(J2072+L2072=0,"",J2072/(J2072+L2072))</f>
        <v/>
      </c>
      <c r="P2072" s="11" t="n">
        <f aca="false">2*J2072/(2*J2072+L2072+K2072)</f>
        <v>0</v>
      </c>
      <c r="Q2072" s="11" t="n">
        <f aca="false">L2072/(L2072+M2072)</f>
        <v>0</v>
      </c>
      <c r="R2072" s="6" t="n">
        <v>0</v>
      </c>
      <c r="S2072" s="11"/>
      <c r="T2072" s="11" t="n">
        <v>0</v>
      </c>
      <c r="U2072" s="11" t="n">
        <v>0.9</v>
      </c>
      <c r="V2072" s="11" t="n">
        <v>0.9</v>
      </c>
    </row>
    <row r="2073" customFormat="false" ht="15" hidden="false" customHeight="false" outlineLevel="0" collapsed="false">
      <c r="A2073" s="6" t="s">
        <v>60</v>
      </c>
      <c r="B2073" s="6" t="s">
        <v>59</v>
      </c>
      <c r="C2073" s="6" t="s">
        <v>51</v>
      </c>
      <c r="D2073" s="6" t="s">
        <v>119</v>
      </c>
      <c r="E2073" s="6" t="n">
        <v>16</v>
      </c>
      <c r="F2073" s="6" t="n">
        <v>9</v>
      </c>
      <c r="G2073" s="6" t="s">
        <v>71</v>
      </c>
      <c r="H2073" s="11" t="n">
        <v>0.01</v>
      </c>
      <c r="I2073" s="6" t="n">
        <v>20</v>
      </c>
      <c r="J2073" s="6" t="n">
        <v>0</v>
      </c>
      <c r="K2073" s="6" t="n">
        <v>20</v>
      </c>
      <c r="L2073" s="6" t="n">
        <v>0</v>
      </c>
      <c r="M2073" s="6" t="n">
        <v>20</v>
      </c>
      <c r="N2073" s="11" t="n">
        <f aca="false">J2073/(J2073+K2073)</f>
        <v>0</v>
      </c>
      <c r="O2073" s="11" t="str">
        <f aca="false">IF(J2073+L2073=0,"",J2073/(J2073+L2073))</f>
        <v/>
      </c>
      <c r="P2073" s="11" t="n">
        <f aca="false">2*J2073/(2*J2073+L2073+K2073)</f>
        <v>0</v>
      </c>
      <c r="Q2073" s="11" t="n">
        <f aca="false">L2073/(L2073+M2073)</f>
        <v>0</v>
      </c>
      <c r="R2073" s="6" t="n">
        <v>0</v>
      </c>
      <c r="S2073" s="11"/>
      <c r="T2073" s="11" t="n">
        <v>0</v>
      </c>
      <c r="U2073" s="11" t="n">
        <v>0.8</v>
      </c>
      <c r="V2073" s="11" t="n">
        <v>0.8</v>
      </c>
    </row>
    <row r="2074" customFormat="false" ht="15" hidden="false" customHeight="false" outlineLevel="0" collapsed="false">
      <c r="A2074" s="6" t="s">
        <v>60</v>
      </c>
      <c r="B2074" s="6" t="s">
        <v>59</v>
      </c>
      <c r="C2074" s="6" t="s">
        <v>51</v>
      </c>
      <c r="D2074" s="6" t="s">
        <v>119</v>
      </c>
      <c r="E2074" s="6" t="n">
        <v>16</v>
      </c>
      <c r="F2074" s="6" t="n">
        <v>9</v>
      </c>
      <c r="G2074" s="6" t="s">
        <v>72</v>
      </c>
      <c r="H2074" s="11" t="n">
        <v>0.01</v>
      </c>
      <c r="I2074" s="6" t="n">
        <v>20</v>
      </c>
      <c r="J2074" s="6" t="n">
        <v>0</v>
      </c>
      <c r="K2074" s="6" t="n">
        <v>20</v>
      </c>
      <c r="L2074" s="6" t="n">
        <v>0</v>
      </c>
      <c r="M2074" s="6" t="n">
        <v>20</v>
      </c>
      <c r="N2074" s="11" t="n">
        <f aca="false">J2074/(J2074+K2074)</f>
        <v>0</v>
      </c>
      <c r="O2074" s="11" t="str">
        <f aca="false">IF(J2074+L2074=0,"",J2074/(J2074+L2074))</f>
        <v/>
      </c>
      <c r="P2074" s="11" t="n">
        <f aca="false">2*J2074/(2*J2074+L2074+K2074)</f>
        <v>0</v>
      </c>
      <c r="Q2074" s="11" t="n">
        <f aca="false">L2074/(L2074+M2074)</f>
        <v>0</v>
      </c>
      <c r="R2074" s="6" t="n">
        <v>0</v>
      </c>
      <c r="S2074" s="11"/>
      <c r="T2074" s="11" t="n">
        <v>0</v>
      </c>
      <c r="U2074" s="11" t="n">
        <v>0.9</v>
      </c>
      <c r="V2074" s="11" t="n">
        <v>0.9</v>
      </c>
    </row>
    <row r="2075" customFormat="false" ht="15" hidden="false" customHeight="false" outlineLevel="0" collapsed="false">
      <c r="A2075" s="6" t="s">
        <v>60</v>
      </c>
      <c r="B2075" s="6" t="s">
        <v>59</v>
      </c>
      <c r="C2075" s="6" t="s">
        <v>51</v>
      </c>
      <c r="D2075" s="6" t="s">
        <v>119</v>
      </c>
      <c r="E2075" s="6" t="n">
        <v>16</v>
      </c>
      <c r="F2075" s="6" t="n">
        <v>9</v>
      </c>
      <c r="G2075" s="6" t="s">
        <v>73</v>
      </c>
      <c r="H2075" s="11" t="n">
        <v>0.01</v>
      </c>
      <c r="I2075" s="6" t="n">
        <v>20</v>
      </c>
      <c r="J2075" s="6" t="n">
        <v>0</v>
      </c>
      <c r="K2075" s="6" t="n">
        <v>20</v>
      </c>
      <c r="L2075" s="6" t="n">
        <v>0</v>
      </c>
      <c r="M2075" s="6" t="n">
        <v>20</v>
      </c>
      <c r="N2075" s="11" t="n">
        <f aca="false">J2075/(J2075+K2075)</f>
        <v>0</v>
      </c>
      <c r="O2075" s="11" t="str">
        <f aca="false">IF(J2075+L2075=0,"",J2075/(J2075+L2075))</f>
        <v/>
      </c>
      <c r="P2075" s="11" t="n">
        <f aca="false">2*J2075/(2*J2075+L2075+K2075)</f>
        <v>0</v>
      </c>
      <c r="Q2075" s="11" t="n">
        <f aca="false">L2075/(L2075+M2075)</f>
        <v>0</v>
      </c>
      <c r="R2075" s="6" t="n">
        <v>1</v>
      </c>
      <c r="S2075" s="11" t="n">
        <v>0</v>
      </c>
      <c r="T2075" s="11" t="n">
        <v>0</v>
      </c>
      <c r="U2075" s="11" t="n">
        <v>0.65</v>
      </c>
      <c r="V2075" s="11" t="n">
        <v>0.65</v>
      </c>
    </row>
    <row r="2076" customFormat="false" ht="15" hidden="false" customHeight="false" outlineLevel="0" collapsed="false">
      <c r="A2076" s="6" t="s">
        <v>60</v>
      </c>
      <c r="B2076" s="6" t="s">
        <v>59</v>
      </c>
      <c r="C2076" s="6" t="s">
        <v>51</v>
      </c>
      <c r="D2076" s="6" t="s">
        <v>119</v>
      </c>
      <c r="E2076" s="6" t="n">
        <v>16</v>
      </c>
      <c r="F2076" s="6" t="n">
        <v>9</v>
      </c>
      <c r="G2076" s="6" t="s">
        <v>74</v>
      </c>
      <c r="H2076" s="11" t="n">
        <v>0.01</v>
      </c>
      <c r="I2076" s="6" t="n">
        <v>20</v>
      </c>
      <c r="J2076" s="6" t="n">
        <v>0</v>
      </c>
      <c r="K2076" s="6" t="n">
        <v>20</v>
      </c>
      <c r="L2076" s="6" t="n">
        <v>0</v>
      </c>
      <c r="M2076" s="6" t="n">
        <v>20</v>
      </c>
      <c r="N2076" s="11" t="n">
        <f aca="false">J2076/(J2076+K2076)</f>
        <v>0</v>
      </c>
      <c r="O2076" s="11" t="str">
        <f aca="false">IF(J2076+L2076=0,"",J2076/(J2076+L2076))</f>
        <v/>
      </c>
      <c r="P2076" s="11" t="n">
        <f aca="false">2*J2076/(2*J2076+L2076+K2076)</f>
        <v>0</v>
      </c>
      <c r="Q2076" s="11" t="n">
        <f aca="false">L2076/(L2076+M2076)</f>
        <v>0</v>
      </c>
      <c r="R2076" s="6" t="n">
        <v>1</v>
      </c>
      <c r="S2076" s="11" t="n">
        <v>0</v>
      </c>
      <c r="T2076" s="11" t="n">
        <v>0</v>
      </c>
      <c r="U2076" s="11" t="n">
        <v>0.85</v>
      </c>
      <c r="V2076" s="11" t="n">
        <v>0.9</v>
      </c>
    </row>
    <row r="2077" customFormat="false" ht="15" hidden="false" customHeight="false" outlineLevel="0" collapsed="false">
      <c r="A2077" s="6" t="s">
        <v>60</v>
      </c>
      <c r="B2077" s="6" t="s">
        <v>59</v>
      </c>
      <c r="C2077" s="6" t="s">
        <v>51</v>
      </c>
      <c r="D2077" s="6" t="s">
        <v>119</v>
      </c>
      <c r="E2077" s="6" t="n">
        <v>16</v>
      </c>
      <c r="F2077" s="6" t="n">
        <v>9</v>
      </c>
      <c r="G2077" s="6" t="s">
        <v>75</v>
      </c>
      <c r="H2077" s="11" t="n">
        <v>0.01</v>
      </c>
      <c r="I2077" s="6" t="n">
        <v>20</v>
      </c>
      <c r="J2077" s="6" t="n">
        <v>0</v>
      </c>
      <c r="K2077" s="6" t="n">
        <v>20</v>
      </c>
      <c r="L2077" s="6" t="n">
        <v>0</v>
      </c>
      <c r="M2077" s="6" t="n">
        <v>20</v>
      </c>
      <c r="N2077" s="11" t="n">
        <f aca="false">J2077/(J2077+K2077)</f>
        <v>0</v>
      </c>
      <c r="O2077" s="11" t="str">
        <f aca="false">IF(J2077+L2077=0,"",J2077/(J2077+L2077))</f>
        <v/>
      </c>
      <c r="P2077" s="11" t="n">
        <f aca="false">2*J2077/(2*J2077+L2077+K2077)</f>
        <v>0</v>
      </c>
      <c r="Q2077" s="11" t="n">
        <f aca="false">L2077/(L2077+M2077)</f>
        <v>0</v>
      </c>
      <c r="R2077" s="6" t="n">
        <v>0</v>
      </c>
      <c r="S2077" s="11"/>
      <c r="T2077" s="11" t="n">
        <v>0</v>
      </c>
      <c r="U2077" s="11" t="n">
        <v>0.9</v>
      </c>
      <c r="V2077" s="11" t="n">
        <v>0.9</v>
      </c>
    </row>
    <row r="2078" customFormat="false" ht="15" hidden="false" customHeight="false" outlineLevel="0" collapsed="false">
      <c r="A2078" s="6" t="s">
        <v>60</v>
      </c>
      <c r="B2078" s="6" t="s">
        <v>59</v>
      </c>
      <c r="C2078" s="6" t="s">
        <v>51</v>
      </c>
      <c r="D2078" s="6" t="s">
        <v>119</v>
      </c>
      <c r="E2078" s="6" t="n">
        <v>16</v>
      </c>
      <c r="F2078" s="6" t="n">
        <v>9</v>
      </c>
      <c r="G2078" s="6" t="s">
        <v>76</v>
      </c>
      <c r="H2078" s="11" t="n">
        <v>0.01</v>
      </c>
      <c r="I2078" s="6" t="n">
        <v>20</v>
      </c>
      <c r="J2078" s="6" t="n">
        <v>0</v>
      </c>
      <c r="K2078" s="6" t="n">
        <v>20</v>
      </c>
      <c r="L2078" s="6" t="n">
        <v>0</v>
      </c>
      <c r="M2078" s="6" t="n">
        <v>20</v>
      </c>
      <c r="N2078" s="11" t="n">
        <f aca="false">J2078/(J2078+K2078)</f>
        <v>0</v>
      </c>
      <c r="O2078" s="11" t="str">
        <f aca="false">IF(J2078+L2078=0,"",J2078/(J2078+L2078))</f>
        <v/>
      </c>
      <c r="P2078" s="11" t="n">
        <f aca="false">2*J2078/(2*J2078+L2078+K2078)</f>
        <v>0</v>
      </c>
      <c r="Q2078" s="11" t="n">
        <f aca="false">L2078/(L2078+M2078)</f>
        <v>0</v>
      </c>
      <c r="R2078" s="6" t="n">
        <v>0</v>
      </c>
      <c r="S2078" s="11"/>
      <c r="T2078" s="11" t="n">
        <v>0</v>
      </c>
      <c r="U2078" s="11" t="n">
        <v>0.95</v>
      </c>
      <c r="V2078" s="11" t="n">
        <v>0.95</v>
      </c>
    </row>
    <row r="2079" customFormat="false" ht="15" hidden="false" customHeight="false" outlineLevel="0" collapsed="false">
      <c r="A2079" s="6" t="s">
        <v>60</v>
      </c>
      <c r="B2079" s="6" t="s">
        <v>59</v>
      </c>
      <c r="C2079" s="6" t="s">
        <v>51</v>
      </c>
      <c r="D2079" s="6" t="s">
        <v>119</v>
      </c>
      <c r="E2079" s="6" t="n">
        <v>16</v>
      </c>
      <c r="F2079" s="6" t="n">
        <v>9</v>
      </c>
      <c r="G2079" s="6" t="s">
        <v>77</v>
      </c>
      <c r="H2079" s="11" t="n">
        <v>0.01</v>
      </c>
      <c r="I2079" s="6" t="n">
        <v>20</v>
      </c>
      <c r="J2079" s="6" t="n">
        <v>1</v>
      </c>
      <c r="K2079" s="6" t="n">
        <v>19</v>
      </c>
      <c r="L2079" s="6" t="n">
        <v>1</v>
      </c>
      <c r="M2079" s="6" t="n">
        <v>19</v>
      </c>
      <c r="N2079" s="11" t="n">
        <f aca="false">J2079/(J2079+K2079)</f>
        <v>0.05</v>
      </c>
      <c r="O2079" s="11" t="n">
        <f aca="false">IF(J2079+L2079=0,"",J2079/(J2079+L2079))</f>
        <v>0.5</v>
      </c>
      <c r="P2079" s="11" t="n">
        <f aca="false">2*J2079/(2*J2079+L2079+K2079)</f>
        <v>0.0909090909090909</v>
      </c>
      <c r="Q2079" s="11" t="n">
        <f aca="false">L2079/(L2079+M2079)</f>
        <v>0.05</v>
      </c>
      <c r="R2079" s="6" t="n">
        <v>0</v>
      </c>
      <c r="S2079" s="11"/>
      <c r="T2079" s="11" t="n">
        <v>0.05</v>
      </c>
      <c r="U2079" s="11" t="n">
        <v>1</v>
      </c>
      <c r="V2079" s="11" t="n">
        <v>1</v>
      </c>
    </row>
    <row r="2080" customFormat="false" ht="15" hidden="false" customHeight="false" outlineLevel="0" collapsed="false">
      <c r="A2080" s="6" t="s">
        <v>60</v>
      </c>
      <c r="B2080" s="6" t="s">
        <v>59</v>
      </c>
      <c r="C2080" s="6" t="s">
        <v>51</v>
      </c>
      <c r="D2080" s="6" t="s">
        <v>119</v>
      </c>
      <c r="E2080" s="6" t="n">
        <v>16</v>
      </c>
      <c r="F2080" s="6" t="n">
        <v>9</v>
      </c>
      <c r="G2080" s="6" t="s">
        <v>78</v>
      </c>
      <c r="H2080" s="11" t="n">
        <v>0.01</v>
      </c>
      <c r="I2080" s="6" t="n">
        <v>200</v>
      </c>
      <c r="J2080" s="6" t="n">
        <v>1</v>
      </c>
      <c r="K2080" s="6" t="n">
        <v>199</v>
      </c>
      <c r="L2080" s="6" t="n">
        <v>1</v>
      </c>
      <c r="M2080" s="6" t="n">
        <v>199</v>
      </c>
      <c r="N2080" s="11" t="n">
        <f aca="false">J2080/(J2080+K2080)</f>
        <v>0.005</v>
      </c>
      <c r="O2080" s="11" t="n">
        <f aca="false">IF(J2080+L2080=0,"",J2080/(J2080+L2080))</f>
        <v>0.5</v>
      </c>
      <c r="P2080" s="11" t="n">
        <f aca="false">2*J2080/(2*J2080+L2080+K2080)</f>
        <v>0.0099009900990099</v>
      </c>
      <c r="Q2080" s="11" t="n">
        <f aca="false">L2080/(L2080+M2080)</f>
        <v>0.005</v>
      </c>
      <c r="R2080" s="6" t="n">
        <v>2</v>
      </c>
      <c r="S2080" s="11" t="n">
        <v>0</v>
      </c>
      <c r="T2080" s="11" t="n">
        <v>0.00505050505050505</v>
      </c>
      <c r="U2080" s="11" t="n">
        <v>0.88</v>
      </c>
      <c r="V2080" s="11" t="n">
        <v>0.885</v>
      </c>
    </row>
    <row r="2081" customFormat="false" ht="15" hidden="false" customHeight="false" outlineLevel="0" collapsed="false">
      <c r="A2081" s="6" t="s">
        <v>60</v>
      </c>
      <c r="B2081" s="6" t="s">
        <v>59</v>
      </c>
      <c r="C2081" s="6" t="s">
        <v>51</v>
      </c>
      <c r="D2081" s="6" t="s">
        <v>119</v>
      </c>
      <c r="E2081" s="6" t="n">
        <v>16</v>
      </c>
      <c r="F2081" s="6" t="n">
        <v>10</v>
      </c>
      <c r="G2081" s="6" t="s">
        <v>68</v>
      </c>
      <c r="H2081" s="11" t="n">
        <v>0.01</v>
      </c>
      <c r="I2081" s="6" t="n">
        <v>20</v>
      </c>
      <c r="J2081" s="6" t="n">
        <v>0</v>
      </c>
      <c r="K2081" s="6" t="n">
        <v>20</v>
      </c>
      <c r="L2081" s="6" t="n">
        <v>0</v>
      </c>
      <c r="M2081" s="6" t="n">
        <v>20</v>
      </c>
      <c r="N2081" s="11" t="n">
        <f aca="false">J2081/(J2081+K2081)</f>
        <v>0</v>
      </c>
      <c r="O2081" s="11" t="str">
        <f aca="false">IF(J2081+L2081=0,"",J2081/(J2081+L2081))</f>
        <v/>
      </c>
      <c r="P2081" s="11" t="n">
        <f aca="false">2*J2081/(2*J2081+L2081+K2081)</f>
        <v>0</v>
      </c>
      <c r="Q2081" s="11" t="n">
        <f aca="false">L2081/(L2081+M2081)</f>
        <v>0</v>
      </c>
      <c r="R2081" s="6" t="n">
        <v>0</v>
      </c>
      <c r="S2081" s="11"/>
      <c r="T2081" s="11" t="n">
        <v>0</v>
      </c>
      <c r="U2081" s="11" t="n">
        <v>0.85</v>
      </c>
      <c r="V2081" s="11" t="n">
        <v>0.85</v>
      </c>
    </row>
    <row r="2082" customFormat="false" ht="15" hidden="false" customHeight="false" outlineLevel="0" collapsed="false">
      <c r="A2082" s="6" t="s">
        <v>60</v>
      </c>
      <c r="B2082" s="6" t="s">
        <v>59</v>
      </c>
      <c r="C2082" s="6" t="s">
        <v>51</v>
      </c>
      <c r="D2082" s="6" t="s">
        <v>119</v>
      </c>
      <c r="E2082" s="6" t="n">
        <v>16</v>
      </c>
      <c r="F2082" s="6" t="n">
        <v>10</v>
      </c>
      <c r="G2082" s="6" t="s">
        <v>69</v>
      </c>
      <c r="H2082" s="11" t="n">
        <v>0.01</v>
      </c>
      <c r="I2082" s="6" t="n">
        <v>20</v>
      </c>
      <c r="J2082" s="6" t="n">
        <v>0</v>
      </c>
      <c r="K2082" s="6" t="n">
        <v>20</v>
      </c>
      <c r="L2082" s="6" t="n">
        <v>0</v>
      </c>
      <c r="M2082" s="6" t="n">
        <v>20</v>
      </c>
      <c r="N2082" s="11" t="n">
        <f aca="false">J2082/(J2082+K2082)</f>
        <v>0</v>
      </c>
      <c r="O2082" s="11" t="str">
        <f aca="false">IF(J2082+L2082=0,"",J2082/(J2082+L2082))</f>
        <v/>
      </c>
      <c r="P2082" s="11" t="n">
        <f aca="false">2*J2082/(2*J2082+L2082+K2082)</f>
        <v>0</v>
      </c>
      <c r="Q2082" s="11" t="n">
        <f aca="false">L2082/(L2082+M2082)</f>
        <v>0</v>
      </c>
      <c r="R2082" s="6" t="n">
        <v>0</v>
      </c>
      <c r="S2082" s="11"/>
      <c r="T2082" s="11" t="n">
        <v>0</v>
      </c>
      <c r="U2082" s="11" t="n">
        <v>1</v>
      </c>
      <c r="V2082" s="11" t="n">
        <v>1</v>
      </c>
    </row>
    <row r="2083" customFormat="false" ht="15" hidden="false" customHeight="false" outlineLevel="0" collapsed="false">
      <c r="A2083" s="6" t="s">
        <v>60</v>
      </c>
      <c r="B2083" s="6" t="s">
        <v>59</v>
      </c>
      <c r="C2083" s="6" t="s">
        <v>51</v>
      </c>
      <c r="D2083" s="6" t="s">
        <v>119</v>
      </c>
      <c r="E2083" s="6" t="n">
        <v>16</v>
      </c>
      <c r="F2083" s="6" t="n">
        <v>10</v>
      </c>
      <c r="G2083" s="6" t="s">
        <v>70</v>
      </c>
      <c r="H2083" s="11" t="n">
        <v>0.01</v>
      </c>
      <c r="I2083" s="6" t="n">
        <v>20</v>
      </c>
      <c r="J2083" s="6" t="n">
        <v>0</v>
      </c>
      <c r="K2083" s="6" t="n">
        <v>20</v>
      </c>
      <c r="L2083" s="6" t="n">
        <v>0</v>
      </c>
      <c r="M2083" s="6" t="n">
        <v>20</v>
      </c>
      <c r="N2083" s="11" t="n">
        <f aca="false">J2083/(J2083+K2083)</f>
        <v>0</v>
      </c>
      <c r="O2083" s="11" t="str">
        <f aca="false">IF(J2083+L2083=0,"",J2083/(J2083+L2083))</f>
        <v/>
      </c>
      <c r="P2083" s="11" t="n">
        <f aca="false">2*J2083/(2*J2083+L2083+K2083)</f>
        <v>0</v>
      </c>
      <c r="Q2083" s="11" t="n">
        <f aca="false">L2083/(L2083+M2083)</f>
        <v>0</v>
      </c>
      <c r="R2083" s="6" t="n">
        <v>0</v>
      </c>
      <c r="S2083" s="11"/>
      <c r="T2083" s="11" t="n">
        <v>0</v>
      </c>
      <c r="U2083" s="11" t="n">
        <v>0.9</v>
      </c>
      <c r="V2083" s="11" t="n">
        <v>0.9</v>
      </c>
    </row>
    <row r="2084" customFormat="false" ht="15" hidden="false" customHeight="false" outlineLevel="0" collapsed="false">
      <c r="A2084" s="6" t="s">
        <v>60</v>
      </c>
      <c r="B2084" s="6" t="s">
        <v>59</v>
      </c>
      <c r="C2084" s="6" t="s">
        <v>51</v>
      </c>
      <c r="D2084" s="6" t="s">
        <v>119</v>
      </c>
      <c r="E2084" s="6" t="n">
        <v>16</v>
      </c>
      <c r="F2084" s="6" t="n">
        <v>10</v>
      </c>
      <c r="G2084" s="6" t="s">
        <v>71</v>
      </c>
      <c r="H2084" s="11" t="n">
        <v>0.01</v>
      </c>
      <c r="I2084" s="6" t="n">
        <v>20</v>
      </c>
      <c r="J2084" s="6" t="n">
        <v>0</v>
      </c>
      <c r="K2084" s="6" t="n">
        <v>20</v>
      </c>
      <c r="L2084" s="6" t="n">
        <v>0</v>
      </c>
      <c r="M2084" s="6" t="n">
        <v>20</v>
      </c>
      <c r="N2084" s="11" t="n">
        <f aca="false">J2084/(J2084+K2084)</f>
        <v>0</v>
      </c>
      <c r="O2084" s="11" t="str">
        <f aca="false">IF(J2084+L2084=0,"",J2084/(J2084+L2084))</f>
        <v/>
      </c>
      <c r="P2084" s="11" t="n">
        <f aca="false">2*J2084/(2*J2084+L2084+K2084)</f>
        <v>0</v>
      </c>
      <c r="Q2084" s="11" t="n">
        <f aca="false">L2084/(L2084+M2084)</f>
        <v>0</v>
      </c>
      <c r="R2084" s="6" t="n">
        <v>0</v>
      </c>
      <c r="S2084" s="11"/>
      <c r="T2084" s="11" t="n">
        <v>0</v>
      </c>
      <c r="U2084" s="11" t="n">
        <v>0.8</v>
      </c>
      <c r="V2084" s="11" t="n">
        <v>0.8</v>
      </c>
    </row>
    <row r="2085" customFormat="false" ht="15" hidden="false" customHeight="false" outlineLevel="0" collapsed="false">
      <c r="A2085" s="6" t="s">
        <v>60</v>
      </c>
      <c r="B2085" s="6" t="s">
        <v>59</v>
      </c>
      <c r="C2085" s="6" t="s">
        <v>51</v>
      </c>
      <c r="D2085" s="6" t="s">
        <v>119</v>
      </c>
      <c r="E2085" s="6" t="n">
        <v>16</v>
      </c>
      <c r="F2085" s="6" t="n">
        <v>10</v>
      </c>
      <c r="G2085" s="6" t="s">
        <v>72</v>
      </c>
      <c r="H2085" s="11" t="n">
        <v>0.01</v>
      </c>
      <c r="I2085" s="6" t="n">
        <v>20</v>
      </c>
      <c r="J2085" s="6" t="n">
        <v>0</v>
      </c>
      <c r="K2085" s="6" t="n">
        <v>20</v>
      </c>
      <c r="L2085" s="6" t="n">
        <v>0</v>
      </c>
      <c r="M2085" s="6" t="n">
        <v>20</v>
      </c>
      <c r="N2085" s="11" t="n">
        <f aca="false">J2085/(J2085+K2085)</f>
        <v>0</v>
      </c>
      <c r="O2085" s="11" t="str">
        <f aca="false">IF(J2085+L2085=0,"",J2085/(J2085+L2085))</f>
        <v/>
      </c>
      <c r="P2085" s="11" t="n">
        <f aca="false">2*J2085/(2*J2085+L2085+K2085)</f>
        <v>0</v>
      </c>
      <c r="Q2085" s="11" t="n">
        <f aca="false">L2085/(L2085+M2085)</f>
        <v>0</v>
      </c>
      <c r="R2085" s="6" t="n">
        <v>0</v>
      </c>
      <c r="S2085" s="11"/>
      <c r="T2085" s="11" t="n">
        <v>0</v>
      </c>
      <c r="U2085" s="11" t="n">
        <v>0.9</v>
      </c>
      <c r="V2085" s="11" t="n">
        <v>0.9</v>
      </c>
    </row>
    <row r="2086" customFormat="false" ht="15" hidden="false" customHeight="false" outlineLevel="0" collapsed="false">
      <c r="A2086" s="6" t="s">
        <v>60</v>
      </c>
      <c r="B2086" s="6" t="s">
        <v>59</v>
      </c>
      <c r="C2086" s="6" t="s">
        <v>51</v>
      </c>
      <c r="D2086" s="6" t="s">
        <v>119</v>
      </c>
      <c r="E2086" s="6" t="n">
        <v>16</v>
      </c>
      <c r="F2086" s="6" t="n">
        <v>10</v>
      </c>
      <c r="G2086" s="6" t="s">
        <v>73</v>
      </c>
      <c r="H2086" s="11" t="n">
        <v>0.01</v>
      </c>
      <c r="I2086" s="6" t="n">
        <v>20</v>
      </c>
      <c r="J2086" s="6" t="n">
        <v>0</v>
      </c>
      <c r="K2086" s="6" t="n">
        <v>20</v>
      </c>
      <c r="L2086" s="6" t="n">
        <v>0</v>
      </c>
      <c r="M2086" s="6" t="n">
        <v>20</v>
      </c>
      <c r="N2086" s="11" t="n">
        <f aca="false">J2086/(J2086+K2086)</f>
        <v>0</v>
      </c>
      <c r="O2086" s="11" t="str">
        <f aca="false">IF(J2086+L2086=0,"",J2086/(J2086+L2086))</f>
        <v/>
      </c>
      <c r="P2086" s="11" t="n">
        <f aca="false">2*J2086/(2*J2086+L2086+K2086)</f>
        <v>0</v>
      </c>
      <c r="Q2086" s="11" t="n">
        <f aca="false">L2086/(L2086+M2086)</f>
        <v>0</v>
      </c>
      <c r="R2086" s="6" t="n">
        <v>1</v>
      </c>
      <c r="S2086" s="11" t="n">
        <v>0</v>
      </c>
      <c r="T2086" s="11" t="n">
        <v>0</v>
      </c>
      <c r="U2086" s="11" t="n">
        <v>0.65</v>
      </c>
      <c r="V2086" s="11" t="n">
        <v>0.65</v>
      </c>
    </row>
    <row r="2087" customFormat="false" ht="15" hidden="false" customHeight="false" outlineLevel="0" collapsed="false">
      <c r="A2087" s="6" t="s">
        <v>60</v>
      </c>
      <c r="B2087" s="6" t="s">
        <v>59</v>
      </c>
      <c r="C2087" s="6" t="s">
        <v>51</v>
      </c>
      <c r="D2087" s="6" t="s">
        <v>119</v>
      </c>
      <c r="E2087" s="6" t="n">
        <v>16</v>
      </c>
      <c r="F2087" s="6" t="n">
        <v>10</v>
      </c>
      <c r="G2087" s="6" t="s">
        <v>74</v>
      </c>
      <c r="H2087" s="11" t="n">
        <v>0.01</v>
      </c>
      <c r="I2087" s="6" t="n">
        <v>20</v>
      </c>
      <c r="J2087" s="6" t="n">
        <v>0</v>
      </c>
      <c r="K2087" s="6" t="n">
        <v>20</v>
      </c>
      <c r="L2087" s="6" t="n">
        <v>0</v>
      </c>
      <c r="M2087" s="6" t="n">
        <v>20</v>
      </c>
      <c r="N2087" s="11" t="n">
        <f aca="false">J2087/(J2087+K2087)</f>
        <v>0</v>
      </c>
      <c r="O2087" s="11" t="str">
        <f aca="false">IF(J2087+L2087=0,"",J2087/(J2087+L2087))</f>
        <v/>
      </c>
      <c r="P2087" s="11" t="n">
        <f aca="false">2*J2087/(2*J2087+L2087+K2087)</f>
        <v>0</v>
      </c>
      <c r="Q2087" s="11" t="n">
        <f aca="false">L2087/(L2087+M2087)</f>
        <v>0</v>
      </c>
      <c r="R2087" s="6" t="n">
        <v>2</v>
      </c>
      <c r="S2087" s="11" t="n">
        <v>0</v>
      </c>
      <c r="T2087" s="11" t="n">
        <v>0</v>
      </c>
      <c r="U2087" s="11" t="n">
        <v>0.85</v>
      </c>
      <c r="V2087" s="11" t="n">
        <v>0.9</v>
      </c>
    </row>
    <row r="2088" customFormat="false" ht="15" hidden="false" customHeight="false" outlineLevel="0" collapsed="false">
      <c r="A2088" s="6" t="s">
        <v>60</v>
      </c>
      <c r="B2088" s="6" t="s">
        <v>59</v>
      </c>
      <c r="C2088" s="6" t="s">
        <v>51</v>
      </c>
      <c r="D2088" s="6" t="s">
        <v>119</v>
      </c>
      <c r="E2088" s="6" t="n">
        <v>16</v>
      </c>
      <c r="F2088" s="6" t="n">
        <v>10</v>
      </c>
      <c r="G2088" s="6" t="s">
        <v>75</v>
      </c>
      <c r="H2088" s="11" t="n">
        <v>0.01</v>
      </c>
      <c r="I2088" s="6" t="n">
        <v>20</v>
      </c>
      <c r="J2088" s="6" t="n">
        <v>0</v>
      </c>
      <c r="K2088" s="6" t="n">
        <v>20</v>
      </c>
      <c r="L2088" s="6" t="n">
        <v>0</v>
      </c>
      <c r="M2088" s="6" t="n">
        <v>20</v>
      </c>
      <c r="N2088" s="11" t="n">
        <f aca="false">J2088/(J2088+K2088)</f>
        <v>0</v>
      </c>
      <c r="O2088" s="11" t="str">
        <f aca="false">IF(J2088+L2088=0,"",J2088/(J2088+L2088))</f>
        <v/>
      </c>
      <c r="P2088" s="11" t="n">
        <f aca="false">2*J2088/(2*J2088+L2088+K2088)</f>
        <v>0</v>
      </c>
      <c r="Q2088" s="11" t="n">
        <f aca="false">L2088/(L2088+M2088)</f>
        <v>0</v>
      </c>
      <c r="R2088" s="6" t="n">
        <v>0</v>
      </c>
      <c r="S2088" s="11"/>
      <c r="T2088" s="11" t="n">
        <v>0</v>
      </c>
      <c r="U2088" s="11" t="n">
        <v>0.9</v>
      </c>
      <c r="V2088" s="11" t="n">
        <v>0.9</v>
      </c>
    </row>
    <row r="2089" customFormat="false" ht="15" hidden="false" customHeight="false" outlineLevel="0" collapsed="false">
      <c r="A2089" s="6" t="s">
        <v>60</v>
      </c>
      <c r="B2089" s="6" t="s">
        <v>59</v>
      </c>
      <c r="C2089" s="6" t="s">
        <v>51</v>
      </c>
      <c r="D2089" s="6" t="s">
        <v>119</v>
      </c>
      <c r="E2089" s="6" t="n">
        <v>16</v>
      </c>
      <c r="F2089" s="6" t="n">
        <v>10</v>
      </c>
      <c r="G2089" s="6" t="s">
        <v>76</v>
      </c>
      <c r="H2089" s="11" t="n">
        <v>0.01</v>
      </c>
      <c r="I2089" s="6" t="n">
        <v>20</v>
      </c>
      <c r="J2089" s="6" t="n">
        <v>0</v>
      </c>
      <c r="K2089" s="6" t="n">
        <v>20</v>
      </c>
      <c r="L2089" s="6" t="n">
        <v>0</v>
      </c>
      <c r="M2089" s="6" t="n">
        <v>20</v>
      </c>
      <c r="N2089" s="11" t="n">
        <f aca="false">J2089/(J2089+K2089)</f>
        <v>0</v>
      </c>
      <c r="O2089" s="11" t="str">
        <f aca="false">IF(J2089+L2089=0,"",J2089/(J2089+L2089))</f>
        <v/>
      </c>
      <c r="P2089" s="11" t="n">
        <f aca="false">2*J2089/(2*J2089+L2089+K2089)</f>
        <v>0</v>
      </c>
      <c r="Q2089" s="11" t="n">
        <f aca="false">L2089/(L2089+M2089)</f>
        <v>0</v>
      </c>
      <c r="R2089" s="6" t="n">
        <v>0</v>
      </c>
      <c r="S2089" s="11"/>
      <c r="T2089" s="11" t="n">
        <v>0</v>
      </c>
      <c r="U2089" s="11" t="n">
        <v>0.95</v>
      </c>
      <c r="V2089" s="11" t="n">
        <v>0.95</v>
      </c>
    </row>
    <row r="2090" customFormat="false" ht="15" hidden="false" customHeight="false" outlineLevel="0" collapsed="false">
      <c r="A2090" s="6" t="s">
        <v>60</v>
      </c>
      <c r="B2090" s="6" t="s">
        <v>59</v>
      </c>
      <c r="C2090" s="6" t="s">
        <v>51</v>
      </c>
      <c r="D2090" s="6" t="s">
        <v>119</v>
      </c>
      <c r="E2090" s="6" t="n">
        <v>16</v>
      </c>
      <c r="F2090" s="6" t="n">
        <v>10</v>
      </c>
      <c r="G2090" s="6" t="s">
        <v>77</v>
      </c>
      <c r="H2090" s="11" t="n">
        <v>0.01</v>
      </c>
      <c r="I2090" s="6" t="n">
        <v>20</v>
      </c>
      <c r="J2090" s="6" t="n">
        <v>1</v>
      </c>
      <c r="K2090" s="6" t="n">
        <v>19</v>
      </c>
      <c r="L2090" s="6" t="n">
        <v>1</v>
      </c>
      <c r="M2090" s="6" t="n">
        <v>19</v>
      </c>
      <c r="N2090" s="11" t="n">
        <f aca="false">J2090/(J2090+K2090)</f>
        <v>0.05</v>
      </c>
      <c r="O2090" s="11" t="n">
        <f aca="false">IF(J2090+L2090=0,"",J2090/(J2090+L2090))</f>
        <v>0.5</v>
      </c>
      <c r="P2090" s="11" t="n">
        <f aca="false">2*J2090/(2*J2090+L2090+K2090)</f>
        <v>0.0909090909090909</v>
      </c>
      <c r="Q2090" s="11" t="n">
        <f aca="false">L2090/(L2090+M2090)</f>
        <v>0.05</v>
      </c>
      <c r="R2090" s="6" t="n">
        <v>0</v>
      </c>
      <c r="S2090" s="11"/>
      <c r="T2090" s="11" t="n">
        <v>0.05</v>
      </c>
      <c r="U2090" s="11" t="n">
        <v>1</v>
      </c>
      <c r="V2090" s="11" t="n">
        <v>1</v>
      </c>
    </row>
    <row r="2091" customFormat="false" ht="15" hidden="false" customHeight="false" outlineLevel="0" collapsed="false">
      <c r="A2091" s="6" t="s">
        <v>60</v>
      </c>
      <c r="B2091" s="6" t="s">
        <v>59</v>
      </c>
      <c r="C2091" s="6" t="s">
        <v>51</v>
      </c>
      <c r="D2091" s="6" t="s">
        <v>119</v>
      </c>
      <c r="E2091" s="6" t="n">
        <v>16</v>
      </c>
      <c r="F2091" s="6" t="n">
        <v>10</v>
      </c>
      <c r="G2091" s="6" t="s">
        <v>78</v>
      </c>
      <c r="H2091" s="11" t="n">
        <v>0.01</v>
      </c>
      <c r="I2091" s="6" t="n">
        <v>200</v>
      </c>
      <c r="J2091" s="6" t="n">
        <v>1</v>
      </c>
      <c r="K2091" s="6" t="n">
        <v>199</v>
      </c>
      <c r="L2091" s="6" t="n">
        <v>1</v>
      </c>
      <c r="M2091" s="6" t="n">
        <v>199</v>
      </c>
      <c r="N2091" s="11" t="n">
        <f aca="false">J2091/(J2091+K2091)</f>
        <v>0.005</v>
      </c>
      <c r="O2091" s="11" t="n">
        <f aca="false">IF(J2091+L2091=0,"",J2091/(J2091+L2091))</f>
        <v>0.5</v>
      </c>
      <c r="P2091" s="11" t="n">
        <f aca="false">2*J2091/(2*J2091+L2091+K2091)</f>
        <v>0.0099009900990099</v>
      </c>
      <c r="Q2091" s="11" t="n">
        <f aca="false">L2091/(L2091+M2091)</f>
        <v>0.005</v>
      </c>
      <c r="R2091" s="6" t="n">
        <v>3</v>
      </c>
      <c r="S2091" s="11" t="n">
        <v>0</v>
      </c>
      <c r="T2091" s="11" t="n">
        <v>0.0050761421319797</v>
      </c>
      <c r="U2091" s="11" t="n">
        <v>0.88</v>
      </c>
      <c r="V2091" s="11" t="n">
        <v>0.885</v>
      </c>
    </row>
    <row r="2092" customFormat="false" ht="15" hidden="false" customHeight="false" outlineLevel="0" collapsed="false">
      <c r="A2092" s="6" t="s">
        <v>62</v>
      </c>
      <c r="B2092" s="6" t="s">
        <v>63</v>
      </c>
      <c r="C2092" s="6" t="s">
        <v>44</v>
      </c>
      <c r="D2092" s="6" t="s">
        <v>114</v>
      </c>
      <c r="E2092" s="6" t="n">
        <v>16</v>
      </c>
      <c r="F2092" s="6" t="n">
        <v>1</v>
      </c>
      <c r="G2092" s="6" t="s">
        <v>68</v>
      </c>
      <c r="H2092" s="11" t="n">
        <v>0.01</v>
      </c>
      <c r="I2092" s="6" t="n">
        <v>20</v>
      </c>
      <c r="J2092" s="6" t="n">
        <v>0</v>
      </c>
      <c r="K2092" s="6" t="n">
        <v>20</v>
      </c>
      <c r="L2092" s="6" t="n">
        <v>0</v>
      </c>
      <c r="M2092" s="6" t="n">
        <v>20</v>
      </c>
      <c r="N2092" s="11" t="n">
        <f aca="false">J2092/(J2092+K2092)</f>
        <v>0</v>
      </c>
      <c r="O2092" s="11" t="str">
        <f aca="false">IF(J2092+L2092=0,"",J2092/(J2092+L2092))</f>
        <v/>
      </c>
      <c r="P2092" s="11" t="n">
        <f aca="false">2*J2092/(2*J2092+L2092+K2092)</f>
        <v>0</v>
      </c>
      <c r="Q2092" s="11" t="n">
        <f aca="false">L2092/(L2092+M2092)</f>
        <v>0</v>
      </c>
      <c r="R2092" s="6" t="n">
        <v>1</v>
      </c>
      <c r="S2092" s="11" t="n">
        <v>0</v>
      </c>
      <c r="T2092" s="11" t="n">
        <v>0</v>
      </c>
      <c r="U2092" s="11" t="n">
        <v>0.85</v>
      </c>
      <c r="V2092" s="11" t="n">
        <v>0.9</v>
      </c>
    </row>
    <row r="2093" customFormat="false" ht="15" hidden="false" customHeight="false" outlineLevel="0" collapsed="false">
      <c r="A2093" s="6" t="s">
        <v>62</v>
      </c>
      <c r="B2093" s="6" t="s">
        <v>63</v>
      </c>
      <c r="C2093" s="6" t="s">
        <v>44</v>
      </c>
      <c r="D2093" s="6" t="s">
        <v>114</v>
      </c>
      <c r="E2093" s="6" t="n">
        <v>16</v>
      </c>
      <c r="F2093" s="6" t="n">
        <v>1</v>
      </c>
      <c r="G2093" s="6" t="s">
        <v>69</v>
      </c>
      <c r="H2093" s="11" t="n">
        <v>0.01</v>
      </c>
      <c r="I2093" s="6" t="n">
        <v>20</v>
      </c>
      <c r="J2093" s="6" t="n">
        <v>0</v>
      </c>
      <c r="K2093" s="6" t="n">
        <v>20</v>
      </c>
      <c r="L2093" s="6" t="n">
        <v>0</v>
      </c>
      <c r="M2093" s="6" t="n">
        <v>20</v>
      </c>
      <c r="N2093" s="11" t="n">
        <f aca="false">J2093/(J2093+K2093)</f>
        <v>0</v>
      </c>
      <c r="O2093" s="11" t="str">
        <f aca="false">IF(J2093+L2093=0,"",J2093/(J2093+L2093))</f>
        <v/>
      </c>
      <c r="P2093" s="11" t="n">
        <f aca="false">2*J2093/(2*J2093+L2093+K2093)</f>
        <v>0</v>
      </c>
      <c r="Q2093" s="11" t="n">
        <f aca="false">L2093/(L2093+M2093)</f>
        <v>0</v>
      </c>
      <c r="R2093" s="6" t="n">
        <v>0</v>
      </c>
      <c r="S2093" s="11"/>
      <c r="T2093" s="11" t="n">
        <v>0</v>
      </c>
      <c r="U2093" s="11" t="n">
        <v>1</v>
      </c>
      <c r="V2093" s="11" t="n">
        <v>1</v>
      </c>
    </row>
    <row r="2094" customFormat="false" ht="15" hidden="false" customHeight="false" outlineLevel="0" collapsed="false">
      <c r="A2094" s="6" t="s">
        <v>62</v>
      </c>
      <c r="B2094" s="6" t="s">
        <v>63</v>
      </c>
      <c r="C2094" s="6" t="s">
        <v>44</v>
      </c>
      <c r="D2094" s="6" t="s">
        <v>114</v>
      </c>
      <c r="E2094" s="6" t="n">
        <v>16</v>
      </c>
      <c r="F2094" s="6" t="n">
        <v>1</v>
      </c>
      <c r="G2094" s="6" t="s">
        <v>70</v>
      </c>
      <c r="H2094" s="11" t="n">
        <v>0.01</v>
      </c>
      <c r="I2094" s="6" t="n">
        <v>20</v>
      </c>
      <c r="J2094" s="6" t="n">
        <v>0</v>
      </c>
      <c r="K2094" s="6" t="n">
        <v>20</v>
      </c>
      <c r="L2094" s="6" t="n">
        <v>0</v>
      </c>
      <c r="M2094" s="6" t="n">
        <v>20</v>
      </c>
      <c r="N2094" s="11" t="n">
        <f aca="false">J2094/(J2094+K2094)</f>
        <v>0</v>
      </c>
      <c r="O2094" s="11" t="str">
        <f aca="false">IF(J2094+L2094=0,"",J2094/(J2094+L2094))</f>
        <v/>
      </c>
      <c r="P2094" s="11" t="n">
        <f aca="false">2*J2094/(2*J2094+L2094+K2094)</f>
        <v>0</v>
      </c>
      <c r="Q2094" s="11" t="n">
        <f aca="false">L2094/(L2094+M2094)</f>
        <v>0</v>
      </c>
      <c r="R2094" s="6" t="n">
        <v>1</v>
      </c>
      <c r="S2094" s="11" t="n">
        <v>0</v>
      </c>
      <c r="T2094" s="11" t="n">
        <v>0</v>
      </c>
      <c r="U2094" s="11" t="n">
        <v>0.9</v>
      </c>
      <c r="V2094" s="11" t="n">
        <v>0.95</v>
      </c>
    </row>
    <row r="2095" customFormat="false" ht="15" hidden="false" customHeight="false" outlineLevel="0" collapsed="false">
      <c r="A2095" s="6" t="s">
        <v>62</v>
      </c>
      <c r="B2095" s="6" t="s">
        <v>63</v>
      </c>
      <c r="C2095" s="6" t="s">
        <v>44</v>
      </c>
      <c r="D2095" s="6" t="s">
        <v>114</v>
      </c>
      <c r="E2095" s="6" t="n">
        <v>16</v>
      </c>
      <c r="F2095" s="6" t="n">
        <v>1</v>
      </c>
      <c r="G2095" s="6" t="s">
        <v>71</v>
      </c>
      <c r="H2095" s="11" t="n">
        <v>0.01</v>
      </c>
      <c r="I2095" s="6" t="n">
        <v>20</v>
      </c>
      <c r="J2095" s="6" t="n">
        <v>0</v>
      </c>
      <c r="K2095" s="6" t="n">
        <v>20</v>
      </c>
      <c r="L2095" s="6" t="n">
        <v>0</v>
      </c>
      <c r="M2095" s="6" t="n">
        <v>20</v>
      </c>
      <c r="N2095" s="11" t="n">
        <f aca="false">J2095/(J2095+K2095)</f>
        <v>0</v>
      </c>
      <c r="O2095" s="11" t="str">
        <f aca="false">IF(J2095+L2095=0,"",J2095/(J2095+L2095))</f>
        <v/>
      </c>
      <c r="P2095" s="11" t="n">
        <f aca="false">2*J2095/(2*J2095+L2095+K2095)</f>
        <v>0</v>
      </c>
      <c r="Q2095" s="11" t="n">
        <f aca="false">L2095/(L2095+M2095)</f>
        <v>0</v>
      </c>
      <c r="R2095" s="6" t="n">
        <v>1</v>
      </c>
      <c r="S2095" s="11" t="n">
        <v>0</v>
      </c>
      <c r="T2095" s="11" t="n">
        <v>0</v>
      </c>
      <c r="U2095" s="11" t="n">
        <v>0.8</v>
      </c>
      <c r="V2095" s="11" t="n">
        <v>0.85</v>
      </c>
    </row>
    <row r="2096" customFormat="false" ht="15" hidden="false" customHeight="false" outlineLevel="0" collapsed="false">
      <c r="A2096" s="6" t="s">
        <v>62</v>
      </c>
      <c r="B2096" s="6" t="s">
        <v>63</v>
      </c>
      <c r="C2096" s="6" t="s">
        <v>44</v>
      </c>
      <c r="D2096" s="6" t="s">
        <v>114</v>
      </c>
      <c r="E2096" s="6" t="n">
        <v>16</v>
      </c>
      <c r="F2096" s="6" t="n">
        <v>1</v>
      </c>
      <c r="G2096" s="6" t="s">
        <v>72</v>
      </c>
      <c r="H2096" s="11" t="n">
        <v>0.01</v>
      </c>
      <c r="I2096" s="6" t="n">
        <v>20</v>
      </c>
      <c r="J2096" s="6" t="n">
        <v>0</v>
      </c>
      <c r="K2096" s="6" t="n">
        <v>20</v>
      </c>
      <c r="L2096" s="6" t="n">
        <v>0</v>
      </c>
      <c r="M2096" s="6" t="n">
        <v>20</v>
      </c>
      <c r="N2096" s="11" t="n">
        <f aca="false">J2096/(J2096+K2096)</f>
        <v>0</v>
      </c>
      <c r="O2096" s="11" t="str">
        <f aca="false">IF(J2096+L2096=0,"",J2096/(J2096+L2096))</f>
        <v/>
      </c>
      <c r="P2096" s="11" t="n">
        <f aca="false">2*J2096/(2*J2096+L2096+K2096)</f>
        <v>0</v>
      </c>
      <c r="Q2096" s="11" t="n">
        <f aca="false">L2096/(L2096+M2096)</f>
        <v>0</v>
      </c>
      <c r="R2096" s="6" t="n">
        <v>1</v>
      </c>
      <c r="S2096" s="11" t="n">
        <v>0</v>
      </c>
      <c r="T2096" s="11" t="n">
        <v>0</v>
      </c>
      <c r="U2096" s="11" t="n">
        <v>0.9</v>
      </c>
      <c r="V2096" s="11" t="n">
        <v>0.85</v>
      </c>
    </row>
    <row r="2097" customFormat="false" ht="15" hidden="false" customHeight="false" outlineLevel="0" collapsed="false">
      <c r="A2097" s="6" t="s">
        <v>62</v>
      </c>
      <c r="B2097" s="6" t="s">
        <v>63</v>
      </c>
      <c r="C2097" s="6" t="s">
        <v>44</v>
      </c>
      <c r="D2097" s="6" t="s">
        <v>114</v>
      </c>
      <c r="E2097" s="6" t="n">
        <v>16</v>
      </c>
      <c r="F2097" s="6" t="n">
        <v>1</v>
      </c>
      <c r="G2097" s="6" t="s">
        <v>73</v>
      </c>
      <c r="H2097" s="11" t="n">
        <v>0.01</v>
      </c>
      <c r="I2097" s="6" t="n">
        <v>20</v>
      </c>
      <c r="J2097" s="6" t="n">
        <v>0</v>
      </c>
      <c r="K2097" s="6" t="n">
        <v>20</v>
      </c>
      <c r="L2097" s="6" t="n">
        <v>0</v>
      </c>
      <c r="M2097" s="6" t="n">
        <v>20</v>
      </c>
      <c r="N2097" s="11" t="n">
        <f aca="false">J2097/(J2097+K2097)</f>
        <v>0</v>
      </c>
      <c r="O2097" s="11" t="str">
        <f aca="false">IF(J2097+L2097=0,"",J2097/(J2097+L2097))</f>
        <v/>
      </c>
      <c r="P2097" s="11" t="n">
        <f aca="false">2*J2097/(2*J2097+L2097+K2097)</f>
        <v>0</v>
      </c>
      <c r="Q2097" s="11" t="n">
        <f aca="false">L2097/(L2097+M2097)</f>
        <v>0</v>
      </c>
      <c r="R2097" s="6" t="n">
        <v>1</v>
      </c>
      <c r="S2097" s="11" t="n">
        <v>0</v>
      </c>
      <c r="T2097" s="11" t="n">
        <v>0</v>
      </c>
      <c r="U2097" s="11" t="n">
        <v>0.65</v>
      </c>
      <c r="V2097" s="11" t="n">
        <v>0.6</v>
      </c>
    </row>
    <row r="2098" customFormat="false" ht="15" hidden="false" customHeight="false" outlineLevel="0" collapsed="false">
      <c r="A2098" s="6" t="s">
        <v>62</v>
      </c>
      <c r="B2098" s="6" t="s">
        <v>63</v>
      </c>
      <c r="C2098" s="6" t="s">
        <v>44</v>
      </c>
      <c r="D2098" s="6" t="s">
        <v>114</v>
      </c>
      <c r="E2098" s="6" t="n">
        <v>16</v>
      </c>
      <c r="F2098" s="6" t="n">
        <v>1</v>
      </c>
      <c r="G2098" s="6" t="s">
        <v>74</v>
      </c>
      <c r="H2098" s="11" t="n">
        <v>0.01</v>
      </c>
      <c r="I2098" s="6" t="n">
        <v>20</v>
      </c>
      <c r="J2098" s="6" t="n">
        <v>1</v>
      </c>
      <c r="K2098" s="6" t="n">
        <v>19</v>
      </c>
      <c r="L2098" s="6" t="n">
        <v>0</v>
      </c>
      <c r="M2098" s="6" t="n">
        <v>20</v>
      </c>
      <c r="N2098" s="11" t="n">
        <f aca="false">J2098/(J2098+K2098)</f>
        <v>0.05</v>
      </c>
      <c r="O2098" s="11" t="n">
        <f aca="false">IF(J2098+L2098=0,"",J2098/(J2098+L2098))</f>
        <v>1</v>
      </c>
      <c r="P2098" s="11" t="n">
        <f aca="false">2*J2098/(2*J2098+L2098+K2098)</f>
        <v>0.0952380952380952</v>
      </c>
      <c r="Q2098" s="11" t="n">
        <f aca="false">L2098/(L2098+M2098)</f>
        <v>0</v>
      </c>
      <c r="R2098" s="6" t="n">
        <v>2</v>
      </c>
      <c r="S2098" s="11" t="n">
        <v>0</v>
      </c>
      <c r="T2098" s="11" t="n">
        <v>0.0555555555555556</v>
      </c>
      <c r="U2098" s="11" t="n">
        <v>0.85</v>
      </c>
      <c r="V2098" s="11" t="n">
        <v>0.8</v>
      </c>
    </row>
    <row r="2099" customFormat="false" ht="15" hidden="false" customHeight="false" outlineLevel="0" collapsed="false">
      <c r="A2099" s="6" t="s">
        <v>62</v>
      </c>
      <c r="B2099" s="6" t="s">
        <v>63</v>
      </c>
      <c r="C2099" s="6" t="s">
        <v>44</v>
      </c>
      <c r="D2099" s="6" t="s">
        <v>114</v>
      </c>
      <c r="E2099" s="6" t="n">
        <v>16</v>
      </c>
      <c r="F2099" s="6" t="n">
        <v>1</v>
      </c>
      <c r="G2099" s="6" t="s">
        <v>75</v>
      </c>
      <c r="H2099" s="11" t="n">
        <v>0.01</v>
      </c>
      <c r="I2099" s="6" t="n">
        <v>20</v>
      </c>
      <c r="J2099" s="6" t="n">
        <v>0</v>
      </c>
      <c r="K2099" s="6" t="n">
        <v>20</v>
      </c>
      <c r="L2099" s="6" t="n">
        <v>0</v>
      </c>
      <c r="M2099" s="6" t="n">
        <v>20</v>
      </c>
      <c r="N2099" s="11" t="n">
        <f aca="false">J2099/(J2099+K2099)</f>
        <v>0</v>
      </c>
      <c r="O2099" s="11" t="str">
        <f aca="false">IF(J2099+L2099=0,"",J2099/(J2099+L2099))</f>
        <v/>
      </c>
      <c r="P2099" s="11" t="n">
        <f aca="false">2*J2099/(2*J2099+L2099+K2099)</f>
        <v>0</v>
      </c>
      <c r="Q2099" s="11" t="n">
        <f aca="false">L2099/(L2099+M2099)</f>
        <v>0</v>
      </c>
      <c r="R2099" s="6" t="n">
        <v>1</v>
      </c>
      <c r="S2099" s="11" t="n">
        <v>0</v>
      </c>
      <c r="T2099" s="11" t="n">
        <v>0</v>
      </c>
      <c r="U2099" s="11" t="n">
        <v>0.9</v>
      </c>
      <c r="V2099" s="11" t="n">
        <v>0.85</v>
      </c>
    </row>
    <row r="2100" customFormat="false" ht="15" hidden="false" customHeight="false" outlineLevel="0" collapsed="false">
      <c r="A2100" s="6" t="s">
        <v>62</v>
      </c>
      <c r="B2100" s="6" t="s">
        <v>63</v>
      </c>
      <c r="C2100" s="6" t="s">
        <v>44</v>
      </c>
      <c r="D2100" s="6" t="s">
        <v>114</v>
      </c>
      <c r="E2100" s="6" t="n">
        <v>16</v>
      </c>
      <c r="F2100" s="6" t="n">
        <v>1</v>
      </c>
      <c r="G2100" s="6" t="s">
        <v>76</v>
      </c>
      <c r="H2100" s="11" t="n">
        <v>0.01</v>
      </c>
      <c r="I2100" s="6" t="n">
        <v>20</v>
      </c>
      <c r="J2100" s="6" t="n">
        <v>0</v>
      </c>
      <c r="K2100" s="6" t="n">
        <v>20</v>
      </c>
      <c r="L2100" s="6" t="n">
        <v>0</v>
      </c>
      <c r="M2100" s="6" t="n">
        <v>20</v>
      </c>
      <c r="N2100" s="11" t="n">
        <f aca="false">J2100/(J2100+K2100)</f>
        <v>0</v>
      </c>
      <c r="O2100" s="11" t="str">
        <f aca="false">IF(J2100+L2100=0,"",J2100/(J2100+L2100))</f>
        <v/>
      </c>
      <c r="P2100" s="11" t="n">
        <f aca="false">2*J2100/(2*J2100+L2100+K2100)</f>
        <v>0</v>
      </c>
      <c r="Q2100" s="11" t="n">
        <f aca="false">L2100/(L2100+M2100)</f>
        <v>0</v>
      </c>
      <c r="R2100" s="6" t="n">
        <v>0</v>
      </c>
      <c r="S2100" s="11"/>
      <c r="T2100" s="11" t="n">
        <v>0</v>
      </c>
      <c r="U2100" s="11" t="n">
        <v>0.95</v>
      </c>
      <c r="V2100" s="11" t="n">
        <v>0.95</v>
      </c>
    </row>
    <row r="2101" customFormat="false" ht="15" hidden="false" customHeight="false" outlineLevel="0" collapsed="false">
      <c r="A2101" s="6" t="s">
        <v>62</v>
      </c>
      <c r="B2101" s="6" t="s">
        <v>63</v>
      </c>
      <c r="C2101" s="6" t="s">
        <v>44</v>
      </c>
      <c r="D2101" s="6" t="s">
        <v>114</v>
      </c>
      <c r="E2101" s="6" t="n">
        <v>16</v>
      </c>
      <c r="F2101" s="6" t="n">
        <v>1</v>
      </c>
      <c r="G2101" s="6" t="s">
        <v>77</v>
      </c>
      <c r="H2101" s="11" t="n">
        <v>0.01</v>
      </c>
      <c r="I2101" s="6" t="n">
        <v>20</v>
      </c>
      <c r="J2101" s="6" t="n">
        <v>1</v>
      </c>
      <c r="K2101" s="6" t="n">
        <v>19</v>
      </c>
      <c r="L2101" s="6" t="n">
        <v>1</v>
      </c>
      <c r="M2101" s="6" t="n">
        <v>19</v>
      </c>
      <c r="N2101" s="11" t="n">
        <f aca="false">J2101/(J2101+K2101)</f>
        <v>0.05</v>
      </c>
      <c r="O2101" s="11" t="n">
        <f aca="false">IF(J2101+L2101=0,"",J2101/(J2101+L2101))</f>
        <v>0.5</v>
      </c>
      <c r="P2101" s="11" t="n">
        <f aca="false">2*J2101/(2*J2101+L2101+K2101)</f>
        <v>0.0909090909090909</v>
      </c>
      <c r="Q2101" s="11" t="n">
        <f aca="false">L2101/(L2101+M2101)</f>
        <v>0.05</v>
      </c>
      <c r="R2101" s="6" t="n">
        <v>0</v>
      </c>
      <c r="S2101" s="11"/>
      <c r="T2101" s="11" t="n">
        <v>0.05</v>
      </c>
      <c r="U2101" s="11" t="n">
        <v>1</v>
      </c>
      <c r="V2101" s="11" t="n">
        <v>1</v>
      </c>
    </row>
    <row r="2102" customFormat="false" ht="15" hidden="false" customHeight="false" outlineLevel="0" collapsed="false">
      <c r="A2102" s="6" t="s">
        <v>62</v>
      </c>
      <c r="B2102" s="6" t="s">
        <v>63</v>
      </c>
      <c r="C2102" s="6" t="s">
        <v>44</v>
      </c>
      <c r="D2102" s="6" t="s">
        <v>114</v>
      </c>
      <c r="E2102" s="6" t="n">
        <v>16</v>
      </c>
      <c r="F2102" s="6" t="n">
        <v>1</v>
      </c>
      <c r="G2102" s="6" t="s">
        <v>78</v>
      </c>
      <c r="H2102" s="11" t="n">
        <v>0.01</v>
      </c>
      <c r="I2102" s="6" t="n">
        <v>200</v>
      </c>
      <c r="J2102" s="6" t="n">
        <v>2</v>
      </c>
      <c r="K2102" s="6" t="n">
        <v>198</v>
      </c>
      <c r="L2102" s="6" t="n">
        <v>1</v>
      </c>
      <c r="M2102" s="6" t="n">
        <v>199</v>
      </c>
      <c r="N2102" s="11" t="n">
        <f aca="false">J2102/(J2102+K2102)</f>
        <v>0.01</v>
      </c>
      <c r="O2102" s="11" t="n">
        <f aca="false">IF(J2102+L2102=0,"",J2102/(J2102+L2102))</f>
        <v>0.666666666666667</v>
      </c>
      <c r="P2102" s="11" t="n">
        <f aca="false">2*J2102/(2*J2102+L2102+K2102)</f>
        <v>0.0197044334975369</v>
      </c>
      <c r="Q2102" s="11" t="n">
        <f aca="false">L2102/(L2102+M2102)</f>
        <v>0.005</v>
      </c>
      <c r="R2102" s="6" t="n">
        <v>8</v>
      </c>
      <c r="S2102" s="11" t="n">
        <v>0</v>
      </c>
      <c r="T2102" s="11" t="n">
        <v>0.0104166666666667</v>
      </c>
      <c r="U2102" s="11" t="n">
        <v>0.88</v>
      </c>
      <c r="V2102" s="11" t="n">
        <v>0.875</v>
      </c>
    </row>
    <row r="2103" customFormat="false" ht="15" hidden="false" customHeight="false" outlineLevel="0" collapsed="false">
      <c r="A2103" s="6" t="s">
        <v>62</v>
      </c>
      <c r="B2103" s="6" t="s">
        <v>63</v>
      </c>
      <c r="C2103" s="6" t="s">
        <v>44</v>
      </c>
      <c r="D2103" s="6" t="s">
        <v>114</v>
      </c>
      <c r="E2103" s="6" t="n">
        <v>16</v>
      </c>
      <c r="F2103" s="6" t="n">
        <v>2</v>
      </c>
      <c r="G2103" s="6" t="s">
        <v>68</v>
      </c>
      <c r="H2103" s="11" t="n">
        <v>0.01</v>
      </c>
      <c r="I2103" s="6" t="n">
        <v>20</v>
      </c>
      <c r="J2103" s="6" t="n">
        <v>0</v>
      </c>
      <c r="K2103" s="6" t="n">
        <v>20</v>
      </c>
      <c r="L2103" s="6" t="n">
        <v>0</v>
      </c>
      <c r="M2103" s="6" t="n">
        <v>20</v>
      </c>
      <c r="N2103" s="11" t="n">
        <f aca="false">J2103/(J2103+K2103)</f>
        <v>0</v>
      </c>
      <c r="O2103" s="11" t="str">
        <f aca="false">IF(J2103+L2103=0,"",J2103/(J2103+L2103))</f>
        <v/>
      </c>
      <c r="P2103" s="11" t="n">
        <f aca="false">2*J2103/(2*J2103+L2103+K2103)</f>
        <v>0</v>
      </c>
      <c r="Q2103" s="11" t="n">
        <f aca="false">L2103/(L2103+M2103)</f>
        <v>0</v>
      </c>
      <c r="R2103" s="6" t="n">
        <v>0</v>
      </c>
      <c r="S2103" s="11"/>
      <c r="T2103" s="11" t="n">
        <v>0</v>
      </c>
      <c r="U2103" s="11" t="n">
        <v>0.85</v>
      </c>
      <c r="V2103" s="11" t="n">
        <v>0.85</v>
      </c>
    </row>
    <row r="2104" customFormat="false" ht="15" hidden="false" customHeight="false" outlineLevel="0" collapsed="false">
      <c r="A2104" s="6" t="s">
        <v>62</v>
      </c>
      <c r="B2104" s="6" t="s">
        <v>63</v>
      </c>
      <c r="C2104" s="6" t="s">
        <v>44</v>
      </c>
      <c r="D2104" s="6" t="s">
        <v>114</v>
      </c>
      <c r="E2104" s="6" t="n">
        <v>16</v>
      </c>
      <c r="F2104" s="6" t="n">
        <v>2</v>
      </c>
      <c r="G2104" s="6" t="s">
        <v>69</v>
      </c>
      <c r="H2104" s="11" t="n">
        <v>0.01</v>
      </c>
      <c r="I2104" s="6" t="n">
        <v>20</v>
      </c>
      <c r="J2104" s="6" t="n">
        <v>0</v>
      </c>
      <c r="K2104" s="6" t="n">
        <v>20</v>
      </c>
      <c r="L2104" s="6" t="n">
        <v>0</v>
      </c>
      <c r="M2104" s="6" t="n">
        <v>20</v>
      </c>
      <c r="N2104" s="11" t="n">
        <f aca="false">J2104/(J2104+K2104)</f>
        <v>0</v>
      </c>
      <c r="O2104" s="11" t="str">
        <f aca="false">IF(J2104+L2104=0,"",J2104/(J2104+L2104))</f>
        <v/>
      </c>
      <c r="P2104" s="11" t="n">
        <f aca="false">2*J2104/(2*J2104+L2104+K2104)</f>
        <v>0</v>
      </c>
      <c r="Q2104" s="11" t="n">
        <f aca="false">L2104/(L2104+M2104)</f>
        <v>0</v>
      </c>
      <c r="R2104" s="6" t="n">
        <v>0</v>
      </c>
      <c r="S2104" s="11"/>
      <c r="T2104" s="11" t="n">
        <v>0</v>
      </c>
      <c r="U2104" s="11" t="n">
        <v>1</v>
      </c>
      <c r="V2104" s="11" t="n">
        <v>1</v>
      </c>
    </row>
    <row r="2105" customFormat="false" ht="15" hidden="false" customHeight="false" outlineLevel="0" collapsed="false">
      <c r="A2105" s="6" t="s">
        <v>62</v>
      </c>
      <c r="B2105" s="6" t="s">
        <v>63</v>
      </c>
      <c r="C2105" s="6" t="s">
        <v>44</v>
      </c>
      <c r="D2105" s="6" t="s">
        <v>114</v>
      </c>
      <c r="E2105" s="6" t="n">
        <v>16</v>
      </c>
      <c r="F2105" s="6" t="n">
        <v>2</v>
      </c>
      <c r="G2105" s="6" t="s">
        <v>70</v>
      </c>
      <c r="H2105" s="11" t="n">
        <v>0.01</v>
      </c>
      <c r="I2105" s="6" t="n">
        <v>20</v>
      </c>
      <c r="J2105" s="6" t="n">
        <v>0</v>
      </c>
      <c r="K2105" s="6" t="n">
        <v>20</v>
      </c>
      <c r="L2105" s="6" t="n">
        <v>0</v>
      </c>
      <c r="M2105" s="6" t="n">
        <v>20</v>
      </c>
      <c r="N2105" s="11" t="n">
        <f aca="false">J2105/(J2105+K2105)</f>
        <v>0</v>
      </c>
      <c r="O2105" s="11" t="str">
        <f aca="false">IF(J2105+L2105=0,"",J2105/(J2105+L2105))</f>
        <v/>
      </c>
      <c r="P2105" s="11" t="n">
        <f aca="false">2*J2105/(2*J2105+L2105+K2105)</f>
        <v>0</v>
      </c>
      <c r="Q2105" s="11" t="n">
        <f aca="false">L2105/(L2105+M2105)</f>
        <v>0</v>
      </c>
      <c r="R2105" s="6" t="n">
        <v>0</v>
      </c>
      <c r="S2105" s="11"/>
      <c r="T2105" s="11" t="n">
        <v>0</v>
      </c>
      <c r="U2105" s="11" t="n">
        <v>0.9</v>
      </c>
      <c r="V2105" s="11" t="n">
        <v>0.9</v>
      </c>
    </row>
    <row r="2106" customFormat="false" ht="15" hidden="false" customHeight="false" outlineLevel="0" collapsed="false">
      <c r="A2106" s="6" t="s">
        <v>62</v>
      </c>
      <c r="B2106" s="6" t="s">
        <v>63</v>
      </c>
      <c r="C2106" s="6" t="s">
        <v>44</v>
      </c>
      <c r="D2106" s="6" t="s">
        <v>114</v>
      </c>
      <c r="E2106" s="6" t="n">
        <v>16</v>
      </c>
      <c r="F2106" s="6" t="n">
        <v>2</v>
      </c>
      <c r="G2106" s="6" t="s">
        <v>71</v>
      </c>
      <c r="H2106" s="11" t="n">
        <v>0.01</v>
      </c>
      <c r="I2106" s="6" t="n">
        <v>20</v>
      </c>
      <c r="J2106" s="6" t="n">
        <v>0</v>
      </c>
      <c r="K2106" s="6" t="n">
        <v>20</v>
      </c>
      <c r="L2106" s="6" t="n">
        <v>0</v>
      </c>
      <c r="M2106" s="6" t="n">
        <v>20</v>
      </c>
      <c r="N2106" s="11" t="n">
        <f aca="false">J2106/(J2106+K2106)</f>
        <v>0</v>
      </c>
      <c r="O2106" s="11" t="str">
        <f aca="false">IF(J2106+L2106=0,"",J2106/(J2106+L2106))</f>
        <v/>
      </c>
      <c r="P2106" s="11" t="n">
        <f aca="false">2*J2106/(2*J2106+L2106+K2106)</f>
        <v>0</v>
      </c>
      <c r="Q2106" s="11" t="n">
        <f aca="false">L2106/(L2106+M2106)</f>
        <v>0</v>
      </c>
      <c r="R2106" s="6" t="n">
        <v>0</v>
      </c>
      <c r="S2106" s="11"/>
      <c r="T2106" s="11" t="n">
        <v>0</v>
      </c>
      <c r="U2106" s="11" t="n">
        <v>0.8</v>
      </c>
      <c r="V2106" s="11" t="n">
        <v>0.8</v>
      </c>
    </row>
    <row r="2107" customFormat="false" ht="15" hidden="false" customHeight="false" outlineLevel="0" collapsed="false">
      <c r="A2107" s="6" t="s">
        <v>62</v>
      </c>
      <c r="B2107" s="6" t="s">
        <v>63</v>
      </c>
      <c r="C2107" s="6" t="s">
        <v>44</v>
      </c>
      <c r="D2107" s="6" t="s">
        <v>114</v>
      </c>
      <c r="E2107" s="6" t="n">
        <v>16</v>
      </c>
      <c r="F2107" s="6" t="n">
        <v>2</v>
      </c>
      <c r="G2107" s="6" t="s">
        <v>72</v>
      </c>
      <c r="H2107" s="11" t="n">
        <v>0.01</v>
      </c>
      <c r="I2107" s="6" t="n">
        <v>20</v>
      </c>
      <c r="J2107" s="6" t="n">
        <v>0</v>
      </c>
      <c r="K2107" s="6" t="n">
        <v>20</v>
      </c>
      <c r="L2107" s="6" t="n">
        <v>0</v>
      </c>
      <c r="M2107" s="6" t="n">
        <v>20</v>
      </c>
      <c r="N2107" s="11" t="n">
        <f aca="false">J2107/(J2107+K2107)</f>
        <v>0</v>
      </c>
      <c r="O2107" s="11" t="str">
        <f aca="false">IF(J2107+L2107=0,"",J2107/(J2107+L2107))</f>
        <v/>
      </c>
      <c r="P2107" s="11" t="n">
        <f aca="false">2*J2107/(2*J2107+L2107+K2107)</f>
        <v>0</v>
      </c>
      <c r="Q2107" s="11" t="n">
        <f aca="false">L2107/(L2107+M2107)</f>
        <v>0</v>
      </c>
      <c r="R2107" s="6" t="n">
        <v>0</v>
      </c>
      <c r="S2107" s="11"/>
      <c r="T2107" s="11" t="n">
        <v>0</v>
      </c>
      <c r="U2107" s="11" t="n">
        <v>0.9</v>
      </c>
      <c r="V2107" s="11" t="n">
        <v>0.9</v>
      </c>
    </row>
    <row r="2108" customFormat="false" ht="15" hidden="false" customHeight="false" outlineLevel="0" collapsed="false">
      <c r="A2108" s="6" t="s">
        <v>62</v>
      </c>
      <c r="B2108" s="6" t="s">
        <v>63</v>
      </c>
      <c r="C2108" s="6" t="s">
        <v>44</v>
      </c>
      <c r="D2108" s="6" t="s">
        <v>114</v>
      </c>
      <c r="E2108" s="6" t="n">
        <v>16</v>
      </c>
      <c r="F2108" s="6" t="n">
        <v>2</v>
      </c>
      <c r="G2108" s="6" t="s">
        <v>73</v>
      </c>
      <c r="H2108" s="11" t="n">
        <v>0.01</v>
      </c>
      <c r="I2108" s="6" t="n">
        <v>20</v>
      </c>
      <c r="J2108" s="6" t="n">
        <v>0</v>
      </c>
      <c r="K2108" s="6" t="n">
        <v>20</v>
      </c>
      <c r="L2108" s="6" t="n">
        <v>0</v>
      </c>
      <c r="M2108" s="6" t="n">
        <v>20</v>
      </c>
      <c r="N2108" s="11" t="n">
        <f aca="false">J2108/(J2108+K2108)</f>
        <v>0</v>
      </c>
      <c r="O2108" s="11" t="str">
        <f aca="false">IF(J2108+L2108=0,"",J2108/(J2108+L2108))</f>
        <v/>
      </c>
      <c r="P2108" s="11" t="n">
        <f aca="false">2*J2108/(2*J2108+L2108+K2108)</f>
        <v>0</v>
      </c>
      <c r="Q2108" s="11" t="n">
        <f aca="false">L2108/(L2108+M2108)</f>
        <v>0</v>
      </c>
      <c r="R2108" s="6" t="n">
        <v>1</v>
      </c>
      <c r="S2108" s="11" t="n">
        <v>0</v>
      </c>
      <c r="T2108" s="11" t="n">
        <v>0</v>
      </c>
      <c r="U2108" s="11" t="n">
        <v>0.65</v>
      </c>
      <c r="V2108" s="11" t="n">
        <v>0.65</v>
      </c>
    </row>
    <row r="2109" customFormat="false" ht="15" hidden="false" customHeight="false" outlineLevel="0" collapsed="false">
      <c r="A2109" s="6" t="s">
        <v>62</v>
      </c>
      <c r="B2109" s="6" t="s">
        <v>63</v>
      </c>
      <c r="C2109" s="6" t="s">
        <v>44</v>
      </c>
      <c r="D2109" s="6" t="s">
        <v>114</v>
      </c>
      <c r="E2109" s="6" t="n">
        <v>16</v>
      </c>
      <c r="F2109" s="6" t="n">
        <v>2</v>
      </c>
      <c r="G2109" s="6" t="s">
        <v>74</v>
      </c>
      <c r="H2109" s="11" t="n">
        <v>0.01</v>
      </c>
      <c r="I2109" s="6" t="n">
        <v>20</v>
      </c>
      <c r="J2109" s="6" t="n">
        <v>0</v>
      </c>
      <c r="K2109" s="6" t="n">
        <v>20</v>
      </c>
      <c r="L2109" s="6" t="n">
        <v>0</v>
      </c>
      <c r="M2109" s="6" t="n">
        <v>20</v>
      </c>
      <c r="N2109" s="11" t="n">
        <f aca="false">J2109/(J2109+K2109)</f>
        <v>0</v>
      </c>
      <c r="O2109" s="11" t="str">
        <f aca="false">IF(J2109+L2109=0,"",J2109/(J2109+L2109))</f>
        <v/>
      </c>
      <c r="P2109" s="11" t="n">
        <f aca="false">2*J2109/(2*J2109+L2109+K2109)</f>
        <v>0</v>
      </c>
      <c r="Q2109" s="11" t="n">
        <f aca="false">L2109/(L2109+M2109)</f>
        <v>0</v>
      </c>
      <c r="R2109" s="6" t="n">
        <v>3</v>
      </c>
      <c r="S2109" s="11" t="n">
        <v>0</v>
      </c>
      <c r="T2109" s="11" t="n">
        <v>0</v>
      </c>
      <c r="U2109" s="11" t="n">
        <v>0.85</v>
      </c>
      <c r="V2109" s="11" t="n">
        <v>0.95</v>
      </c>
    </row>
    <row r="2110" customFormat="false" ht="15" hidden="false" customHeight="false" outlineLevel="0" collapsed="false">
      <c r="A2110" s="6" t="s">
        <v>62</v>
      </c>
      <c r="B2110" s="6" t="s">
        <v>63</v>
      </c>
      <c r="C2110" s="6" t="s">
        <v>44</v>
      </c>
      <c r="D2110" s="6" t="s">
        <v>114</v>
      </c>
      <c r="E2110" s="6" t="n">
        <v>16</v>
      </c>
      <c r="F2110" s="6" t="n">
        <v>2</v>
      </c>
      <c r="G2110" s="6" t="s">
        <v>75</v>
      </c>
      <c r="H2110" s="11" t="n">
        <v>0.01</v>
      </c>
      <c r="I2110" s="6" t="n">
        <v>20</v>
      </c>
      <c r="J2110" s="6" t="n">
        <v>0</v>
      </c>
      <c r="K2110" s="6" t="n">
        <v>20</v>
      </c>
      <c r="L2110" s="6" t="n">
        <v>0</v>
      </c>
      <c r="M2110" s="6" t="n">
        <v>20</v>
      </c>
      <c r="N2110" s="11" t="n">
        <f aca="false">J2110/(J2110+K2110)</f>
        <v>0</v>
      </c>
      <c r="O2110" s="11" t="str">
        <f aca="false">IF(J2110+L2110=0,"",J2110/(J2110+L2110))</f>
        <v/>
      </c>
      <c r="P2110" s="11" t="n">
        <f aca="false">2*J2110/(2*J2110+L2110+K2110)</f>
        <v>0</v>
      </c>
      <c r="Q2110" s="11" t="n">
        <f aca="false">L2110/(L2110+M2110)</f>
        <v>0</v>
      </c>
      <c r="R2110" s="6" t="n">
        <v>1</v>
      </c>
      <c r="S2110" s="11" t="n">
        <v>0</v>
      </c>
      <c r="T2110" s="11" t="n">
        <v>0</v>
      </c>
      <c r="U2110" s="11" t="n">
        <v>0.9</v>
      </c>
      <c r="V2110" s="11" t="n">
        <v>0.9</v>
      </c>
    </row>
    <row r="2111" customFormat="false" ht="15" hidden="false" customHeight="false" outlineLevel="0" collapsed="false">
      <c r="A2111" s="6" t="s">
        <v>62</v>
      </c>
      <c r="B2111" s="6" t="s">
        <v>63</v>
      </c>
      <c r="C2111" s="6" t="s">
        <v>44</v>
      </c>
      <c r="D2111" s="6" t="s">
        <v>114</v>
      </c>
      <c r="E2111" s="6" t="n">
        <v>16</v>
      </c>
      <c r="F2111" s="6" t="n">
        <v>2</v>
      </c>
      <c r="G2111" s="6" t="s">
        <v>76</v>
      </c>
      <c r="H2111" s="11" t="n">
        <v>0.01</v>
      </c>
      <c r="I2111" s="6" t="n">
        <v>20</v>
      </c>
      <c r="J2111" s="6" t="n">
        <v>0</v>
      </c>
      <c r="K2111" s="6" t="n">
        <v>20</v>
      </c>
      <c r="L2111" s="6" t="n">
        <v>0</v>
      </c>
      <c r="M2111" s="6" t="n">
        <v>20</v>
      </c>
      <c r="N2111" s="11" t="n">
        <f aca="false">J2111/(J2111+K2111)</f>
        <v>0</v>
      </c>
      <c r="O2111" s="11" t="str">
        <f aca="false">IF(J2111+L2111=0,"",J2111/(J2111+L2111))</f>
        <v/>
      </c>
      <c r="P2111" s="11" t="n">
        <f aca="false">2*J2111/(2*J2111+L2111+K2111)</f>
        <v>0</v>
      </c>
      <c r="Q2111" s="11" t="n">
        <f aca="false">L2111/(L2111+M2111)</f>
        <v>0</v>
      </c>
      <c r="R2111" s="6" t="n">
        <v>0</v>
      </c>
      <c r="S2111" s="11"/>
      <c r="T2111" s="11" t="n">
        <v>0</v>
      </c>
      <c r="U2111" s="11" t="n">
        <v>0.95</v>
      </c>
      <c r="V2111" s="11" t="n">
        <v>0.95</v>
      </c>
    </row>
    <row r="2112" customFormat="false" ht="15" hidden="false" customHeight="false" outlineLevel="0" collapsed="false">
      <c r="A2112" s="6" t="s">
        <v>62</v>
      </c>
      <c r="B2112" s="6" t="s">
        <v>63</v>
      </c>
      <c r="C2112" s="6" t="s">
        <v>44</v>
      </c>
      <c r="D2112" s="6" t="s">
        <v>114</v>
      </c>
      <c r="E2112" s="6" t="n">
        <v>16</v>
      </c>
      <c r="F2112" s="6" t="n">
        <v>2</v>
      </c>
      <c r="G2112" s="6" t="s">
        <v>77</v>
      </c>
      <c r="H2112" s="11" t="n">
        <v>0.01</v>
      </c>
      <c r="I2112" s="6" t="n">
        <v>20</v>
      </c>
      <c r="J2112" s="6" t="n">
        <v>1</v>
      </c>
      <c r="K2112" s="6" t="n">
        <v>19</v>
      </c>
      <c r="L2112" s="6" t="n">
        <v>1</v>
      </c>
      <c r="M2112" s="6" t="n">
        <v>19</v>
      </c>
      <c r="N2112" s="11" t="n">
        <f aca="false">J2112/(J2112+K2112)</f>
        <v>0.05</v>
      </c>
      <c r="O2112" s="11" t="n">
        <f aca="false">IF(J2112+L2112=0,"",J2112/(J2112+L2112))</f>
        <v>0.5</v>
      </c>
      <c r="P2112" s="11" t="n">
        <f aca="false">2*J2112/(2*J2112+L2112+K2112)</f>
        <v>0.0909090909090909</v>
      </c>
      <c r="Q2112" s="11" t="n">
        <f aca="false">L2112/(L2112+M2112)</f>
        <v>0.05</v>
      </c>
      <c r="R2112" s="6" t="n">
        <v>0</v>
      </c>
      <c r="S2112" s="11"/>
      <c r="T2112" s="11" t="n">
        <v>0.05</v>
      </c>
      <c r="U2112" s="11" t="n">
        <v>1</v>
      </c>
      <c r="V2112" s="11" t="n">
        <v>1</v>
      </c>
    </row>
    <row r="2113" customFormat="false" ht="15" hidden="false" customHeight="false" outlineLevel="0" collapsed="false">
      <c r="A2113" s="6" t="s">
        <v>62</v>
      </c>
      <c r="B2113" s="6" t="s">
        <v>63</v>
      </c>
      <c r="C2113" s="6" t="s">
        <v>44</v>
      </c>
      <c r="D2113" s="6" t="s">
        <v>114</v>
      </c>
      <c r="E2113" s="6" t="n">
        <v>16</v>
      </c>
      <c r="F2113" s="6" t="n">
        <v>2</v>
      </c>
      <c r="G2113" s="6" t="s">
        <v>78</v>
      </c>
      <c r="H2113" s="11" t="n">
        <v>0.01</v>
      </c>
      <c r="I2113" s="6" t="n">
        <v>200</v>
      </c>
      <c r="J2113" s="6" t="n">
        <v>1</v>
      </c>
      <c r="K2113" s="6" t="n">
        <v>199</v>
      </c>
      <c r="L2113" s="6" t="n">
        <v>1</v>
      </c>
      <c r="M2113" s="6" t="n">
        <v>199</v>
      </c>
      <c r="N2113" s="11" t="n">
        <f aca="false">J2113/(J2113+K2113)</f>
        <v>0.005</v>
      </c>
      <c r="O2113" s="11" t="n">
        <f aca="false">IF(J2113+L2113=0,"",J2113/(J2113+L2113))</f>
        <v>0.5</v>
      </c>
      <c r="P2113" s="11" t="n">
        <f aca="false">2*J2113/(2*J2113+L2113+K2113)</f>
        <v>0.0099009900990099</v>
      </c>
      <c r="Q2113" s="11" t="n">
        <f aca="false">L2113/(L2113+M2113)</f>
        <v>0.005</v>
      </c>
      <c r="R2113" s="6" t="n">
        <v>5</v>
      </c>
      <c r="S2113" s="11" t="n">
        <v>0</v>
      </c>
      <c r="T2113" s="11" t="n">
        <v>0.00512820512820513</v>
      </c>
      <c r="U2113" s="11" t="n">
        <v>0.88</v>
      </c>
      <c r="V2113" s="11" t="n">
        <v>0.89</v>
      </c>
    </row>
    <row r="2114" customFormat="false" ht="15" hidden="false" customHeight="false" outlineLevel="0" collapsed="false">
      <c r="A2114" s="6" t="s">
        <v>62</v>
      </c>
      <c r="B2114" s="6" t="s">
        <v>63</v>
      </c>
      <c r="C2114" s="6" t="s">
        <v>44</v>
      </c>
      <c r="D2114" s="6" t="s">
        <v>114</v>
      </c>
      <c r="E2114" s="6" t="n">
        <v>16</v>
      </c>
      <c r="F2114" s="6" t="n">
        <v>3</v>
      </c>
      <c r="G2114" s="6" t="s">
        <v>68</v>
      </c>
      <c r="H2114" s="11" t="n">
        <v>0.01</v>
      </c>
      <c r="I2114" s="6" t="n">
        <v>20</v>
      </c>
      <c r="J2114" s="6" t="n">
        <v>0</v>
      </c>
      <c r="K2114" s="6" t="n">
        <v>20</v>
      </c>
      <c r="L2114" s="6" t="n">
        <v>0</v>
      </c>
      <c r="M2114" s="6" t="n">
        <v>20</v>
      </c>
      <c r="N2114" s="11" t="n">
        <f aca="false">J2114/(J2114+K2114)</f>
        <v>0</v>
      </c>
      <c r="O2114" s="11" t="str">
        <f aca="false">IF(J2114+L2114=0,"",J2114/(J2114+L2114))</f>
        <v/>
      </c>
      <c r="P2114" s="11" t="n">
        <f aca="false">2*J2114/(2*J2114+L2114+K2114)</f>
        <v>0</v>
      </c>
      <c r="Q2114" s="11" t="n">
        <f aca="false">L2114/(L2114+M2114)</f>
        <v>0</v>
      </c>
      <c r="R2114" s="6" t="n">
        <v>0</v>
      </c>
      <c r="S2114" s="11"/>
      <c r="T2114" s="11" t="n">
        <v>0</v>
      </c>
      <c r="U2114" s="11" t="n">
        <v>0.85</v>
      </c>
      <c r="V2114" s="11" t="n">
        <v>0.85</v>
      </c>
    </row>
    <row r="2115" customFormat="false" ht="15" hidden="false" customHeight="false" outlineLevel="0" collapsed="false">
      <c r="A2115" s="6" t="s">
        <v>62</v>
      </c>
      <c r="B2115" s="6" t="s">
        <v>63</v>
      </c>
      <c r="C2115" s="6" t="s">
        <v>44</v>
      </c>
      <c r="D2115" s="6" t="s">
        <v>114</v>
      </c>
      <c r="E2115" s="6" t="n">
        <v>16</v>
      </c>
      <c r="F2115" s="6" t="n">
        <v>3</v>
      </c>
      <c r="G2115" s="6" t="s">
        <v>69</v>
      </c>
      <c r="H2115" s="11" t="n">
        <v>0.01</v>
      </c>
      <c r="I2115" s="6" t="n">
        <v>20</v>
      </c>
      <c r="J2115" s="6" t="n">
        <v>0</v>
      </c>
      <c r="K2115" s="6" t="n">
        <v>20</v>
      </c>
      <c r="L2115" s="6" t="n">
        <v>0</v>
      </c>
      <c r="M2115" s="6" t="n">
        <v>20</v>
      </c>
      <c r="N2115" s="11" t="n">
        <f aca="false">J2115/(J2115+K2115)</f>
        <v>0</v>
      </c>
      <c r="O2115" s="11" t="str">
        <f aca="false">IF(J2115+L2115=0,"",J2115/(J2115+L2115))</f>
        <v/>
      </c>
      <c r="P2115" s="11" t="n">
        <f aca="false">2*J2115/(2*J2115+L2115+K2115)</f>
        <v>0</v>
      </c>
      <c r="Q2115" s="11" t="n">
        <f aca="false">L2115/(L2115+M2115)</f>
        <v>0</v>
      </c>
      <c r="R2115" s="6" t="n">
        <v>0</v>
      </c>
      <c r="S2115" s="11"/>
      <c r="T2115" s="11" t="n">
        <v>0</v>
      </c>
      <c r="U2115" s="11" t="n">
        <v>1</v>
      </c>
      <c r="V2115" s="11" t="n">
        <v>1</v>
      </c>
    </row>
    <row r="2116" customFormat="false" ht="15" hidden="false" customHeight="false" outlineLevel="0" collapsed="false">
      <c r="A2116" s="6" t="s">
        <v>62</v>
      </c>
      <c r="B2116" s="6" t="s">
        <v>63</v>
      </c>
      <c r="C2116" s="6" t="s">
        <v>44</v>
      </c>
      <c r="D2116" s="6" t="s">
        <v>114</v>
      </c>
      <c r="E2116" s="6" t="n">
        <v>16</v>
      </c>
      <c r="F2116" s="6" t="n">
        <v>3</v>
      </c>
      <c r="G2116" s="6" t="s">
        <v>70</v>
      </c>
      <c r="H2116" s="11" t="n">
        <v>0.01</v>
      </c>
      <c r="I2116" s="6" t="n">
        <v>20</v>
      </c>
      <c r="J2116" s="6" t="n">
        <v>0</v>
      </c>
      <c r="K2116" s="6" t="n">
        <v>20</v>
      </c>
      <c r="L2116" s="6" t="n">
        <v>0</v>
      </c>
      <c r="M2116" s="6" t="n">
        <v>20</v>
      </c>
      <c r="N2116" s="11" t="n">
        <f aca="false">J2116/(J2116+K2116)</f>
        <v>0</v>
      </c>
      <c r="O2116" s="11" t="str">
        <f aca="false">IF(J2116+L2116=0,"",J2116/(J2116+L2116))</f>
        <v/>
      </c>
      <c r="P2116" s="11" t="n">
        <f aca="false">2*J2116/(2*J2116+L2116+K2116)</f>
        <v>0</v>
      </c>
      <c r="Q2116" s="11" t="n">
        <f aca="false">L2116/(L2116+M2116)</f>
        <v>0</v>
      </c>
      <c r="R2116" s="6" t="n">
        <v>0</v>
      </c>
      <c r="S2116" s="11"/>
      <c r="T2116" s="11" t="n">
        <v>0</v>
      </c>
      <c r="U2116" s="11" t="n">
        <v>0.9</v>
      </c>
      <c r="V2116" s="11" t="n">
        <v>0.9</v>
      </c>
    </row>
    <row r="2117" customFormat="false" ht="15" hidden="false" customHeight="false" outlineLevel="0" collapsed="false">
      <c r="A2117" s="6" t="s">
        <v>62</v>
      </c>
      <c r="B2117" s="6" t="s">
        <v>63</v>
      </c>
      <c r="C2117" s="6" t="s">
        <v>44</v>
      </c>
      <c r="D2117" s="6" t="s">
        <v>114</v>
      </c>
      <c r="E2117" s="6" t="n">
        <v>16</v>
      </c>
      <c r="F2117" s="6" t="n">
        <v>3</v>
      </c>
      <c r="G2117" s="6" t="s">
        <v>71</v>
      </c>
      <c r="H2117" s="11" t="n">
        <v>0.01</v>
      </c>
      <c r="I2117" s="6" t="n">
        <v>20</v>
      </c>
      <c r="J2117" s="6" t="n">
        <v>0</v>
      </c>
      <c r="K2117" s="6" t="n">
        <v>20</v>
      </c>
      <c r="L2117" s="6" t="n">
        <v>0</v>
      </c>
      <c r="M2117" s="6" t="n">
        <v>20</v>
      </c>
      <c r="N2117" s="11" t="n">
        <f aca="false">J2117/(J2117+K2117)</f>
        <v>0</v>
      </c>
      <c r="O2117" s="11" t="str">
        <f aca="false">IF(J2117+L2117=0,"",J2117/(J2117+L2117))</f>
        <v/>
      </c>
      <c r="P2117" s="11" t="n">
        <f aca="false">2*J2117/(2*J2117+L2117+K2117)</f>
        <v>0</v>
      </c>
      <c r="Q2117" s="11" t="n">
        <f aca="false">L2117/(L2117+M2117)</f>
        <v>0</v>
      </c>
      <c r="R2117" s="6" t="n">
        <v>1</v>
      </c>
      <c r="S2117" s="11" t="n">
        <v>0</v>
      </c>
      <c r="T2117" s="11" t="n">
        <v>0</v>
      </c>
      <c r="U2117" s="11" t="n">
        <v>0.8</v>
      </c>
      <c r="V2117" s="11" t="n">
        <v>0.75</v>
      </c>
    </row>
    <row r="2118" customFormat="false" ht="15" hidden="false" customHeight="false" outlineLevel="0" collapsed="false">
      <c r="A2118" s="6" t="s">
        <v>62</v>
      </c>
      <c r="B2118" s="6" t="s">
        <v>63</v>
      </c>
      <c r="C2118" s="6" t="s">
        <v>44</v>
      </c>
      <c r="D2118" s="6" t="s">
        <v>114</v>
      </c>
      <c r="E2118" s="6" t="n">
        <v>16</v>
      </c>
      <c r="F2118" s="6" t="n">
        <v>3</v>
      </c>
      <c r="G2118" s="6" t="s">
        <v>72</v>
      </c>
      <c r="H2118" s="11" t="n">
        <v>0.01</v>
      </c>
      <c r="I2118" s="6" t="n">
        <v>20</v>
      </c>
      <c r="J2118" s="6" t="n">
        <v>0</v>
      </c>
      <c r="K2118" s="6" t="n">
        <v>20</v>
      </c>
      <c r="L2118" s="6" t="n">
        <v>0</v>
      </c>
      <c r="M2118" s="6" t="n">
        <v>20</v>
      </c>
      <c r="N2118" s="11" t="n">
        <f aca="false">J2118/(J2118+K2118)</f>
        <v>0</v>
      </c>
      <c r="O2118" s="11" t="str">
        <f aca="false">IF(J2118+L2118=0,"",J2118/(J2118+L2118))</f>
        <v/>
      </c>
      <c r="P2118" s="11" t="n">
        <f aca="false">2*J2118/(2*J2118+L2118+K2118)</f>
        <v>0</v>
      </c>
      <c r="Q2118" s="11" t="n">
        <f aca="false">L2118/(L2118+M2118)</f>
        <v>0</v>
      </c>
      <c r="R2118" s="6" t="n">
        <v>0</v>
      </c>
      <c r="S2118" s="11"/>
      <c r="T2118" s="11" t="n">
        <v>0</v>
      </c>
      <c r="U2118" s="11" t="n">
        <v>0.9</v>
      </c>
      <c r="V2118" s="11" t="n">
        <v>0.9</v>
      </c>
    </row>
    <row r="2119" customFormat="false" ht="15" hidden="false" customHeight="false" outlineLevel="0" collapsed="false">
      <c r="A2119" s="6" t="s">
        <v>62</v>
      </c>
      <c r="B2119" s="6" t="s">
        <v>63</v>
      </c>
      <c r="C2119" s="6" t="s">
        <v>44</v>
      </c>
      <c r="D2119" s="6" t="s">
        <v>114</v>
      </c>
      <c r="E2119" s="6" t="n">
        <v>16</v>
      </c>
      <c r="F2119" s="6" t="n">
        <v>3</v>
      </c>
      <c r="G2119" s="6" t="s">
        <v>73</v>
      </c>
      <c r="H2119" s="11" t="n">
        <v>0.01</v>
      </c>
      <c r="I2119" s="6" t="n">
        <v>20</v>
      </c>
      <c r="J2119" s="6" t="n">
        <v>0</v>
      </c>
      <c r="K2119" s="6" t="n">
        <v>20</v>
      </c>
      <c r="L2119" s="6" t="n">
        <v>0</v>
      </c>
      <c r="M2119" s="6" t="n">
        <v>20</v>
      </c>
      <c r="N2119" s="11" t="n">
        <f aca="false">J2119/(J2119+K2119)</f>
        <v>0</v>
      </c>
      <c r="O2119" s="11" t="str">
        <f aca="false">IF(J2119+L2119=0,"",J2119/(J2119+L2119))</f>
        <v/>
      </c>
      <c r="P2119" s="11" t="n">
        <f aca="false">2*J2119/(2*J2119+L2119+K2119)</f>
        <v>0</v>
      </c>
      <c r="Q2119" s="11" t="n">
        <f aca="false">L2119/(L2119+M2119)</f>
        <v>0</v>
      </c>
      <c r="R2119" s="6" t="n">
        <v>1</v>
      </c>
      <c r="S2119" s="11" t="n">
        <v>0</v>
      </c>
      <c r="T2119" s="11" t="n">
        <v>0</v>
      </c>
      <c r="U2119" s="11" t="n">
        <v>0.65</v>
      </c>
      <c r="V2119" s="11" t="n">
        <v>0.65</v>
      </c>
    </row>
    <row r="2120" customFormat="false" ht="15" hidden="false" customHeight="false" outlineLevel="0" collapsed="false">
      <c r="A2120" s="6" t="s">
        <v>62</v>
      </c>
      <c r="B2120" s="6" t="s">
        <v>63</v>
      </c>
      <c r="C2120" s="6" t="s">
        <v>44</v>
      </c>
      <c r="D2120" s="6" t="s">
        <v>114</v>
      </c>
      <c r="E2120" s="6" t="n">
        <v>16</v>
      </c>
      <c r="F2120" s="6" t="n">
        <v>3</v>
      </c>
      <c r="G2120" s="6" t="s">
        <v>74</v>
      </c>
      <c r="H2120" s="11" t="n">
        <v>0.01</v>
      </c>
      <c r="I2120" s="6" t="n">
        <v>20</v>
      </c>
      <c r="J2120" s="6" t="n">
        <v>0</v>
      </c>
      <c r="K2120" s="6" t="n">
        <v>20</v>
      </c>
      <c r="L2120" s="6" t="n">
        <v>0</v>
      </c>
      <c r="M2120" s="6" t="n">
        <v>20</v>
      </c>
      <c r="N2120" s="11" t="n">
        <f aca="false">J2120/(J2120+K2120)</f>
        <v>0</v>
      </c>
      <c r="O2120" s="11" t="str">
        <f aca="false">IF(J2120+L2120=0,"",J2120/(J2120+L2120))</f>
        <v/>
      </c>
      <c r="P2120" s="11" t="n">
        <f aca="false">2*J2120/(2*J2120+L2120+K2120)</f>
        <v>0</v>
      </c>
      <c r="Q2120" s="11" t="n">
        <f aca="false">L2120/(L2120+M2120)</f>
        <v>0</v>
      </c>
      <c r="R2120" s="6" t="n">
        <v>1</v>
      </c>
      <c r="S2120" s="11" t="n">
        <v>0</v>
      </c>
      <c r="T2120" s="11" t="n">
        <v>0</v>
      </c>
      <c r="U2120" s="11" t="n">
        <v>0.85</v>
      </c>
      <c r="V2120" s="11" t="n">
        <v>0.85</v>
      </c>
    </row>
    <row r="2121" customFormat="false" ht="15" hidden="false" customHeight="false" outlineLevel="0" collapsed="false">
      <c r="A2121" s="6" t="s">
        <v>62</v>
      </c>
      <c r="B2121" s="6" t="s">
        <v>63</v>
      </c>
      <c r="C2121" s="6" t="s">
        <v>44</v>
      </c>
      <c r="D2121" s="6" t="s">
        <v>114</v>
      </c>
      <c r="E2121" s="6" t="n">
        <v>16</v>
      </c>
      <c r="F2121" s="6" t="n">
        <v>3</v>
      </c>
      <c r="G2121" s="6" t="s">
        <v>75</v>
      </c>
      <c r="H2121" s="11" t="n">
        <v>0.01</v>
      </c>
      <c r="I2121" s="6" t="n">
        <v>20</v>
      </c>
      <c r="J2121" s="6" t="n">
        <v>0</v>
      </c>
      <c r="K2121" s="6" t="n">
        <v>20</v>
      </c>
      <c r="L2121" s="6" t="n">
        <v>0</v>
      </c>
      <c r="M2121" s="6" t="n">
        <v>20</v>
      </c>
      <c r="N2121" s="11" t="n">
        <f aca="false">J2121/(J2121+K2121)</f>
        <v>0</v>
      </c>
      <c r="O2121" s="11" t="str">
        <f aca="false">IF(J2121+L2121=0,"",J2121/(J2121+L2121))</f>
        <v/>
      </c>
      <c r="P2121" s="11" t="n">
        <f aca="false">2*J2121/(2*J2121+L2121+K2121)</f>
        <v>0</v>
      </c>
      <c r="Q2121" s="11" t="n">
        <f aca="false">L2121/(L2121+M2121)</f>
        <v>0</v>
      </c>
      <c r="R2121" s="6" t="n">
        <v>0</v>
      </c>
      <c r="S2121" s="11"/>
      <c r="T2121" s="11" t="n">
        <v>0</v>
      </c>
      <c r="U2121" s="11" t="n">
        <v>0.9</v>
      </c>
      <c r="V2121" s="11" t="n">
        <v>0.9</v>
      </c>
    </row>
    <row r="2122" customFormat="false" ht="15" hidden="false" customHeight="false" outlineLevel="0" collapsed="false">
      <c r="A2122" s="6" t="s">
        <v>62</v>
      </c>
      <c r="B2122" s="6" t="s">
        <v>63</v>
      </c>
      <c r="C2122" s="6" t="s">
        <v>44</v>
      </c>
      <c r="D2122" s="6" t="s">
        <v>114</v>
      </c>
      <c r="E2122" s="6" t="n">
        <v>16</v>
      </c>
      <c r="F2122" s="6" t="n">
        <v>3</v>
      </c>
      <c r="G2122" s="6" t="s">
        <v>76</v>
      </c>
      <c r="H2122" s="11" t="n">
        <v>0.01</v>
      </c>
      <c r="I2122" s="6" t="n">
        <v>20</v>
      </c>
      <c r="J2122" s="6" t="n">
        <v>0</v>
      </c>
      <c r="K2122" s="6" t="n">
        <v>20</v>
      </c>
      <c r="L2122" s="6" t="n">
        <v>0</v>
      </c>
      <c r="M2122" s="6" t="n">
        <v>20</v>
      </c>
      <c r="N2122" s="11" t="n">
        <f aca="false">J2122/(J2122+K2122)</f>
        <v>0</v>
      </c>
      <c r="O2122" s="11" t="str">
        <f aca="false">IF(J2122+L2122=0,"",J2122/(J2122+L2122))</f>
        <v/>
      </c>
      <c r="P2122" s="11" t="n">
        <f aca="false">2*J2122/(2*J2122+L2122+K2122)</f>
        <v>0</v>
      </c>
      <c r="Q2122" s="11" t="n">
        <f aca="false">L2122/(L2122+M2122)</f>
        <v>0</v>
      </c>
      <c r="R2122" s="6" t="n">
        <v>0</v>
      </c>
      <c r="S2122" s="11"/>
      <c r="T2122" s="11" t="n">
        <v>0</v>
      </c>
      <c r="U2122" s="11" t="n">
        <v>0.95</v>
      </c>
      <c r="V2122" s="11" t="n">
        <v>0.95</v>
      </c>
    </row>
    <row r="2123" customFormat="false" ht="15" hidden="false" customHeight="false" outlineLevel="0" collapsed="false">
      <c r="A2123" s="6" t="s">
        <v>62</v>
      </c>
      <c r="B2123" s="6" t="s">
        <v>63</v>
      </c>
      <c r="C2123" s="6" t="s">
        <v>44</v>
      </c>
      <c r="D2123" s="6" t="s">
        <v>114</v>
      </c>
      <c r="E2123" s="6" t="n">
        <v>16</v>
      </c>
      <c r="F2123" s="6" t="n">
        <v>3</v>
      </c>
      <c r="G2123" s="6" t="s">
        <v>77</v>
      </c>
      <c r="H2123" s="11" t="n">
        <v>0.01</v>
      </c>
      <c r="I2123" s="6" t="n">
        <v>20</v>
      </c>
      <c r="J2123" s="6" t="n">
        <v>0</v>
      </c>
      <c r="K2123" s="6" t="n">
        <v>20</v>
      </c>
      <c r="L2123" s="6" t="n">
        <v>1</v>
      </c>
      <c r="M2123" s="6" t="n">
        <v>19</v>
      </c>
      <c r="N2123" s="11" t="n">
        <f aca="false">J2123/(J2123+K2123)</f>
        <v>0</v>
      </c>
      <c r="O2123" s="11" t="n">
        <f aca="false">IF(J2123+L2123=0,"",J2123/(J2123+L2123))</f>
        <v>0</v>
      </c>
      <c r="P2123" s="11" t="n">
        <f aca="false">2*J2123/(2*J2123+L2123+K2123)</f>
        <v>0</v>
      </c>
      <c r="Q2123" s="11" t="n">
        <f aca="false">L2123/(L2123+M2123)</f>
        <v>0.05</v>
      </c>
      <c r="R2123" s="6" t="n">
        <v>0</v>
      </c>
      <c r="S2123" s="11"/>
      <c r="T2123" s="11" t="n">
        <v>0</v>
      </c>
      <c r="U2123" s="11" t="n">
        <v>1</v>
      </c>
      <c r="V2123" s="11" t="n">
        <v>1</v>
      </c>
    </row>
    <row r="2124" customFormat="false" ht="15" hidden="false" customHeight="false" outlineLevel="0" collapsed="false">
      <c r="A2124" s="6" t="s">
        <v>62</v>
      </c>
      <c r="B2124" s="6" t="s">
        <v>63</v>
      </c>
      <c r="C2124" s="6" t="s">
        <v>44</v>
      </c>
      <c r="D2124" s="6" t="s">
        <v>114</v>
      </c>
      <c r="E2124" s="6" t="n">
        <v>16</v>
      </c>
      <c r="F2124" s="6" t="n">
        <v>3</v>
      </c>
      <c r="G2124" s="6" t="s">
        <v>78</v>
      </c>
      <c r="H2124" s="11" t="n">
        <v>0.01</v>
      </c>
      <c r="I2124" s="6" t="n">
        <v>200</v>
      </c>
      <c r="J2124" s="6" t="n">
        <v>0</v>
      </c>
      <c r="K2124" s="6" t="n">
        <v>200</v>
      </c>
      <c r="L2124" s="6" t="n">
        <v>1</v>
      </c>
      <c r="M2124" s="6" t="n">
        <v>199</v>
      </c>
      <c r="N2124" s="11" t="n">
        <f aca="false">J2124/(J2124+K2124)</f>
        <v>0</v>
      </c>
      <c r="O2124" s="11" t="n">
        <f aca="false">IF(J2124+L2124=0,"",J2124/(J2124+L2124))</f>
        <v>0</v>
      </c>
      <c r="P2124" s="11" t="n">
        <f aca="false">2*J2124/(2*J2124+L2124+K2124)</f>
        <v>0</v>
      </c>
      <c r="Q2124" s="11" t="n">
        <f aca="false">L2124/(L2124+M2124)</f>
        <v>0.005</v>
      </c>
      <c r="R2124" s="6" t="n">
        <v>3</v>
      </c>
      <c r="S2124" s="11" t="n">
        <v>0</v>
      </c>
      <c r="T2124" s="11" t="n">
        <v>0</v>
      </c>
      <c r="U2124" s="11" t="n">
        <v>0.88</v>
      </c>
      <c r="V2124" s="11" t="n">
        <v>0.875</v>
      </c>
    </row>
    <row r="2125" customFormat="false" ht="15" hidden="false" customHeight="false" outlineLevel="0" collapsed="false">
      <c r="A2125" s="6" t="s">
        <v>62</v>
      </c>
      <c r="B2125" s="6" t="s">
        <v>63</v>
      </c>
      <c r="C2125" s="6" t="s">
        <v>44</v>
      </c>
      <c r="D2125" s="6" t="s">
        <v>114</v>
      </c>
      <c r="E2125" s="6" t="n">
        <v>16</v>
      </c>
      <c r="F2125" s="6" t="n">
        <v>4</v>
      </c>
      <c r="G2125" s="6" t="s">
        <v>68</v>
      </c>
      <c r="H2125" s="11" t="n">
        <v>0.01</v>
      </c>
      <c r="I2125" s="6" t="n">
        <v>20</v>
      </c>
      <c r="J2125" s="6" t="n">
        <v>0</v>
      </c>
      <c r="K2125" s="6" t="n">
        <v>20</v>
      </c>
      <c r="L2125" s="6" t="n">
        <v>0</v>
      </c>
      <c r="M2125" s="6" t="n">
        <v>20</v>
      </c>
      <c r="N2125" s="11" t="n">
        <f aca="false">J2125/(J2125+K2125)</f>
        <v>0</v>
      </c>
      <c r="O2125" s="11" t="str">
        <f aca="false">IF(J2125+L2125=0,"",J2125/(J2125+L2125))</f>
        <v/>
      </c>
      <c r="P2125" s="11" t="n">
        <f aca="false">2*J2125/(2*J2125+L2125+K2125)</f>
        <v>0</v>
      </c>
      <c r="Q2125" s="11" t="n">
        <f aca="false">L2125/(L2125+M2125)</f>
        <v>0</v>
      </c>
      <c r="R2125" s="6" t="n">
        <v>0</v>
      </c>
      <c r="S2125" s="11"/>
      <c r="T2125" s="11" t="n">
        <v>0</v>
      </c>
      <c r="U2125" s="11" t="n">
        <v>0.85</v>
      </c>
      <c r="V2125" s="11" t="n">
        <v>0.85</v>
      </c>
    </row>
    <row r="2126" customFormat="false" ht="15" hidden="false" customHeight="false" outlineLevel="0" collapsed="false">
      <c r="A2126" s="6" t="s">
        <v>62</v>
      </c>
      <c r="B2126" s="6" t="s">
        <v>63</v>
      </c>
      <c r="C2126" s="6" t="s">
        <v>44</v>
      </c>
      <c r="D2126" s="6" t="s">
        <v>114</v>
      </c>
      <c r="E2126" s="6" t="n">
        <v>16</v>
      </c>
      <c r="F2126" s="6" t="n">
        <v>4</v>
      </c>
      <c r="G2126" s="6" t="s">
        <v>69</v>
      </c>
      <c r="H2126" s="11" t="n">
        <v>0.01</v>
      </c>
      <c r="I2126" s="6" t="n">
        <v>20</v>
      </c>
      <c r="J2126" s="6" t="n">
        <v>0</v>
      </c>
      <c r="K2126" s="6" t="n">
        <v>20</v>
      </c>
      <c r="L2126" s="6" t="n">
        <v>0</v>
      </c>
      <c r="M2126" s="6" t="n">
        <v>20</v>
      </c>
      <c r="N2126" s="11" t="n">
        <f aca="false">J2126/(J2126+K2126)</f>
        <v>0</v>
      </c>
      <c r="O2126" s="11" t="str">
        <f aca="false">IF(J2126+L2126=0,"",J2126/(J2126+L2126))</f>
        <v/>
      </c>
      <c r="P2126" s="11" t="n">
        <f aca="false">2*J2126/(2*J2126+L2126+K2126)</f>
        <v>0</v>
      </c>
      <c r="Q2126" s="11" t="n">
        <f aca="false">L2126/(L2126+M2126)</f>
        <v>0</v>
      </c>
      <c r="R2126" s="6" t="n">
        <v>0</v>
      </c>
      <c r="S2126" s="11"/>
      <c r="T2126" s="11" t="n">
        <v>0</v>
      </c>
      <c r="U2126" s="11" t="n">
        <v>1</v>
      </c>
      <c r="V2126" s="11" t="n">
        <v>1</v>
      </c>
    </row>
    <row r="2127" customFormat="false" ht="15" hidden="false" customHeight="false" outlineLevel="0" collapsed="false">
      <c r="A2127" s="6" t="s">
        <v>62</v>
      </c>
      <c r="B2127" s="6" t="s">
        <v>63</v>
      </c>
      <c r="C2127" s="6" t="s">
        <v>44</v>
      </c>
      <c r="D2127" s="6" t="s">
        <v>114</v>
      </c>
      <c r="E2127" s="6" t="n">
        <v>16</v>
      </c>
      <c r="F2127" s="6" t="n">
        <v>4</v>
      </c>
      <c r="G2127" s="6" t="s">
        <v>70</v>
      </c>
      <c r="H2127" s="11" t="n">
        <v>0.01</v>
      </c>
      <c r="I2127" s="6" t="n">
        <v>20</v>
      </c>
      <c r="J2127" s="6" t="n">
        <v>0</v>
      </c>
      <c r="K2127" s="6" t="n">
        <v>20</v>
      </c>
      <c r="L2127" s="6" t="n">
        <v>0</v>
      </c>
      <c r="M2127" s="6" t="n">
        <v>20</v>
      </c>
      <c r="N2127" s="11" t="n">
        <f aca="false">J2127/(J2127+K2127)</f>
        <v>0</v>
      </c>
      <c r="O2127" s="11" t="str">
        <f aca="false">IF(J2127+L2127=0,"",J2127/(J2127+L2127))</f>
        <v/>
      </c>
      <c r="P2127" s="11" t="n">
        <f aca="false">2*J2127/(2*J2127+L2127+K2127)</f>
        <v>0</v>
      </c>
      <c r="Q2127" s="11" t="n">
        <f aca="false">L2127/(L2127+M2127)</f>
        <v>0</v>
      </c>
      <c r="R2127" s="6" t="n">
        <v>0</v>
      </c>
      <c r="S2127" s="11"/>
      <c r="T2127" s="11" t="n">
        <v>0</v>
      </c>
      <c r="U2127" s="11" t="n">
        <v>0.9</v>
      </c>
      <c r="V2127" s="11" t="n">
        <v>0.9</v>
      </c>
    </row>
    <row r="2128" customFormat="false" ht="15" hidden="false" customHeight="false" outlineLevel="0" collapsed="false">
      <c r="A2128" s="6" t="s">
        <v>62</v>
      </c>
      <c r="B2128" s="6" t="s">
        <v>63</v>
      </c>
      <c r="C2128" s="6" t="s">
        <v>44</v>
      </c>
      <c r="D2128" s="6" t="s">
        <v>114</v>
      </c>
      <c r="E2128" s="6" t="n">
        <v>16</v>
      </c>
      <c r="F2128" s="6" t="n">
        <v>4</v>
      </c>
      <c r="G2128" s="6" t="s">
        <v>71</v>
      </c>
      <c r="H2128" s="11" t="n">
        <v>0.01</v>
      </c>
      <c r="I2128" s="6" t="n">
        <v>20</v>
      </c>
      <c r="J2128" s="6" t="n">
        <v>0</v>
      </c>
      <c r="K2128" s="6" t="n">
        <v>20</v>
      </c>
      <c r="L2128" s="6" t="n">
        <v>0</v>
      </c>
      <c r="M2128" s="6" t="n">
        <v>20</v>
      </c>
      <c r="N2128" s="11" t="n">
        <f aca="false">J2128/(J2128+K2128)</f>
        <v>0</v>
      </c>
      <c r="O2128" s="11" t="str">
        <f aca="false">IF(J2128+L2128=0,"",J2128/(J2128+L2128))</f>
        <v/>
      </c>
      <c r="P2128" s="11" t="n">
        <f aca="false">2*J2128/(2*J2128+L2128+K2128)</f>
        <v>0</v>
      </c>
      <c r="Q2128" s="11" t="n">
        <f aca="false">L2128/(L2128+M2128)</f>
        <v>0</v>
      </c>
      <c r="R2128" s="6" t="n">
        <v>0</v>
      </c>
      <c r="S2128" s="11"/>
      <c r="T2128" s="11" t="n">
        <v>0</v>
      </c>
      <c r="U2128" s="11" t="n">
        <v>0.8</v>
      </c>
      <c r="V2128" s="11" t="n">
        <v>0.8</v>
      </c>
    </row>
    <row r="2129" customFormat="false" ht="15" hidden="false" customHeight="false" outlineLevel="0" collapsed="false">
      <c r="A2129" s="6" t="s">
        <v>62</v>
      </c>
      <c r="B2129" s="6" t="s">
        <v>63</v>
      </c>
      <c r="C2129" s="6" t="s">
        <v>44</v>
      </c>
      <c r="D2129" s="6" t="s">
        <v>114</v>
      </c>
      <c r="E2129" s="6" t="n">
        <v>16</v>
      </c>
      <c r="F2129" s="6" t="n">
        <v>4</v>
      </c>
      <c r="G2129" s="6" t="s">
        <v>72</v>
      </c>
      <c r="H2129" s="11" t="n">
        <v>0.01</v>
      </c>
      <c r="I2129" s="6" t="n">
        <v>20</v>
      </c>
      <c r="J2129" s="6" t="n">
        <v>0</v>
      </c>
      <c r="K2129" s="6" t="n">
        <v>20</v>
      </c>
      <c r="L2129" s="6" t="n">
        <v>0</v>
      </c>
      <c r="M2129" s="6" t="n">
        <v>20</v>
      </c>
      <c r="N2129" s="11" t="n">
        <f aca="false">J2129/(J2129+K2129)</f>
        <v>0</v>
      </c>
      <c r="O2129" s="11" t="str">
        <f aca="false">IF(J2129+L2129=0,"",J2129/(J2129+L2129))</f>
        <v/>
      </c>
      <c r="P2129" s="11" t="n">
        <f aca="false">2*J2129/(2*J2129+L2129+K2129)</f>
        <v>0</v>
      </c>
      <c r="Q2129" s="11" t="n">
        <f aca="false">L2129/(L2129+M2129)</f>
        <v>0</v>
      </c>
      <c r="R2129" s="6" t="n">
        <v>0</v>
      </c>
      <c r="S2129" s="11"/>
      <c r="T2129" s="11" t="n">
        <v>0</v>
      </c>
      <c r="U2129" s="11" t="n">
        <v>0.9</v>
      </c>
      <c r="V2129" s="11" t="n">
        <v>0.9</v>
      </c>
    </row>
    <row r="2130" customFormat="false" ht="15" hidden="false" customHeight="false" outlineLevel="0" collapsed="false">
      <c r="A2130" s="6" t="s">
        <v>62</v>
      </c>
      <c r="B2130" s="6" t="s">
        <v>63</v>
      </c>
      <c r="C2130" s="6" t="s">
        <v>44</v>
      </c>
      <c r="D2130" s="6" t="s">
        <v>114</v>
      </c>
      <c r="E2130" s="6" t="n">
        <v>16</v>
      </c>
      <c r="F2130" s="6" t="n">
        <v>4</v>
      </c>
      <c r="G2130" s="6" t="s">
        <v>73</v>
      </c>
      <c r="H2130" s="11" t="n">
        <v>0.01</v>
      </c>
      <c r="I2130" s="6" t="n">
        <v>20</v>
      </c>
      <c r="J2130" s="6" t="n">
        <v>0</v>
      </c>
      <c r="K2130" s="6" t="n">
        <v>20</v>
      </c>
      <c r="L2130" s="6" t="n">
        <v>0</v>
      </c>
      <c r="M2130" s="6" t="n">
        <v>20</v>
      </c>
      <c r="N2130" s="11" t="n">
        <f aca="false">J2130/(J2130+K2130)</f>
        <v>0</v>
      </c>
      <c r="O2130" s="11" t="str">
        <f aca="false">IF(J2130+L2130=0,"",J2130/(J2130+L2130))</f>
        <v/>
      </c>
      <c r="P2130" s="11" t="n">
        <f aca="false">2*J2130/(2*J2130+L2130+K2130)</f>
        <v>0</v>
      </c>
      <c r="Q2130" s="11" t="n">
        <f aca="false">L2130/(L2130+M2130)</f>
        <v>0</v>
      </c>
      <c r="R2130" s="6" t="n">
        <v>2</v>
      </c>
      <c r="S2130" s="11" t="n">
        <v>0</v>
      </c>
      <c r="T2130" s="11" t="n">
        <v>0</v>
      </c>
      <c r="U2130" s="11" t="n">
        <v>0.65</v>
      </c>
      <c r="V2130" s="11" t="n">
        <v>0.65</v>
      </c>
    </row>
    <row r="2131" customFormat="false" ht="15" hidden="false" customHeight="false" outlineLevel="0" collapsed="false">
      <c r="A2131" s="6" t="s">
        <v>62</v>
      </c>
      <c r="B2131" s="6" t="s">
        <v>63</v>
      </c>
      <c r="C2131" s="6" t="s">
        <v>44</v>
      </c>
      <c r="D2131" s="6" t="s">
        <v>114</v>
      </c>
      <c r="E2131" s="6" t="n">
        <v>16</v>
      </c>
      <c r="F2131" s="6" t="n">
        <v>4</v>
      </c>
      <c r="G2131" s="6" t="s">
        <v>74</v>
      </c>
      <c r="H2131" s="11" t="n">
        <v>0.01</v>
      </c>
      <c r="I2131" s="6" t="n">
        <v>20</v>
      </c>
      <c r="J2131" s="6" t="n">
        <v>0</v>
      </c>
      <c r="K2131" s="6" t="n">
        <v>20</v>
      </c>
      <c r="L2131" s="6" t="n">
        <v>0</v>
      </c>
      <c r="M2131" s="6" t="n">
        <v>20</v>
      </c>
      <c r="N2131" s="11" t="n">
        <f aca="false">J2131/(J2131+K2131)</f>
        <v>0</v>
      </c>
      <c r="O2131" s="11" t="str">
        <f aca="false">IF(J2131+L2131=0,"",J2131/(J2131+L2131))</f>
        <v/>
      </c>
      <c r="P2131" s="11" t="n">
        <f aca="false">2*J2131/(2*J2131+L2131+K2131)</f>
        <v>0</v>
      </c>
      <c r="Q2131" s="11" t="n">
        <f aca="false">L2131/(L2131+M2131)</f>
        <v>0</v>
      </c>
      <c r="R2131" s="6" t="n">
        <v>1</v>
      </c>
      <c r="S2131" s="11" t="n">
        <v>0</v>
      </c>
      <c r="T2131" s="11" t="n">
        <v>0</v>
      </c>
      <c r="U2131" s="11" t="n">
        <v>0.85</v>
      </c>
      <c r="V2131" s="11" t="n">
        <v>0.9</v>
      </c>
    </row>
    <row r="2132" customFormat="false" ht="15" hidden="false" customHeight="false" outlineLevel="0" collapsed="false">
      <c r="A2132" s="6" t="s">
        <v>62</v>
      </c>
      <c r="B2132" s="6" t="s">
        <v>63</v>
      </c>
      <c r="C2132" s="6" t="s">
        <v>44</v>
      </c>
      <c r="D2132" s="6" t="s">
        <v>114</v>
      </c>
      <c r="E2132" s="6" t="n">
        <v>16</v>
      </c>
      <c r="F2132" s="6" t="n">
        <v>4</v>
      </c>
      <c r="G2132" s="6" t="s">
        <v>75</v>
      </c>
      <c r="H2132" s="11" t="n">
        <v>0.01</v>
      </c>
      <c r="I2132" s="6" t="n">
        <v>20</v>
      </c>
      <c r="J2132" s="6" t="n">
        <v>0</v>
      </c>
      <c r="K2132" s="6" t="n">
        <v>20</v>
      </c>
      <c r="L2132" s="6" t="n">
        <v>0</v>
      </c>
      <c r="M2132" s="6" t="n">
        <v>20</v>
      </c>
      <c r="N2132" s="11" t="n">
        <f aca="false">J2132/(J2132+K2132)</f>
        <v>0</v>
      </c>
      <c r="O2132" s="11" t="str">
        <f aca="false">IF(J2132+L2132=0,"",J2132/(J2132+L2132))</f>
        <v/>
      </c>
      <c r="P2132" s="11" t="n">
        <f aca="false">2*J2132/(2*J2132+L2132+K2132)</f>
        <v>0</v>
      </c>
      <c r="Q2132" s="11" t="n">
        <f aca="false">L2132/(L2132+M2132)</f>
        <v>0</v>
      </c>
      <c r="R2132" s="6" t="n">
        <v>0</v>
      </c>
      <c r="S2132" s="11"/>
      <c r="T2132" s="11" t="n">
        <v>0</v>
      </c>
      <c r="U2132" s="11" t="n">
        <v>0.9</v>
      </c>
      <c r="V2132" s="11" t="n">
        <v>0.9</v>
      </c>
    </row>
    <row r="2133" customFormat="false" ht="15" hidden="false" customHeight="false" outlineLevel="0" collapsed="false">
      <c r="A2133" s="6" t="s">
        <v>62</v>
      </c>
      <c r="B2133" s="6" t="s">
        <v>63</v>
      </c>
      <c r="C2133" s="6" t="s">
        <v>44</v>
      </c>
      <c r="D2133" s="6" t="s">
        <v>114</v>
      </c>
      <c r="E2133" s="6" t="n">
        <v>16</v>
      </c>
      <c r="F2133" s="6" t="n">
        <v>4</v>
      </c>
      <c r="G2133" s="6" t="s">
        <v>76</v>
      </c>
      <c r="H2133" s="11" t="n">
        <v>0.01</v>
      </c>
      <c r="I2133" s="6" t="n">
        <v>20</v>
      </c>
      <c r="J2133" s="6" t="n">
        <v>0</v>
      </c>
      <c r="K2133" s="6" t="n">
        <v>20</v>
      </c>
      <c r="L2133" s="6" t="n">
        <v>0</v>
      </c>
      <c r="M2133" s="6" t="n">
        <v>20</v>
      </c>
      <c r="N2133" s="11" t="n">
        <f aca="false">J2133/(J2133+K2133)</f>
        <v>0</v>
      </c>
      <c r="O2133" s="11" t="str">
        <f aca="false">IF(J2133+L2133=0,"",J2133/(J2133+L2133))</f>
        <v/>
      </c>
      <c r="P2133" s="11" t="n">
        <f aca="false">2*J2133/(2*J2133+L2133+K2133)</f>
        <v>0</v>
      </c>
      <c r="Q2133" s="11" t="n">
        <f aca="false">L2133/(L2133+M2133)</f>
        <v>0</v>
      </c>
      <c r="R2133" s="6" t="n">
        <v>0</v>
      </c>
      <c r="S2133" s="11"/>
      <c r="T2133" s="11" t="n">
        <v>0</v>
      </c>
      <c r="U2133" s="11" t="n">
        <v>0.95</v>
      </c>
      <c r="V2133" s="11" t="n">
        <v>0.95</v>
      </c>
    </row>
    <row r="2134" customFormat="false" ht="15" hidden="false" customHeight="false" outlineLevel="0" collapsed="false">
      <c r="A2134" s="6" t="s">
        <v>62</v>
      </c>
      <c r="B2134" s="6" t="s">
        <v>63</v>
      </c>
      <c r="C2134" s="6" t="s">
        <v>44</v>
      </c>
      <c r="D2134" s="6" t="s">
        <v>114</v>
      </c>
      <c r="E2134" s="6" t="n">
        <v>16</v>
      </c>
      <c r="F2134" s="6" t="n">
        <v>4</v>
      </c>
      <c r="G2134" s="6" t="s">
        <v>77</v>
      </c>
      <c r="H2134" s="11" t="n">
        <v>0.01</v>
      </c>
      <c r="I2134" s="6" t="n">
        <v>20</v>
      </c>
      <c r="J2134" s="6" t="n">
        <v>1</v>
      </c>
      <c r="K2134" s="6" t="n">
        <v>19</v>
      </c>
      <c r="L2134" s="6" t="n">
        <v>1</v>
      </c>
      <c r="M2134" s="6" t="n">
        <v>19</v>
      </c>
      <c r="N2134" s="11" t="n">
        <f aca="false">J2134/(J2134+K2134)</f>
        <v>0.05</v>
      </c>
      <c r="O2134" s="11" t="n">
        <f aca="false">IF(J2134+L2134=0,"",J2134/(J2134+L2134))</f>
        <v>0.5</v>
      </c>
      <c r="P2134" s="11" t="n">
        <f aca="false">2*J2134/(2*J2134+L2134+K2134)</f>
        <v>0.0909090909090909</v>
      </c>
      <c r="Q2134" s="11" t="n">
        <f aca="false">L2134/(L2134+M2134)</f>
        <v>0.05</v>
      </c>
      <c r="R2134" s="6" t="n">
        <v>0</v>
      </c>
      <c r="S2134" s="11"/>
      <c r="T2134" s="11" t="n">
        <v>0.05</v>
      </c>
      <c r="U2134" s="11" t="n">
        <v>1</v>
      </c>
      <c r="V2134" s="11" t="n">
        <v>1</v>
      </c>
    </row>
    <row r="2135" customFormat="false" ht="15" hidden="false" customHeight="false" outlineLevel="0" collapsed="false">
      <c r="A2135" s="6" t="s">
        <v>62</v>
      </c>
      <c r="B2135" s="6" t="s">
        <v>63</v>
      </c>
      <c r="C2135" s="6" t="s">
        <v>44</v>
      </c>
      <c r="D2135" s="6" t="s">
        <v>114</v>
      </c>
      <c r="E2135" s="6" t="n">
        <v>16</v>
      </c>
      <c r="F2135" s="6" t="n">
        <v>4</v>
      </c>
      <c r="G2135" s="6" t="s">
        <v>78</v>
      </c>
      <c r="H2135" s="11" t="n">
        <v>0.01</v>
      </c>
      <c r="I2135" s="6" t="n">
        <v>200</v>
      </c>
      <c r="J2135" s="6" t="n">
        <v>1</v>
      </c>
      <c r="K2135" s="6" t="n">
        <v>199</v>
      </c>
      <c r="L2135" s="6" t="n">
        <v>1</v>
      </c>
      <c r="M2135" s="6" t="n">
        <v>199</v>
      </c>
      <c r="N2135" s="11" t="n">
        <f aca="false">J2135/(J2135+K2135)</f>
        <v>0.005</v>
      </c>
      <c r="O2135" s="11" t="n">
        <f aca="false">IF(J2135+L2135=0,"",J2135/(J2135+L2135))</f>
        <v>0.5</v>
      </c>
      <c r="P2135" s="11" t="n">
        <f aca="false">2*J2135/(2*J2135+L2135+K2135)</f>
        <v>0.0099009900990099</v>
      </c>
      <c r="Q2135" s="11" t="n">
        <f aca="false">L2135/(L2135+M2135)</f>
        <v>0.005</v>
      </c>
      <c r="R2135" s="6" t="n">
        <v>3</v>
      </c>
      <c r="S2135" s="11" t="n">
        <v>0</v>
      </c>
      <c r="T2135" s="11" t="n">
        <v>0.0050761421319797</v>
      </c>
      <c r="U2135" s="11" t="n">
        <v>0.88</v>
      </c>
      <c r="V2135" s="11" t="n">
        <v>0.885</v>
      </c>
    </row>
    <row r="2136" customFormat="false" ht="15" hidden="false" customHeight="false" outlineLevel="0" collapsed="false">
      <c r="A2136" s="6" t="s">
        <v>62</v>
      </c>
      <c r="B2136" s="6" t="s">
        <v>63</v>
      </c>
      <c r="C2136" s="6" t="s">
        <v>44</v>
      </c>
      <c r="D2136" s="6" t="s">
        <v>114</v>
      </c>
      <c r="E2136" s="6" t="n">
        <v>16</v>
      </c>
      <c r="F2136" s="6" t="n">
        <v>5</v>
      </c>
      <c r="G2136" s="6" t="s">
        <v>68</v>
      </c>
      <c r="H2136" s="11" t="n">
        <v>0.01</v>
      </c>
      <c r="I2136" s="6" t="n">
        <v>20</v>
      </c>
      <c r="J2136" s="6" t="n">
        <v>0</v>
      </c>
      <c r="K2136" s="6" t="n">
        <v>20</v>
      </c>
      <c r="L2136" s="6" t="n">
        <v>0</v>
      </c>
      <c r="M2136" s="6" t="n">
        <v>20</v>
      </c>
      <c r="N2136" s="11" t="n">
        <f aca="false">J2136/(J2136+K2136)</f>
        <v>0</v>
      </c>
      <c r="O2136" s="11" t="str">
        <f aca="false">IF(J2136+L2136=0,"",J2136/(J2136+L2136))</f>
        <v/>
      </c>
      <c r="P2136" s="11" t="n">
        <f aca="false">2*J2136/(2*J2136+L2136+K2136)</f>
        <v>0</v>
      </c>
      <c r="Q2136" s="11" t="n">
        <f aca="false">L2136/(L2136+M2136)</f>
        <v>0</v>
      </c>
      <c r="R2136" s="6" t="n">
        <v>1</v>
      </c>
      <c r="S2136" s="11" t="n">
        <v>0</v>
      </c>
      <c r="T2136" s="11" t="n">
        <v>0</v>
      </c>
      <c r="U2136" s="11" t="n">
        <v>0.85</v>
      </c>
      <c r="V2136" s="11" t="n">
        <v>0.9</v>
      </c>
    </row>
    <row r="2137" customFormat="false" ht="15" hidden="false" customHeight="false" outlineLevel="0" collapsed="false">
      <c r="A2137" s="6" t="s">
        <v>62</v>
      </c>
      <c r="B2137" s="6" t="s">
        <v>63</v>
      </c>
      <c r="C2137" s="6" t="s">
        <v>44</v>
      </c>
      <c r="D2137" s="6" t="s">
        <v>114</v>
      </c>
      <c r="E2137" s="6" t="n">
        <v>16</v>
      </c>
      <c r="F2137" s="6" t="n">
        <v>5</v>
      </c>
      <c r="G2137" s="6" t="s">
        <v>69</v>
      </c>
      <c r="H2137" s="11" t="n">
        <v>0.01</v>
      </c>
      <c r="I2137" s="6" t="n">
        <v>20</v>
      </c>
      <c r="J2137" s="6" t="n">
        <v>0</v>
      </c>
      <c r="K2137" s="6" t="n">
        <v>20</v>
      </c>
      <c r="L2137" s="6" t="n">
        <v>0</v>
      </c>
      <c r="M2137" s="6" t="n">
        <v>20</v>
      </c>
      <c r="N2137" s="11" t="n">
        <f aca="false">J2137/(J2137+K2137)</f>
        <v>0</v>
      </c>
      <c r="O2137" s="11" t="str">
        <f aca="false">IF(J2137+L2137=0,"",J2137/(J2137+L2137))</f>
        <v/>
      </c>
      <c r="P2137" s="11" t="n">
        <f aca="false">2*J2137/(2*J2137+L2137+K2137)</f>
        <v>0</v>
      </c>
      <c r="Q2137" s="11" t="n">
        <f aca="false">L2137/(L2137+M2137)</f>
        <v>0</v>
      </c>
      <c r="R2137" s="6" t="n">
        <v>0</v>
      </c>
      <c r="S2137" s="11"/>
      <c r="T2137" s="11" t="n">
        <v>0</v>
      </c>
      <c r="U2137" s="11" t="n">
        <v>1</v>
      </c>
      <c r="V2137" s="11" t="n">
        <v>1</v>
      </c>
    </row>
    <row r="2138" customFormat="false" ht="15" hidden="false" customHeight="false" outlineLevel="0" collapsed="false">
      <c r="A2138" s="6" t="s">
        <v>62</v>
      </c>
      <c r="B2138" s="6" t="s">
        <v>63</v>
      </c>
      <c r="C2138" s="6" t="s">
        <v>44</v>
      </c>
      <c r="D2138" s="6" t="s">
        <v>114</v>
      </c>
      <c r="E2138" s="6" t="n">
        <v>16</v>
      </c>
      <c r="F2138" s="6" t="n">
        <v>5</v>
      </c>
      <c r="G2138" s="6" t="s">
        <v>70</v>
      </c>
      <c r="H2138" s="11" t="n">
        <v>0.01</v>
      </c>
      <c r="I2138" s="6" t="n">
        <v>20</v>
      </c>
      <c r="J2138" s="6" t="n">
        <v>0</v>
      </c>
      <c r="K2138" s="6" t="n">
        <v>20</v>
      </c>
      <c r="L2138" s="6" t="n">
        <v>0</v>
      </c>
      <c r="M2138" s="6" t="n">
        <v>20</v>
      </c>
      <c r="N2138" s="11" t="n">
        <f aca="false">J2138/(J2138+K2138)</f>
        <v>0</v>
      </c>
      <c r="O2138" s="11" t="str">
        <f aca="false">IF(J2138+L2138=0,"",J2138/(J2138+L2138))</f>
        <v/>
      </c>
      <c r="P2138" s="11" t="n">
        <f aca="false">2*J2138/(2*J2138+L2138+K2138)</f>
        <v>0</v>
      </c>
      <c r="Q2138" s="11" t="n">
        <f aca="false">L2138/(L2138+M2138)</f>
        <v>0</v>
      </c>
      <c r="R2138" s="6" t="n">
        <v>0</v>
      </c>
      <c r="S2138" s="11"/>
      <c r="T2138" s="11" t="n">
        <v>0</v>
      </c>
      <c r="U2138" s="11" t="n">
        <v>0.9</v>
      </c>
      <c r="V2138" s="11" t="n">
        <v>0.9</v>
      </c>
    </row>
    <row r="2139" customFormat="false" ht="15" hidden="false" customHeight="false" outlineLevel="0" collapsed="false">
      <c r="A2139" s="6" t="s">
        <v>62</v>
      </c>
      <c r="B2139" s="6" t="s">
        <v>63</v>
      </c>
      <c r="C2139" s="6" t="s">
        <v>44</v>
      </c>
      <c r="D2139" s="6" t="s">
        <v>114</v>
      </c>
      <c r="E2139" s="6" t="n">
        <v>16</v>
      </c>
      <c r="F2139" s="6" t="n">
        <v>5</v>
      </c>
      <c r="G2139" s="6" t="s">
        <v>71</v>
      </c>
      <c r="H2139" s="11" t="n">
        <v>0.01</v>
      </c>
      <c r="I2139" s="6" t="n">
        <v>20</v>
      </c>
      <c r="J2139" s="6" t="n">
        <v>0</v>
      </c>
      <c r="K2139" s="6" t="n">
        <v>20</v>
      </c>
      <c r="L2139" s="6" t="n">
        <v>0</v>
      </c>
      <c r="M2139" s="6" t="n">
        <v>20</v>
      </c>
      <c r="N2139" s="11" t="n">
        <f aca="false">J2139/(J2139+K2139)</f>
        <v>0</v>
      </c>
      <c r="O2139" s="11" t="str">
        <f aca="false">IF(J2139+L2139=0,"",J2139/(J2139+L2139))</f>
        <v/>
      </c>
      <c r="P2139" s="11" t="n">
        <f aca="false">2*J2139/(2*J2139+L2139+K2139)</f>
        <v>0</v>
      </c>
      <c r="Q2139" s="11" t="n">
        <f aca="false">L2139/(L2139+M2139)</f>
        <v>0</v>
      </c>
      <c r="R2139" s="6" t="n">
        <v>0</v>
      </c>
      <c r="S2139" s="11"/>
      <c r="T2139" s="11" t="n">
        <v>0</v>
      </c>
      <c r="U2139" s="11" t="n">
        <v>0.8</v>
      </c>
      <c r="V2139" s="11" t="n">
        <v>0.8</v>
      </c>
    </row>
    <row r="2140" customFormat="false" ht="15" hidden="false" customHeight="false" outlineLevel="0" collapsed="false">
      <c r="A2140" s="6" t="s">
        <v>62</v>
      </c>
      <c r="B2140" s="6" t="s">
        <v>63</v>
      </c>
      <c r="C2140" s="6" t="s">
        <v>44</v>
      </c>
      <c r="D2140" s="6" t="s">
        <v>114</v>
      </c>
      <c r="E2140" s="6" t="n">
        <v>16</v>
      </c>
      <c r="F2140" s="6" t="n">
        <v>5</v>
      </c>
      <c r="G2140" s="6" t="s">
        <v>72</v>
      </c>
      <c r="H2140" s="11" t="n">
        <v>0.01</v>
      </c>
      <c r="I2140" s="6" t="n">
        <v>20</v>
      </c>
      <c r="J2140" s="6" t="n">
        <v>0</v>
      </c>
      <c r="K2140" s="6" t="n">
        <v>20</v>
      </c>
      <c r="L2140" s="6" t="n">
        <v>0</v>
      </c>
      <c r="M2140" s="6" t="n">
        <v>20</v>
      </c>
      <c r="N2140" s="11" t="n">
        <f aca="false">J2140/(J2140+K2140)</f>
        <v>0</v>
      </c>
      <c r="O2140" s="11" t="str">
        <f aca="false">IF(J2140+L2140=0,"",J2140/(J2140+L2140))</f>
        <v/>
      </c>
      <c r="P2140" s="11" t="n">
        <f aca="false">2*J2140/(2*J2140+L2140+K2140)</f>
        <v>0</v>
      </c>
      <c r="Q2140" s="11" t="n">
        <f aca="false">L2140/(L2140+M2140)</f>
        <v>0</v>
      </c>
      <c r="R2140" s="6" t="n">
        <v>0</v>
      </c>
      <c r="S2140" s="11"/>
      <c r="T2140" s="11" t="n">
        <v>0</v>
      </c>
      <c r="U2140" s="11" t="n">
        <v>0.9</v>
      </c>
      <c r="V2140" s="11" t="n">
        <v>0.9</v>
      </c>
    </row>
    <row r="2141" customFormat="false" ht="15" hidden="false" customHeight="false" outlineLevel="0" collapsed="false">
      <c r="A2141" s="6" t="s">
        <v>62</v>
      </c>
      <c r="B2141" s="6" t="s">
        <v>63</v>
      </c>
      <c r="C2141" s="6" t="s">
        <v>44</v>
      </c>
      <c r="D2141" s="6" t="s">
        <v>114</v>
      </c>
      <c r="E2141" s="6" t="n">
        <v>16</v>
      </c>
      <c r="F2141" s="6" t="n">
        <v>5</v>
      </c>
      <c r="G2141" s="6" t="s">
        <v>73</v>
      </c>
      <c r="H2141" s="11" t="n">
        <v>0.01</v>
      </c>
      <c r="I2141" s="6" t="n">
        <v>20</v>
      </c>
      <c r="J2141" s="6" t="n">
        <v>0</v>
      </c>
      <c r="K2141" s="6" t="n">
        <v>20</v>
      </c>
      <c r="L2141" s="6" t="n">
        <v>0</v>
      </c>
      <c r="M2141" s="6" t="n">
        <v>20</v>
      </c>
      <c r="N2141" s="11" t="n">
        <f aca="false">J2141/(J2141+K2141)</f>
        <v>0</v>
      </c>
      <c r="O2141" s="11" t="str">
        <f aca="false">IF(J2141+L2141=0,"",J2141/(J2141+L2141))</f>
        <v/>
      </c>
      <c r="P2141" s="11" t="n">
        <f aca="false">2*J2141/(2*J2141+L2141+K2141)</f>
        <v>0</v>
      </c>
      <c r="Q2141" s="11" t="n">
        <f aca="false">L2141/(L2141+M2141)</f>
        <v>0</v>
      </c>
      <c r="R2141" s="6" t="n">
        <v>1</v>
      </c>
      <c r="S2141" s="11" t="n">
        <v>0</v>
      </c>
      <c r="T2141" s="11" t="n">
        <v>0</v>
      </c>
      <c r="U2141" s="11" t="n">
        <v>0.65</v>
      </c>
      <c r="V2141" s="11" t="n">
        <v>0.65</v>
      </c>
    </row>
    <row r="2142" customFormat="false" ht="15" hidden="false" customHeight="false" outlineLevel="0" collapsed="false">
      <c r="A2142" s="6" t="s">
        <v>62</v>
      </c>
      <c r="B2142" s="6" t="s">
        <v>63</v>
      </c>
      <c r="C2142" s="6" t="s">
        <v>44</v>
      </c>
      <c r="D2142" s="6" t="s">
        <v>114</v>
      </c>
      <c r="E2142" s="6" t="n">
        <v>16</v>
      </c>
      <c r="F2142" s="6" t="n">
        <v>5</v>
      </c>
      <c r="G2142" s="6" t="s">
        <v>74</v>
      </c>
      <c r="H2142" s="11" t="n">
        <v>0.01</v>
      </c>
      <c r="I2142" s="6" t="n">
        <v>20</v>
      </c>
      <c r="J2142" s="6" t="n">
        <v>0</v>
      </c>
      <c r="K2142" s="6" t="n">
        <v>20</v>
      </c>
      <c r="L2142" s="6" t="n">
        <v>0</v>
      </c>
      <c r="M2142" s="6" t="n">
        <v>20</v>
      </c>
      <c r="N2142" s="11" t="n">
        <f aca="false">J2142/(J2142+K2142)</f>
        <v>0</v>
      </c>
      <c r="O2142" s="11" t="str">
        <f aca="false">IF(J2142+L2142=0,"",J2142/(J2142+L2142))</f>
        <v/>
      </c>
      <c r="P2142" s="11" t="n">
        <f aca="false">2*J2142/(2*J2142+L2142+K2142)</f>
        <v>0</v>
      </c>
      <c r="Q2142" s="11" t="n">
        <f aca="false">L2142/(L2142+M2142)</f>
        <v>0</v>
      </c>
      <c r="R2142" s="6" t="n">
        <v>1</v>
      </c>
      <c r="S2142" s="11" t="n">
        <v>0</v>
      </c>
      <c r="T2142" s="11" t="n">
        <v>0</v>
      </c>
      <c r="U2142" s="11" t="n">
        <v>0.85</v>
      </c>
      <c r="V2142" s="11" t="n">
        <v>0.9</v>
      </c>
    </row>
    <row r="2143" customFormat="false" ht="15" hidden="false" customHeight="false" outlineLevel="0" collapsed="false">
      <c r="A2143" s="6" t="s">
        <v>62</v>
      </c>
      <c r="B2143" s="6" t="s">
        <v>63</v>
      </c>
      <c r="C2143" s="6" t="s">
        <v>44</v>
      </c>
      <c r="D2143" s="6" t="s">
        <v>114</v>
      </c>
      <c r="E2143" s="6" t="n">
        <v>16</v>
      </c>
      <c r="F2143" s="6" t="n">
        <v>5</v>
      </c>
      <c r="G2143" s="6" t="s">
        <v>75</v>
      </c>
      <c r="H2143" s="11" t="n">
        <v>0.01</v>
      </c>
      <c r="I2143" s="6" t="n">
        <v>20</v>
      </c>
      <c r="J2143" s="6" t="n">
        <v>0</v>
      </c>
      <c r="K2143" s="6" t="n">
        <v>20</v>
      </c>
      <c r="L2143" s="6" t="n">
        <v>0</v>
      </c>
      <c r="M2143" s="6" t="n">
        <v>20</v>
      </c>
      <c r="N2143" s="11" t="n">
        <f aca="false">J2143/(J2143+K2143)</f>
        <v>0</v>
      </c>
      <c r="O2143" s="11" t="str">
        <f aca="false">IF(J2143+L2143=0,"",J2143/(J2143+L2143))</f>
        <v/>
      </c>
      <c r="P2143" s="11" t="n">
        <f aca="false">2*J2143/(2*J2143+L2143+K2143)</f>
        <v>0</v>
      </c>
      <c r="Q2143" s="11" t="n">
        <f aca="false">L2143/(L2143+M2143)</f>
        <v>0</v>
      </c>
      <c r="R2143" s="6" t="n">
        <v>1</v>
      </c>
      <c r="S2143" s="11" t="n">
        <v>0</v>
      </c>
      <c r="T2143" s="11" t="n">
        <v>0</v>
      </c>
      <c r="U2143" s="11" t="n">
        <v>0.9</v>
      </c>
      <c r="V2143" s="11" t="n">
        <v>0.95</v>
      </c>
    </row>
    <row r="2144" customFormat="false" ht="15" hidden="false" customHeight="false" outlineLevel="0" collapsed="false">
      <c r="A2144" s="6" t="s">
        <v>62</v>
      </c>
      <c r="B2144" s="6" t="s">
        <v>63</v>
      </c>
      <c r="C2144" s="6" t="s">
        <v>44</v>
      </c>
      <c r="D2144" s="6" t="s">
        <v>114</v>
      </c>
      <c r="E2144" s="6" t="n">
        <v>16</v>
      </c>
      <c r="F2144" s="6" t="n">
        <v>5</v>
      </c>
      <c r="G2144" s="6" t="s">
        <v>76</v>
      </c>
      <c r="H2144" s="11" t="n">
        <v>0.01</v>
      </c>
      <c r="I2144" s="6" t="n">
        <v>20</v>
      </c>
      <c r="J2144" s="6" t="n">
        <v>0</v>
      </c>
      <c r="K2144" s="6" t="n">
        <v>20</v>
      </c>
      <c r="L2144" s="6" t="n">
        <v>0</v>
      </c>
      <c r="M2144" s="6" t="n">
        <v>20</v>
      </c>
      <c r="N2144" s="11" t="n">
        <f aca="false">J2144/(J2144+K2144)</f>
        <v>0</v>
      </c>
      <c r="O2144" s="11" t="str">
        <f aca="false">IF(J2144+L2144=0,"",J2144/(J2144+L2144))</f>
        <v/>
      </c>
      <c r="P2144" s="11" t="n">
        <f aca="false">2*J2144/(2*J2144+L2144+K2144)</f>
        <v>0</v>
      </c>
      <c r="Q2144" s="11" t="n">
        <f aca="false">L2144/(L2144+M2144)</f>
        <v>0</v>
      </c>
      <c r="R2144" s="6" t="n">
        <v>0</v>
      </c>
      <c r="S2144" s="11"/>
      <c r="T2144" s="11" t="n">
        <v>0</v>
      </c>
      <c r="U2144" s="11" t="n">
        <v>0.95</v>
      </c>
      <c r="V2144" s="11" t="n">
        <v>0.95</v>
      </c>
    </row>
    <row r="2145" customFormat="false" ht="15" hidden="false" customHeight="false" outlineLevel="0" collapsed="false">
      <c r="A2145" s="6" t="s">
        <v>62</v>
      </c>
      <c r="B2145" s="6" t="s">
        <v>63</v>
      </c>
      <c r="C2145" s="6" t="s">
        <v>44</v>
      </c>
      <c r="D2145" s="6" t="s">
        <v>114</v>
      </c>
      <c r="E2145" s="6" t="n">
        <v>16</v>
      </c>
      <c r="F2145" s="6" t="n">
        <v>5</v>
      </c>
      <c r="G2145" s="6" t="s">
        <v>77</v>
      </c>
      <c r="H2145" s="11" t="n">
        <v>0.01</v>
      </c>
      <c r="I2145" s="6" t="n">
        <v>20</v>
      </c>
      <c r="J2145" s="6" t="n">
        <v>1</v>
      </c>
      <c r="K2145" s="6" t="n">
        <v>19</v>
      </c>
      <c r="L2145" s="6" t="n">
        <v>1</v>
      </c>
      <c r="M2145" s="6" t="n">
        <v>19</v>
      </c>
      <c r="N2145" s="11" t="n">
        <f aca="false">J2145/(J2145+K2145)</f>
        <v>0.05</v>
      </c>
      <c r="O2145" s="11" t="n">
        <f aca="false">IF(J2145+L2145=0,"",J2145/(J2145+L2145))</f>
        <v>0.5</v>
      </c>
      <c r="P2145" s="11" t="n">
        <f aca="false">2*J2145/(2*J2145+L2145+K2145)</f>
        <v>0.0909090909090909</v>
      </c>
      <c r="Q2145" s="11" t="n">
        <f aca="false">L2145/(L2145+M2145)</f>
        <v>0.05</v>
      </c>
      <c r="R2145" s="6" t="n">
        <v>0</v>
      </c>
      <c r="S2145" s="11"/>
      <c r="T2145" s="11" t="n">
        <v>0.05</v>
      </c>
      <c r="U2145" s="11" t="n">
        <v>1</v>
      </c>
      <c r="V2145" s="11" t="n">
        <v>1</v>
      </c>
    </row>
    <row r="2146" customFormat="false" ht="15" hidden="false" customHeight="false" outlineLevel="0" collapsed="false">
      <c r="A2146" s="6" t="s">
        <v>62</v>
      </c>
      <c r="B2146" s="6" t="s">
        <v>63</v>
      </c>
      <c r="C2146" s="6" t="s">
        <v>44</v>
      </c>
      <c r="D2146" s="6" t="s">
        <v>114</v>
      </c>
      <c r="E2146" s="6" t="n">
        <v>16</v>
      </c>
      <c r="F2146" s="6" t="n">
        <v>5</v>
      </c>
      <c r="G2146" s="6" t="s">
        <v>78</v>
      </c>
      <c r="H2146" s="11" t="n">
        <v>0.01</v>
      </c>
      <c r="I2146" s="6" t="n">
        <v>200</v>
      </c>
      <c r="J2146" s="6" t="n">
        <v>1</v>
      </c>
      <c r="K2146" s="6" t="n">
        <v>199</v>
      </c>
      <c r="L2146" s="6" t="n">
        <v>1</v>
      </c>
      <c r="M2146" s="6" t="n">
        <v>199</v>
      </c>
      <c r="N2146" s="11" t="n">
        <f aca="false">J2146/(J2146+K2146)</f>
        <v>0.005</v>
      </c>
      <c r="O2146" s="11" t="n">
        <f aca="false">IF(J2146+L2146=0,"",J2146/(J2146+L2146))</f>
        <v>0.5</v>
      </c>
      <c r="P2146" s="11" t="n">
        <f aca="false">2*J2146/(2*J2146+L2146+K2146)</f>
        <v>0.0099009900990099</v>
      </c>
      <c r="Q2146" s="11" t="n">
        <f aca="false">L2146/(L2146+M2146)</f>
        <v>0.005</v>
      </c>
      <c r="R2146" s="6" t="n">
        <v>4</v>
      </c>
      <c r="S2146" s="11" t="n">
        <v>0</v>
      </c>
      <c r="T2146" s="11" t="n">
        <v>0.00510204081632653</v>
      </c>
      <c r="U2146" s="11" t="n">
        <v>0.88</v>
      </c>
      <c r="V2146" s="11" t="n">
        <v>0.895</v>
      </c>
    </row>
    <row r="2147" customFormat="false" ht="15" hidden="false" customHeight="false" outlineLevel="0" collapsed="false">
      <c r="A2147" s="6" t="s">
        <v>62</v>
      </c>
      <c r="B2147" s="6" t="s">
        <v>63</v>
      </c>
      <c r="C2147" s="6" t="s">
        <v>44</v>
      </c>
      <c r="D2147" s="6" t="s">
        <v>114</v>
      </c>
      <c r="E2147" s="6" t="n">
        <v>16</v>
      </c>
      <c r="F2147" s="6" t="n">
        <v>6</v>
      </c>
      <c r="G2147" s="6" t="s">
        <v>68</v>
      </c>
      <c r="H2147" s="11" t="n">
        <v>0.01</v>
      </c>
      <c r="I2147" s="6" t="n">
        <v>20</v>
      </c>
      <c r="J2147" s="6" t="n">
        <v>0</v>
      </c>
      <c r="K2147" s="6" t="n">
        <v>20</v>
      </c>
      <c r="L2147" s="6" t="n">
        <v>0</v>
      </c>
      <c r="M2147" s="6" t="n">
        <v>20</v>
      </c>
      <c r="N2147" s="11" t="n">
        <f aca="false">J2147/(J2147+K2147)</f>
        <v>0</v>
      </c>
      <c r="O2147" s="11" t="str">
        <f aca="false">IF(J2147+L2147=0,"",J2147/(J2147+L2147))</f>
        <v/>
      </c>
      <c r="P2147" s="11" t="n">
        <f aca="false">2*J2147/(2*J2147+L2147+K2147)</f>
        <v>0</v>
      </c>
      <c r="Q2147" s="11" t="n">
        <f aca="false">L2147/(L2147+M2147)</f>
        <v>0</v>
      </c>
      <c r="R2147" s="6" t="n">
        <v>0</v>
      </c>
      <c r="S2147" s="11"/>
      <c r="T2147" s="11" t="n">
        <v>0</v>
      </c>
      <c r="U2147" s="11" t="n">
        <v>0.85</v>
      </c>
      <c r="V2147" s="11" t="n">
        <v>0.85</v>
      </c>
    </row>
    <row r="2148" customFormat="false" ht="15" hidden="false" customHeight="false" outlineLevel="0" collapsed="false">
      <c r="A2148" s="6" t="s">
        <v>62</v>
      </c>
      <c r="B2148" s="6" t="s">
        <v>63</v>
      </c>
      <c r="C2148" s="6" t="s">
        <v>44</v>
      </c>
      <c r="D2148" s="6" t="s">
        <v>114</v>
      </c>
      <c r="E2148" s="6" t="n">
        <v>16</v>
      </c>
      <c r="F2148" s="6" t="n">
        <v>6</v>
      </c>
      <c r="G2148" s="6" t="s">
        <v>69</v>
      </c>
      <c r="H2148" s="11" t="n">
        <v>0.01</v>
      </c>
      <c r="I2148" s="6" t="n">
        <v>20</v>
      </c>
      <c r="J2148" s="6" t="n">
        <v>0</v>
      </c>
      <c r="K2148" s="6" t="n">
        <v>20</v>
      </c>
      <c r="L2148" s="6" t="n">
        <v>0</v>
      </c>
      <c r="M2148" s="6" t="n">
        <v>20</v>
      </c>
      <c r="N2148" s="11" t="n">
        <f aca="false">J2148/(J2148+K2148)</f>
        <v>0</v>
      </c>
      <c r="O2148" s="11" t="str">
        <f aca="false">IF(J2148+L2148=0,"",J2148/(J2148+L2148))</f>
        <v/>
      </c>
      <c r="P2148" s="11" t="n">
        <f aca="false">2*J2148/(2*J2148+L2148+K2148)</f>
        <v>0</v>
      </c>
      <c r="Q2148" s="11" t="n">
        <f aca="false">L2148/(L2148+M2148)</f>
        <v>0</v>
      </c>
      <c r="R2148" s="6" t="n">
        <v>0</v>
      </c>
      <c r="S2148" s="11"/>
      <c r="T2148" s="11" t="n">
        <v>0</v>
      </c>
      <c r="U2148" s="11" t="n">
        <v>1</v>
      </c>
      <c r="V2148" s="11" t="n">
        <v>1</v>
      </c>
    </row>
    <row r="2149" customFormat="false" ht="15" hidden="false" customHeight="false" outlineLevel="0" collapsed="false">
      <c r="A2149" s="6" t="s">
        <v>62</v>
      </c>
      <c r="B2149" s="6" t="s">
        <v>63</v>
      </c>
      <c r="C2149" s="6" t="s">
        <v>44</v>
      </c>
      <c r="D2149" s="6" t="s">
        <v>114</v>
      </c>
      <c r="E2149" s="6" t="n">
        <v>16</v>
      </c>
      <c r="F2149" s="6" t="n">
        <v>6</v>
      </c>
      <c r="G2149" s="6" t="s">
        <v>70</v>
      </c>
      <c r="H2149" s="11" t="n">
        <v>0.01</v>
      </c>
      <c r="I2149" s="6" t="n">
        <v>20</v>
      </c>
      <c r="J2149" s="6" t="n">
        <v>0</v>
      </c>
      <c r="K2149" s="6" t="n">
        <v>20</v>
      </c>
      <c r="L2149" s="6" t="n">
        <v>0</v>
      </c>
      <c r="M2149" s="6" t="n">
        <v>20</v>
      </c>
      <c r="N2149" s="11" t="n">
        <f aca="false">J2149/(J2149+K2149)</f>
        <v>0</v>
      </c>
      <c r="O2149" s="11" t="str">
        <f aca="false">IF(J2149+L2149=0,"",J2149/(J2149+L2149))</f>
        <v/>
      </c>
      <c r="P2149" s="11" t="n">
        <f aca="false">2*J2149/(2*J2149+L2149+K2149)</f>
        <v>0</v>
      </c>
      <c r="Q2149" s="11" t="n">
        <f aca="false">L2149/(L2149+M2149)</f>
        <v>0</v>
      </c>
      <c r="R2149" s="6" t="n">
        <v>0</v>
      </c>
      <c r="S2149" s="11"/>
      <c r="T2149" s="11" t="n">
        <v>0</v>
      </c>
      <c r="U2149" s="11" t="n">
        <v>0.9</v>
      </c>
      <c r="V2149" s="11" t="n">
        <v>0.9</v>
      </c>
    </row>
    <row r="2150" customFormat="false" ht="15" hidden="false" customHeight="false" outlineLevel="0" collapsed="false">
      <c r="A2150" s="6" t="s">
        <v>62</v>
      </c>
      <c r="B2150" s="6" t="s">
        <v>63</v>
      </c>
      <c r="C2150" s="6" t="s">
        <v>44</v>
      </c>
      <c r="D2150" s="6" t="s">
        <v>114</v>
      </c>
      <c r="E2150" s="6" t="n">
        <v>16</v>
      </c>
      <c r="F2150" s="6" t="n">
        <v>6</v>
      </c>
      <c r="G2150" s="6" t="s">
        <v>71</v>
      </c>
      <c r="H2150" s="11" t="n">
        <v>0.01</v>
      </c>
      <c r="I2150" s="6" t="n">
        <v>20</v>
      </c>
      <c r="J2150" s="6" t="n">
        <v>0</v>
      </c>
      <c r="K2150" s="6" t="n">
        <v>20</v>
      </c>
      <c r="L2150" s="6" t="n">
        <v>0</v>
      </c>
      <c r="M2150" s="6" t="n">
        <v>20</v>
      </c>
      <c r="N2150" s="11" t="n">
        <f aca="false">J2150/(J2150+K2150)</f>
        <v>0</v>
      </c>
      <c r="O2150" s="11" t="str">
        <f aca="false">IF(J2150+L2150=0,"",J2150/(J2150+L2150))</f>
        <v/>
      </c>
      <c r="P2150" s="11" t="n">
        <f aca="false">2*J2150/(2*J2150+L2150+K2150)</f>
        <v>0</v>
      </c>
      <c r="Q2150" s="11" t="n">
        <f aca="false">L2150/(L2150+M2150)</f>
        <v>0</v>
      </c>
      <c r="R2150" s="6" t="n">
        <v>0</v>
      </c>
      <c r="S2150" s="11"/>
      <c r="T2150" s="11" t="n">
        <v>0</v>
      </c>
      <c r="U2150" s="11" t="n">
        <v>0.8</v>
      </c>
      <c r="V2150" s="11" t="n">
        <v>0.8</v>
      </c>
    </row>
    <row r="2151" customFormat="false" ht="15" hidden="false" customHeight="false" outlineLevel="0" collapsed="false">
      <c r="A2151" s="6" t="s">
        <v>62</v>
      </c>
      <c r="B2151" s="6" t="s">
        <v>63</v>
      </c>
      <c r="C2151" s="6" t="s">
        <v>44</v>
      </c>
      <c r="D2151" s="6" t="s">
        <v>114</v>
      </c>
      <c r="E2151" s="6" t="n">
        <v>16</v>
      </c>
      <c r="F2151" s="6" t="n">
        <v>6</v>
      </c>
      <c r="G2151" s="6" t="s">
        <v>72</v>
      </c>
      <c r="H2151" s="11" t="n">
        <v>0.01</v>
      </c>
      <c r="I2151" s="6" t="n">
        <v>20</v>
      </c>
      <c r="J2151" s="6" t="n">
        <v>0</v>
      </c>
      <c r="K2151" s="6" t="n">
        <v>20</v>
      </c>
      <c r="L2151" s="6" t="n">
        <v>0</v>
      </c>
      <c r="M2151" s="6" t="n">
        <v>20</v>
      </c>
      <c r="N2151" s="11" t="n">
        <f aca="false">J2151/(J2151+K2151)</f>
        <v>0</v>
      </c>
      <c r="O2151" s="11" t="str">
        <f aca="false">IF(J2151+L2151=0,"",J2151/(J2151+L2151))</f>
        <v/>
      </c>
      <c r="P2151" s="11" t="n">
        <f aca="false">2*J2151/(2*J2151+L2151+K2151)</f>
        <v>0</v>
      </c>
      <c r="Q2151" s="11" t="n">
        <f aca="false">L2151/(L2151+M2151)</f>
        <v>0</v>
      </c>
      <c r="R2151" s="6" t="n">
        <v>0</v>
      </c>
      <c r="S2151" s="11"/>
      <c r="T2151" s="11" t="n">
        <v>0</v>
      </c>
      <c r="U2151" s="11" t="n">
        <v>0.9</v>
      </c>
      <c r="V2151" s="11" t="n">
        <v>0.9</v>
      </c>
    </row>
    <row r="2152" customFormat="false" ht="15" hidden="false" customHeight="false" outlineLevel="0" collapsed="false">
      <c r="A2152" s="6" t="s">
        <v>62</v>
      </c>
      <c r="B2152" s="6" t="s">
        <v>63</v>
      </c>
      <c r="C2152" s="6" t="s">
        <v>44</v>
      </c>
      <c r="D2152" s="6" t="s">
        <v>114</v>
      </c>
      <c r="E2152" s="6" t="n">
        <v>16</v>
      </c>
      <c r="F2152" s="6" t="n">
        <v>6</v>
      </c>
      <c r="G2152" s="6" t="s">
        <v>73</v>
      </c>
      <c r="H2152" s="11" t="n">
        <v>0.01</v>
      </c>
      <c r="I2152" s="6" t="n">
        <v>20</v>
      </c>
      <c r="J2152" s="6" t="n">
        <v>0</v>
      </c>
      <c r="K2152" s="6" t="n">
        <v>20</v>
      </c>
      <c r="L2152" s="6" t="n">
        <v>0</v>
      </c>
      <c r="M2152" s="6" t="n">
        <v>20</v>
      </c>
      <c r="N2152" s="11" t="n">
        <f aca="false">J2152/(J2152+K2152)</f>
        <v>0</v>
      </c>
      <c r="O2152" s="11" t="str">
        <f aca="false">IF(J2152+L2152=0,"",J2152/(J2152+L2152))</f>
        <v/>
      </c>
      <c r="P2152" s="11" t="n">
        <f aca="false">2*J2152/(2*J2152+L2152+K2152)</f>
        <v>0</v>
      </c>
      <c r="Q2152" s="11" t="n">
        <f aca="false">L2152/(L2152+M2152)</f>
        <v>0</v>
      </c>
      <c r="R2152" s="6" t="n">
        <v>2</v>
      </c>
      <c r="S2152" s="11" t="n">
        <v>0</v>
      </c>
      <c r="T2152" s="11" t="n">
        <v>0</v>
      </c>
      <c r="U2152" s="11" t="n">
        <v>0.65</v>
      </c>
      <c r="V2152" s="11" t="n">
        <v>0.65</v>
      </c>
    </row>
    <row r="2153" customFormat="false" ht="15" hidden="false" customHeight="false" outlineLevel="0" collapsed="false">
      <c r="A2153" s="6" t="s">
        <v>62</v>
      </c>
      <c r="B2153" s="6" t="s">
        <v>63</v>
      </c>
      <c r="C2153" s="6" t="s">
        <v>44</v>
      </c>
      <c r="D2153" s="6" t="s">
        <v>114</v>
      </c>
      <c r="E2153" s="6" t="n">
        <v>16</v>
      </c>
      <c r="F2153" s="6" t="n">
        <v>6</v>
      </c>
      <c r="G2153" s="6" t="s">
        <v>74</v>
      </c>
      <c r="H2153" s="11" t="n">
        <v>0.01</v>
      </c>
      <c r="I2153" s="6" t="n">
        <v>20</v>
      </c>
      <c r="J2153" s="6" t="n">
        <v>0</v>
      </c>
      <c r="K2153" s="6" t="n">
        <v>20</v>
      </c>
      <c r="L2153" s="6" t="n">
        <v>0</v>
      </c>
      <c r="M2153" s="6" t="n">
        <v>20</v>
      </c>
      <c r="N2153" s="11" t="n">
        <f aca="false">J2153/(J2153+K2153)</f>
        <v>0</v>
      </c>
      <c r="O2153" s="11" t="str">
        <f aca="false">IF(J2153+L2153=0,"",J2153/(J2153+L2153))</f>
        <v/>
      </c>
      <c r="P2153" s="11" t="n">
        <f aca="false">2*J2153/(2*J2153+L2153+K2153)</f>
        <v>0</v>
      </c>
      <c r="Q2153" s="11" t="n">
        <f aca="false">L2153/(L2153+M2153)</f>
        <v>0</v>
      </c>
      <c r="R2153" s="6" t="n">
        <v>2</v>
      </c>
      <c r="S2153" s="11" t="n">
        <v>0</v>
      </c>
      <c r="T2153" s="11" t="n">
        <v>0</v>
      </c>
      <c r="U2153" s="11" t="n">
        <v>0.85</v>
      </c>
      <c r="V2153" s="11" t="n">
        <v>0.75</v>
      </c>
    </row>
    <row r="2154" customFormat="false" ht="15" hidden="false" customHeight="false" outlineLevel="0" collapsed="false">
      <c r="A2154" s="6" t="s">
        <v>62</v>
      </c>
      <c r="B2154" s="6" t="s">
        <v>63</v>
      </c>
      <c r="C2154" s="6" t="s">
        <v>44</v>
      </c>
      <c r="D2154" s="6" t="s">
        <v>114</v>
      </c>
      <c r="E2154" s="6" t="n">
        <v>16</v>
      </c>
      <c r="F2154" s="6" t="n">
        <v>6</v>
      </c>
      <c r="G2154" s="6" t="s">
        <v>75</v>
      </c>
      <c r="H2154" s="11" t="n">
        <v>0.01</v>
      </c>
      <c r="I2154" s="6" t="n">
        <v>20</v>
      </c>
      <c r="J2154" s="6" t="n">
        <v>0</v>
      </c>
      <c r="K2154" s="6" t="n">
        <v>20</v>
      </c>
      <c r="L2154" s="6" t="n">
        <v>0</v>
      </c>
      <c r="M2154" s="6" t="n">
        <v>20</v>
      </c>
      <c r="N2154" s="11" t="n">
        <f aca="false">J2154/(J2154+K2154)</f>
        <v>0</v>
      </c>
      <c r="O2154" s="11" t="str">
        <f aca="false">IF(J2154+L2154=0,"",J2154/(J2154+L2154))</f>
        <v/>
      </c>
      <c r="P2154" s="11" t="n">
        <f aca="false">2*J2154/(2*J2154+L2154+K2154)</f>
        <v>0</v>
      </c>
      <c r="Q2154" s="11" t="n">
        <f aca="false">L2154/(L2154+M2154)</f>
        <v>0</v>
      </c>
      <c r="R2154" s="6" t="n">
        <v>0</v>
      </c>
      <c r="S2154" s="11"/>
      <c r="T2154" s="11" t="n">
        <v>0</v>
      </c>
      <c r="U2154" s="11" t="n">
        <v>0.9</v>
      </c>
      <c r="V2154" s="11" t="n">
        <v>0.9</v>
      </c>
    </row>
    <row r="2155" customFormat="false" ht="15" hidden="false" customHeight="false" outlineLevel="0" collapsed="false">
      <c r="A2155" s="6" t="s">
        <v>62</v>
      </c>
      <c r="B2155" s="6" t="s">
        <v>63</v>
      </c>
      <c r="C2155" s="6" t="s">
        <v>44</v>
      </c>
      <c r="D2155" s="6" t="s">
        <v>114</v>
      </c>
      <c r="E2155" s="6" t="n">
        <v>16</v>
      </c>
      <c r="F2155" s="6" t="n">
        <v>6</v>
      </c>
      <c r="G2155" s="6" t="s">
        <v>76</v>
      </c>
      <c r="H2155" s="11" t="n">
        <v>0.01</v>
      </c>
      <c r="I2155" s="6" t="n">
        <v>20</v>
      </c>
      <c r="J2155" s="6" t="n">
        <v>0</v>
      </c>
      <c r="K2155" s="6" t="n">
        <v>20</v>
      </c>
      <c r="L2155" s="6" t="n">
        <v>0</v>
      </c>
      <c r="M2155" s="6" t="n">
        <v>20</v>
      </c>
      <c r="N2155" s="11" t="n">
        <f aca="false">J2155/(J2155+K2155)</f>
        <v>0</v>
      </c>
      <c r="O2155" s="11" t="str">
        <f aca="false">IF(J2155+L2155=0,"",J2155/(J2155+L2155))</f>
        <v/>
      </c>
      <c r="P2155" s="11" t="n">
        <f aca="false">2*J2155/(2*J2155+L2155+K2155)</f>
        <v>0</v>
      </c>
      <c r="Q2155" s="11" t="n">
        <f aca="false">L2155/(L2155+M2155)</f>
        <v>0</v>
      </c>
      <c r="R2155" s="6" t="n">
        <v>0</v>
      </c>
      <c r="S2155" s="11"/>
      <c r="T2155" s="11" t="n">
        <v>0</v>
      </c>
      <c r="U2155" s="11" t="n">
        <v>0.95</v>
      </c>
      <c r="V2155" s="11" t="n">
        <v>0.95</v>
      </c>
    </row>
    <row r="2156" customFormat="false" ht="15" hidden="false" customHeight="false" outlineLevel="0" collapsed="false">
      <c r="A2156" s="6" t="s">
        <v>62</v>
      </c>
      <c r="B2156" s="6" t="s">
        <v>63</v>
      </c>
      <c r="C2156" s="6" t="s">
        <v>44</v>
      </c>
      <c r="D2156" s="6" t="s">
        <v>114</v>
      </c>
      <c r="E2156" s="6" t="n">
        <v>16</v>
      </c>
      <c r="F2156" s="6" t="n">
        <v>6</v>
      </c>
      <c r="G2156" s="6" t="s">
        <v>77</v>
      </c>
      <c r="H2156" s="11" t="n">
        <v>0.01</v>
      </c>
      <c r="I2156" s="6" t="n">
        <v>20</v>
      </c>
      <c r="J2156" s="6" t="n">
        <v>1</v>
      </c>
      <c r="K2156" s="6" t="n">
        <v>19</v>
      </c>
      <c r="L2156" s="6" t="n">
        <v>1</v>
      </c>
      <c r="M2156" s="6" t="n">
        <v>19</v>
      </c>
      <c r="N2156" s="11" t="n">
        <f aca="false">J2156/(J2156+K2156)</f>
        <v>0.05</v>
      </c>
      <c r="O2156" s="11" t="n">
        <f aca="false">IF(J2156+L2156=0,"",J2156/(J2156+L2156))</f>
        <v>0.5</v>
      </c>
      <c r="P2156" s="11" t="n">
        <f aca="false">2*J2156/(2*J2156+L2156+K2156)</f>
        <v>0.0909090909090909</v>
      </c>
      <c r="Q2156" s="11" t="n">
        <f aca="false">L2156/(L2156+M2156)</f>
        <v>0.05</v>
      </c>
      <c r="R2156" s="6" t="n">
        <v>0</v>
      </c>
      <c r="S2156" s="11"/>
      <c r="T2156" s="11" t="n">
        <v>0.05</v>
      </c>
      <c r="U2156" s="11" t="n">
        <v>1</v>
      </c>
      <c r="V2156" s="11" t="n">
        <v>1</v>
      </c>
    </row>
    <row r="2157" customFormat="false" ht="15" hidden="false" customHeight="false" outlineLevel="0" collapsed="false">
      <c r="A2157" s="6" t="s">
        <v>62</v>
      </c>
      <c r="B2157" s="6" t="s">
        <v>63</v>
      </c>
      <c r="C2157" s="6" t="s">
        <v>44</v>
      </c>
      <c r="D2157" s="6" t="s">
        <v>114</v>
      </c>
      <c r="E2157" s="6" t="n">
        <v>16</v>
      </c>
      <c r="F2157" s="6" t="n">
        <v>6</v>
      </c>
      <c r="G2157" s="6" t="s">
        <v>78</v>
      </c>
      <c r="H2157" s="11" t="n">
        <v>0.01</v>
      </c>
      <c r="I2157" s="6" t="n">
        <v>200</v>
      </c>
      <c r="J2157" s="6" t="n">
        <v>1</v>
      </c>
      <c r="K2157" s="6" t="n">
        <v>199</v>
      </c>
      <c r="L2157" s="6" t="n">
        <v>1</v>
      </c>
      <c r="M2157" s="6" t="n">
        <v>199</v>
      </c>
      <c r="N2157" s="11" t="n">
        <f aca="false">J2157/(J2157+K2157)</f>
        <v>0.005</v>
      </c>
      <c r="O2157" s="11" t="n">
        <f aca="false">IF(J2157+L2157=0,"",J2157/(J2157+L2157))</f>
        <v>0.5</v>
      </c>
      <c r="P2157" s="11" t="n">
        <f aca="false">2*J2157/(2*J2157+L2157+K2157)</f>
        <v>0.0099009900990099</v>
      </c>
      <c r="Q2157" s="11" t="n">
        <f aca="false">L2157/(L2157+M2157)</f>
        <v>0.005</v>
      </c>
      <c r="R2157" s="6" t="n">
        <v>4</v>
      </c>
      <c r="S2157" s="11" t="n">
        <v>0</v>
      </c>
      <c r="T2157" s="11" t="n">
        <v>0.00510204081632653</v>
      </c>
      <c r="U2157" s="11" t="n">
        <v>0.88</v>
      </c>
      <c r="V2157" s="11" t="n">
        <v>0.87</v>
      </c>
    </row>
    <row r="2158" customFormat="false" ht="15" hidden="false" customHeight="false" outlineLevel="0" collapsed="false">
      <c r="A2158" s="6" t="s">
        <v>62</v>
      </c>
      <c r="B2158" s="6" t="s">
        <v>63</v>
      </c>
      <c r="C2158" s="6" t="s">
        <v>44</v>
      </c>
      <c r="D2158" s="6" t="s">
        <v>114</v>
      </c>
      <c r="E2158" s="6" t="n">
        <v>16</v>
      </c>
      <c r="F2158" s="6" t="n">
        <v>7</v>
      </c>
      <c r="G2158" s="6" t="s">
        <v>68</v>
      </c>
      <c r="H2158" s="11" t="n">
        <v>0.01</v>
      </c>
      <c r="I2158" s="6" t="n">
        <v>20</v>
      </c>
      <c r="J2158" s="6" t="n">
        <v>0</v>
      </c>
      <c r="K2158" s="6" t="n">
        <v>20</v>
      </c>
      <c r="L2158" s="6" t="n">
        <v>0</v>
      </c>
      <c r="M2158" s="6" t="n">
        <v>20</v>
      </c>
      <c r="N2158" s="11" t="n">
        <f aca="false">J2158/(J2158+K2158)</f>
        <v>0</v>
      </c>
      <c r="O2158" s="11" t="str">
        <f aca="false">IF(J2158+L2158=0,"",J2158/(J2158+L2158))</f>
        <v/>
      </c>
      <c r="P2158" s="11" t="n">
        <f aca="false">2*J2158/(2*J2158+L2158+K2158)</f>
        <v>0</v>
      </c>
      <c r="Q2158" s="11" t="n">
        <f aca="false">L2158/(L2158+M2158)</f>
        <v>0</v>
      </c>
      <c r="R2158" s="6" t="n">
        <v>1</v>
      </c>
      <c r="S2158" s="11" t="n">
        <v>0</v>
      </c>
      <c r="T2158" s="11" t="n">
        <v>0</v>
      </c>
      <c r="U2158" s="11" t="n">
        <v>0.85</v>
      </c>
      <c r="V2158" s="11" t="n">
        <v>0.8</v>
      </c>
    </row>
    <row r="2159" customFormat="false" ht="15" hidden="false" customHeight="false" outlineLevel="0" collapsed="false">
      <c r="A2159" s="6" t="s">
        <v>62</v>
      </c>
      <c r="B2159" s="6" t="s">
        <v>63</v>
      </c>
      <c r="C2159" s="6" t="s">
        <v>44</v>
      </c>
      <c r="D2159" s="6" t="s">
        <v>114</v>
      </c>
      <c r="E2159" s="6" t="n">
        <v>16</v>
      </c>
      <c r="F2159" s="6" t="n">
        <v>7</v>
      </c>
      <c r="G2159" s="6" t="s">
        <v>69</v>
      </c>
      <c r="H2159" s="11" t="n">
        <v>0.01</v>
      </c>
      <c r="I2159" s="6" t="n">
        <v>20</v>
      </c>
      <c r="J2159" s="6" t="n">
        <v>0</v>
      </c>
      <c r="K2159" s="6" t="n">
        <v>20</v>
      </c>
      <c r="L2159" s="6" t="n">
        <v>0</v>
      </c>
      <c r="M2159" s="6" t="n">
        <v>20</v>
      </c>
      <c r="N2159" s="11" t="n">
        <f aca="false">J2159/(J2159+K2159)</f>
        <v>0</v>
      </c>
      <c r="O2159" s="11" t="str">
        <f aca="false">IF(J2159+L2159=0,"",J2159/(J2159+L2159))</f>
        <v/>
      </c>
      <c r="P2159" s="11" t="n">
        <f aca="false">2*J2159/(2*J2159+L2159+K2159)</f>
        <v>0</v>
      </c>
      <c r="Q2159" s="11" t="n">
        <f aca="false">L2159/(L2159+M2159)</f>
        <v>0</v>
      </c>
      <c r="R2159" s="6" t="n">
        <v>0</v>
      </c>
      <c r="S2159" s="11"/>
      <c r="T2159" s="11" t="n">
        <v>0</v>
      </c>
      <c r="U2159" s="11" t="n">
        <v>1</v>
      </c>
      <c r="V2159" s="11" t="n">
        <v>1</v>
      </c>
    </row>
    <row r="2160" customFormat="false" ht="15" hidden="false" customHeight="false" outlineLevel="0" collapsed="false">
      <c r="A2160" s="6" t="s">
        <v>62</v>
      </c>
      <c r="B2160" s="6" t="s">
        <v>63</v>
      </c>
      <c r="C2160" s="6" t="s">
        <v>44</v>
      </c>
      <c r="D2160" s="6" t="s">
        <v>114</v>
      </c>
      <c r="E2160" s="6" t="n">
        <v>16</v>
      </c>
      <c r="F2160" s="6" t="n">
        <v>7</v>
      </c>
      <c r="G2160" s="6" t="s">
        <v>70</v>
      </c>
      <c r="H2160" s="11" t="n">
        <v>0.01</v>
      </c>
      <c r="I2160" s="6" t="n">
        <v>20</v>
      </c>
      <c r="J2160" s="6" t="n">
        <v>0</v>
      </c>
      <c r="K2160" s="6" t="n">
        <v>20</v>
      </c>
      <c r="L2160" s="6" t="n">
        <v>0</v>
      </c>
      <c r="M2160" s="6" t="n">
        <v>20</v>
      </c>
      <c r="N2160" s="11" t="n">
        <f aca="false">J2160/(J2160+K2160)</f>
        <v>0</v>
      </c>
      <c r="O2160" s="11" t="str">
        <f aca="false">IF(J2160+L2160=0,"",J2160/(J2160+L2160))</f>
        <v/>
      </c>
      <c r="P2160" s="11" t="n">
        <f aca="false">2*J2160/(2*J2160+L2160+K2160)</f>
        <v>0</v>
      </c>
      <c r="Q2160" s="11" t="n">
        <f aca="false">L2160/(L2160+M2160)</f>
        <v>0</v>
      </c>
      <c r="R2160" s="6" t="n">
        <v>0</v>
      </c>
      <c r="S2160" s="11"/>
      <c r="T2160" s="11" t="n">
        <v>0</v>
      </c>
      <c r="U2160" s="11" t="n">
        <v>0.9</v>
      </c>
      <c r="V2160" s="11" t="n">
        <v>0.9</v>
      </c>
    </row>
    <row r="2161" customFormat="false" ht="15" hidden="false" customHeight="false" outlineLevel="0" collapsed="false">
      <c r="A2161" s="6" t="s">
        <v>62</v>
      </c>
      <c r="B2161" s="6" t="s">
        <v>63</v>
      </c>
      <c r="C2161" s="6" t="s">
        <v>44</v>
      </c>
      <c r="D2161" s="6" t="s">
        <v>114</v>
      </c>
      <c r="E2161" s="6" t="n">
        <v>16</v>
      </c>
      <c r="F2161" s="6" t="n">
        <v>7</v>
      </c>
      <c r="G2161" s="6" t="s">
        <v>71</v>
      </c>
      <c r="H2161" s="11" t="n">
        <v>0.01</v>
      </c>
      <c r="I2161" s="6" t="n">
        <v>20</v>
      </c>
      <c r="J2161" s="6" t="n">
        <v>0</v>
      </c>
      <c r="K2161" s="6" t="n">
        <v>20</v>
      </c>
      <c r="L2161" s="6" t="n">
        <v>0</v>
      </c>
      <c r="M2161" s="6" t="n">
        <v>20</v>
      </c>
      <c r="N2161" s="11" t="n">
        <f aca="false">J2161/(J2161+K2161)</f>
        <v>0</v>
      </c>
      <c r="O2161" s="11" t="str">
        <f aca="false">IF(J2161+L2161=0,"",J2161/(J2161+L2161))</f>
        <v/>
      </c>
      <c r="P2161" s="11" t="n">
        <f aca="false">2*J2161/(2*J2161+L2161+K2161)</f>
        <v>0</v>
      </c>
      <c r="Q2161" s="11" t="n">
        <f aca="false">L2161/(L2161+M2161)</f>
        <v>0</v>
      </c>
      <c r="R2161" s="6" t="n">
        <v>0</v>
      </c>
      <c r="S2161" s="11"/>
      <c r="T2161" s="11" t="n">
        <v>0</v>
      </c>
      <c r="U2161" s="11" t="n">
        <v>0.8</v>
      </c>
      <c r="V2161" s="11" t="n">
        <v>0.8</v>
      </c>
    </row>
    <row r="2162" customFormat="false" ht="15" hidden="false" customHeight="false" outlineLevel="0" collapsed="false">
      <c r="A2162" s="6" t="s">
        <v>62</v>
      </c>
      <c r="B2162" s="6" t="s">
        <v>63</v>
      </c>
      <c r="C2162" s="6" t="s">
        <v>44</v>
      </c>
      <c r="D2162" s="6" t="s">
        <v>114</v>
      </c>
      <c r="E2162" s="6" t="n">
        <v>16</v>
      </c>
      <c r="F2162" s="6" t="n">
        <v>7</v>
      </c>
      <c r="G2162" s="6" t="s">
        <v>72</v>
      </c>
      <c r="H2162" s="11" t="n">
        <v>0.01</v>
      </c>
      <c r="I2162" s="6" t="n">
        <v>20</v>
      </c>
      <c r="J2162" s="6" t="n">
        <v>0</v>
      </c>
      <c r="K2162" s="6" t="n">
        <v>20</v>
      </c>
      <c r="L2162" s="6" t="n">
        <v>0</v>
      </c>
      <c r="M2162" s="6" t="n">
        <v>20</v>
      </c>
      <c r="N2162" s="11" t="n">
        <f aca="false">J2162/(J2162+K2162)</f>
        <v>0</v>
      </c>
      <c r="O2162" s="11" t="str">
        <f aca="false">IF(J2162+L2162=0,"",J2162/(J2162+L2162))</f>
        <v/>
      </c>
      <c r="P2162" s="11" t="n">
        <f aca="false">2*J2162/(2*J2162+L2162+K2162)</f>
        <v>0</v>
      </c>
      <c r="Q2162" s="11" t="n">
        <f aca="false">L2162/(L2162+M2162)</f>
        <v>0</v>
      </c>
      <c r="R2162" s="6" t="n">
        <v>0</v>
      </c>
      <c r="S2162" s="11"/>
      <c r="T2162" s="11" t="n">
        <v>0</v>
      </c>
      <c r="U2162" s="11" t="n">
        <v>0.9</v>
      </c>
      <c r="V2162" s="11" t="n">
        <v>0.9</v>
      </c>
    </row>
    <row r="2163" customFormat="false" ht="15" hidden="false" customHeight="false" outlineLevel="0" collapsed="false">
      <c r="A2163" s="6" t="s">
        <v>62</v>
      </c>
      <c r="B2163" s="6" t="s">
        <v>63</v>
      </c>
      <c r="C2163" s="6" t="s">
        <v>44</v>
      </c>
      <c r="D2163" s="6" t="s">
        <v>114</v>
      </c>
      <c r="E2163" s="6" t="n">
        <v>16</v>
      </c>
      <c r="F2163" s="6" t="n">
        <v>7</v>
      </c>
      <c r="G2163" s="6" t="s">
        <v>73</v>
      </c>
      <c r="H2163" s="11" t="n">
        <v>0.01</v>
      </c>
      <c r="I2163" s="6" t="n">
        <v>20</v>
      </c>
      <c r="J2163" s="6" t="n">
        <v>0</v>
      </c>
      <c r="K2163" s="6" t="n">
        <v>20</v>
      </c>
      <c r="L2163" s="6" t="n">
        <v>0</v>
      </c>
      <c r="M2163" s="6" t="n">
        <v>20</v>
      </c>
      <c r="N2163" s="11" t="n">
        <f aca="false">J2163/(J2163+K2163)</f>
        <v>0</v>
      </c>
      <c r="O2163" s="11" t="str">
        <f aca="false">IF(J2163+L2163=0,"",J2163/(J2163+L2163))</f>
        <v/>
      </c>
      <c r="P2163" s="11" t="n">
        <f aca="false">2*J2163/(2*J2163+L2163+K2163)</f>
        <v>0</v>
      </c>
      <c r="Q2163" s="11" t="n">
        <f aca="false">L2163/(L2163+M2163)</f>
        <v>0</v>
      </c>
      <c r="R2163" s="6" t="n">
        <v>0</v>
      </c>
      <c r="S2163" s="11"/>
      <c r="T2163" s="11" t="n">
        <v>0</v>
      </c>
      <c r="U2163" s="11" t="n">
        <v>0.65</v>
      </c>
      <c r="V2163" s="11" t="n">
        <v>0.65</v>
      </c>
    </row>
    <row r="2164" customFormat="false" ht="15" hidden="false" customHeight="false" outlineLevel="0" collapsed="false">
      <c r="A2164" s="6" t="s">
        <v>62</v>
      </c>
      <c r="B2164" s="6" t="s">
        <v>63</v>
      </c>
      <c r="C2164" s="6" t="s">
        <v>44</v>
      </c>
      <c r="D2164" s="6" t="s">
        <v>114</v>
      </c>
      <c r="E2164" s="6" t="n">
        <v>16</v>
      </c>
      <c r="F2164" s="6" t="n">
        <v>7</v>
      </c>
      <c r="G2164" s="6" t="s">
        <v>74</v>
      </c>
      <c r="H2164" s="11" t="n">
        <v>0.01</v>
      </c>
      <c r="I2164" s="6" t="n">
        <v>20</v>
      </c>
      <c r="J2164" s="6" t="n">
        <v>0</v>
      </c>
      <c r="K2164" s="6" t="n">
        <v>20</v>
      </c>
      <c r="L2164" s="6" t="n">
        <v>0</v>
      </c>
      <c r="M2164" s="6" t="n">
        <v>20</v>
      </c>
      <c r="N2164" s="11" t="n">
        <f aca="false">J2164/(J2164+K2164)</f>
        <v>0</v>
      </c>
      <c r="O2164" s="11" t="str">
        <f aca="false">IF(J2164+L2164=0,"",J2164/(J2164+L2164))</f>
        <v/>
      </c>
      <c r="P2164" s="11" t="n">
        <f aca="false">2*J2164/(2*J2164+L2164+K2164)</f>
        <v>0</v>
      </c>
      <c r="Q2164" s="11" t="n">
        <f aca="false">L2164/(L2164+M2164)</f>
        <v>0</v>
      </c>
      <c r="R2164" s="6" t="n">
        <v>1</v>
      </c>
      <c r="S2164" s="11" t="n">
        <v>0</v>
      </c>
      <c r="T2164" s="11" t="n">
        <v>0</v>
      </c>
      <c r="U2164" s="11" t="n">
        <v>0.85</v>
      </c>
      <c r="V2164" s="11" t="n">
        <v>0.9</v>
      </c>
    </row>
    <row r="2165" customFormat="false" ht="15" hidden="false" customHeight="false" outlineLevel="0" collapsed="false">
      <c r="A2165" s="6" t="s">
        <v>62</v>
      </c>
      <c r="B2165" s="6" t="s">
        <v>63</v>
      </c>
      <c r="C2165" s="6" t="s">
        <v>44</v>
      </c>
      <c r="D2165" s="6" t="s">
        <v>114</v>
      </c>
      <c r="E2165" s="6" t="n">
        <v>16</v>
      </c>
      <c r="F2165" s="6" t="n">
        <v>7</v>
      </c>
      <c r="G2165" s="6" t="s">
        <v>75</v>
      </c>
      <c r="H2165" s="11" t="n">
        <v>0.01</v>
      </c>
      <c r="I2165" s="6" t="n">
        <v>20</v>
      </c>
      <c r="J2165" s="6" t="n">
        <v>0</v>
      </c>
      <c r="K2165" s="6" t="n">
        <v>20</v>
      </c>
      <c r="L2165" s="6" t="n">
        <v>0</v>
      </c>
      <c r="M2165" s="6" t="n">
        <v>20</v>
      </c>
      <c r="N2165" s="11" t="n">
        <f aca="false">J2165/(J2165+K2165)</f>
        <v>0</v>
      </c>
      <c r="O2165" s="11" t="str">
        <f aca="false">IF(J2165+L2165=0,"",J2165/(J2165+L2165))</f>
        <v/>
      </c>
      <c r="P2165" s="11" t="n">
        <f aca="false">2*J2165/(2*J2165+L2165+K2165)</f>
        <v>0</v>
      </c>
      <c r="Q2165" s="11" t="n">
        <f aca="false">L2165/(L2165+M2165)</f>
        <v>0</v>
      </c>
      <c r="R2165" s="6" t="n">
        <v>1</v>
      </c>
      <c r="S2165" s="11" t="n">
        <v>0</v>
      </c>
      <c r="T2165" s="11" t="n">
        <v>0</v>
      </c>
      <c r="U2165" s="11" t="n">
        <v>0.9</v>
      </c>
      <c r="V2165" s="11" t="n">
        <v>0.95</v>
      </c>
    </row>
    <row r="2166" customFormat="false" ht="15" hidden="false" customHeight="false" outlineLevel="0" collapsed="false">
      <c r="A2166" s="6" t="s">
        <v>62</v>
      </c>
      <c r="B2166" s="6" t="s">
        <v>63</v>
      </c>
      <c r="C2166" s="6" t="s">
        <v>44</v>
      </c>
      <c r="D2166" s="6" t="s">
        <v>114</v>
      </c>
      <c r="E2166" s="6" t="n">
        <v>16</v>
      </c>
      <c r="F2166" s="6" t="n">
        <v>7</v>
      </c>
      <c r="G2166" s="6" t="s">
        <v>76</v>
      </c>
      <c r="H2166" s="11" t="n">
        <v>0.01</v>
      </c>
      <c r="I2166" s="6" t="n">
        <v>20</v>
      </c>
      <c r="J2166" s="6" t="n">
        <v>0</v>
      </c>
      <c r="K2166" s="6" t="n">
        <v>20</v>
      </c>
      <c r="L2166" s="6" t="n">
        <v>0</v>
      </c>
      <c r="M2166" s="6" t="n">
        <v>20</v>
      </c>
      <c r="N2166" s="11" t="n">
        <f aca="false">J2166/(J2166+K2166)</f>
        <v>0</v>
      </c>
      <c r="O2166" s="11" t="str">
        <f aca="false">IF(J2166+L2166=0,"",J2166/(J2166+L2166))</f>
        <v/>
      </c>
      <c r="P2166" s="11" t="n">
        <f aca="false">2*J2166/(2*J2166+L2166+K2166)</f>
        <v>0</v>
      </c>
      <c r="Q2166" s="11" t="n">
        <f aca="false">L2166/(L2166+M2166)</f>
        <v>0</v>
      </c>
      <c r="R2166" s="6" t="n">
        <v>0</v>
      </c>
      <c r="S2166" s="11"/>
      <c r="T2166" s="11" t="n">
        <v>0</v>
      </c>
      <c r="U2166" s="11" t="n">
        <v>0.95</v>
      </c>
      <c r="V2166" s="11" t="n">
        <v>0.95</v>
      </c>
    </row>
    <row r="2167" customFormat="false" ht="15" hidden="false" customHeight="false" outlineLevel="0" collapsed="false">
      <c r="A2167" s="6" t="s">
        <v>62</v>
      </c>
      <c r="B2167" s="6" t="s">
        <v>63</v>
      </c>
      <c r="C2167" s="6" t="s">
        <v>44</v>
      </c>
      <c r="D2167" s="6" t="s">
        <v>114</v>
      </c>
      <c r="E2167" s="6" t="n">
        <v>16</v>
      </c>
      <c r="F2167" s="6" t="n">
        <v>7</v>
      </c>
      <c r="G2167" s="6" t="s">
        <v>77</v>
      </c>
      <c r="H2167" s="11" t="n">
        <v>0.01</v>
      </c>
      <c r="I2167" s="6" t="n">
        <v>20</v>
      </c>
      <c r="J2167" s="6" t="n">
        <v>1</v>
      </c>
      <c r="K2167" s="6" t="n">
        <v>19</v>
      </c>
      <c r="L2167" s="6" t="n">
        <v>1</v>
      </c>
      <c r="M2167" s="6" t="n">
        <v>19</v>
      </c>
      <c r="N2167" s="11" t="n">
        <f aca="false">J2167/(J2167+K2167)</f>
        <v>0.05</v>
      </c>
      <c r="O2167" s="11" t="n">
        <f aca="false">IF(J2167+L2167=0,"",J2167/(J2167+L2167))</f>
        <v>0.5</v>
      </c>
      <c r="P2167" s="11" t="n">
        <f aca="false">2*J2167/(2*J2167+L2167+K2167)</f>
        <v>0.0909090909090909</v>
      </c>
      <c r="Q2167" s="11" t="n">
        <f aca="false">L2167/(L2167+M2167)</f>
        <v>0.05</v>
      </c>
      <c r="R2167" s="6" t="n">
        <v>0</v>
      </c>
      <c r="S2167" s="11"/>
      <c r="T2167" s="11" t="n">
        <v>0.05</v>
      </c>
      <c r="U2167" s="11" t="n">
        <v>1</v>
      </c>
      <c r="V2167" s="11" t="n">
        <v>1</v>
      </c>
    </row>
    <row r="2168" customFormat="false" ht="15" hidden="false" customHeight="false" outlineLevel="0" collapsed="false">
      <c r="A2168" s="6" t="s">
        <v>62</v>
      </c>
      <c r="B2168" s="6" t="s">
        <v>63</v>
      </c>
      <c r="C2168" s="6" t="s">
        <v>44</v>
      </c>
      <c r="D2168" s="6" t="s">
        <v>114</v>
      </c>
      <c r="E2168" s="6" t="n">
        <v>16</v>
      </c>
      <c r="F2168" s="6" t="n">
        <v>7</v>
      </c>
      <c r="G2168" s="6" t="s">
        <v>78</v>
      </c>
      <c r="H2168" s="11" t="n">
        <v>0.01</v>
      </c>
      <c r="I2168" s="6" t="n">
        <v>200</v>
      </c>
      <c r="J2168" s="6" t="n">
        <v>1</v>
      </c>
      <c r="K2168" s="6" t="n">
        <v>199</v>
      </c>
      <c r="L2168" s="6" t="n">
        <v>1</v>
      </c>
      <c r="M2168" s="6" t="n">
        <v>199</v>
      </c>
      <c r="N2168" s="11" t="n">
        <f aca="false">J2168/(J2168+K2168)</f>
        <v>0.005</v>
      </c>
      <c r="O2168" s="11" t="n">
        <f aca="false">IF(J2168+L2168=0,"",J2168/(J2168+L2168))</f>
        <v>0.5</v>
      </c>
      <c r="P2168" s="11" t="n">
        <f aca="false">2*J2168/(2*J2168+L2168+K2168)</f>
        <v>0.0099009900990099</v>
      </c>
      <c r="Q2168" s="11" t="n">
        <f aca="false">L2168/(L2168+M2168)</f>
        <v>0.005</v>
      </c>
      <c r="R2168" s="6" t="n">
        <v>3</v>
      </c>
      <c r="S2168" s="11" t="n">
        <v>0</v>
      </c>
      <c r="T2168" s="11" t="n">
        <v>0.0050761421319797</v>
      </c>
      <c r="U2168" s="11" t="n">
        <v>0.88</v>
      </c>
      <c r="V2168" s="11" t="n">
        <v>0.885</v>
      </c>
    </row>
    <row r="2169" customFormat="false" ht="15" hidden="false" customHeight="false" outlineLevel="0" collapsed="false">
      <c r="A2169" s="6" t="s">
        <v>62</v>
      </c>
      <c r="B2169" s="6" t="s">
        <v>63</v>
      </c>
      <c r="C2169" s="6" t="s">
        <v>44</v>
      </c>
      <c r="D2169" s="6" t="s">
        <v>114</v>
      </c>
      <c r="E2169" s="6" t="n">
        <v>16</v>
      </c>
      <c r="F2169" s="6" t="n">
        <v>8</v>
      </c>
      <c r="G2169" s="6" t="s">
        <v>68</v>
      </c>
      <c r="H2169" s="11" t="n">
        <v>0.01</v>
      </c>
      <c r="I2169" s="6" t="n">
        <v>20</v>
      </c>
      <c r="J2169" s="6" t="n">
        <v>0</v>
      </c>
      <c r="K2169" s="6" t="n">
        <v>20</v>
      </c>
      <c r="L2169" s="6" t="n">
        <v>0</v>
      </c>
      <c r="M2169" s="6" t="n">
        <v>20</v>
      </c>
      <c r="N2169" s="11" t="n">
        <f aca="false">J2169/(J2169+K2169)</f>
        <v>0</v>
      </c>
      <c r="O2169" s="11" t="str">
        <f aca="false">IF(J2169+L2169=0,"",J2169/(J2169+L2169))</f>
        <v/>
      </c>
      <c r="P2169" s="11" t="n">
        <f aca="false">2*J2169/(2*J2169+L2169+K2169)</f>
        <v>0</v>
      </c>
      <c r="Q2169" s="11" t="n">
        <f aca="false">L2169/(L2169+M2169)</f>
        <v>0</v>
      </c>
      <c r="R2169" s="6" t="n">
        <v>0</v>
      </c>
      <c r="S2169" s="11"/>
      <c r="T2169" s="11" t="n">
        <v>0</v>
      </c>
      <c r="U2169" s="11" t="n">
        <v>0.85</v>
      </c>
      <c r="V2169" s="11" t="n">
        <v>0.85</v>
      </c>
    </row>
    <row r="2170" customFormat="false" ht="15" hidden="false" customHeight="false" outlineLevel="0" collapsed="false">
      <c r="A2170" s="6" t="s">
        <v>62</v>
      </c>
      <c r="B2170" s="6" t="s">
        <v>63</v>
      </c>
      <c r="C2170" s="6" t="s">
        <v>44</v>
      </c>
      <c r="D2170" s="6" t="s">
        <v>114</v>
      </c>
      <c r="E2170" s="6" t="n">
        <v>16</v>
      </c>
      <c r="F2170" s="6" t="n">
        <v>8</v>
      </c>
      <c r="G2170" s="6" t="s">
        <v>69</v>
      </c>
      <c r="H2170" s="11" t="n">
        <v>0.01</v>
      </c>
      <c r="I2170" s="6" t="n">
        <v>20</v>
      </c>
      <c r="J2170" s="6" t="n">
        <v>0</v>
      </c>
      <c r="K2170" s="6" t="n">
        <v>20</v>
      </c>
      <c r="L2170" s="6" t="n">
        <v>0</v>
      </c>
      <c r="M2170" s="6" t="n">
        <v>20</v>
      </c>
      <c r="N2170" s="11" t="n">
        <f aca="false">J2170/(J2170+K2170)</f>
        <v>0</v>
      </c>
      <c r="O2170" s="11" t="str">
        <f aca="false">IF(J2170+L2170=0,"",J2170/(J2170+L2170))</f>
        <v/>
      </c>
      <c r="P2170" s="11" t="n">
        <f aca="false">2*J2170/(2*J2170+L2170+K2170)</f>
        <v>0</v>
      </c>
      <c r="Q2170" s="11" t="n">
        <f aca="false">L2170/(L2170+M2170)</f>
        <v>0</v>
      </c>
      <c r="R2170" s="6" t="n">
        <v>0</v>
      </c>
      <c r="S2170" s="11"/>
      <c r="T2170" s="11" t="n">
        <v>0</v>
      </c>
      <c r="U2170" s="11" t="n">
        <v>1</v>
      </c>
      <c r="V2170" s="11" t="n">
        <v>1</v>
      </c>
    </row>
    <row r="2171" customFormat="false" ht="15" hidden="false" customHeight="false" outlineLevel="0" collapsed="false">
      <c r="A2171" s="6" t="s">
        <v>62</v>
      </c>
      <c r="B2171" s="6" t="s">
        <v>63</v>
      </c>
      <c r="C2171" s="6" t="s">
        <v>44</v>
      </c>
      <c r="D2171" s="6" t="s">
        <v>114</v>
      </c>
      <c r="E2171" s="6" t="n">
        <v>16</v>
      </c>
      <c r="F2171" s="6" t="n">
        <v>8</v>
      </c>
      <c r="G2171" s="6" t="s">
        <v>70</v>
      </c>
      <c r="H2171" s="11" t="n">
        <v>0.01</v>
      </c>
      <c r="I2171" s="6" t="n">
        <v>20</v>
      </c>
      <c r="J2171" s="6" t="n">
        <v>0</v>
      </c>
      <c r="K2171" s="6" t="n">
        <v>20</v>
      </c>
      <c r="L2171" s="6" t="n">
        <v>0</v>
      </c>
      <c r="M2171" s="6" t="n">
        <v>20</v>
      </c>
      <c r="N2171" s="11" t="n">
        <f aca="false">J2171/(J2171+K2171)</f>
        <v>0</v>
      </c>
      <c r="O2171" s="11" t="str">
        <f aca="false">IF(J2171+L2171=0,"",J2171/(J2171+L2171))</f>
        <v/>
      </c>
      <c r="P2171" s="11" t="n">
        <f aca="false">2*J2171/(2*J2171+L2171+K2171)</f>
        <v>0</v>
      </c>
      <c r="Q2171" s="11" t="n">
        <f aca="false">L2171/(L2171+M2171)</f>
        <v>0</v>
      </c>
      <c r="R2171" s="6" t="n">
        <v>0</v>
      </c>
      <c r="S2171" s="11"/>
      <c r="T2171" s="11" t="n">
        <v>0</v>
      </c>
      <c r="U2171" s="11" t="n">
        <v>0.9</v>
      </c>
      <c r="V2171" s="11" t="n">
        <v>0.9</v>
      </c>
    </row>
    <row r="2172" customFormat="false" ht="15" hidden="false" customHeight="false" outlineLevel="0" collapsed="false">
      <c r="A2172" s="6" t="s">
        <v>62</v>
      </c>
      <c r="B2172" s="6" t="s">
        <v>63</v>
      </c>
      <c r="C2172" s="6" t="s">
        <v>44</v>
      </c>
      <c r="D2172" s="6" t="s">
        <v>114</v>
      </c>
      <c r="E2172" s="6" t="n">
        <v>16</v>
      </c>
      <c r="F2172" s="6" t="n">
        <v>8</v>
      </c>
      <c r="G2172" s="6" t="s">
        <v>71</v>
      </c>
      <c r="H2172" s="11" t="n">
        <v>0.01</v>
      </c>
      <c r="I2172" s="6" t="n">
        <v>20</v>
      </c>
      <c r="J2172" s="6" t="n">
        <v>0</v>
      </c>
      <c r="K2172" s="6" t="n">
        <v>20</v>
      </c>
      <c r="L2172" s="6" t="n">
        <v>0</v>
      </c>
      <c r="M2172" s="6" t="n">
        <v>20</v>
      </c>
      <c r="N2172" s="11" t="n">
        <f aca="false">J2172/(J2172+K2172)</f>
        <v>0</v>
      </c>
      <c r="O2172" s="11" t="str">
        <f aca="false">IF(J2172+L2172=0,"",J2172/(J2172+L2172))</f>
        <v/>
      </c>
      <c r="P2172" s="11" t="n">
        <f aca="false">2*J2172/(2*J2172+L2172+K2172)</f>
        <v>0</v>
      </c>
      <c r="Q2172" s="11" t="n">
        <f aca="false">L2172/(L2172+M2172)</f>
        <v>0</v>
      </c>
      <c r="R2172" s="6" t="n">
        <v>0</v>
      </c>
      <c r="S2172" s="11"/>
      <c r="T2172" s="11" t="n">
        <v>0</v>
      </c>
      <c r="U2172" s="11" t="n">
        <v>0.8</v>
      </c>
      <c r="V2172" s="11" t="n">
        <v>0.8</v>
      </c>
    </row>
    <row r="2173" customFormat="false" ht="15" hidden="false" customHeight="false" outlineLevel="0" collapsed="false">
      <c r="A2173" s="6" t="s">
        <v>62</v>
      </c>
      <c r="B2173" s="6" t="s">
        <v>63</v>
      </c>
      <c r="C2173" s="6" t="s">
        <v>44</v>
      </c>
      <c r="D2173" s="6" t="s">
        <v>114</v>
      </c>
      <c r="E2173" s="6" t="n">
        <v>16</v>
      </c>
      <c r="F2173" s="6" t="n">
        <v>8</v>
      </c>
      <c r="G2173" s="6" t="s">
        <v>72</v>
      </c>
      <c r="H2173" s="11" t="n">
        <v>0.01</v>
      </c>
      <c r="I2173" s="6" t="n">
        <v>20</v>
      </c>
      <c r="J2173" s="6" t="n">
        <v>0</v>
      </c>
      <c r="K2173" s="6" t="n">
        <v>20</v>
      </c>
      <c r="L2173" s="6" t="n">
        <v>0</v>
      </c>
      <c r="M2173" s="6" t="n">
        <v>20</v>
      </c>
      <c r="N2173" s="11" t="n">
        <f aca="false">J2173/(J2173+K2173)</f>
        <v>0</v>
      </c>
      <c r="O2173" s="11" t="str">
        <f aca="false">IF(J2173+L2173=0,"",J2173/(J2173+L2173))</f>
        <v/>
      </c>
      <c r="P2173" s="11" t="n">
        <f aca="false">2*J2173/(2*J2173+L2173+K2173)</f>
        <v>0</v>
      </c>
      <c r="Q2173" s="11" t="n">
        <f aca="false">L2173/(L2173+M2173)</f>
        <v>0</v>
      </c>
      <c r="R2173" s="6" t="n">
        <v>0</v>
      </c>
      <c r="S2173" s="11"/>
      <c r="T2173" s="11" t="n">
        <v>0</v>
      </c>
      <c r="U2173" s="11" t="n">
        <v>0.9</v>
      </c>
      <c r="V2173" s="11" t="n">
        <v>0.9</v>
      </c>
    </row>
    <row r="2174" customFormat="false" ht="15" hidden="false" customHeight="false" outlineLevel="0" collapsed="false">
      <c r="A2174" s="6" t="s">
        <v>62</v>
      </c>
      <c r="B2174" s="6" t="s">
        <v>63</v>
      </c>
      <c r="C2174" s="6" t="s">
        <v>44</v>
      </c>
      <c r="D2174" s="6" t="s">
        <v>114</v>
      </c>
      <c r="E2174" s="6" t="n">
        <v>16</v>
      </c>
      <c r="F2174" s="6" t="n">
        <v>8</v>
      </c>
      <c r="G2174" s="6" t="s">
        <v>73</v>
      </c>
      <c r="H2174" s="11" t="n">
        <v>0.01</v>
      </c>
      <c r="I2174" s="6" t="n">
        <v>20</v>
      </c>
      <c r="J2174" s="6" t="n">
        <v>0</v>
      </c>
      <c r="K2174" s="6" t="n">
        <v>20</v>
      </c>
      <c r="L2174" s="6" t="n">
        <v>0</v>
      </c>
      <c r="M2174" s="6" t="n">
        <v>20</v>
      </c>
      <c r="N2174" s="11" t="n">
        <f aca="false">J2174/(J2174+K2174)</f>
        <v>0</v>
      </c>
      <c r="O2174" s="11" t="str">
        <f aca="false">IF(J2174+L2174=0,"",J2174/(J2174+L2174))</f>
        <v/>
      </c>
      <c r="P2174" s="11" t="n">
        <f aca="false">2*J2174/(2*J2174+L2174+K2174)</f>
        <v>0</v>
      </c>
      <c r="Q2174" s="11" t="n">
        <f aca="false">L2174/(L2174+M2174)</f>
        <v>0</v>
      </c>
      <c r="R2174" s="6" t="n">
        <v>0</v>
      </c>
      <c r="S2174" s="11"/>
      <c r="T2174" s="11" t="n">
        <v>0</v>
      </c>
      <c r="U2174" s="11" t="n">
        <v>0.65</v>
      </c>
      <c r="V2174" s="11" t="n">
        <v>0.65</v>
      </c>
    </row>
    <row r="2175" customFormat="false" ht="15" hidden="false" customHeight="false" outlineLevel="0" collapsed="false">
      <c r="A2175" s="6" t="s">
        <v>62</v>
      </c>
      <c r="B2175" s="6" t="s">
        <v>63</v>
      </c>
      <c r="C2175" s="6" t="s">
        <v>44</v>
      </c>
      <c r="D2175" s="6" t="s">
        <v>114</v>
      </c>
      <c r="E2175" s="6" t="n">
        <v>16</v>
      </c>
      <c r="F2175" s="6" t="n">
        <v>8</v>
      </c>
      <c r="G2175" s="6" t="s">
        <v>74</v>
      </c>
      <c r="H2175" s="11" t="n">
        <v>0.01</v>
      </c>
      <c r="I2175" s="6" t="n">
        <v>20</v>
      </c>
      <c r="J2175" s="6" t="n">
        <v>1</v>
      </c>
      <c r="K2175" s="6" t="n">
        <v>19</v>
      </c>
      <c r="L2175" s="6" t="n">
        <v>0</v>
      </c>
      <c r="M2175" s="6" t="n">
        <v>20</v>
      </c>
      <c r="N2175" s="11" t="n">
        <f aca="false">J2175/(J2175+K2175)</f>
        <v>0.05</v>
      </c>
      <c r="O2175" s="11" t="n">
        <f aca="false">IF(J2175+L2175=0,"",J2175/(J2175+L2175))</f>
        <v>1</v>
      </c>
      <c r="P2175" s="11" t="n">
        <f aca="false">2*J2175/(2*J2175+L2175+K2175)</f>
        <v>0.0952380952380952</v>
      </c>
      <c r="Q2175" s="11" t="n">
        <f aca="false">L2175/(L2175+M2175)</f>
        <v>0</v>
      </c>
      <c r="R2175" s="6" t="n">
        <v>3</v>
      </c>
      <c r="S2175" s="11" t="n">
        <v>0</v>
      </c>
      <c r="T2175" s="11" t="n">
        <v>0.0588235294117647</v>
      </c>
      <c r="U2175" s="11" t="n">
        <v>0.85</v>
      </c>
      <c r="V2175" s="11" t="n">
        <v>0.75</v>
      </c>
    </row>
    <row r="2176" customFormat="false" ht="15" hidden="false" customHeight="false" outlineLevel="0" collapsed="false">
      <c r="A2176" s="6" t="s">
        <v>62</v>
      </c>
      <c r="B2176" s="6" t="s">
        <v>63</v>
      </c>
      <c r="C2176" s="6" t="s">
        <v>44</v>
      </c>
      <c r="D2176" s="6" t="s">
        <v>114</v>
      </c>
      <c r="E2176" s="6" t="n">
        <v>16</v>
      </c>
      <c r="F2176" s="6" t="n">
        <v>8</v>
      </c>
      <c r="G2176" s="6" t="s">
        <v>75</v>
      </c>
      <c r="H2176" s="11" t="n">
        <v>0.01</v>
      </c>
      <c r="I2176" s="6" t="n">
        <v>20</v>
      </c>
      <c r="J2176" s="6" t="n">
        <v>0</v>
      </c>
      <c r="K2176" s="6" t="n">
        <v>20</v>
      </c>
      <c r="L2176" s="6" t="n">
        <v>0</v>
      </c>
      <c r="M2176" s="6" t="n">
        <v>20</v>
      </c>
      <c r="N2176" s="11" t="n">
        <f aca="false">J2176/(J2176+K2176)</f>
        <v>0</v>
      </c>
      <c r="O2176" s="11" t="str">
        <f aca="false">IF(J2176+L2176=0,"",J2176/(J2176+L2176))</f>
        <v/>
      </c>
      <c r="P2176" s="11" t="n">
        <f aca="false">2*J2176/(2*J2176+L2176+K2176)</f>
        <v>0</v>
      </c>
      <c r="Q2176" s="11" t="n">
        <f aca="false">L2176/(L2176+M2176)</f>
        <v>0</v>
      </c>
      <c r="R2176" s="6" t="n">
        <v>0</v>
      </c>
      <c r="S2176" s="11"/>
      <c r="T2176" s="11" t="n">
        <v>0</v>
      </c>
      <c r="U2176" s="11" t="n">
        <v>0.9</v>
      </c>
      <c r="V2176" s="11" t="n">
        <v>0.9</v>
      </c>
    </row>
    <row r="2177" customFormat="false" ht="15" hidden="false" customHeight="false" outlineLevel="0" collapsed="false">
      <c r="A2177" s="6" t="s">
        <v>62</v>
      </c>
      <c r="B2177" s="6" t="s">
        <v>63</v>
      </c>
      <c r="C2177" s="6" t="s">
        <v>44</v>
      </c>
      <c r="D2177" s="6" t="s">
        <v>114</v>
      </c>
      <c r="E2177" s="6" t="n">
        <v>16</v>
      </c>
      <c r="F2177" s="6" t="n">
        <v>8</v>
      </c>
      <c r="G2177" s="6" t="s">
        <v>76</v>
      </c>
      <c r="H2177" s="11" t="n">
        <v>0.01</v>
      </c>
      <c r="I2177" s="6" t="n">
        <v>20</v>
      </c>
      <c r="J2177" s="6" t="n">
        <v>0</v>
      </c>
      <c r="K2177" s="6" t="n">
        <v>20</v>
      </c>
      <c r="L2177" s="6" t="n">
        <v>0</v>
      </c>
      <c r="M2177" s="6" t="n">
        <v>20</v>
      </c>
      <c r="N2177" s="11" t="n">
        <f aca="false">J2177/(J2177+K2177)</f>
        <v>0</v>
      </c>
      <c r="O2177" s="11" t="str">
        <f aca="false">IF(J2177+L2177=0,"",J2177/(J2177+L2177))</f>
        <v/>
      </c>
      <c r="P2177" s="11" t="n">
        <f aca="false">2*J2177/(2*J2177+L2177+K2177)</f>
        <v>0</v>
      </c>
      <c r="Q2177" s="11" t="n">
        <f aca="false">L2177/(L2177+M2177)</f>
        <v>0</v>
      </c>
      <c r="R2177" s="6" t="n">
        <v>0</v>
      </c>
      <c r="S2177" s="11"/>
      <c r="T2177" s="11" t="n">
        <v>0</v>
      </c>
      <c r="U2177" s="11" t="n">
        <v>0.95</v>
      </c>
      <c r="V2177" s="11" t="n">
        <v>0.95</v>
      </c>
    </row>
    <row r="2178" customFormat="false" ht="15" hidden="false" customHeight="false" outlineLevel="0" collapsed="false">
      <c r="A2178" s="6" t="s">
        <v>62</v>
      </c>
      <c r="B2178" s="6" t="s">
        <v>63</v>
      </c>
      <c r="C2178" s="6" t="s">
        <v>44</v>
      </c>
      <c r="D2178" s="6" t="s">
        <v>114</v>
      </c>
      <c r="E2178" s="6" t="n">
        <v>16</v>
      </c>
      <c r="F2178" s="6" t="n">
        <v>8</v>
      </c>
      <c r="G2178" s="6" t="s">
        <v>77</v>
      </c>
      <c r="H2178" s="11" t="n">
        <v>0.01</v>
      </c>
      <c r="I2178" s="6" t="n">
        <v>20</v>
      </c>
      <c r="J2178" s="6" t="n">
        <v>1</v>
      </c>
      <c r="K2178" s="6" t="n">
        <v>19</v>
      </c>
      <c r="L2178" s="6" t="n">
        <v>1</v>
      </c>
      <c r="M2178" s="6" t="n">
        <v>19</v>
      </c>
      <c r="N2178" s="11" t="n">
        <f aca="false">J2178/(J2178+K2178)</f>
        <v>0.05</v>
      </c>
      <c r="O2178" s="11" t="n">
        <f aca="false">IF(J2178+L2178=0,"",J2178/(J2178+L2178))</f>
        <v>0.5</v>
      </c>
      <c r="P2178" s="11" t="n">
        <f aca="false">2*J2178/(2*J2178+L2178+K2178)</f>
        <v>0.0909090909090909</v>
      </c>
      <c r="Q2178" s="11" t="n">
        <f aca="false">L2178/(L2178+M2178)</f>
        <v>0.05</v>
      </c>
      <c r="R2178" s="6" t="n">
        <v>0</v>
      </c>
      <c r="S2178" s="11"/>
      <c r="T2178" s="11" t="n">
        <v>0.05</v>
      </c>
      <c r="U2178" s="11" t="n">
        <v>1</v>
      </c>
      <c r="V2178" s="11" t="n">
        <v>1</v>
      </c>
    </row>
    <row r="2179" customFormat="false" ht="15" hidden="false" customHeight="false" outlineLevel="0" collapsed="false">
      <c r="A2179" s="6" t="s">
        <v>62</v>
      </c>
      <c r="B2179" s="6" t="s">
        <v>63</v>
      </c>
      <c r="C2179" s="6" t="s">
        <v>44</v>
      </c>
      <c r="D2179" s="6" t="s">
        <v>114</v>
      </c>
      <c r="E2179" s="6" t="n">
        <v>16</v>
      </c>
      <c r="F2179" s="6" t="n">
        <v>8</v>
      </c>
      <c r="G2179" s="6" t="s">
        <v>78</v>
      </c>
      <c r="H2179" s="11" t="n">
        <v>0.01</v>
      </c>
      <c r="I2179" s="6" t="n">
        <v>200</v>
      </c>
      <c r="J2179" s="6" t="n">
        <v>2</v>
      </c>
      <c r="K2179" s="6" t="n">
        <v>198</v>
      </c>
      <c r="L2179" s="6" t="n">
        <v>1</v>
      </c>
      <c r="M2179" s="6" t="n">
        <v>199</v>
      </c>
      <c r="N2179" s="11" t="n">
        <f aca="false">J2179/(J2179+K2179)</f>
        <v>0.01</v>
      </c>
      <c r="O2179" s="11" t="n">
        <f aca="false">IF(J2179+L2179=0,"",J2179/(J2179+L2179))</f>
        <v>0.666666666666667</v>
      </c>
      <c r="P2179" s="11" t="n">
        <f aca="false">2*J2179/(2*J2179+L2179+K2179)</f>
        <v>0.0197044334975369</v>
      </c>
      <c r="Q2179" s="11" t="n">
        <f aca="false">L2179/(L2179+M2179)</f>
        <v>0.005</v>
      </c>
      <c r="R2179" s="6" t="n">
        <v>3</v>
      </c>
      <c r="S2179" s="11" t="n">
        <v>0</v>
      </c>
      <c r="T2179" s="11" t="n">
        <v>0.0101522842639594</v>
      </c>
      <c r="U2179" s="11" t="n">
        <v>0.88</v>
      </c>
      <c r="V2179" s="11" t="n">
        <v>0.87</v>
      </c>
    </row>
    <row r="2180" customFormat="false" ht="15" hidden="false" customHeight="false" outlineLevel="0" collapsed="false">
      <c r="A2180" s="6" t="s">
        <v>62</v>
      </c>
      <c r="B2180" s="6" t="s">
        <v>63</v>
      </c>
      <c r="C2180" s="6" t="s">
        <v>44</v>
      </c>
      <c r="D2180" s="6" t="s">
        <v>114</v>
      </c>
      <c r="E2180" s="6" t="n">
        <v>16</v>
      </c>
      <c r="F2180" s="6" t="n">
        <v>9</v>
      </c>
      <c r="G2180" s="6" t="s">
        <v>68</v>
      </c>
      <c r="H2180" s="11" t="n">
        <v>0.01</v>
      </c>
      <c r="I2180" s="6" t="n">
        <v>20</v>
      </c>
      <c r="J2180" s="6" t="n">
        <v>0</v>
      </c>
      <c r="K2180" s="6" t="n">
        <v>20</v>
      </c>
      <c r="L2180" s="6" t="n">
        <v>0</v>
      </c>
      <c r="M2180" s="6" t="n">
        <v>20</v>
      </c>
      <c r="N2180" s="11" t="n">
        <f aca="false">J2180/(J2180+K2180)</f>
        <v>0</v>
      </c>
      <c r="O2180" s="11" t="str">
        <f aca="false">IF(J2180+L2180=0,"",J2180/(J2180+L2180))</f>
        <v/>
      </c>
      <c r="P2180" s="11" t="n">
        <f aca="false">2*J2180/(2*J2180+L2180+K2180)</f>
        <v>0</v>
      </c>
      <c r="Q2180" s="11" t="n">
        <f aca="false">L2180/(L2180+M2180)</f>
        <v>0</v>
      </c>
      <c r="R2180" s="6" t="n">
        <v>0</v>
      </c>
      <c r="S2180" s="11"/>
      <c r="T2180" s="11" t="n">
        <v>0</v>
      </c>
      <c r="U2180" s="11" t="n">
        <v>0.85</v>
      </c>
      <c r="V2180" s="11" t="n">
        <v>0.85</v>
      </c>
    </row>
    <row r="2181" customFormat="false" ht="15" hidden="false" customHeight="false" outlineLevel="0" collapsed="false">
      <c r="A2181" s="6" t="s">
        <v>62</v>
      </c>
      <c r="B2181" s="6" t="s">
        <v>63</v>
      </c>
      <c r="C2181" s="6" t="s">
        <v>44</v>
      </c>
      <c r="D2181" s="6" t="s">
        <v>114</v>
      </c>
      <c r="E2181" s="6" t="n">
        <v>16</v>
      </c>
      <c r="F2181" s="6" t="n">
        <v>9</v>
      </c>
      <c r="G2181" s="6" t="s">
        <v>69</v>
      </c>
      <c r="H2181" s="11" t="n">
        <v>0.01</v>
      </c>
      <c r="I2181" s="6" t="n">
        <v>20</v>
      </c>
      <c r="J2181" s="6" t="n">
        <v>0</v>
      </c>
      <c r="K2181" s="6" t="n">
        <v>20</v>
      </c>
      <c r="L2181" s="6" t="n">
        <v>0</v>
      </c>
      <c r="M2181" s="6" t="n">
        <v>20</v>
      </c>
      <c r="N2181" s="11" t="n">
        <f aca="false">J2181/(J2181+K2181)</f>
        <v>0</v>
      </c>
      <c r="O2181" s="11" t="str">
        <f aca="false">IF(J2181+L2181=0,"",J2181/(J2181+L2181))</f>
        <v/>
      </c>
      <c r="P2181" s="11" t="n">
        <f aca="false">2*J2181/(2*J2181+L2181+K2181)</f>
        <v>0</v>
      </c>
      <c r="Q2181" s="11" t="n">
        <f aca="false">L2181/(L2181+M2181)</f>
        <v>0</v>
      </c>
      <c r="R2181" s="6" t="n">
        <v>0</v>
      </c>
      <c r="S2181" s="11"/>
      <c r="T2181" s="11" t="n">
        <v>0</v>
      </c>
      <c r="U2181" s="11" t="n">
        <v>1</v>
      </c>
      <c r="V2181" s="11" t="n">
        <v>1</v>
      </c>
    </row>
    <row r="2182" customFormat="false" ht="15" hidden="false" customHeight="false" outlineLevel="0" collapsed="false">
      <c r="A2182" s="6" t="s">
        <v>62</v>
      </c>
      <c r="B2182" s="6" t="s">
        <v>63</v>
      </c>
      <c r="C2182" s="6" t="s">
        <v>44</v>
      </c>
      <c r="D2182" s="6" t="s">
        <v>114</v>
      </c>
      <c r="E2182" s="6" t="n">
        <v>16</v>
      </c>
      <c r="F2182" s="6" t="n">
        <v>9</v>
      </c>
      <c r="G2182" s="6" t="s">
        <v>70</v>
      </c>
      <c r="H2182" s="11" t="n">
        <v>0.01</v>
      </c>
      <c r="I2182" s="6" t="n">
        <v>20</v>
      </c>
      <c r="J2182" s="6" t="n">
        <v>0</v>
      </c>
      <c r="K2182" s="6" t="n">
        <v>20</v>
      </c>
      <c r="L2182" s="6" t="n">
        <v>0</v>
      </c>
      <c r="M2182" s="6" t="n">
        <v>20</v>
      </c>
      <c r="N2182" s="11" t="n">
        <f aca="false">J2182/(J2182+K2182)</f>
        <v>0</v>
      </c>
      <c r="O2182" s="11" t="str">
        <f aca="false">IF(J2182+L2182=0,"",J2182/(J2182+L2182))</f>
        <v/>
      </c>
      <c r="P2182" s="11" t="n">
        <f aca="false">2*J2182/(2*J2182+L2182+K2182)</f>
        <v>0</v>
      </c>
      <c r="Q2182" s="11" t="n">
        <f aca="false">L2182/(L2182+M2182)</f>
        <v>0</v>
      </c>
      <c r="R2182" s="6" t="n">
        <v>0</v>
      </c>
      <c r="S2182" s="11"/>
      <c r="T2182" s="11" t="n">
        <v>0</v>
      </c>
      <c r="U2182" s="11" t="n">
        <v>0.9</v>
      </c>
      <c r="V2182" s="11" t="n">
        <v>0.9</v>
      </c>
    </row>
    <row r="2183" customFormat="false" ht="15" hidden="false" customHeight="false" outlineLevel="0" collapsed="false">
      <c r="A2183" s="6" t="s">
        <v>62</v>
      </c>
      <c r="B2183" s="6" t="s">
        <v>63</v>
      </c>
      <c r="C2183" s="6" t="s">
        <v>44</v>
      </c>
      <c r="D2183" s="6" t="s">
        <v>114</v>
      </c>
      <c r="E2183" s="6" t="n">
        <v>16</v>
      </c>
      <c r="F2183" s="6" t="n">
        <v>9</v>
      </c>
      <c r="G2183" s="6" t="s">
        <v>71</v>
      </c>
      <c r="H2183" s="11" t="n">
        <v>0.01</v>
      </c>
      <c r="I2183" s="6" t="n">
        <v>20</v>
      </c>
      <c r="J2183" s="6" t="n">
        <v>0</v>
      </c>
      <c r="K2183" s="6" t="n">
        <v>20</v>
      </c>
      <c r="L2183" s="6" t="n">
        <v>0</v>
      </c>
      <c r="M2183" s="6" t="n">
        <v>20</v>
      </c>
      <c r="N2183" s="11" t="n">
        <f aca="false">J2183/(J2183+K2183)</f>
        <v>0</v>
      </c>
      <c r="O2183" s="11" t="str">
        <f aca="false">IF(J2183+L2183=0,"",J2183/(J2183+L2183))</f>
        <v/>
      </c>
      <c r="P2183" s="11" t="n">
        <f aca="false">2*J2183/(2*J2183+L2183+K2183)</f>
        <v>0</v>
      </c>
      <c r="Q2183" s="11" t="n">
        <f aca="false">L2183/(L2183+M2183)</f>
        <v>0</v>
      </c>
      <c r="R2183" s="6" t="n">
        <v>0</v>
      </c>
      <c r="S2183" s="11"/>
      <c r="T2183" s="11" t="n">
        <v>0</v>
      </c>
      <c r="U2183" s="11" t="n">
        <v>0.8</v>
      </c>
      <c r="V2183" s="11" t="n">
        <v>0.8</v>
      </c>
    </row>
    <row r="2184" customFormat="false" ht="15" hidden="false" customHeight="false" outlineLevel="0" collapsed="false">
      <c r="A2184" s="6" t="s">
        <v>62</v>
      </c>
      <c r="B2184" s="6" t="s">
        <v>63</v>
      </c>
      <c r="C2184" s="6" t="s">
        <v>44</v>
      </c>
      <c r="D2184" s="6" t="s">
        <v>114</v>
      </c>
      <c r="E2184" s="6" t="n">
        <v>16</v>
      </c>
      <c r="F2184" s="6" t="n">
        <v>9</v>
      </c>
      <c r="G2184" s="6" t="s">
        <v>72</v>
      </c>
      <c r="H2184" s="11" t="n">
        <v>0.01</v>
      </c>
      <c r="I2184" s="6" t="n">
        <v>20</v>
      </c>
      <c r="J2184" s="6" t="n">
        <v>0</v>
      </c>
      <c r="K2184" s="6" t="n">
        <v>20</v>
      </c>
      <c r="L2184" s="6" t="n">
        <v>0</v>
      </c>
      <c r="M2184" s="6" t="n">
        <v>20</v>
      </c>
      <c r="N2184" s="11" t="n">
        <f aca="false">J2184/(J2184+K2184)</f>
        <v>0</v>
      </c>
      <c r="O2184" s="11" t="str">
        <f aca="false">IF(J2184+L2184=0,"",J2184/(J2184+L2184))</f>
        <v/>
      </c>
      <c r="P2184" s="11" t="n">
        <f aca="false">2*J2184/(2*J2184+L2184+K2184)</f>
        <v>0</v>
      </c>
      <c r="Q2184" s="11" t="n">
        <f aca="false">L2184/(L2184+M2184)</f>
        <v>0</v>
      </c>
      <c r="R2184" s="6" t="n">
        <v>0</v>
      </c>
      <c r="S2184" s="11"/>
      <c r="T2184" s="11" t="n">
        <v>0</v>
      </c>
      <c r="U2184" s="11" t="n">
        <v>0.9</v>
      </c>
      <c r="V2184" s="11" t="n">
        <v>0.9</v>
      </c>
    </row>
    <row r="2185" customFormat="false" ht="15" hidden="false" customHeight="false" outlineLevel="0" collapsed="false">
      <c r="A2185" s="6" t="s">
        <v>62</v>
      </c>
      <c r="B2185" s="6" t="s">
        <v>63</v>
      </c>
      <c r="C2185" s="6" t="s">
        <v>44</v>
      </c>
      <c r="D2185" s="6" t="s">
        <v>114</v>
      </c>
      <c r="E2185" s="6" t="n">
        <v>16</v>
      </c>
      <c r="F2185" s="6" t="n">
        <v>9</v>
      </c>
      <c r="G2185" s="6" t="s">
        <v>73</v>
      </c>
      <c r="H2185" s="11" t="n">
        <v>0.01</v>
      </c>
      <c r="I2185" s="6" t="n">
        <v>20</v>
      </c>
      <c r="J2185" s="6" t="n">
        <v>0</v>
      </c>
      <c r="K2185" s="6" t="n">
        <v>20</v>
      </c>
      <c r="L2185" s="6" t="n">
        <v>0</v>
      </c>
      <c r="M2185" s="6" t="n">
        <v>20</v>
      </c>
      <c r="N2185" s="11" t="n">
        <f aca="false">J2185/(J2185+K2185)</f>
        <v>0</v>
      </c>
      <c r="O2185" s="11" t="str">
        <f aca="false">IF(J2185+L2185=0,"",J2185/(J2185+L2185))</f>
        <v/>
      </c>
      <c r="P2185" s="11" t="n">
        <f aca="false">2*J2185/(2*J2185+L2185+K2185)</f>
        <v>0</v>
      </c>
      <c r="Q2185" s="11" t="n">
        <f aca="false">L2185/(L2185+M2185)</f>
        <v>0</v>
      </c>
      <c r="R2185" s="6" t="n">
        <v>1</v>
      </c>
      <c r="S2185" s="11" t="n">
        <v>0</v>
      </c>
      <c r="T2185" s="11" t="n">
        <v>0</v>
      </c>
      <c r="U2185" s="11" t="n">
        <v>0.65</v>
      </c>
      <c r="V2185" s="11" t="n">
        <v>0.65</v>
      </c>
    </row>
    <row r="2186" customFormat="false" ht="15" hidden="false" customHeight="false" outlineLevel="0" collapsed="false">
      <c r="A2186" s="6" t="s">
        <v>62</v>
      </c>
      <c r="B2186" s="6" t="s">
        <v>63</v>
      </c>
      <c r="C2186" s="6" t="s">
        <v>44</v>
      </c>
      <c r="D2186" s="6" t="s">
        <v>114</v>
      </c>
      <c r="E2186" s="6" t="n">
        <v>16</v>
      </c>
      <c r="F2186" s="6" t="n">
        <v>9</v>
      </c>
      <c r="G2186" s="6" t="s">
        <v>74</v>
      </c>
      <c r="H2186" s="11" t="n">
        <v>0.01</v>
      </c>
      <c r="I2186" s="6" t="n">
        <v>20</v>
      </c>
      <c r="J2186" s="6" t="n">
        <v>0</v>
      </c>
      <c r="K2186" s="6" t="n">
        <v>20</v>
      </c>
      <c r="L2186" s="6" t="n">
        <v>0</v>
      </c>
      <c r="M2186" s="6" t="n">
        <v>20</v>
      </c>
      <c r="N2186" s="11" t="n">
        <f aca="false">J2186/(J2186+K2186)</f>
        <v>0</v>
      </c>
      <c r="O2186" s="11" t="str">
        <f aca="false">IF(J2186+L2186=0,"",J2186/(J2186+L2186))</f>
        <v/>
      </c>
      <c r="P2186" s="11" t="n">
        <f aca="false">2*J2186/(2*J2186+L2186+K2186)</f>
        <v>0</v>
      </c>
      <c r="Q2186" s="11" t="n">
        <f aca="false">L2186/(L2186+M2186)</f>
        <v>0</v>
      </c>
      <c r="R2186" s="6" t="n">
        <v>1</v>
      </c>
      <c r="S2186" s="11" t="n">
        <v>0</v>
      </c>
      <c r="T2186" s="11" t="n">
        <v>0</v>
      </c>
      <c r="U2186" s="11" t="n">
        <v>0.85</v>
      </c>
      <c r="V2186" s="11" t="n">
        <v>0.85</v>
      </c>
    </row>
    <row r="2187" customFormat="false" ht="15" hidden="false" customHeight="false" outlineLevel="0" collapsed="false">
      <c r="A2187" s="6" t="s">
        <v>62</v>
      </c>
      <c r="B2187" s="6" t="s">
        <v>63</v>
      </c>
      <c r="C2187" s="6" t="s">
        <v>44</v>
      </c>
      <c r="D2187" s="6" t="s">
        <v>114</v>
      </c>
      <c r="E2187" s="6" t="n">
        <v>16</v>
      </c>
      <c r="F2187" s="6" t="n">
        <v>9</v>
      </c>
      <c r="G2187" s="6" t="s">
        <v>75</v>
      </c>
      <c r="H2187" s="11" t="n">
        <v>0.01</v>
      </c>
      <c r="I2187" s="6" t="n">
        <v>20</v>
      </c>
      <c r="J2187" s="6" t="n">
        <v>0</v>
      </c>
      <c r="K2187" s="6" t="n">
        <v>20</v>
      </c>
      <c r="L2187" s="6" t="n">
        <v>0</v>
      </c>
      <c r="M2187" s="6" t="n">
        <v>20</v>
      </c>
      <c r="N2187" s="11" t="n">
        <f aca="false">J2187/(J2187+K2187)</f>
        <v>0</v>
      </c>
      <c r="O2187" s="11" t="str">
        <f aca="false">IF(J2187+L2187=0,"",J2187/(J2187+L2187))</f>
        <v/>
      </c>
      <c r="P2187" s="11" t="n">
        <f aca="false">2*J2187/(2*J2187+L2187+K2187)</f>
        <v>0</v>
      </c>
      <c r="Q2187" s="11" t="n">
        <f aca="false">L2187/(L2187+M2187)</f>
        <v>0</v>
      </c>
      <c r="R2187" s="6" t="n">
        <v>1</v>
      </c>
      <c r="S2187" s="11" t="n">
        <v>0</v>
      </c>
      <c r="T2187" s="11" t="n">
        <v>0</v>
      </c>
      <c r="U2187" s="11" t="n">
        <v>0.9</v>
      </c>
      <c r="V2187" s="11" t="n">
        <v>0.95</v>
      </c>
    </row>
    <row r="2188" customFormat="false" ht="15" hidden="false" customHeight="false" outlineLevel="0" collapsed="false">
      <c r="A2188" s="6" t="s">
        <v>62</v>
      </c>
      <c r="B2188" s="6" t="s">
        <v>63</v>
      </c>
      <c r="C2188" s="6" t="s">
        <v>44</v>
      </c>
      <c r="D2188" s="6" t="s">
        <v>114</v>
      </c>
      <c r="E2188" s="6" t="n">
        <v>16</v>
      </c>
      <c r="F2188" s="6" t="n">
        <v>9</v>
      </c>
      <c r="G2188" s="6" t="s">
        <v>76</v>
      </c>
      <c r="H2188" s="11" t="n">
        <v>0.01</v>
      </c>
      <c r="I2188" s="6" t="n">
        <v>20</v>
      </c>
      <c r="J2188" s="6" t="n">
        <v>0</v>
      </c>
      <c r="K2188" s="6" t="n">
        <v>20</v>
      </c>
      <c r="L2188" s="6" t="n">
        <v>0</v>
      </c>
      <c r="M2188" s="6" t="n">
        <v>20</v>
      </c>
      <c r="N2188" s="11" t="n">
        <f aca="false">J2188/(J2188+K2188)</f>
        <v>0</v>
      </c>
      <c r="O2188" s="11" t="str">
        <f aca="false">IF(J2188+L2188=0,"",J2188/(J2188+L2188))</f>
        <v/>
      </c>
      <c r="P2188" s="11" t="n">
        <f aca="false">2*J2188/(2*J2188+L2188+K2188)</f>
        <v>0</v>
      </c>
      <c r="Q2188" s="11" t="n">
        <f aca="false">L2188/(L2188+M2188)</f>
        <v>0</v>
      </c>
      <c r="R2188" s="6" t="n">
        <v>0</v>
      </c>
      <c r="S2188" s="11"/>
      <c r="T2188" s="11" t="n">
        <v>0</v>
      </c>
      <c r="U2188" s="11" t="n">
        <v>0.95</v>
      </c>
      <c r="V2188" s="11" t="n">
        <v>0.95</v>
      </c>
    </row>
    <row r="2189" customFormat="false" ht="15" hidden="false" customHeight="false" outlineLevel="0" collapsed="false">
      <c r="A2189" s="6" t="s">
        <v>62</v>
      </c>
      <c r="B2189" s="6" t="s">
        <v>63</v>
      </c>
      <c r="C2189" s="6" t="s">
        <v>44</v>
      </c>
      <c r="D2189" s="6" t="s">
        <v>114</v>
      </c>
      <c r="E2189" s="6" t="n">
        <v>16</v>
      </c>
      <c r="F2189" s="6" t="n">
        <v>9</v>
      </c>
      <c r="G2189" s="6" t="s">
        <v>77</v>
      </c>
      <c r="H2189" s="11" t="n">
        <v>0.01</v>
      </c>
      <c r="I2189" s="6" t="n">
        <v>20</v>
      </c>
      <c r="J2189" s="6" t="n">
        <v>1</v>
      </c>
      <c r="K2189" s="6" t="n">
        <v>19</v>
      </c>
      <c r="L2189" s="6" t="n">
        <v>1</v>
      </c>
      <c r="M2189" s="6" t="n">
        <v>19</v>
      </c>
      <c r="N2189" s="11" t="n">
        <f aca="false">J2189/(J2189+K2189)</f>
        <v>0.05</v>
      </c>
      <c r="O2189" s="11" t="n">
        <f aca="false">IF(J2189+L2189=0,"",J2189/(J2189+L2189))</f>
        <v>0.5</v>
      </c>
      <c r="P2189" s="11" t="n">
        <f aca="false">2*J2189/(2*J2189+L2189+K2189)</f>
        <v>0.0909090909090909</v>
      </c>
      <c r="Q2189" s="11" t="n">
        <f aca="false">L2189/(L2189+M2189)</f>
        <v>0.05</v>
      </c>
      <c r="R2189" s="6" t="n">
        <v>0</v>
      </c>
      <c r="S2189" s="11"/>
      <c r="T2189" s="11" t="n">
        <v>0.05</v>
      </c>
      <c r="U2189" s="11" t="n">
        <v>1</v>
      </c>
      <c r="V2189" s="11" t="n">
        <v>1</v>
      </c>
    </row>
    <row r="2190" customFormat="false" ht="15" hidden="false" customHeight="false" outlineLevel="0" collapsed="false">
      <c r="A2190" s="6" t="s">
        <v>62</v>
      </c>
      <c r="B2190" s="6" t="s">
        <v>63</v>
      </c>
      <c r="C2190" s="6" t="s">
        <v>44</v>
      </c>
      <c r="D2190" s="6" t="s">
        <v>114</v>
      </c>
      <c r="E2190" s="6" t="n">
        <v>16</v>
      </c>
      <c r="F2190" s="6" t="n">
        <v>9</v>
      </c>
      <c r="G2190" s="6" t="s">
        <v>78</v>
      </c>
      <c r="H2190" s="11" t="n">
        <v>0.01</v>
      </c>
      <c r="I2190" s="6" t="n">
        <v>200</v>
      </c>
      <c r="J2190" s="6" t="n">
        <v>1</v>
      </c>
      <c r="K2190" s="6" t="n">
        <v>199</v>
      </c>
      <c r="L2190" s="6" t="n">
        <v>1</v>
      </c>
      <c r="M2190" s="6" t="n">
        <v>199</v>
      </c>
      <c r="N2190" s="11" t="n">
        <f aca="false">J2190/(J2190+K2190)</f>
        <v>0.005</v>
      </c>
      <c r="O2190" s="11" t="n">
        <f aca="false">IF(J2190+L2190=0,"",J2190/(J2190+L2190))</f>
        <v>0.5</v>
      </c>
      <c r="P2190" s="11" t="n">
        <f aca="false">2*J2190/(2*J2190+L2190+K2190)</f>
        <v>0.0099009900990099</v>
      </c>
      <c r="Q2190" s="11" t="n">
        <f aca="false">L2190/(L2190+M2190)</f>
        <v>0.005</v>
      </c>
      <c r="R2190" s="6" t="n">
        <v>3</v>
      </c>
      <c r="S2190" s="11" t="n">
        <v>0</v>
      </c>
      <c r="T2190" s="11" t="n">
        <v>0.0050761421319797</v>
      </c>
      <c r="U2190" s="11" t="n">
        <v>0.88</v>
      </c>
      <c r="V2190" s="11" t="n">
        <v>0.885</v>
      </c>
    </row>
    <row r="2191" customFormat="false" ht="15" hidden="false" customHeight="false" outlineLevel="0" collapsed="false">
      <c r="A2191" s="6" t="s">
        <v>62</v>
      </c>
      <c r="B2191" s="6" t="s">
        <v>63</v>
      </c>
      <c r="C2191" s="6" t="s">
        <v>44</v>
      </c>
      <c r="D2191" s="6" t="s">
        <v>114</v>
      </c>
      <c r="E2191" s="6" t="n">
        <v>16</v>
      </c>
      <c r="F2191" s="6" t="n">
        <v>10</v>
      </c>
      <c r="G2191" s="6" t="s">
        <v>68</v>
      </c>
      <c r="H2191" s="11" t="n">
        <v>0.01</v>
      </c>
      <c r="I2191" s="6" t="n">
        <v>20</v>
      </c>
      <c r="J2191" s="6" t="n">
        <v>0</v>
      </c>
      <c r="K2191" s="6" t="n">
        <v>20</v>
      </c>
      <c r="L2191" s="6" t="n">
        <v>0</v>
      </c>
      <c r="M2191" s="6" t="n">
        <v>20</v>
      </c>
      <c r="N2191" s="11" t="n">
        <f aca="false">J2191/(J2191+K2191)</f>
        <v>0</v>
      </c>
      <c r="O2191" s="11" t="str">
        <f aca="false">IF(J2191+L2191=0,"",J2191/(J2191+L2191))</f>
        <v/>
      </c>
      <c r="P2191" s="11" t="n">
        <f aca="false">2*J2191/(2*J2191+L2191+K2191)</f>
        <v>0</v>
      </c>
      <c r="Q2191" s="11" t="n">
        <f aca="false">L2191/(L2191+M2191)</f>
        <v>0</v>
      </c>
      <c r="R2191" s="6" t="n">
        <v>1</v>
      </c>
      <c r="S2191" s="11" t="n">
        <v>0</v>
      </c>
      <c r="T2191" s="11" t="n">
        <v>0</v>
      </c>
      <c r="U2191" s="11" t="n">
        <v>0.85</v>
      </c>
      <c r="V2191" s="11" t="n">
        <v>0.9</v>
      </c>
    </row>
    <row r="2192" customFormat="false" ht="15" hidden="false" customHeight="false" outlineLevel="0" collapsed="false">
      <c r="A2192" s="6" t="s">
        <v>62</v>
      </c>
      <c r="B2192" s="6" t="s">
        <v>63</v>
      </c>
      <c r="C2192" s="6" t="s">
        <v>44</v>
      </c>
      <c r="D2192" s="6" t="s">
        <v>114</v>
      </c>
      <c r="E2192" s="6" t="n">
        <v>16</v>
      </c>
      <c r="F2192" s="6" t="n">
        <v>10</v>
      </c>
      <c r="G2192" s="6" t="s">
        <v>69</v>
      </c>
      <c r="H2192" s="11" t="n">
        <v>0.01</v>
      </c>
      <c r="I2192" s="6" t="n">
        <v>20</v>
      </c>
      <c r="J2192" s="6" t="n">
        <v>0</v>
      </c>
      <c r="K2192" s="6" t="n">
        <v>20</v>
      </c>
      <c r="L2192" s="6" t="n">
        <v>0</v>
      </c>
      <c r="M2192" s="6" t="n">
        <v>20</v>
      </c>
      <c r="N2192" s="11" t="n">
        <f aca="false">J2192/(J2192+K2192)</f>
        <v>0</v>
      </c>
      <c r="O2192" s="11" t="str">
        <f aca="false">IF(J2192+L2192=0,"",J2192/(J2192+L2192))</f>
        <v/>
      </c>
      <c r="P2192" s="11" t="n">
        <f aca="false">2*J2192/(2*J2192+L2192+K2192)</f>
        <v>0</v>
      </c>
      <c r="Q2192" s="11" t="n">
        <f aca="false">L2192/(L2192+M2192)</f>
        <v>0</v>
      </c>
      <c r="R2192" s="6" t="n">
        <v>0</v>
      </c>
      <c r="S2192" s="11"/>
      <c r="T2192" s="11" t="n">
        <v>0</v>
      </c>
      <c r="U2192" s="11" t="n">
        <v>1</v>
      </c>
      <c r="V2192" s="11" t="n">
        <v>1</v>
      </c>
    </row>
    <row r="2193" customFormat="false" ht="15" hidden="false" customHeight="false" outlineLevel="0" collapsed="false">
      <c r="A2193" s="6" t="s">
        <v>62</v>
      </c>
      <c r="B2193" s="6" t="s">
        <v>63</v>
      </c>
      <c r="C2193" s="6" t="s">
        <v>44</v>
      </c>
      <c r="D2193" s="6" t="s">
        <v>114</v>
      </c>
      <c r="E2193" s="6" t="n">
        <v>16</v>
      </c>
      <c r="F2193" s="6" t="n">
        <v>10</v>
      </c>
      <c r="G2193" s="6" t="s">
        <v>70</v>
      </c>
      <c r="H2193" s="11" t="n">
        <v>0.01</v>
      </c>
      <c r="I2193" s="6" t="n">
        <v>20</v>
      </c>
      <c r="J2193" s="6" t="n">
        <v>0</v>
      </c>
      <c r="K2193" s="6" t="n">
        <v>20</v>
      </c>
      <c r="L2193" s="6" t="n">
        <v>0</v>
      </c>
      <c r="M2193" s="6" t="n">
        <v>20</v>
      </c>
      <c r="N2193" s="11" t="n">
        <f aca="false">J2193/(J2193+K2193)</f>
        <v>0</v>
      </c>
      <c r="O2193" s="11" t="str">
        <f aca="false">IF(J2193+L2193=0,"",J2193/(J2193+L2193))</f>
        <v/>
      </c>
      <c r="P2193" s="11" t="n">
        <f aca="false">2*J2193/(2*J2193+L2193+K2193)</f>
        <v>0</v>
      </c>
      <c r="Q2193" s="11" t="n">
        <f aca="false">L2193/(L2193+M2193)</f>
        <v>0</v>
      </c>
      <c r="R2193" s="6" t="n">
        <v>1</v>
      </c>
      <c r="S2193" s="11" t="n">
        <v>0</v>
      </c>
      <c r="T2193" s="11" t="n">
        <v>0</v>
      </c>
      <c r="U2193" s="11" t="n">
        <v>0.9</v>
      </c>
      <c r="V2193" s="11" t="n">
        <v>0.95</v>
      </c>
    </row>
    <row r="2194" customFormat="false" ht="15" hidden="false" customHeight="false" outlineLevel="0" collapsed="false">
      <c r="A2194" s="6" t="s">
        <v>62</v>
      </c>
      <c r="B2194" s="6" t="s">
        <v>63</v>
      </c>
      <c r="C2194" s="6" t="s">
        <v>44</v>
      </c>
      <c r="D2194" s="6" t="s">
        <v>114</v>
      </c>
      <c r="E2194" s="6" t="n">
        <v>16</v>
      </c>
      <c r="F2194" s="6" t="n">
        <v>10</v>
      </c>
      <c r="G2194" s="6" t="s">
        <v>71</v>
      </c>
      <c r="H2194" s="11" t="n">
        <v>0.01</v>
      </c>
      <c r="I2194" s="6" t="n">
        <v>20</v>
      </c>
      <c r="J2194" s="6" t="n">
        <v>0</v>
      </c>
      <c r="K2194" s="6" t="n">
        <v>20</v>
      </c>
      <c r="L2194" s="6" t="n">
        <v>0</v>
      </c>
      <c r="M2194" s="6" t="n">
        <v>20</v>
      </c>
      <c r="N2194" s="11" t="n">
        <f aca="false">J2194/(J2194+K2194)</f>
        <v>0</v>
      </c>
      <c r="O2194" s="11" t="str">
        <f aca="false">IF(J2194+L2194=0,"",J2194/(J2194+L2194))</f>
        <v/>
      </c>
      <c r="P2194" s="11" t="n">
        <f aca="false">2*J2194/(2*J2194+L2194+K2194)</f>
        <v>0</v>
      </c>
      <c r="Q2194" s="11" t="n">
        <f aca="false">L2194/(L2194+M2194)</f>
        <v>0</v>
      </c>
      <c r="R2194" s="6" t="n">
        <v>0</v>
      </c>
      <c r="S2194" s="11"/>
      <c r="T2194" s="11" t="n">
        <v>0</v>
      </c>
      <c r="U2194" s="11" t="n">
        <v>0.8</v>
      </c>
      <c r="V2194" s="11" t="n">
        <v>0.8</v>
      </c>
    </row>
    <row r="2195" customFormat="false" ht="15" hidden="false" customHeight="false" outlineLevel="0" collapsed="false">
      <c r="A2195" s="6" t="s">
        <v>62</v>
      </c>
      <c r="B2195" s="6" t="s">
        <v>63</v>
      </c>
      <c r="C2195" s="6" t="s">
        <v>44</v>
      </c>
      <c r="D2195" s="6" t="s">
        <v>114</v>
      </c>
      <c r="E2195" s="6" t="n">
        <v>16</v>
      </c>
      <c r="F2195" s="6" t="n">
        <v>10</v>
      </c>
      <c r="G2195" s="6" t="s">
        <v>72</v>
      </c>
      <c r="H2195" s="11" t="n">
        <v>0.01</v>
      </c>
      <c r="I2195" s="6" t="n">
        <v>20</v>
      </c>
      <c r="J2195" s="6" t="n">
        <v>0</v>
      </c>
      <c r="K2195" s="6" t="n">
        <v>20</v>
      </c>
      <c r="L2195" s="6" t="n">
        <v>0</v>
      </c>
      <c r="M2195" s="6" t="n">
        <v>20</v>
      </c>
      <c r="N2195" s="11" t="n">
        <f aca="false">J2195/(J2195+K2195)</f>
        <v>0</v>
      </c>
      <c r="O2195" s="11" t="str">
        <f aca="false">IF(J2195+L2195=0,"",J2195/(J2195+L2195))</f>
        <v/>
      </c>
      <c r="P2195" s="11" t="n">
        <f aca="false">2*J2195/(2*J2195+L2195+K2195)</f>
        <v>0</v>
      </c>
      <c r="Q2195" s="11" t="n">
        <f aca="false">L2195/(L2195+M2195)</f>
        <v>0</v>
      </c>
      <c r="R2195" s="6" t="n">
        <v>0</v>
      </c>
      <c r="S2195" s="11"/>
      <c r="T2195" s="11" t="n">
        <v>0</v>
      </c>
      <c r="U2195" s="11" t="n">
        <v>0.9</v>
      </c>
      <c r="V2195" s="11" t="n">
        <v>0.9</v>
      </c>
    </row>
    <row r="2196" customFormat="false" ht="15" hidden="false" customHeight="false" outlineLevel="0" collapsed="false">
      <c r="A2196" s="6" t="s">
        <v>62</v>
      </c>
      <c r="B2196" s="6" t="s">
        <v>63</v>
      </c>
      <c r="C2196" s="6" t="s">
        <v>44</v>
      </c>
      <c r="D2196" s="6" t="s">
        <v>114</v>
      </c>
      <c r="E2196" s="6" t="n">
        <v>16</v>
      </c>
      <c r="F2196" s="6" t="n">
        <v>10</v>
      </c>
      <c r="G2196" s="6" t="s">
        <v>73</v>
      </c>
      <c r="H2196" s="11" t="n">
        <v>0.01</v>
      </c>
      <c r="I2196" s="6" t="n">
        <v>20</v>
      </c>
      <c r="J2196" s="6" t="n">
        <v>0</v>
      </c>
      <c r="K2196" s="6" t="n">
        <v>20</v>
      </c>
      <c r="L2196" s="6" t="n">
        <v>0</v>
      </c>
      <c r="M2196" s="6" t="n">
        <v>20</v>
      </c>
      <c r="N2196" s="11" t="n">
        <f aca="false">J2196/(J2196+K2196)</f>
        <v>0</v>
      </c>
      <c r="O2196" s="11" t="str">
        <f aca="false">IF(J2196+L2196=0,"",J2196/(J2196+L2196))</f>
        <v/>
      </c>
      <c r="P2196" s="11" t="n">
        <f aca="false">2*J2196/(2*J2196+L2196+K2196)</f>
        <v>0</v>
      </c>
      <c r="Q2196" s="11" t="n">
        <f aca="false">L2196/(L2196+M2196)</f>
        <v>0</v>
      </c>
      <c r="R2196" s="6" t="n">
        <v>1</v>
      </c>
      <c r="S2196" s="11" t="n">
        <v>0</v>
      </c>
      <c r="T2196" s="11" t="n">
        <v>0</v>
      </c>
      <c r="U2196" s="11" t="n">
        <v>0.65</v>
      </c>
      <c r="V2196" s="11" t="n">
        <v>0.65</v>
      </c>
    </row>
    <row r="2197" customFormat="false" ht="15" hidden="false" customHeight="false" outlineLevel="0" collapsed="false">
      <c r="A2197" s="6" t="s">
        <v>62</v>
      </c>
      <c r="B2197" s="6" t="s">
        <v>63</v>
      </c>
      <c r="C2197" s="6" t="s">
        <v>44</v>
      </c>
      <c r="D2197" s="6" t="s">
        <v>114</v>
      </c>
      <c r="E2197" s="6" t="n">
        <v>16</v>
      </c>
      <c r="F2197" s="6" t="n">
        <v>10</v>
      </c>
      <c r="G2197" s="6" t="s">
        <v>74</v>
      </c>
      <c r="H2197" s="11" t="n">
        <v>0.01</v>
      </c>
      <c r="I2197" s="6" t="n">
        <v>20</v>
      </c>
      <c r="J2197" s="6" t="n">
        <v>0</v>
      </c>
      <c r="K2197" s="6" t="n">
        <v>20</v>
      </c>
      <c r="L2197" s="6" t="n">
        <v>0</v>
      </c>
      <c r="M2197" s="6" t="n">
        <v>20</v>
      </c>
      <c r="N2197" s="11" t="n">
        <f aca="false">J2197/(J2197+K2197)</f>
        <v>0</v>
      </c>
      <c r="O2197" s="11" t="str">
        <f aca="false">IF(J2197+L2197=0,"",J2197/(J2197+L2197))</f>
        <v/>
      </c>
      <c r="P2197" s="11" t="n">
        <f aca="false">2*J2197/(2*J2197+L2197+K2197)</f>
        <v>0</v>
      </c>
      <c r="Q2197" s="11" t="n">
        <f aca="false">L2197/(L2197+M2197)</f>
        <v>0</v>
      </c>
      <c r="R2197" s="6" t="n">
        <v>1</v>
      </c>
      <c r="S2197" s="11" t="n">
        <v>0</v>
      </c>
      <c r="T2197" s="11" t="n">
        <v>0</v>
      </c>
      <c r="U2197" s="11" t="n">
        <v>0.85</v>
      </c>
      <c r="V2197" s="11" t="n">
        <v>0.9</v>
      </c>
    </row>
    <row r="2198" customFormat="false" ht="15" hidden="false" customHeight="false" outlineLevel="0" collapsed="false">
      <c r="A2198" s="6" t="s">
        <v>62</v>
      </c>
      <c r="B2198" s="6" t="s">
        <v>63</v>
      </c>
      <c r="C2198" s="6" t="s">
        <v>44</v>
      </c>
      <c r="D2198" s="6" t="s">
        <v>114</v>
      </c>
      <c r="E2198" s="6" t="n">
        <v>16</v>
      </c>
      <c r="F2198" s="6" t="n">
        <v>10</v>
      </c>
      <c r="G2198" s="6" t="s">
        <v>75</v>
      </c>
      <c r="H2198" s="11" t="n">
        <v>0.01</v>
      </c>
      <c r="I2198" s="6" t="n">
        <v>20</v>
      </c>
      <c r="J2198" s="6" t="n">
        <v>0</v>
      </c>
      <c r="K2198" s="6" t="n">
        <v>20</v>
      </c>
      <c r="L2198" s="6" t="n">
        <v>0</v>
      </c>
      <c r="M2198" s="6" t="n">
        <v>20</v>
      </c>
      <c r="N2198" s="11" t="n">
        <f aca="false">J2198/(J2198+K2198)</f>
        <v>0</v>
      </c>
      <c r="O2198" s="11" t="str">
        <f aca="false">IF(J2198+L2198=0,"",J2198/(J2198+L2198))</f>
        <v/>
      </c>
      <c r="P2198" s="11" t="n">
        <f aca="false">2*J2198/(2*J2198+L2198+K2198)</f>
        <v>0</v>
      </c>
      <c r="Q2198" s="11" t="n">
        <f aca="false">L2198/(L2198+M2198)</f>
        <v>0</v>
      </c>
      <c r="R2198" s="6" t="n">
        <v>1</v>
      </c>
      <c r="S2198" s="11" t="n">
        <v>0</v>
      </c>
      <c r="T2198" s="11" t="n">
        <v>0</v>
      </c>
      <c r="U2198" s="11" t="n">
        <v>0.9</v>
      </c>
      <c r="V2198" s="11" t="n">
        <v>0.9</v>
      </c>
    </row>
    <row r="2199" customFormat="false" ht="15" hidden="false" customHeight="false" outlineLevel="0" collapsed="false">
      <c r="A2199" s="6" t="s">
        <v>62</v>
      </c>
      <c r="B2199" s="6" t="s">
        <v>63</v>
      </c>
      <c r="C2199" s="6" t="s">
        <v>44</v>
      </c>
      <c r="D2199" s="6" t="s">
        <v>114</v>
      </c>
      <c r="E2199" s="6" t="n">
        <v>16</v>
      </c>
      <c r="F2199" s="6" t="n">
        <v>10</v>
      </c>
      <c r="G2199" s="6" t="s">
        <v>76</v>
      </c>
      <c r="H2199" s="11" t="n">
        <v>0.01</v>
      </c>
      <c r="I2199" s="6" t="n">
        <v>20</v>
      </c>
      <c r="J2199" s="6" t="n">
        <v>0</v>
      </c>
      <c r="K2199" s="6" t="n">
        <v>20</v>
      </c>
      <c r="L2199" s="6" t="n">
        <v>0</v>
      </c>
      <c r="M2199" s="6" t="n">
        <v>20</v>
      </c>
      <c r="N2199" s="11" t="n">
        <f aca="false">J2199/(J2199+K2199)</f>
        <v>0</v>
      </c>
      <c r="O2199" s="11" t="str">
        <f aca="false">IF(J2199+L2199=0,"",J2199/(J2199+L2199))</f>
        <v/>
      </c>
      <c r="P2199" s="11" t="n">
        <f aca="false">2*J2199/(2*J2199+L2199+K2199)</f>
        <v>0</v>
      </c>
      <c r="Q2199" s="11" t="n">
        <f aca="false">L2199/(L2199+M2199)</f>
        <v>0</v>
      </c>
      <c r="R2199" s="6" t="n">
        <v>0</v>
      </c>
      <c r="S2199" s="11"/>
      <c r="T2199" s="11" t="n">
        <v>0</v>
      </c>
      <c r="U2199" s="11" t="n">
        <v>0.95</v>
      </c>
      <c r="V2199" s="11" t="n">
        <v>0.95</v>
      </c>
    </row>
    <row r="2200" customFormat="false" ht="15" hidden="false" customHeight="false" outlineLevel="0" collapsed="false">
      <c r="A2200" s="6" t="s">
        <v>62</v>
      </c>
      <c r="B2200" s="6" t="s">
        <v>63</v>
      </c>
      <c r="C2200" s="6" t="s">
        <v>44</v>
      </c>
      <c r="D2200" s="6" t="s">
        <v>114</v>
      </c>
      <c r="E2200" s="6" t="n">
        <v>16</v>
      </c>
      <c r="F2200" s="6" t="n">
        <v>10</v>
      </c>
      <c r="G2200" s="6" t="s">
        <v>77</v>
      </c>
      <c r="H2200" s="11" t="n">
        <v>0.01</v>
      </c>
      <c r="I2200" s="6" t="n">
        <v>20</v>
      </c>
      <c r="J2200" s="6" t="n">
        <v>1</v>
      </c>
      <c r="K2200" s="6" t="n">
        <v>19</v>
      </c>
      <c r="L2200" s="6" t="n">
        <v>1</v>
      </c>
      <c r="M2200" s="6" t="n">
        <v>19</v>
      </c>
      <c r="N2200" s="11" t="n">
        <f aca="false">J2200/(J2200+K2200)</f>
        <v>0.05</v>
      </c>
      <c r="O2200" s="11" t="n">
        <f aca="false">IF(J2200+L2200=0,"",J2200/(J2200+L2200))</f>
        <v>0.5</v>
      </c>
      <c r="P2200" s="11" t="n">
        <f aca="false">2*J2200/(2*J2200+L2200+K2200)</f>
        <v>0.0909090909090909</v>
      </c>
      <c r="Q2200" s="11" t="n">
        <f aca="false">L2200/(L2200+M2200)</f>
        <v>0.05</v>
      </c>
      <c r="R2200" s="6" t="n">
        <v>0</v>
      </c>
      <c r="S2200" s="11"/>
      <c r="T2200" s="11" t="n">
        <v>0.05</v>
      </c>
      <c r="U2200" s="11" t="n">
        <v>1</v>
      </c>
      <c r="V2200" s="11" t="n">
        <v>1</v>
      </c>
    </row>
    <row r="2201" customFormat="false" ht="15" hidden="false" customHeight="false" outlineLevel="0" collapsed="false">
      <c r="A2201" s="6" t="s">
        <v>62</v>
      </c>
      <c r="B2201" s="6" t="s">
        <v>63</v>
      </c>
      <c r="C2201" s="6" t="s">
        <v>44</v>
      </c>
      <c r="D2201" s="6" t="s">
        <v>114</v>
      </c>
      <c r="E2201" s="6" t="n">
        <v>16</v>
      </c>
      <c r="F2201" s="6" t="n">
        <v>10</v>
      </c>
      <c r="G2201" s="6" t="s">
        <v>78</v>
      </c>
      <c r="H2201" s="11" t="n">
        <v>0.01</v>
      </c>
      <c r="I2201" s="6" t="n">
        <v>200</v>
      </c>
      <c r="J2201" s="6" t="n">
        <v>1</v>
      </c>
      <c r="K2201" s="6" t="n">
        <v>199</v>
      </c>
      <c r="L2201" s="6" t="n">
        <v>1</v>
      </c>
      <c r="M2201" s="6" t="n">
        <v>199</v>
      </c>
      <c r="N2201" s="11" t="n">
        <f aca="false">J2201/(J2201+K2201)</f>
        <v>0.005</v>
      </c>
      <c r="O2201" s="11" t="n">
        <f aca="false">IF(J2201+L2201=0,"",J2201/(J2201+L2201))</f>
        <v>0.5</v>
      </c>
      <c r="P2201" s="11" t="n">
        <f aca="false">2*J2201/(2*J2201+L2201+K2201)</f>
        <v>0.0099009900990099</v>
      </c>
      <c r="Q2201" s="11" t="n">
        <f aca="false">L2201/(L2201+M2201)</f>
        <v>0.005</v>
      </c>
      <c r="R2201" s="6" t="n">
        <v>5</v>
      </c>
      <c r="S2201" s="11" t="n">
        <v>0</v>
      </c>
      <c r="T2201" s="11" t="n">
        <v>0.00512820512820513</v>
      </c>
      <c r="U2201" s="11" t="n">
        <v>0.88</v>
      </c>
      <c r="V2201" s="11" t="n">
        <v>0.895</v>
      </c>
    </row>
    <row r="2202" customFormat="false" ht="15" hidden="false" customHeight="false" outlineLevel="0" collapsed="false">
      <c r="A2202" s="6" t="s">
        <v>42</v>
      </c>
      <c r="B2202" s="6" t="s">
        <v>43</v>
      </c>
      <c r="C2202" s="6" t="s">
        <v>44</v>
      </c>
      <c r="D2202" s="6" t="s">
        <v>114</v>
      </c>
      <c r="E2202" s="6" t="n">
        <v>16</v>
      </c>
      <c r="F2202" s="6" t="n">
        <v>1</v>
      </c>
      <c r="G2202" s="6" t="s">
        <v>68</v>
      </c>
      <c r="H2202" s="11" t="n">
        <v>0.001</v>
      </c>
      <c r="I2202" s="6" t="n">
        <v>20</v>
      </c>
      <c r="J2202" s="6" t="n">
        <v>0</v>
      </c>
      <c r="K2202" s="6" t="n">
        <v>20</v>
      </c>
      <c r="L2202" s="6" t="n">
        <v>0</v>
      </c>
      <c r="M2202" s="6" t="n">
        <v>20</v>
      </c>
      <c r="N2202" s="11" t="n">
        <f aca="false">J2202/(J2202+K2202)</f>
        <v>0</v>
      </c>
      <c r="O2202" s="11" t="str">
        <f aca="false">IF(J2202+L2202=0,"",J2202/(J2202+L2202))</f>
        <v/>
      </c>
      <c r="P2202" s="11" t="n">
        <f aca="false">2*J2202/(2*J2202+L2202+K2202)</f>
        <v>0</v>
      </c>
      <c r="Q2202" s="11" t="n">
        <f aca="false">L2202/(L2202+M2202)</f>
        <v>0</v>
      </c>
      <c r="R2202" s="6" t="n">
        <v>2</v>
      </c>
      <c r="S2202" s="11" t="n">
        <v>0</v>
      </c>
      <c r="T2202" s="11" t="n">
        <v>0</v>
      </c>
      <c r="U2202" s="11" t="n">
        <v>0.85</v>
      </c>
      <c r="V2202" s="11" t="n">
        <v>0.8</v>
      </c>
    </row>
    <row r="2203" customFormat="false" ht="15" hidden="false" customHeight="false" outlineLevel="0" collapsed="false">
      <c r="A2203" s="6" t="s">
        <v>42</v>
      </c>
      <c r="B2203" s="6" t="s">
        <v>43</v>
      </c>
      <c r="C2203" s="6" t="s">
        <v>44</v>
      </c>
      <c r="D2203" s="6" t="s">
        <v>114</v>
      </c>
      <c r="E2203" s="6" t="n">
        <v>16</v>
      </c>
      <c r="F2203" s="6" t="n">
        <v>1</v>
      </c>
      <c r="G2203" s="6" t="s">
        <v>69</v>
      </c>
      <c r="H2203" s="11" t="n">
        <v>0.001</v>
      </c>
      <c r="I2203" s="6" t="n">
        <v>20</v>
      </c>
      <c r="J2203" s="6" t="n">
        <v>0</v>
      </c>
      <c r="K2203" s="6" t="n">
        <v>20</v>
      </c>
      <c r="L2203" s="6" t="n">
        <v>0</v>
      </c>
      <c r="M2203" s="6" t="n">
        <v>20</v>
      </c>
      <c r="N2203" s="11" t="n">
        <f aca="false">J2203/(J2203+K2203)</f>
        <v>0</v>
      </c>
      <c r="O2203" s="11" t="str">
        <f aca="false">IF(J2203+L2203=0,"",J2203/(J2203+L2203))</f>
        <v/>
      </c>
      <c r="P2203" s="11" t="n">
        <f aca="false">2*J2203/(2*J2203+L2203+K2203)</f>
        <v>0</v>
      </c>
      <c r="Q2203" s="11" t="n">
        <f aca="false">L2203/(L2203+M2203)</f>
        <v>0</v>
      </c>
      <c r="R2203" s="6" t="n">
        <v>0</v>
      </c>
      <c r="S2203" s="11"/>
      <c r="T2203" s="11" t="n">
        <v>0</v>
      </c>
      <c r="U2203" s="11" t="n">
        <v>1</v>
      </c>
      <c r="V2203" s="11" t="n">
        <v>1</v>
      </c>
    </row>
    <row r="2204" customFormat="false" ht="15" hidden="false" customHeight="false" outlineLevel="0" collapsed="false">
      <c r="A2204" s="6" t="s">
        <v>42</v>
      </c>
      <c r="B2204" s="6" t="s">
        <v>43</v>
      </c>
      <c r="C2204" s="6" t="s">
        <v>44</v>
      </c>
      <c r="D2204" s="6" t="s">
        <v>114</v>
      </c>
      <c r="E2204" s="6" t="n">
        <v>16</v>
      </c>
      <c r="F2204" s="6" t="n">
        <v>1</v>
      </c>
      <c r="G2204" s="6" t="s">
        <v>70</v>
      </c>
      <c r="H2204" s="11" t="n">
        <v>0.001</v>
      </c>
      <c r="I2204" s="6" t="n">
        <v>20</v>
      </c>
      <c r="J2204" s="6" t="n">
        <v>0</v>
      </c>
      <c r="K2204" s="6" t="n">
        <v>20</v>
      </c>
      <c r="L2204" s="6" t="n">
        <v>0</v>
      </c>
      <c r="M2204" s="6" t="n">
        <v>20</v>
      </c>
      <c r="N2204" s="11" t="n">
        <f aca="false">J2204/(J2204+K2204)</f>
        <v>0</v>
      </c>
      <c r="O2204" s="11" t="str">
        <f aca="false">IF(J2204+L2204=0,"",J2204/(J2204+L2204))</f>
        <v/>
      </c>
      <c r="P2204" s="11" t="n">
        <f aca="false">2*J2204/(2*J2204+L2204+K2204)</f>
        <v>0</v>
      </c>
      <c r="Q2204" s="11" t="n">
        <f aca="false">L2204/(L2204+M2204)</f>
        <v>0</v>
      </c>
      <c r="R2204" s="6" t="n">
        <v>2</v>
      </c>
      <c r="S2204" s="11" t="n">
        <v>0</v>
      </c>
      <c r="T2204" s="11" t="n">
        <v>0</v>
      </c>
      <c r="U2204" s="11" t="n">
        <v>0.9</v>
      </c>
      <c r="V2204" s="11" t="n">
        <v>1</v>
      </c>
    </row>
    <row r="2205" customFormat="false" ht="15" hidden="false" customHeight="false" outlineLevel="0" collapsed="false">
      <c r="A2205" s="6" t="s">
        <v>42</v>
      </c>
      <c r="B2205" s="6" t="s">
        <v>43</v>
      </c>
      <c r="C2205" s="6" t="s">
        <v>44</v>
      </c>
      <c r="D2205" s="6" t="s">
        <v>114</v>
      </c>
      <c r="E2205" s="6" t="n">
        <v>16</v>
      </c>
      <c r="F2205" s="6" t="n">
        <v>1</v>
      </c>
      <c r="G2205" s="6" t="s">
        <v>71</v>
      </c>
      <c r="H2205" s="11" t="n">
        <v>0.001</v>
      </c>
      <c r="I2205" s="6" t="n">
        <v>20</v>
      </c>
      <c r="J2205" s="6" t="n">
        <v>0</v>
      </c>
      <c r="K2205" s="6" t="n">
        <v>20</v>
      </c>
      <c r="L2205" s="6" t="n">
        <v>0</v>
      </c>
      <c r="M2205" s="6" t="n">
        <v>20</v>
      </c>
      <c r="N2205" s="11" t="n">
        <f aca="false">J2205/(J2205+K2205)</f>
        <v>0</v>
      </c>
      <c r="O2205" s="11" t="str">
        <f aca="false">IF(J2205+L2205=0,"",J2205/(J2205+L2205))</f>
        <v/>
      </c>
      <c r="P2205" s="11" t="n">
        <f aca="false">2*J2205/(2*J2205+L2205+K2205)</f>
        <v>0</v>
      </c>
      <c r="Q2205" s="11" t="n">
        <f aca="false">L2205/(L2205+M2205)</f>
        <v>0</v>
      </c>
      <c r="R2205" s="6" t="n">
        <v>1</v>
      </c>
      <c r="S2205" s="11" t="n">
        <v>0</v>
      </c>
      <c r="T2205" s="11" t="n">
        <v>0</v>
      </c>
      <c r="U2205" s="11" t="n">
        <v>0.8</v>
      </c>
      <c r="V2205" s="11" t="n">
        <v>0.75</v>
      </c>
    </row>
    <row r="2206" customFormat="false" ht="15" hidden="false" customHeight="false" outlineLevel="0" collapsed="false">
      <c r="A2206" s="6" t="s">
        <v>42</v>
      </c>
      <c r="B2206" s="6" t="s">
        <v>43</v>
      </c>
      <c r="C2206" s="6" t="s">
        <v>44</v>
      </c>
      <c r="D2206" s="6" t="s">
        <v>114</v>
      </c>
      <c r="E2206" s="6" t="n">
        <v>16</v>
      </c>
      <c r="F2206" s="6" t="n">
        <v>1</v>
      </c>
      <c r="G2206" s="6" t="s">
        <v>72</v>
      </c>
      <c r="H2206" s="11" t="n">
        <v>0.001</v>
      </c>
      <c r="I2206" s="6" t="n">
        <v>20</v>
      </c>
      <c r="J2206" s="6" t="n">
        <v>0</v>
      </c>
      <c r="K2206" s="6" t="n">
        <v>20</v>
      </c>
      <c r="L2206" s="6" t="n">
        <v>0</v>
      </c>
      <c r="M2206" s="6" t="n">
        <v>20</v>
      </c>
      <c r="N2206" s="11" t="n">
        <f aca="false">J2206/(J2206+K2206)</f>
        <v>0</v>
      </c>
      <c r="O2206" s="11" t="str">
        <f aca="false">IF(J2206+L2206=0,"",J2206/(J2206+L2206))</f>
        <v/>
      </c>
      <c r="P2206" s="11" t="n">
        <f aca="false">2*J2206/(2*J2206+L2206+K2206)</f>
        <v>0</v>
      </c>
      <c r="Q2206" s="11" t="n">
        <f aca="false">L2206/(L2206+M2206)</f>
        <v>0</v>
      </c>
      <c r="R2206" s="6" t="n">
        <v>1</v>
      </c>
      <c r="S2206" s="11" t="n">
        <v>0</v>
      </c>
      <c r="T2206" s="11" t="n">
        <v>0</v>
      </c>
      <c r="U2206" s="11" t="n">
        <v>0.9</v>
      </c>
      <c r="V2206" s="11" t="n">
        <v>0.85</v>
      </c>
    </row>
    <row r="2207" customFormat="false" ht="15" hidden="false" customHeight="false" outlineLevel="0" collapsed="false">
      <c r="A2207" s="6" t="s">
        <v>42</v>
      </c>
      <c r="B2207" s="6" t="s">
        <v>43</v>
      </c>
      <c r="C2207" s="6" t="s">
        <v>44</v>
      </c>
      <c r="D2207" s="6" t="s">
        <v>114</v>
      </c>
      <c r="E2207" s="6" t="n">
        <v>16</v>
      </c>
      <c r="F2207" s="6" t="n">
        <v>1</v>
      </c>
      <c r="G2207" s="6" t="s">
        <v>73</v>
      </c>
      <c r="H2207" s="11" t="n">
        <v>0.001</v>
      </c>
      <c r="I2207" s="6" t="n">
        <v>20</v>
      </c>
      <c r="J2207" s="6" t="n">
        <v>0</v>
      </c>
      <c r="K2207" s="6" t="n">
        <v>20</v>
      </c>
      <c r="L2207" s="6" t="n">
        <v>0</v>
      </c>
      <c r="M2207" s="6" t="n">
        <v>20</v>
      </c>
      <c r="N2207" s="11" t="n">
        <f aca="false">J2207/(J2207+K2207)</f>
        <v>0</v>
      </c>
      <c r="O2207" s="11" t="str">
        <f aca="false">IF(J2207+L2207=0,"",J2207/(J2207+L2207))</f>
        <v/>
      </c>
      <c r="P2207" s="11" t="n">
        <f aca="false">2*J2207/(2*J2207+L2207+K2207)</f>
        <v>0</v>
      </c>
      <c r="Q2207" s="11" t="n">
        <f aca="false">L2207/(L2207+M2207)</f>
        <v>0</v>
      </c>
      <c r="R2207" s="6" t="n">
        <v>1</v>
      </c>
      <c r="S2207" s="11" t="n">
        <v>0</v>
      </c>
      <c r="T2207" s="11" t="n">
        <v>0</v>
      </c>
      <c r="U2207" s="11" t="n">
        <v>0.65</v>
      </c>
      <c r="V2207" s="11" t="n">
        <v>0.65</v>
      </c>
    </row>
    <row r="2208" customFormat="false" ht="15" hidden="false" customHeight="false" outlineLevel="0" collapsed="false">
      <c r="A2208" s="6" t="s">
        <v>42</v>
      </c>
      <c r="B2208" s="6" t="s">
        <v>43</v>
      </c>
      <c r="C2208" s="6" t="s">
        <v>44</v>
      </c>
      <c r="D2208" s="6" t="s">
        <v>114</v>
      </c>
      <c r="E2208" s="6" t="n">
        <v>16</v>
      </c>
      <c r="F2208" s="6" t="n">
        <v>1</v>
      </c>
      <c r="G2208" s="6" t="s">
        <v>74</v>
      </c>
      <c r="H2208" s="11" t="n">
        <v>0.001</v>
      </c>
      <c r="I2208" s="6" t="n">
        <v>20</v>
      </c>
      <c r="J2208" s="6" t="n">
        <v>0</v>
      </c>
      <c r="K2208" s="6" t="n">
        <v>20</v>
      </c>
      <c r="L2208" s="6" t="n">
        <v>0</v>
      </c>
      <c r="M2208" s="6" t="n">
        <v>20</v>
      </c>
      <c r="N2208" s="11" t="n">
        <f aca="false">J2208/(J2208+K2208)</f>
        <v>0</v>
      </c>
      <c r="O2208" s="11" t="str">
        <f aca="false">IF(J2208+L2208=0,"",J2208/(J2208+L2208))</f>
        <v/>
      </c>
      <c r="P2208" s="11" t="n">
        <f aca="false">2*J2208/(2*J2208+L2208+K2208)</f>
        <v>0</v>
      </c>
      <c r="Q2208" s="11" t="n">
        <f aca="false">L2208/(L2208+M2208)</f>
        <v>0</v>
      </c>
      <c r="R2208" s="6" t="n">
        <v>4</v>
      </c>
      <c r="S2208" s="11" t="n">
        <v>0</v>
      </c>
      <c r="T2208" s="11" t="n">
        <v>0</v>
      </c>
      <c r="U2208" s="11" t="n">
        <v>0.85</v>
      </c>
      <c r="V2208" s="11" t="n">
        <v>0.8</v>
      </c>
    </row>
    <row r="2209" customFormat="false" ht="15" hidden="false" customHeight="false" outlineLevel="0" collapsed="false">
      <c r="A2209" s="6" t="s">
        <v>42</v>
      </c>
      <c r="B2209" s="6" t="s">
        <v>43</v>
      </c>
      <c r="C2209" s="6" t="s">
        <v>44</v>
      </c>
      <c r="D2209" s="6" t="s">
        <v>114</v>
      </c>
      <c r="E2209" s="6" t="n">
        <v>16</v>
      </c>
      <c r="F2209" s="6" t="n">
        <v>1</v>
      </c>
      <c r="G2209" s="6" t="s">
        <v>75</v>
      </c>
      <c r="H2209" s="11" t="n">
        <v>0.001</v>
      </c>
      <c r="I2209" s="6" t="n">
        <v>20</v>
      </c>
      <c r="J2209" s="6" t="n">
        <v>0</v>
      </c>
      <c r="K2209" s="6" t="n">
        <v>20</v>
      </c>
      <c r="L2209" s="6" t="n">
        <v>0</v>
      </c>
      <c r="M2209" s="6" t="n">
        <v>20</v>
      </c>
      <c r="N2209" s="11" t="n">
        <f aca="false">J2209/(J2209+K2209)</f>
        <v>0</v>
      </c>
      <c r="O2209" s="11" t="str">
        <f aca="false">IF(J2209+L2209=0,"",J2209/(J2209+L2209))</f>
        <v/>
      </c>
      <c r="P2209" s="11" t="n">
        <f aca="false">2*J2209/(2*J2209+L2209+K2209)</f>
        <v>0</v>
      </c>
      <c r="Q2209" s="11" t="n">
        <f aca="false">L2209/(L2209+M2209)</f>
        <v>0</v>
      </c>
      <c r="R2209" s="6" t="n">
        <v>2</v>
      </c>
      <c r="S2209" s="11" t="n">
        <v>0</v>
      </c>
      <c r="T2209" s="11" t="n">
        <v>0</v>
      </c>
      <c r="U2209" s="11" t="n">
        <v>0.9</v>
      </c>
      <c r="V2209" s="11" t="n">
        <v>0.9</v>
      </c>
    </row>
    <row r="2210" customFormat="false" ht="15" hidden="false" customHeight="false" outlineLevel="0" collapsed="false">
      <c r="A2210" s="6" t="s">
        <v>42</v>
      </c>
      <c r="B2210" s="6" t="s">
        <v>43</v>
      </c>
      <c r="C2210" s="6" t="s">
        <v>44</v>
      </c>
      <c r="D2210" s="6" t="s">
        <v>114</v>
      </c>
      <c r="E2210" s="6" t="n">
        <v>16</v>
      </c>
      <c r="F2210" s="6" t="n">
        <v>1</v>
      </c>
      <c r="G2210" s="6" t="s">
        <v>76</v>
      </c>
      <c r="H2210" s="11" t="n">
        <v>0.001</v>
      </c>
      <c r="I2210" s="6" t="n">
        <v>20</v>
      </c>
      <c r="J2210" s="6" t="n">
        <v>0</v>
      </c>
      <c r="K2210" s="6" t="n">
        <v>20</v>
      </c>
      <c r="L2210" s="6" t="n">
        <v>0</v>
      </c>
      <c r="M2210" s="6" t="n">
        <v>20</v>
      </c>
      <c r="N2210" s="11" t="n">
        <f aca="false">J2210/(J2210+K2210)</f>
        <v>0</v>
      </c>
      <c r="O2210" s="11" t="str">
        <f aca="false">IF(J2210+L2210=0,"",J2210/(J2210+L2210))</f>
        <v/>
      </c>
      <c r="P2210" s="11" t="n">
        <f aca="false">2*J2210/(2*J2210+L2210+K2210)</f>
        <v>0</v>
      </c>
      <c r="Q2210" s="11" t="n">
        <f aca="false">L2210/(L2210+M2210)</f>
        <v>0</v>
      </c>
      <c r="R2210" s="6" t="n">
        <v>0</v>
      </c>
      <c r="S2210" s="11"/>
      <c r="T2210" s="11" t="n">
        <v>0</v>
      </c>
      <c r="U2210" s="11" t="n">
        <v>0.95</v>
      </c>
      <c r="V2210" s="11" t="n">
        <v>0.95</v>
      </c>
    </row>
    <row r="2211" customFormat="false" ht="15" hidden="false" customHeight="false" outlineLevel="0" collapsed="false">
      <c r="A2211" s="6" t="s">
        <v>42</v>
      </c>
      <c r="B2211" s="6" t="s">
        <v>43</v>
      </c>
      <c r="C2211" s="6" t="s">
        <v>44</v>
      </c>
      <c r="D2211" s="6" t="s">
        <v>114</v>
      </c>
      <c r="E2211" s="6" t="n">
        <v>16</v>
      </c>
      <c r="F2211" s="6" t="n">
        <v>1</v>
      </c>
      <c r="G2211" s="6" t="s">
        <v>77</v>
      </c>
      <c r="H2211" s="11" t="n">
        <v>0.001</v>
      </c>
      <c r="I2211" s="6" t="n">
        <v>20</v>
      </c>
      <c r="J2211" s="6" t="n">
        <v>0</v>
      </c>
      <c r="K2211" s="6" t="n">
        <v>20</v>
      </c>
      <c r="L2211" s="6" t="n">
        <v>0</v>
      </c>
      <c r="M2211" s="6" t="n">
        <v>20</v>
      </c>
      <c r="N2211" s="11" t="n">
        <f aca="false">J2211/(J2211+K2211)</f>
        <v>0</v>
      </c>
      <c r="O2211" s="11" t="str">
        <f aca="false">IF(J2211+L2211=0,"",J2211/(J2211+L2211))</f>
        <v/>
      </c>
      <c r="P2211" s="11" t="n">
        <f aca="false">2*J2211/(2*J2211+L2211+K2211)</f>
        <v>0</v>
      </c>
      <c r="Q2211" s="11" t="n">
        <f aca="false">L2211/(L2211+M2211)</f>
        <v>0</v>
      </c>
      <c r="R2211" s="6" t="n">
        <v>0</v>
      </c>
      <c r="S2211" s="11"/>
      <c r="T2211" s="11" t="n">
        <v>0</v>
      </c>
      <c r="U2211" s="11" t="n">
        <v>1</v>
      </c>
      <c r="V2211" s="11" t="n">
        <v>1</v>
      </c>
    </row>
    <row r="2212" customFormat="false" ht="15" hidden="false" customHeight="false" outlineLevel="0" collapsed="false">
      <c r="A2212" s="6" t="s">
        <v>42</v>
      </c>
      <c r="B2212" s="6" t="s">
        <v>43</v>
      </c>
      <c r="C2212" s="6" t="s">
        <v>44</v>
      </c>
      <c r="D2212" s="6" t="s">
        <v>114</v>
      </c>
      <c r="E2212" s="6" t="n">
        <v>16</v>
      </c>
      <c r="F2212" s="6" t="n">
        <v>1</v>
      </c>
      <c r="G2212" s="6" t="s">
        <v>78</v>
      </c>
      <c r="H2212" s="11" t="n">
        <v>0.001</v>
      </c>
      <c r="I2212" s="6" t="n">
        <v>200</v>
      </c>
      <c r="J2212" s="6" t="n">
        <v>0</v>
      </c>
      <c r="K2212" s="6" t="n">
        <v>200</v>
      </c>
      <c r="L2212" s="6" t="n">
        <v>0</v>
      </c>
      <c r="M2212" s="6" t="n">
        <v>200</v>
      </c>
      <c r="N2212" s="11" t="n">
        <f aca="false">J2212/(J2212+K2212)</f>
        <v>0</v>
      </c>
      <c r="O2212" s="11" t="str">
        <f aca="false">IF(J2212+L2212=0,"",J2212/(J2212+L2212))</f>
        <v/>
      </c>
      <c r="P2212" s="11" t="n">
        <f aca="false">2*J2212/(2*J2212+L2212+K2212)</f>
        <v>0</v>
      </c>
      <c r="Q2212" s="11" t="n">
        <f aca="false">L2212/(L2212+M2212)</f>
        <v>0</v>
      </c>
      <c r="R2212" s="6" t="n">
        <v>13</v>
      </c>
      <c r="S2212" s="11" t="n">
        <v>0</v>
      </c>
      <c r="T2212" s="11" t="n">
        <v>0</v>
      </c>
      <c r="U2212" s="11" t="n">
        <v>0.88</v>
      </c>
      <c r="V2212" s="11" t="n">
        <v>0.87</v>
      </c>
    </row>
    <row r="2213" customFormat="false" ht="15" hidden="false" customHeight="false" outlineLevel="0" collapsed="false">
      <c r="A2213" s="6" t="s">
        <v>42</v>
      </c>
      <c r="B2213" s="6" t="s">
        <v>43</v>
      </c>
      <c r="C2213" s="6" t="s">
        <v>44</v>
      </c>
      <c r="D2213" s="6" t="s">
        <v>114</v>
      </c>
      <c r="E2213" s="6" t="n">
        <v>16</v>
      </c>
      <c r="F2213" s="6" t="n">
        <v>2</v>
      </c>
      <c r="G2213" s="6" t="s">
        <v>68</v>
      </c>
      <c r="H2213" s="11" t="n">
        <v>0.001</v>
      </c>
      <c r="I2213" s="6" t="n">
        <v>20</v>
      </c>
      <c r="J2213" s="6" t="n">
        <v>0</v>
      </c>
      <c r="K2213" s="6" t="n">
        <v>20</v>
      </c>
      <c r="L2213" s="6" t="n">
        <v>0</v>
      </c>
      <c r="M2213" s="6" t="n">
        <v>20</v>
      </c>
      <c r="N2213" s="11" t="n">
        <f aca="false">J2213/(J2213+K2213)</f>
        <v>0</v>
      </c>
      <c r="O2213" s="11" t="str">
        <f aca="false">IF(J2213+L2213=0,"",J2213/(J2213+L2213))</f>
        <v/>
      </c>
      <c r="P2213" s="11" t="n">
        <f aca="false">2*J2213/(2*J2213+L2213+K2213)</f>
        <v>0</v>
      </c>
      <c r="Q2213" s="11" t="n">
        <f aca="false">L2213/(L2213+M2213)</f>
        <v>0</v>
      </c>
      <c r="R2213" s="6" t="n">
        <v>0</v>
      </c>
      <c r="S2213" s="11"/>
      <c r="T2213" s="11" t="n">
        <v>0</v>
      </c>
      <c r="U2213" s="11" t="n">
        <v>0.85</v>
      </c>
      <c r="V2213" s="11" t="n">
        <v>0.85</v>
      </c>
    </row>
    <row r="2214" customFormat="false" ht="15" hidden="false" customHeight="false" outlineLevel="0" collapsed="false">
      <c r="A2214" s="6" t="s">
        <v>42</v>
      </c>
      <c r="B2214" s="6" t="s">
        <v>43</v>
      </c>
      <c r="C2214" s="6" t="s">
        <v>44</v>
      </c>
      <c r="D2214" s="6" t="s">
        <v>114</v>
      </c>
      <c r="E2214" s="6" t="n">
        <v>16</v>
      </c>
      <c r="F2214" s="6" t="n">
        <v>2</v>
      </c>
      <c r="G2214" s="6" t="s">
        <v>69</v>
      </c>
      <c r="H2214" s="11" t="n">
        <v>0.001</v>
      </c>
      <c r="I2214" s="6" t="n">
        <v>20</v>
      </c>
      <c r="J2214" s="6" t="n">
        <v>0</v>
      </c>
      <c r="K2214" s="6" t="n">
        <v>20</v>
      </c>
      <c r="L2214" s="6" t="n">
        <v>0</v>
      </c>
      <c r="M2214" s="6" t="n">
        <v>20</v>
      </c>
      <c r="N2214" s="11" t="n">
        <f aca="false">J2214/(J2214+K2214)</f>
        <v>0</v>
      </c>
      <c r="O2214" s="11" t="str">
        <f aca="false">IF(J2214+L2214=0,"",J2214/(J2214+L2214))</f>
        <v/>
      </c>
      <c r="P2214" s="11" t="n">
        <f aca="false">2*J2214/(2*J2214+L2214+K2214)</f>
        <v>0</v>
      </c>
      <c r="Q2214" s="11" t="n">
        <f aca="false">L2214/(L2214+M2214)</f>
        <v>0</v>
      </c>
      <c r="R2214" s="6" t="n">
        <v>0</v>
      </c>
      <c r="S2214" s="11"/>
      <c r="T2214" s="11" t="n">
        <v>0</v>
      </c>
      <c r="U2214" s="11" t="n">
        <v>1</v>
      </c>
      <c r="V2214" s="11" t="n">
        <v>1</v>
      </c>
    </row>
    <row r="2215" customFormat="false" ht="15" hidden="false" customHeight="false" outlineLevel="0" collapsed="false">
      <c r="A2215" s="6" t="s">
        <v>42</v>
      </c>
      <c r="B2215" s="6" t="s">
        <v>43</v>
      </c>
      <c r="C2215" s="6" t="s">
        <v>44</v>
      </c>
      <c r="D2215" s="6" t="s">
        <v>114</v>
      </c>
      <c r="E2215" s="6" t="n">
        <v>16</v>
      </c>
      <c r="F2215" s="6" t="n">
        <v>2</v>
      </c>
      <c r="G2215" s="6" t="s">
        <v>70</v>
      </c>
      <c r="H2215" s="11" t="n">
        <v>0.001</v>
      </c>
      <c r="I2215" s="6" t="n">
        <v>20</v>
      </c>
      <c r="J2215" s="6" t="n">
        <v>0</v>
      </c>
      <c r="K2215" s="6" t="n">
        <v>20</v>
      </c>
      <c r="L2215" s="6" t="n">
        <v>0</v>
      </c>
      <c r="M2215" s="6" t="n">
        <v>20</v>
      </c>
      <c r="N2215" s="11" t="n">
        <f aca="false">J2215/(J2215+K2215)</f>
        <v>0</v>
      </c>
      <c r="O2215" s="11" t="str">
        <f aca="false">IF(J2215+L2215=0,"",J2215/(J2215+L2215))</f>
        <v/>
      </c>
      <c r="P2215" s="11" t="n">
        <f aca="false">2*J2215/(2*J2215+L2215+K2215)</f>
        <v>0</v>
      </c>
      <c r="Q2215" s="11" t="n">
        <f aca="false">L2215/(L2215+M2215)</f>
        <v>0</v>
      </c>
      <c r="R2215" s="6" t="n">
        <v>0</v>
      </c>
      <c r="S2215" s="11"/>
      <c r="T2215" s="11" t="n">
        <v>0</v>
      </c>
      <c r="U2215" s="11" t="n">
        <v>0.9</v>
      </c>
      <c r="V2215" s="11" t="n">
        <v>0.9</v>
      </c>
    </row>
    <row r="2216" customFormat="false" ht="15" hidden="false" customHeight="false" outlineLevel="0" collapsed="false">
      <c r="A2216" s="6" t="s">
        <v>42</v>
      </c>
      <c r="B2216" s="6" t="s">
        <v>43</v>
      </c>
      <c r="C2216" s="6" t="s">
        <v>44</v>
      </c>
      <c r="D2216" s="6" t="s">
        <v>114</v>
      </c>
      <c r="E2216" s="6" t="n">
        <v>16</v>
      </c>
      <c r="F2216" s="6" t="n">
        <v>2</v>
      </c>
      <c r="G2216" s="6" t="s">
        <v>71</v>
      </c>
      <c r="H2216" s="11" t="n">
        <v>0.001</v>
      </c>
      <c r="I2216" s="6" t="n">
        <v>20</v>
      </c>
      <c r="J2216" s="6" t="n">
        <v>0</v>
      </c>
      <c r="K2216" s="6" t="n">
        <v>20</v>
      </c>
      <c r="L2216" s="6" t="n">
        <v>0</v>
      </c>
      <c r="M2216" s="6" t="n">
        <v>20</v>
      </c>
      <c r="N2216" s="11" t="n">
        <f aca="false">J2216/(J2216+K2216)</f>
        <v>0</v>
      </c>
      <c r="O2216" s="11" t="str">
        <f aca="false">IF(J2216+L2216=0,"",J2216/(J2216+L2216))</f>
        <v/>
      </c>
      <c r="P2216" s="11" t="n">
        <f aca="false">2*J2216/(2*J2216+L2216+K2216)</f>
        <v>0</v>
      </c>
      <c r="Q2216" s="11" t="n">
        <f aca="false">L2216/(L2216+M2216)</f>
        <v>0</v>
      </c>
      <c r="R2216" s="6" t="n">
        <v>0</v>
      </c>
      <c r="S2216" s="11"/>
      <c r="T2216" s="11" t="n">
        <v>0</v>
      </c>
      <c r="U2216" s="11" t="n">
        <v>0.8</v>
      </c>
      <c r="V2216" s="11" t="n">
        <v>0.8</v>
      </c>
    </row>
    <row r="2217" customFormat="false" ht="15" hidden="false" customHeight="false" outlineLevel="0" collapsed="false">
      <c r="A2217" s="6" t="s">
        <v>42</v>
      </c>
      <c r="B2217" s="6" t="s">
        <v>43</v>
      </c>
      <c r="C2217" s="6" t="s">
        <v>44</v>
      </c>
      <c r="D2217" s="6" t="s">
        <v>114</v>
      </c>
      <c r="E2217" s="6" t="n">
        <v>16</v>
      </c>
      <c r="F2217" s="6" t="n">
        <v>2</v>
      </c>
      <c r="G2217" s="6" t="s">
        <v>72</v>
      </c>
      <c r="H2217" s="11" t="n">
        <v>0.001</v>
      </c>
      <c r="I2217" s="6" t="n">
        <v>20</v>
      </c>
      <c r="J2217" s="6" t="n">
        <v>0</v>
      </c>
      <c r="K2217" s="6" t="n">
        <v>20</v>
      </c>
      <c r="L2217" s="6" t="n">
        <v>0</v>
      </c>
      <c r="M2217" s="6" t="n">
        <v>20</v>
      </c>
      <c r="N2217" s="11" t="n">
        <f aca="false">J2217/(J2217+K2217)</f>
        <v>0</v>
      </c>
      <c r="O2217" s="11" t="str">
        <f aca="false">IF(J2217+L2217=0,"",J2217/(J2217+L2217))</f>
        <v/>
      </c>
      <c r="P2217" s="11" t="n">
        <f aca="false">2*J2217/(2*J2217+L2217+K2217)</f>
        <v>0</v>
      </c>
      <c r="Q2217" s="11" t="n">
        <f aca="false">L2217/(L2217+M2217)</f>
        <v>0</v>
      </c>
      <c r="R2217" s="6" t="n">
        <v>0</v>
      </c>
      <c r="S2217" s="11"/>
      <c r="T2217" s="11" t="n">
        <v>0</v>
      </c>
      <c r="U2217" s="11" t="n">
        <v>0.9</v>
      </c>
      <c r="V2217" s="11" t="n">
        <v>0.9</v>
      </c>
    </row>
    <row r="2218" customFormat="false" ht="15" hidden="false" customHeight="false" outlineLevel="0" collapsed="false">
      <c r="A2218" s="6" t="s">
        <v>42</v>
      </c>
      <c r="B2218" s="6" t="s">
        <v>43</v>
      </c>
      <c r="C2218" s="6" t="s">
        <v>44</v>
      </c>
      <c r="D2218" s="6" t="s">
        <v>114</v>
      </c>
      <c r="E2218" s="6" t="n">
        <v>16</v>
      </c>
      <c r="F2218" s="6" t="n">
        <v>2</v>
      </c>
      <c r="G2218" s="6" t="s">
        <v>73</v>
      </c>
      <c r="H2218" s="11" t="n">
        <v>0.001</v>
      </c>
      <c r="I2218" s="6" t="n">
        <v>20</v>
      </c>
      <c r="J2218" s="6" t="n">
        <v>0</v>
      </c>
      <c r="K2218" s="6" t="n">
        <v>20</v>
      </c>
      <c r="L2218" s="6" t="n">
        <v>0</v>
      </c>
      <c r="M2218" s="6" t="n">
        <v>20</v>
      </c>
      <c r="N2218" s="11" t="n">
        <f aca="false">J2218/(J2218+K2218)</f>
        <v>0</v>
      </c>
      <c r="O2218" s="11" t="str">
        <f aca="false">IF(J2218+L2218=0,"",J2218/(J2218+L2218))</f>
        <v/>
      </c>
      <c r="P2218" s="11" t="n">
        <f aca="false">2*J2218/(2*J2218+L2218+K2218)</f>
        <v>0</v>
      </c>
      <c r="Q2218" s="11" t="n">
        <f aca="false">L2218/(L2218+M2218)</f>
        <v>0</v>
      </c>
      <c r="R2218" s="6" t="n">
        <v>1</v>
      </c>
      <c r="S2218" s="11" t="n">
        <v>0</v>
      </c>
      <c r="T2218" s="11" t="n">
        <v>0</v>
      </c>
      <c r="U2218" s="11" t="n">
        <v>0.65</v>
      </c>
      <c r="V2218" s="11" t="n">
        <v>0.65</v>
      </c>
    </row>
    <row r="2219" customFormat="false" ht="15" hidden="false" customHeight="false" outlineLevel="0" collapsed="false">
      <c r="A2219" s="6" t="s">
        <v>42</v>
      </c>
      <c r="B2219" s="6" t="s">
        <v>43</v>
      </c>
      <c r="C2219" s="6" t="s">
        <v>44</v>
      </c>
      <c r="D2219" s="6" t="s">
        <v>114</v>
      </c>
      <c r="E2219" s="6" t="n">
        <v>16</v>
      </c>
      <c r="F2219" s="6" t="n">
        <v>2</v>
      </c>
      <c r="G2219" s="6" t="s">
        <v>74</v>
      </c>
      <c r="H2219" s="11" t="n">
        <v>0.001</v>
      </c>
      <c r="I2219" s="6" t="n">
        <v>20</v>
      </c>
      <c r="J2219" s="6" t="n">
        <v>0</v>
      </c>
      <c r="K2219" s="6" t="n">
        <v>20</v>
      </c>
      <c r="L2219" s="6" t="n">
        <v>0</v>
      </c>
      <c r="M2219" s="6" t="n">
        <v>20</v>
      </c>
      <c r="N2219" s="11" t="n">
        <f aca="false">J2219/(J2219+K2219)</f>
        <v>0</v>
      </c>
      <c r="O2219" s="11" t="str">
        <f aca="false">IF(J2219+L2219=0,"",J2219/(J2219+L2219))</f>
        <v/>
      </c>
      <c r="P2219" s="11" t="n">
        <f aca="false">2*J2219/(2*J2219+L2219+K2219)</f>
        <v>0</v>
      </c>
      <c r="Q2219" s="11" t="n">
        <f aca="false">L2219/(L2219+M2219)</f>
        <v>0</v>
      </c>
      <c r="R2219" s="6" t="n">
        <v>1</v>
      </c>
      <c r="S2219" s="11" t="n">
        <v>0</v>
      </c>
      <c r="T2219" s="11" t="n">
        <v>0</v>
      </c>
      <c r="U2219" s="11" t="n">
        <v>0.85</v>
      </c>
      <c r="V2219" s="11" t="n">
        <v>0.9</v>
      </c>
    </row>
    <row r="2220" customFormat="false" ht="15" hidden="false" customHeight="false" outlineLevel="0" collapsed="false">
      <c r="A2220" s="6" t="s">
        <v>42</v>
      </c>
      <c r="B2220" s="6" t="s">
        <v>43</v>
      </c>
      <c r="C2220" s="6" t="s">
        <v>44</v>
      </c>
      <c r="D2220" s="6" t="s">
        <v>114</v>
      </c>
      <c r="E2220" s="6" t="n">
        <v>16</v>
      </c>
      <c r="F2220" s="6" t="n">
        <v>2</v>
      </c>
      <c r="G2220" s="6" t="s">
        <v>75</v>
      </c>
      <c r="H2220" s="11" t="n">
        <v>0.001</v>
      </c>
      <c r="I2220" s="6" t="n">
        <v>20</v>
      </c>
      <c r="J2220" s="6" t="n">
        <v>0</v>
      </c>
      <c r="K2220" s="6" t="n">
        <v>20</v>
      </c>
      <c r="L2220" s="6" t="n">
        <v>0</v>
      </c>
      <c r="M2220" s="6" t="n">
        <v>20</v>
      </c>
      <c r="N2220" s="11" t="n">
        <f aca="false">J2220/(J2220+K2220)</f>
        <v>0</v>
      </c>
      <c r="O2220" s="11" t="str">
        <f aca="false">IF(J2220+L2220=0,"",J2220/(J2220+L2220))</f>
        <v/>
      </c>
      <c r="P2220" s="11" t="n">
        <f aca="false">2*J2220/(2*J2220+L2220+K2220)</f>
        <v>0</v>
      </c>
      <c r="Q2220" s="11" t="n">
        <f aca="false">L2220/(L2220+M2220)</f>
        <v>0</v>
      </c>
      <c r="R2220" s="6" t="n">
        <v>0</v>
      </c>
      <c r="S2220" s="11"/>
      <c r="T2220" s="11" t="n">
        <v>0</v>
      </c>
      <c r="U2220" s="11" t="n">
        <v>0.9</v>
      </c>
      <c r="V2220" s="11" t="n">
        <v>0.9</v>
      </c>
    </row>
    <row r="2221" customFormat="false" ht="15" hidden="false" customHeight="false" outlineLevel="0" collapsed="false">
      <c r="A2221" s="6" t="s">
        <v>42</v>
      </c>
      <c r="B2221" s="6" t="s">
        <v>43</v>
      </c>
      <c r="C2221" s="6" t="s">
        <v>44</v>
      </c>
      <c r="D2221" s="6" t="s">
        <v>114</v>
      </c>
      <c r="E2221" s="6" t="n">
        <v>16</v>
      </c>
      <c r="F2221" s="6" t="n">
        <v>2</v>
      </c>
      <c r="G2221" s="6" t="s">
        <v>76</v>
      </c>
      <c r="H2221" s="11" t="n">
        <v>0.001</v>
      </c>
      <c r="I2221" s="6" t="n">
        <v>20</v>
      </c>
      <c r="J2221" s="6" t="n">
        <v>0</v>
      </c>
      <c r="K2221" s="6" t="n">
        <v>20</v>
      </c>
      <c r="L2221" s="6" t="n">
        <v>0</v>
      </c>
      <c r="M2221" s="6" t="n">
        <v>20</v>
      </c>
      <c r="N2221" s="11" t="n">
        <f aca="false">J2221/(J2221+K2221)</f>
        <v>0</v>
      </c>
      <c r="O2221" s="11" t="str">
        <f aca="false">IF(J2221+L2221=0,"",J2221/(J2221+L2221))</f>
        <v/>
      </c>
      <c r="P2221" s="11" t="n">
        <f aca="false">2*J2221/(2*J2221+L2221+K2221)</f>
        <v>0</v>
      </c>
      <c r="Q2221" s="11" t="n">
        <f aca="false">L2221/(L2221+M2221)</f>
        <v>0</v>
      </c>
      <c r="R2221" s="6" t="n">
        <v>0</v>
      </c>
      <c r="S2221" s="11"/>
      <c r="T2221" s="11" t="n">
        <v>0</v>
      </c>
      <c r="U2221" s="11" t="n">
        <v>0.95</v>
      </c>
      <c r="V2221" s="11" t="n">
        <v>0.95</v>
      </c>
    </row>
    <row r="2222" customFormat="false" ht="15" hidden="false" customHeight="false" outlineLevel="0" collapsed="false">
      <c r="A2222" s="6" t="s">
        <v>42</v>
      </c>
      <c r="B2222" s="6" t="s">
        <v>43</v>
      </c>
      <c r="C2222" s="6" t="s">
        <v>44</v>
      </c>
      <c r="D2222" s="6" t="s">
        <v>114</v>
      </c>
      <c r="E2222" s="6" t="n">
        <v>16</v>
      </c>
      <c r="F2222" s="6" t="n">
        <v>2</v>
      </c>
      <c r="G2222" s="6" t="s">
        <v>77</v>
      </c>
      <c r="H2222" s="11" t="n">
        <v>0.001</v>
      </c>
      <c r="I2222" s="6" t="n">
        <v>20</v>
      </c>
      <c r="J2222" s="6" t="n">
        <v>0</v>
      </c>
      <c r="K2222" s="6" t="n">
        <v>20</v>
      </c>
      <c r="L2222" s="6" t="n">
        <v>0</v>
      </c>
      <c r="M2222" s="6" t="n">
        <v>20</v>
      </c>
      <c r="N2222" s="11" t="n">
        <f aca="false">J2222/(J2222+K2222)</f>
        <v>0</v>
      </c>
      <c r="O2222" s="11" t="str">
        <f aca="false">IF(J2222+L2222=0,"",J2222/(J2222+L2222))</f>
        <v/>
      </c>
      <c r="P2222" s="11" t="n">
        <f aca="false">2*J2222/(2*J2222+L2222+K2222)</f>
        <v>0</v>
      </c>
      <c r="Q2222" s="11" t="n">
        <f aca="false">L2222/(L2222+M2222)</f>
        <v>0</v>
      </c>
      <c r="R2222" s="6" t="n">
        <v>0</v>
      </c>
      <c r="S2222" s="11"/>
      <c r="T2222" s="11" t="n">
        <v>0</v>
      </c>
      <c r="U2222" s="11" t="n">
        <v>1</v>
      </c>
      <c r="V2222" s="11" t="n">
        <v>1</v>
      </c>
    </row>
    <row r="2223" customFormat="false" ht="15" hidden="false" customHeight="false" outlineLevel="0" collapsed="false">
      <c r="A2223" s="6" t="s">
        <v>42</v>
      </c>
      <c r="B2223" s="6" t="s">
        <v>43</v>
      </c>
      <c r="C2223" s="6" t="s">
        <v>44</v>
      </c>
      <c r="D2223" s="6" t="s">
        <v>114</v>
      </c>
      <c r="E2223" s="6" t="n">
        <v>16</v>
      </c>
      <c r="F2223" s="6" t="n">
        <v>2</v>
      </c>
      <c r="G2223" s="6" t="s">
        <v>78</v>
      </c>
      <c r="H2223" s="11" t="n">
        <v>0.001</v>
      </c>
      <c r="I2223" s="6" t="n">
        <v>200</v>
      </c>
      <c r="J2223" s="6" t="n">
        <v>0</v>
      </c>
      <c r="K2223" s="6" t="n">
        <v>200</v>
      </c>
      <c r="L2223" s="6" t="n">
        <v>0</v>
      </c>
      <c r="M2223" s="6" t="n">
        <v>200</v>
      </c>
      <c r="N2223" s="11" t="n">
        <f aca="false">J2223/(J2223+K2223)</f>
        <v>0</v>
      </c>
      <c r="O2223" s="11" t="str">
        <f aca="false">IF(J2223+L2223=0,"",J2223/(J2223+L2223))</f>
        <v/>
      </c>
      <c r="P2223" s="11" t="n">
        <f aca="false">2*J2223/(2*J2223+L2223+K2223)</f>
        <v>0</v>
      </c>
      <c r="Q2223" s="11" t="n">
        <f aca="false">L2223/(L2223+M2223)</f>
        <v>0</v>
      </c>
      <c r="R2223" s="6" t="n">
        <v>2</v>
      </c>
      <c r="S2223" s="11" t="n">
        <v>0</v>
      </c>
      <c r="T2223" s="11" t="n">
        <v>0</v>
      </c>
      <c r="U2223" s="11" t="n">
        <v>0.88</v>
      </c>
      <c r="V2223" s="11" t="n">
        <v>0.885</v>
      </c>
    </row>
    <row r="2224" customFormat="false" ht="15" hidden="false" customHeight="false" outlineLevel="0" collapsed="false">
      <c r="A2224" s="6" t="s">
        <v>42</v>
      </c>
      <c r="B2224" s="6" t="s">
        <v>43</v>
      </c>
      <c r="C2224" s="6" t="s">
        <v>44</v>
      </c>
      <c r="D2224" s="6" t="s">
        <v>114</v>
      </c>
      <c r="E2224" s="6" t="n">
        <v>16</v>
      </c>
      <c r="F2224" s="6" t="n">
        <v>3</v>
      </c>
      <c r="G2224" s="6" t="s">
        <v>68</v>
      </c>
      <c r="H2224" s="11" t="n">
        <v>0.001</v>
      </c>
      <c r="I2224" s="6" t="n">
        <v>20</v>
      </c>
      <c r="J2224" s="6" t="n">
        <v>0</v>
      </c>
      <c r="K2224" s="6" t="n">
        <v>20</v>
      </c>
      <c r="L2224" s="6" t="n">
        <v>0</v>
      </c>
      <c r="M2224" s="6" t="n">
        <v>20</v>
      </c>
      <c r="N2224" s="11" t="n">
        <f aca="false">J2224/(J2224+K2224)</f>
        <v>0</v>
      </c>
      <c r="O2224" s="11" t="str">
        <f aca="false">IF(J2224+L2224=0,"",J2224/(J2224+L2224))</f>
        <v/>
      </c>
      <c r="P2224" s="11" t="n">
        <f aca="false">2*J2224/(2*J2224+L2224+K2224)</f>
        <v>0</v>
      </c>
      <c r="Q2224" s="11" t="n">
        <f aca="false">L2224/(L2224+M2224)</f>
        <v>0</v>
      </c>
      <c r="R2224" s="6" t="n">
        <v>1</v>
      </c>
      <c r="S2224" s="11" t="n">
        <v>0</v>
      </c>
      <c r="T2224" s="11" t="n">
        <v>0</v>
      </c>
      <c r="U2224" s="11" t="n">
        <v>0.85</v>
      </c>
      <c r="V2224" s="11" t="n">
        <v>0.85</v>
      </c>
    </row>
    <row r="2225" customFormat="false" ht="15" hidden="false" customHeight="false" outlineLevel="0" collapsed="false">
      <c r="A2225" s="6" t="s">
        <v>42</v>
      </c>
      <c r="B2225" s="6" t="s">
        <v>43</v>
      </c>
      <c r="C2225" s="6" t="s">
        <v>44</v>
      </c>
      <c r="D2225" s="6" t="s">
        <v>114</v>
      </c>
      <c r="E2225" s="6" t="n">
        <v>16</v>
      </c>
      <c r="F2225" s="6" t="n">
        <v>3</v>
      </c>
      <c r="G2225" s="6" t="s">
        <v>69</v>
      </c>
      <c r="H2225" s="11" t="n">
        <v>0.001</v>
      </c>
      <c r="I2225" s="6" t="n">
        <v>20</v>
      </c>
      <c r="J2225" s="6" t="n">
        <v>0</v>
      </c>
      <c r="K2225" s="6" t="n">
        <v>20</v>
      </c>
      <c r="L2225" s="6" t="n">
        <v>0</v>
      </c>
      <c r="M2225" s="6" t="n">
        <v>20</v>
      </c>
      <c r="N2225" s="11" t="n">
        <f aca="false">J2225/(J2225+K2225)</f>
        <v>0</v>
      </c>
      <c r="O2225" s="11" t="str">
        <f aca="false">IF(J2225+L2225=0,"",J2225/(J2225+L2225))</f>
        <v/>
      </c>
      <c r="P2225" s="11" t="n">
        <f aca="false">2*J2225/(2*J2225+L2225+K2225)</f>
        <v>0</v>
      </c>
      <c r="Q2225" s="11" t="n">
        <f aca="false">L2225/(L2225+M2225)</f>
        <v>0</v>
      </c>
      <c r="R2225" s="6" t="n">
        <v>0</v>
      </c>
      <c r="S2225" s="11"/>
      <c r="T2225" s="11" t="n">
        <v>0</v>
      </c>
      <c r="U2225" s="11" t="n">
        <v>1</v>
      </c>
      <c r="V2225" s="11" t="n">
        <v>1</v>
      </c>
    </row>
    <row r="2226" customFormat="false" ht="15" hidden="false" customHeight="false" outlineLevel="0" collapsed="false">
      <c r="A2226" s="6" t="s">
        <v>42</v>
      </c>
      <c r="B2226" s="6" t="s">
        <v>43</v>
      </c>
      <c r="C2226" s="6" t="s">
        <v>44</v>
      </c>
      <c r="D2226" s="6" t="s">
        <v>114</v>
      </c>
      <c r="E2226" s="6" t="n">
        <v>16</v>
      </c>
      <c r="F2226" s="6" t="n">
        <v>3</v>
      </c>
      <c r="G2226" s="6" t="s">
        <v>70</v>
      </c>
      <c r="H2226" s="11" t="n">
        <v>0.001</v>
      </c>
      <c r="I2226" s="6" t="n">
        <v>20</v>
      </c>
      <c r="J2226" s="6" t="n">
        <v>0</v>
      </c>
      <c r="K2226" s="6" t="n">
        <v>20</v>
      </c>
      <c r="L2226" s="6" t="n">
        <v>0</v>
      </c>
      <c r="M2226" s="6" t="n">
        <v>20</v>
      </c>
      <c r="N2226" s="11" t="n">
        <f aca="false">J2226/(J2226+K2226)</f>
        <v>0</v>
      </c>
      <c r="O2226" s="11" t="str">
        <f aca="false">IF(J2226+L2226=0,"",J2226/(J2226+L2226))</f>
        <v/>
      </c>
      <c r="P2226" s="11" t="n">
        <f aca="false">2*J2226/(2*J2226+L2226+K2226)</f>
        <v>0</v>
      </c>
      <c r="Q2226" s="11" t="n">
        <f aca="false">L2226/(L2226+M2226)</f>
        <v>0</v>
      </c>
      <c r="R2226" s="6" t="n">
        <v>0</v>
      </c>
      <c r="S2226" s="11"/>
      <c r="T2226" s="11" t="n">
        <v>0</v>
      </c>
      <c r="U2226" s="11" t="n">
        <v>0.9</v>
      </c>
      <c r="V2226" s="11" t="n">
        <v>0.9</v>
      </c>
    </row>
    <row r="2227" customFormat="false" ht="15" hidden="false" customHeight="false" outlineLevel="0" collapsed="false">
      <c r="A2227" s="6" t="s">
        <v>42</v>
      </c>
      <c r="B2227" s="6" t="s">
        <v>43</v>
      </c>
      <c r="C2227" s="6" t="s">
        <v>44</v>
      </c>
      <c r="D2227" s="6" t="s">
        <v>114</v>
      </c>
      <c r="E2227" s="6" t="n">
        <v>16</v>
      </c>
      <c r="F2227" s="6" t="n">
        <v>3</v>
      </c>
      <c r="G2227" s="6" t="s">
        <v>71</v>
      </c>
      <c r="H2227" s="11" t="n">
        <v>0.001</v>
      </c>
      <c r="I2227" s="6" t="n">
        <v>20</v>
      </c>
      <c r="J2227" s="6" t="n">
        <v>0</v>
      </c>
      <c r="K2227" s="6" t="n">
        <v>20</v>
      </c>
      <c r="L2227" s="6" t="n">
        <v>0</v>
      </c>
      <c r="M2227" s="6" t="n">
        <v>20</v>
      </c>
      <c r="N2227" s="11" t="n">
        <f aca="false">J2227/(J2227+K2227)</f>
        <v>0</v>
      </c>
      <c r="O2227" s="11" t="str">
        <f aca="false">IF(J2227+L2227=0,"",J2227/(J2227+L2227))</f>
        <v/>
      </c>
      <c r="P2227" s="11" t="n">
        <f aca="false">2*J2227/(2*J2227+L2227+K2227)</f>
        <v>0</v>
      </c>
      <c r="Q2227" s="11" t="n">
        <f aca="false">L2227/(L2227+M2227)</f>
        <v>0</v>
      </c>
      <c r="R2227" s="6" t="n">
        <v>0</v>
      </c>
      <c r="S2227" s="11"/>
      <c r="T2227" s="11" t="n">
        <v>0</v>
      </c>
      <c r="U2227" s="11" t="n">
        <v>0.8</v>
      </c>
      <c r="V2227" s="11" t="n">
        <v>0.8</v>
      </c>
    </row>
    <row r="2228" customFormat="false" ht="15" hidden="false" customHeight="false" outlineLevel="0" collapsed="false">
      <c r="A2228" s="6" t="s">
        <v>42</v>
      </c>
      <c r="B2228" s="6" t="s">
        <v>43</v>
      </c>
      <c r="C2228" s="6" t="s">
        <v>44</v>
      </c>
      <c r="D2228" s="6" t="s">
        <v>114</v>
      </c>
      <c r="E2228" s="6" t="n">
        <v>16</v>
      </c>
      <c r="F2228" s="6" t="n">
        <v>3</v>
      </c>
      <c r="G2228" s="6" t="s">
        <v>72</v>
      </c>
      <c r="H2228" s="11" t="n">
        <v>0.001</v>
      </c>
      <c r="I2228" s="6" t="n">
        <v>20</v>
      </c>
      <c r="J2228" s="6" t="n">
        <v>0</v>
      </c>
      <c r="K2228" s="6" t="n">
        <v>20</v>
      </c>
      <c r="L2228" s="6" t="n">
        <v>0</v>
      </c>
      <c r="M2228" s="6" t="n">
        <v>20</v>
      </c>
      <c r="N2228" s="11" t="n">
        <f aca="false">J2228/(J2228+K2228)</f>
        <v>0</v>
      </c>
      <c r="O2228" s="11" t="str">
        <f aca="false">IF(J2228+L2228=0,"",J2228/(J2228+L2228))</f>
        <v/>
      </c>
      <c r="P2228" s="11" t="n">
        <f aca="false">2*J2228/(2*J2228+L2228+K2228)</f>
        <v>0</v>
      </c>
      <c r="Q2228" s="11" t="n">
        <f aca="false">L2228/(L2228+M2228)</f>
        <v>0</v>
      </c>
      <c r="R2228" s="6" t="n">
        <v>0</v>
      </c>
      <c r="S2228" s="11"/>
      <c r="T2228" s="11" t="n">
        <v>0</v>
      </c>
      <c r="U2228" s="11" t="n">
        <v>0.9</v>
      </c>
      <c r="V2228" s="11" t="n">
        <v>0.9</v>
      </c>
    </row>
    <row r="2229" customFormat="false" ht="15" hidden="false" customHeight="false" outlineLevel="0" collapsed="false">
      <c r="A2229" s="6" t="s">
        <v>42</v>
      </c>
      <c r="B2229" s="6" t="s">
        <v>43</v>
      </c>
      <c r="C2229" s="6" t="s">
        <v>44</v>
      </c>
      <c r="D2229" s="6" t="s">
        <v>114</v>
      </c>
      <c r="E2229" s="6" t="n">
        <v>16</v>
      </c>
      <c r="F2229" s="6" t="n">
        <v>3</v>
      </c>
      <c r="G2229" s="6" t="s">
        <v>73</v>
      </c>
      <c r="H2229" s="11" t="n">
        <v>0.001</v>
      </c>
      <c r="I2229" s="6" t="n">
        <v>20</v>
      </c>
      <c r="J2229" s="6" t="n">
        <v>0</v>
      </c>
      <c r="K2229" s="6" t="n">
        <v>20</v>
      </c>
      <c r="L2229" s="6" t="n">
        <v>0</v>
      </c>
      <c r="M2229" s="6" t="n">
        <v>20</v>
      </c>
      <c r="N2229" s="11" t="n">
        <f aca="false">J2229/(J2229+K2229)</f>
        <v>0</v>
      </c>
      <c r="O2229" s="11" t="str">
        <f aca="false">IF(J2229+L2229=0,"",J2229/(J2229+L2229))</f>
        <v/>
      </c>
      <c r="P2229" s="11" t="n">
        <f aca="false">2*J2229/(2*J2229+L2229+K2229)</f>
        <v>0</v>
      </c>
      <c r="Q2229" s="11" t="n">
        <f aca="false">L2229/(L2229+M2229)</f>
        <v>0</v>
      </c>
      <c r="R2229" s="6" t="n">
        <v>0</v>
      </c>
      <c r="S2229" s="11"/>
      <c r="T2229" s="11" t="n">
        <v>0</v>
      </c>
      <c r="U2229" s="11" t="n">
        <v>0.65</v>
      </c>
      <c r="V2229" s="11" t="n">
        <v>0.65</v>
      </c>
    </row>
    <row r="2230" customFormat="false" ht="15" hidden="false" customHeight="false" outlineLevel="0" collapsed="false">
      <c r="A2230" s="6" t="s">
        <v>42</v>
      </c>
      <c r="B2230" s="6" t="s">
        <v>43</v>
      </c>
      <c r="C2230" s="6" t="s">
        <v>44</v>
      </c>
      <c r="D2230" s="6" t="s">
        <v>114</v>
      </c>
      <c r="E2230" s="6" t="n">
        <v>16</v>
      </c>
      <c r="F2230" s="6" t="n">
        <v>3</v>
      </c>
      <c r="G2230" s="6" t="s">
        <v>74</v>
      </c>
      <c r="H2230" s="11" t="n">
        <v>0.001</v>
      </c>
      <c r="I2230" s="6" t="n">
        <v>20</v>
      </c>
      <c r="J2230" s="6" t="n">
        <v>0</v>
      </c>
      <c r="K2230" s="6" t="n">
        <v>20</v>
      </c>
      <c r="L2230" s="6" t="n">
        <v>0</v>
      </c>
      <c r="M2230" s="6" t="n">
        <v>20</v>
      </c>
      <c r="N2230" s="11" t="n">
        <f aca="false">J2230/(J2230+K2230)</f>
        <v>0</v>
      </c>
      <c r="O2230" s="11" t="str">
        <f aca="false">IF(J2230+L2230=0,"",J2230/(J2230+L2230))</f>
        <v/>
      </c>
      <c r="P2230" s="11" t="n">
        <f aca="false">2*J2230/(2*J2230+L2230+K2230)</f>
        <v>0</v>
      </c>
      <c r="Q2230" s="11" t="n">
        <f aca="false">L2230/(L2230+M2230)</f>
        <v>0</v>
      </c>
      <c r="R2230" s="6" t="n">
        <v>2</v>
      </c>
      <c r="S2230" s="11" t="n">
        <v>0</v>
      </c>
      <c r="T2230" s="11" t="n">
        <v>0</v>
      </c>
      <c r="U2230" s="11" t="n">
        <v>0.85</v>
      </c>
      <c r="V2230" s="11" t="n">
        <v>0.9</v>
      </c>
    </row>
    <row r="2231" customFormat="false" ht="15" hidden="false" customHeight="false" outlineLevel="0" collapsed="false">
      <c r="A2231" s="6" t="s">
        <v>42</v>
      </c>
      <c r="B2231" s="6" t="s">
        <v>43</v>
      </c>
      <c r="C2231" s="6" t="s">
        <v>44</v>
      </c>
      <c r="D2231" s="6" t="s">
        <v>114</v>
      </c>
      <c r="E2231" s="6" t="n">
        <v>16</v>
      </c>
      <c r="F2231" s="6" t="n">
        <v>3</v>
      </c>
      <c r="G2231" s="6" t="s">
        <v>75</v>
      </c>
      <c r="H2231" s="11" t="n">
        <v>0.001</v>
      </c>
      <c r="I2231" s="6" t="n">
        <v>20</v>
      </c>
      <c r="J2231" s="6" t="n">
        <v>0</v>
      </c>
      <c r="K2231" s="6" t="n">
        <v>20</v>
      </c>
      <c r="L2231" s="6" t="n">
        <v>0</v>
      </c>
      <c r="M2231" s="6" t="n">
        <v>20</v>
      </c>
      <c r="N2231" s="11" t="n">
        <f aca="false">J2231/(J2231+K2231)</f>
        <v>0</v>
      </c>
      <c r="O2231" s="11" t="str">
        <f aca="false">IF(J2231+L2231=0,"",J2231/(J2231+L2231))</f>
        <v/>
      </c>
      <c r="P2231" s="11" t="n">
        <f aca="false">2*J2231/(2*J2231+L2231+K2231)</f>
        <v>0</v>
      </c>
      <c r="Q2231" s="11" t="n">
        <f aca="false">L2231/(L2231+M2231)</f>
        <v>0</v>
      </c>
      <c r="R2231" s="6" t="n">
        <v>1</v>
      </c>
      <c r="S2231" s="11" t="n">
        <v>0</v>
      </c>
      <c r="T2231" s="11" t="n">
        <v>0</v>
      </c>
      <c r="U2231" s="11" t="n">
        <v>0.9</v>
      </c>
      <c r="V2231" s="11" t="n">
        <v>0.95</v>
      </c>
    </row>
    <row r="2232" customFormat="false" ht="15" hidden="false" customHeight="false" outlineLevel="0" collapsed="false">
      <c r="A2232" s="6" t="s">
        <v>42</v>
      </c>
      <c r="B2232" s="6" t="s">
        <v>43</v>
      </c>
      <c r="C2232" s="6" t="s">
        <v>44</v>
      </c>
      <c r="D2232" s="6" t="s">
        <v>114</v>
      </c>
      <c r="E2232" s="6" t="n">
        <v>16</v>
      </c>
      <c r="F2232" s="6" t="n">
        <v>3</v>
      </c>
      <c r="G2232" s="6" t="s">
        <v>76</v>
      </c>
      <c r="H2232" s="11" t="n">
        <v>0.001</v>
      </c>
      <c r="I2232" s="6" t="n">
        <v>20</v>
      </c>
      <c r="J2232" s="6" t="n">
        <v>0</v>
      </c>
      <c r="K2232" s="6" t="n">
        <v>20</v>
      </c>
      <c r="L2232" s="6" t="n">
        <v>0</v>
      </c>
      <c r="M2232" s="6" t="n">
        <v>20</v>
      </c>
      <c r="N2232" s="11" t="n">
        <f aca="false">J2232/(J2232+K2232)</f>
        <v>0</v>
      </c>
      <c r="O2232" s="11" t="str">
        <f aca="false">IF(J2232+L2232=0,"",J2232/(J2232+L2232))</f>
        <v/>
      </c>
      <c r="P2232" s="11" t="n">
        <f aca="false">2*J2232/(2*J2232+L2232+K2232)</f>
        <v>0</v>
      </c>
      <c r="Q2232" s="11" t="n">
        <f aca="false">L2232/(L2232+M2232)</f>
        <v>0</v>
      </c>
      <c r="R2232" s="6" t="n">
        <v>0</v>
      </c>
      <c r="S2232" s="11"/>
      <c r="T2232" s="11" t="n">
        <v>0</v>
      </c>
      <c r="U2232" s="11" t="n">
        <v>0.95</v>
      </c>
      <c r="V2232" s="11" t="n">
        <v>0.95</v>
      </c>
    </row>
    <row r="2233" customFormat="false" ht="15" hidden="false" customHeight="false" outlineLevel="0" collapsed="false">
      <c r="A2233" s="6" t="s">
        <v>42</v>
      </c>
      <c r="B2233" s="6" t="s">
        <v>43</v>
      </c>
      <c r="C2233" s="6" t="s">
        <v>44</v>
      </c>
      <c r="D2233" s="6" t="s">
        <v>114</v>
      </c>
      <c r="E2233" s="6" t="n">
        <v>16</v>
      </c>
      <c r="F2233" s="6" t="n">
        <v>3</v>
      </c>
      <c r="G2233" s="6" t="s">
        <v>77</v>
      </c>
      <c r="H2233" s="11" t="n">
        <v>0.001</v>
      </c>
      <c r="I2233" s="6" t="n">
        <v>20</v>
      </c>
      <c r="J2233" s="6" t="n">
        <v>0</v>
      </c>
      <c r="K2233" s="6" t="n">
        <v>20</v>
      </c>
      <c r="L2233" s="6" t="n">
        <v>0</v>
      </c>
      <c r="M2233" s="6" t="n">
        <v>20</v>
      </c>
      <c r="N2233" s="11" t="n">
        <f aca="false">J2233/(J2233+K2233)</f>
        <v>0</v>
      </c>
      <c r="O2233" s="11" t="str">
        <f aca="false">IF(J2233+L2233=0,"",J2233/(J2233+L2233))</f>
        <v/>
      </c>
      <c r="P2233" s="11" t="n">
        <f aca="false">2*J2233/(2*J2233+L2233+K2233)</f>
        <v>0</v>
      </c>
      <c r="Q2233" s="11" t="n">
        <f aca="false">L2233/(L2233+M2233)</f>
        <v>0</v>
      </c>
      <c r="R2233" s="6" t="n">
        <v>0</v>
      </c>
      <c r="S2233" s="11"/>
      <c r="T2233" s="11" t="n">
        <v>0</v>
      </c>
      <c r="U2233" s="11" t="n">
        <v>1</v>
      </c>
      <c r="V2233" s="11" t="n">
        <v>1</v>
      </c>
    </row>
    <row r="2234" customFormat="false" ht="15" hidden="false" customHeight="false" outlineLevel="0" collapsed="false">
      <c r="A2234" s="6" t="s">
        <v>42</v>
      </c>
      <c r="B2234" s="6" t="s">
        <v>43</v>
      </c>
      <c r="C2234" s="6" t="s">
        <v>44</v>
      </c>
      <c r="D2234" s="6" t="s">
        <v>114</v>
      </c>
      <c r="E2234" s="6" t="n">
        <v>16</v>
      </c>
      <c r="F2234" s="6" t="n">
        <v>3</v>
      </c>
      <c r="G2234" s="6" t="s">
        <v>78</v>
      </c>
      <c r="H2234" s="11" t="n">
        <v>0.001</v>
      </c>
      <c r="I2234" s="6" t="n">
        <v>200</v>
      </c>
      <c r="J2234" s="6" t="n">
        <v>0</v>
      </c>
      <c r="K2234" s="6" t="n">
        <v>200</v>
      </c>
      <c r="L2234" s="6" t="n">
        <v>0</v>
      </c>
      <c r="M2234" s="6" t="n">
        <v>200</v>
      </c>
      <c r="N2234" s="11" t="n">
        <f aca="false">J2234/(J2234+K2234)</f>
        <v>0</v>
      </c>
      <c r="O2234" s="11" t="str">
        <f aca="false">IF(J2234+L2234=0,"",J2234/(J2234+L2234))</f>
        <v/>
      </c>
      <c r="P2234" s="11" t="n">
        <f aca="false">2*J2234/(2*J2234+L2234+K2234)</f>
        <v>0</v>
      </c>
      <c r="Q2234" s="11" t="n">
        <f aca="false">L2234/(L2234+M2234)</f>
        <v>0</v>
      </c>
      <c r="R2234" s="6" t="n">
        <v>4</v>
      </c>
      <c r="S2234" s="11" t="n">
        <v>0</v>
      </c>
      <c r="T2234" s="11" t="n">
        <v>0</v>
      </c>
      <c r="U2234" s="11" t="n">
        <v>0.88</v>
      </c>
      <c r="V2234" s="11" t="n">
        <v>0.89</v>
      </c>
    </row>
    <row r="2235" customFormat="false" ht="15" hidden="false" customHeight="false" outlineLevel="0" collapsed="false">
      <c r="A2235" s="6" t="s">
        <v>42</v>
      </c>
      <c r="B2235" s="6" t="s">
        <v>43</v>
      </c>
      <c r="C2235" s="6" t="s">
        <v>44</v>
      </c>
      <c r="D2235" s="6" t="s">
        <v>114</v>
      </c>
      <c r="E2235" s="6" t="n">
        <v>16</v>
      </c>
      <c r="F2235" s="6" t="n">
        <v>4</v>
      </c>
      <c r="G2235" s="6" t="s">
        <v>68</v>
      </c>
      <c r="H2235" s="11" t="n">
        <v>0.001</v>
      </c>
      <c r="I2235" s="6" t="n">
        <v>20</v>
      </c>
      <c r="J2235" s="6" t="n">
        <v>0</v>
      </c>
      <c r="K2235" s="6" t="n">
        <v>20</v>
      </c>
      <c r="L2235" s="6" t="n">
        <v>0</v>
      </c>
      <c r="M2235" s="6" t="n">
        <v>20</v>
      </c>
      <c r="N2235" s="11" t="n">
        <f aca="false">J2235/(J2235+K2235)</f>
        <v>0</v>
      </c>
      <c r="O2235" s="11" t="str">
        <f aca="false">IF(J2235+L2235=0,"",J2235/(J2235+L2235))</f>
        <v/>
      </c>
      <c r="P2235" s="11" t="n">
        <f aca="false">2*J2235/(2*J2235+L2235+K2235)</f>
        <v>0</v>
      </c>
      <c r="Q2235" s="11" t="n">
        <f aca="false">L2235/(L2235+M2235)</f>
        <v>0</v>
      </c>
      <c r="R2235" s="6" t="n">
        <v>0</v>
      </c>
      <c r="S2235" s="11"/>
      <c r="T2235" s="11" t="n">
        <v>0</v>
      </c>
      <c r="U2235" s="11" t="n">
        <v>0.85</v>
      </c>
      <c r="V2235" s="11" t="n">
        <v>0.85</v>
      </c>
    </row>
    <row r="2236" customFormat="false" ht="15" hidden="false" customHeight="false" outlineLevel="0" collapsed="false">
      <c r="A2236" s="6" t="s">
        <v>42</v>
      </c>
      <c r="B2236" s="6" t="s">
        <v>43</v>
      </c>
      <c r="C2236" s="6" t="s">
        <v>44</v>
      </c>
      <c r="D2236" s="6" t="s">
        <v>114</v>
      </c>
      <c r="E2236" s="6" t="n">
        <v>16</v>
      </c>
      <c r="F2236" s="6" t="n">
        <v>4</v>
      </c>
      <c r="G2236" s="6" t="s">
        <v>69</v>
      </c>
      <c r="H2236" s="11" t="n">
        <v>0.001</v>
      </c>
      <c r="I2236" s="6" t="n">
        <v>20</v>
      </c>
      <c r="J2236" s="6" t="n">
        <v>0</v>
      </c>
      <c r="K2236" s="6" t="n">
        <v>20</v>
      </c>
      <c r="L2236" s="6" t="n">
        <v>0</v>
      </c>
      <c r="M2236" s="6" t="n">
        <v>20</v>
      </c>
      <c r="N2236" s="11" t="n">
        <f aca="false">J2236/(J2236+K2236)</f>
        <v>0</v>
      </c>
      <c r="O2236" s="11" t="str">
        <f aca="false">IF(J2236+L2236=0,"",J2236/(J2236+L2236))</f>
        <v/>
      </c>
      <c r="P2236" s="11" t="n">
        <f aca="false">2*J2236/(2*J2236+L2236+K2236)</f>
        <v>0</v>
      </c>
      <c r="Q2236" s="11" t="n">
        <f aca="false">L2236/(L2236+M2236)</f>
        <v>0</v>
      </c>
      <c r="R2236" s="6" t="n">
        <v>0</v>
      </c>
      <c r="S2236" s="11"/>
      <c r="T2236" s="11" t="n">
        <v>0</v>
      </c>
      <c r="U2236" s="11" t="n">
        <v>1</v>
      </c>
      <c r="V2236" s="11" t="n">
        <v>1</v>
      </c>
    </row>
    <row r="2237" customFormat="false" ht="15" hidden="false" customHeight="false" outlineLevel="0" collapsed="false">
      <c r="A2237" s="6" t="s">
        <v>42</v>
      </c>
      <c r="B2237" s="6" t="s">
        <v>43</v>
      </c>
      <c r="C2237" s="6" t="s">
        <v>44</v>
      </c>
      <c r="D2237" s="6" t="s">
        <v>114</v>
      </c>
      <c r="E2237" s="6" t="n">
        <v>16</v>
      </c>
      <c r="F2237" s="6" t="n">
        <v>4</v>
      </c>
      <c r="G2237" s="6" t="s">
        <v>70</v>
      </c>
      <c r="H2237" s="11" t="n">
        <v>0.001</v>
      </c>
      <c r="I2237" s="6" t="n">
        <v>20</v>
      </c>
      <c r="J2237" s="6" t="n">
        <v>0</v>
      </c>
      <c r="K2237" s="6" t="n">
        <v>20</v>
      </c>
      <c r="L2237" s="6" t="n">
        <v>0</v>
      </c>
      <c r="M2237" s="6" t="n">
        <v>20</v>
      </c>
      <c r="N2237" s="11" t="n">
        <f aca="false">J2237/(J2237+K2237)</f>
        <v>0</v>
      </c>
      <c r="O2237" s="11" t="str">
        <f aca="false">IF(J2237+L2237=0,"",J2237/(J2237+L2237))</f>
        <v/>
      </c>
      <c r="P2237" s="11" t="n">
        <f aca="false">2*J2237/(2*J2237+L2237+K2237)</f>
        <v>0</v>
      </c>
      <c r="Q2237" s="11" t="n">
        <f aca="false">L2237/(L2237+M2237)</f>
        <v>0</v>
      </c>
      <c r="R2237" s="6" t="n">
        <v>0</v>
      </c>
      <c r="S2237" s="11"/>
      <c r="T2237" s="11" t="n">
        <v>0</v>
      </c>
      <c r="U2237" s="11" t="n">
        <v>0.9</v>
      </c>
      <c r="V2237" s="11" t="n">
        <v>0.9</v>
      </c>
    </row>
    <row r="2238" customFormat="false" ht="15" hidden="false" customHeight="false" outlineLevel="0" collapsed="false">
      <c r="A2238" s="6" t="s">
        <v>42</v>
      </c>
      <c r="B2238" s="6" t="s">
        <v>43</v>
      </c>
      <c r="C2238" s="6" t="s">
        <v>44</v>
      </c>
      <c r="D2238" s="6" t="s">
        <v>114</v>
      </c>
      <c r="E2238" s="6" t="n">
        <v>16</v>
      </c>
      <c r="F2238" s="6" t="n">
        <v>4</v>
      </c>
      <c r="G2238" s="6" t="s">
        <v>71</v>
      </c>
      <c r="H2238" s="11" t="n">
        <v>0.001</v>
      </c>
      <c r="I2238" s="6" t="n">
        <v>20</v>
      </c>
      <c r="J2238" s="6" t="n">
        <v>0</v>
      </c>
      <c r="K2238" s="6" t="n">
        <v>20</v>
      </c>
      <c r="L2238" s="6" t="n">
        <v>0</v>
      </c>
      <c r="M2238" s="6" t="n">
        <v>20</v>
      </c>
      <c r="N2238" s="11" t="n">
        <f aca="false">J2238/(J2238+K2238)</f>
        <v>0</v>
      </c>
      <c r="O2238" s="11" t="str">
        <f aca="false">IF(J2238+L2238=0,"",J2238/(J2238+L2238))</f>
        <v/>
      </c>
      <c r="P2238" s="11" t="n">
        <f aca="false">2*J2238/(2*J2238+L2238+K2238)</f>
        <v>0</v>
      </c>
      <c r="Q2238" s="11" t="n">
        <f aca="false">L2238/(L2238+M2238)</f>
        <v>0</v>
      </c>
      <c r="R2238" s="6" t="n">
        <v>0</v>
      </c>
      <c r="S2238" s="11"/>
      <c r="T2238" s="11" t="n">
        <v>0</v>
      </c>
      <c r="U2238" s="11" t="n">
        <v>0.8</v>
      </c>
      <c r="V2238" s="11" t="n">
        <v>0.8</v>
      </c>
    </row>
    <row r="2239" customFormat="false" ht="15" hidden="false" customHeight="false" outlineLevel="0" collapsed="false">
      <c r="A2239" s="6" t="s">
        <v>42</v>
      </c>
      <c r="B2239" s="6" t="s">
        <v>43</v>
      </c>
      <c r="C2239" s="6" t="s">
        <v>44</v>
      </c>
      <c r="D2239" s="6" t="s">
        <v>114</v>
      </c>
      <c r="E2239" s="6" t="n">
        <v>16</v>
      </c>
      <c r="F2239" s="6" t="n">
        <v>4</v>
      </c>
      <c r="G2239" s="6" t="s">
        <v>72</v>
      </c>
      <c r="H2239" s="11" t="n">
        <v>0.001</v>
      </c>
      <c r="I2239" s="6" t="n">
        <v>20</v>
      </c>
      <c r="J2239" s="6" t="n">
        <v>0</v>
      </c>
      <c r="K2239" s="6" t="n">
        <v>20</v>
      </c>
      <c r="L2239" s="6" t="n">
        <v>0</v>
      </c>
      <c r="M2239" s="6" t="n">
        <v>20</v>
      </c>
      <c r="N2239" s="11" t="n">
        <f aca="false">J2239/(J2239+K2239)</f>
        <v>0</v>
      </c>
      <c r="O2239" s="11" t="str">
        <f aca="false">IF(J2239+L2239=0,"",J2239/(J2239+L2239))</f>
        <v/>
      </c>
      <c r="P2239" s="11" t="n">
        <f aca="false">2*J2239/(2*J2239+L2239+K2239)</f>
        <v>0</v>
      </c>
      <c r="Q2239" s="11" t="n">
        <f aca="false">L2239/(L2239+M2239)</f>
        <v>0</v>
      </c>
      <c r="R2239" s="6" t="n">
        <v>0</v>
      </c>
      <c r="S2239" s="11"/>
      <c r="T2239" s="11" t="n">
        <v>0</v>
      </c>
      <c r="U2239" s="11" t="n">
        <v>0.9</v>
      </c>
      <c r="V2239" s="11" t="n">
        <v>0.9</v>
      </c>
    </row>
    <row r="2240" customFormat="false" ht="15" hidden="false" customHeight="false" outlineLevel="0" collapsed="false">
      <c r="A2240" s="6" t="s">
        <v>42</v>
      </c>
      <c r="B2240" s="6" t="s">
        <v>43</v>
      </c>
      <c r="C2240" s="6" t="s">
        <v>44</v>
      </c>
      <c r="D2240" s="6" t="s">
        <v>114</v>
      </c>
      <c r="E2240" s="6" t="n">
        <v>16</v>
      </c>
      <c r="F2240" s="6" t="n">
        <v>4</v>
      </c>
      <c r="G2240" s="6" t="s">
        <v>73</v>
      </c>
      <c r="H2240" s="11" t="n">
        <v>0.001</v>
      </c>
      <c r="I2240" s="6" t="n">
        <v>20</v>
      </c>
      <c r="J2240" s="6" t="n">
        <v>0</v>
      </c>
      <c r="K2240" s="6" t="n">
        <v>20</v>
      </c>
      <c r="L2240" s="6" t="n">
        <v>0</v>
      </c>
      <c r="M2240" s="6" t="n">
        <v>20</v>
      </c>
      <c r="N2240" s="11" t="n">
        <f aca="false">J2240/(J2240+K2240)</f>
        <v>0</v>
      </c>
      <c r="O2240" s="11" t="str">
        <f aca="false">IF(J2240+L2240=0,"",J2240/(J2240+L2240))</f>
        <v/>
      </c>
      <c r="P2240" s="11" t="n">
        <f aca="false">2*J2240/(2*J2240+L2240+K2240)</f>
        <v>0</v>
      </c>
      <c r="Q2240" s="11" t="n">
        <f aca="false">L2240/(L2240+M2240)</f>
        <v>0</v>
      </c>
      <c r="R2240" s="6" t="n">
        <v>2</v>
      </c>
      <c r="S2240" s="11" t="n">
        <v>0</v>
      </c>
      <c r="T2240" s="11" t="n">
        <v>0</v>
      </c>
      <c r="U2240" s="11" t="n">
        <v>0.65</v>
      </c>
      <c r="V2240" s="11" t="n">
        <v>0.65</v>
      </c>
    </row>
    <row r="2241" customFormat="false" ht="15" hidden="false" customHeight="false" outlineLevel="0" collapsed="false">
      <c r="A2241" s="6" t="s">
        <v>42</v>
      </c>
      <c r="B2241" s="6" t="s">
        <v>43</v>
      </c>
      <c r="C2241" s="6" t="s">
        <v>44</v>
      </c>
      <c r="D2241" s="6" t="s">
        <v>114</v>
      </c>
      <c r="E2241" s="6" t="n">
        <v>16</v>
      </c>
      <c r="F2241" s="6" t="n">
        <v>4</v>
      </c>
      <c r="G2241" s="6" t="s">
        <v>74</v>
      </c>
      <c r="H2241" s="11" t="n">
        <v>0.001</v>
      </c>
      <c r="I2241" s="6" t="n">
        <v>20</v>
      </c>
      <c r="J2241" s="6" t="n">
        <v>0</v>
      </c>
      <c r="K2241" s="6" t="n">
        <v>20</v>
      </c>
      <c r="L2241" s="6" t="n">
        <v>0</v>
      </c>
      <c r="M2241" s="6" t="n">
        <v>20</v>
      </c>
      <c r="N2241" s="11" t="n">
        <f aca="false">J2241/(J2241+K2241)</f>
        <v>0</v>
      </c>
      <c r="O2241" s="11" t="str">
        <f aca="false">IF(J2241+L2241=0,"",J2241/(J2241+L2241))</f>
        <v/>
      </c>
      <c r="P2241" s="11" t="n">
        <f aca="false">2*J2241/(2*J2241+L2241+K2241)</f>
        <v>0</v>
      </c>
      <c r="Q2241" s="11" t="n">
        <f aca="false">L2241/(L2241+M2241)</f>
        <v>0</v>
      </c>
      <c r="R2241" s="6" t="n">
        <v>2</v>
      </c>
      <c r="S2241" s="11" t="n">
        <v>0</v>
      </c>
      <c r="T2241" s="11" t="n">
        <v>0</v>
      </c>
      <c r="U2241" s="11" t="n">
        <v>0.85</v>
      </c>
      <c r="V2241" s="11" t="n">
        <v>0.75</v>
      </c>
    </row>
    <row r="2242" customFormat="false" ht="15" hidden="false" customHeight="false" outlineLevel="0" collapsed="false">
      <c r="A2242" s="6" t="s">
        <v>42</v>
      </c>
      <c r="B2242" s="6" t="s">
        <v>43</v>
      </c>
      <c r="C2242" s="6" t="s">
        <v>44</v>
      </c>
      <c r="D2242" s="6" t="s">
        <v>114</v>
      </c>
      <c r="E2242" s="6" t="n">
        <v>16</v>
      </c>
      <c r="F2242" s="6" t="n">
        <v>4</v>
      </c>
      <c r="G2242" s="6" t="s">
        <v>75</v>
      </c>
      <c r="H2242" s="11" t="n">
        <v>0.001</v>
      </c>
      <c r="I2242" s="6" t="n">
        <v>20</v>
      </c>
      <c r="J2242" s="6" t="n">
        <v>0</v>
      </c>
      <c r="K2242" s="6" t="n">
        <v>20</v>
      </c>
      <c r="L2242" s="6" t="n">
        <v>0</v>
      </c>
      <c r="M2242" s="6" t="n">
        <v>20</v>
      </c>
      <c r="N2242" s="11" t="n">
        <f aca="false">J2242/(J2242+K2242)</f>
        <v>0</v>
      </c>
      <c r="O2242" s="11" t="str">
        <f aca="false">IF(J2242+L2242=0,"",J2242/(J2242+L2242))</f>
        <v/>
      </c>
      <c r="P2242" s="11" t="n">
        <f aca="false">2*J2242/(2*J2242+L2242+K2242)</f>
        <v>0</v>
      </c>
      <c r="Q2242" s="11" t="n">
        <f aca="false">L2242/(L2242+M2242)</f>
        <v>0</v>
      </c>
      <c r="R2242" s="6" t="n">
        <v>0</v>
      </c>
      <c r="S2242" s="11"/>
      <c r="T2242" s="11" t="n">
        <v>0</v>
      </c>
      <c r="U2242" s="11" t="n">
        <v>0.9</v>
      </c>
      <c r="V2242" s="11" t="n">
        <v>0.9</v>
      </c>
    </row>
    <row r="2243" customFormat="false" ht="15" hidden="false" customHeight="false" outlineLevel="0" collapsed="false">
      <c r="A2243" s="6" t="s">
        <v>42</v>
      </c>
      <c r="B2243" s="6" t="s">
        <v>43</v>
      </c>
      <c r="C2243" s="6" t="s">
        <v>44</v>
      </c>
      <c r="D2243" s="6" t="s">
        <v>114</v>
      </c>
      <c r="E2243" s="6" t="n">
        <v>16</v>
      </c>
      <c r="F2243" s="6" t="n">
        <v>4</v>
      </c>
      <c r="G2243" s="6" t="s">
        <v>76</v>
      </c>
      <c r="H2243" s="11" t="n">
        <v>0.001</v>
      </c>
      <c r="I2243" s="6" t="n">
        <v>20</v>
      </c>
      <c r="J2243" s="6" t="n">
        <v>0</v>
      </c>
      <c r="K2243" s="6" t="n">
        <v>20</v>
      </c>
      <c r="L2243" s="6" t="n">
        <v>0</v>
      </c>
      <c r="M2243" s="6" t="n">
        <v>20</v>
      </c>
      <c r="N2243" s="11" t="n">
        <f aca="false">J2243/(J2243+K2243)</f>
        <v>0</v>
      </c>
      <c r="O2243" s="11" t="str">
        <f aca="false">IF(J2243+L2243=0,"",J2243/(J2243+L2243))</f>
        <v/>
      </c>
      <c r="P2243" s="11" t="n">
        <f aca="false">2*J2243/(2*J2243+L2243+K2243)</f>
        <v>0</v>
      </c>
      <c r="Q2243" s="11" t="n">
        <f aca="false">L2243/(L2243+M2243)</f>
        <v>0</v>
      </c>
      <c r="R2243" s="6" t="n">
        <v>0</v>
      </c>
      <c r="S2243" s="11"/>
      <c r="T2243" s="11" t="n">
        <v>0</v>
      </c>
      <c r="U2243" s="11" t="n">
        <v>0.95</v>
      </c>
      <c r="V2243" s="11" t="n">
        <v>0.95</v>
      </c>
    </row>
    <row r="2244" customFormat="false" ht="15" hidden="false" customHeight="false" outlineLevel="0" collapsed="false">
      <c r="A2244" s="6" t="s">
        <v>42</v>
      </c>
      <c r="B2244" s="6" t="s">
        <v>43</v>
      </c>
      <c r="C2244" s="6" t="s">
        <v>44</v>
      </c>
      <c r="D2244" s="6" t="s">
        <v>114</v>
      </c>
      <c r="E2244" s="6" t="n">
        <v>16</v>
      </c>
      <c r="F2244" s="6" t="n">
        <v>4</v>
      </c>
      <c r="G2244" s="6" t="s">
        <v>77</v>
      </c>
      <c r="H2244" s="11" t="n">
        <v>0.001</v>
      </c>
      <c r="I2244" s="6" t="n">
        <v>20</v>
      </c>
      <c r="J2244" s="6" t="n">
        <v>0</v>
      </c>
      <c r="K2244" s="6" t="n">
        <v>20</v>
      </c>
      <c r="L2244" s="6" t="n">
        <v>0</v>
      </c>
      <c r="M2244" s="6" t="n">
        <v>20</v>
      </c>
      <c r="N2244" s="11" t="n">
        <f aca="false">J2244/(J2244+K2244)</f>
        <v>0</v>
      </c>
      <c r="O2244" s="11" t="str">
        <f aca="false">IF(J2244+L2244=0,"",J2244/(J2244+L2244))</f>
        <v/>
      </c>
      <c r="P2244" s="11" t="n">
        <f aca="false">2*J2244/(2*J2244+L2244+K2244)</f>
        <v>0</v>
      </c>
      <c r="Q2244" s="11" t="n">
        <f aca="false">L2244/(L2244+M2244)</f>
        <v>0</v>
      </c>
      <c r="R2244" s="6" t="n">
        <v>0</v>
      </c>
      <c r="S2244" s="11"/>
      <c r="T2244" s="11" t="n">
        <v>0</v>
      </c>
      <c r="U2244" s="11" t="n">
        <v>1</v>
      </c>
      <c r="V2244" s="11" t="n">
        <v>1</v>
      </c>
    </row>
    <row r="2245" customFormat="false" ht="15" hidden="false" customHeight="false" outlineLevel="0" collapsed="false">
      <c r="A2245" s="6" t="s">
        <v>42</v>
      </c>
      <c r="B2245" s="6" t="s">
        <v>43</v>
      </c>
      <c r="C2245" s="6" t="s">
        <v>44</v>
      </c>
      <c r="D2245" s="6" t="s">
        <v>114</v>
      </c>
      <c r="E2245" s="6" t="n">
        <v>16</v>
      </c>
      <c r="F2245" s="6" t="n">
        <v>4</v>
      </c>
      <c r="G2245" s="6" t="s">
        <v>78</v>
      </c>
      <c r="H2245" s="11" t="n">
        <v>0.001</v>
      </c>
      <c r="I2245" s="6" t="n">
        <v>200</v>
      </c>
      <c r="J2245" s="6" t="n">
        <v>0</v>
      </c>
      <c r="K2245" s="6" t="n">
        <v>200</v>
      </c>
      <c r="L2245" s="6" t="n">
        <v>0</v>
      </c>
      <c r="M2245" s="6" t="n">
        <v>200</v>
      </c>
      <c r="N2245" s="11" t="n">
        <f aca="false">J2245/(J2245+K2245)</f>
        <v>0</v>
      </c>
      <c r="O2245" s="11" t="str">
        <f aca="false">IF(J2245+L2245=0,"",J2245/(J2245+L2245))</f>
        <v/>
      </c>
      <c r="P2245" s="11" t="n">
        <f aca="false">2*J2245/(2*J2245+L2245+K2245)</f>
        <v>0</v>
      </c>
      <c r="Q2245" s="11" t="n">
        <f aca="false">L2245/(L2245+M2245)</f>
        <v>0</v>
      </c>
      <c r="R2245" s="6" t="n">
        <v>4</v>
      </c>
      <c r="S2245" s="11" t="n">
        <v>0</v>
      </c>
      <c r="T2245" s="11" t="n">
        <v>0</v>
      </c>
      <c r="U2245" s="11" t="n">
        <v>0.88</v>
      </c>
      <c r="V2245" s="11" t="n">
        <v>0.87</v>
      </c>
    </row>
    <row r="2246" customFormat="false" ht="15" hidden="false" customHeight="false" outlineLevel="0" collapsed="false">
      <c r="A2246" s="6" t="s">
        <v>42</v>
      </c>
      <c r="B2246" s="6" t="s">
        <v>43</v>
      </c>
      <c r="C2246" s="6" t="s">
        <v>44</v>
      </c>
      <c r="D2246" s="6" t="s">
        <v>114</v>
      </c>
      <c r="E2246" s="6" t="n">
        <v>16</v>
      </c>
      <c r="F2246" s="6" t="n">
        <v>5</v>
      </c>
      <c r="G2246" s="6" t="s">
        <v>68</v>
      </c>
      <c r="H2246" s="11" t="n">
        <v>0.001</v>
      </c>
      <c r="I2246" s="6" t="n">
        <v>20</v>
      </c>
      <c r="J2246" s="6" t="n">
        <v>0</v>
      </c>
      <c r="K2246" s="6" t="n">
        <v>20</v>
      </c>
      <c r="L2246" s="6" t="n">
        <v>0</v>
      </c>
      <c r="M2246" s="6" t="n">
        <v>20</v>
      </c>
      <c r="N2246" s="11" t="n">
        <f aca="false">J2246/(J2246+K2246)</f>
        <v>0</v>
      </c>
      <c r="O2246" s="11" t="str">
        <f aca="false">IF(J2246+L2246=0,"",J2246/(J2246+L2246))</f>
        <v/>
      </c>
      <c r="P2246" s="11" t="n">
        <f aca="false">2*J2246/(2*J2246+L2246+K2246)</f>
        <v>0</v>
      </c>
      <c r="Q2246" s="11" t="n">
        <f aca="false">L2246/(L2246+M2246)</f>
        <v>0</v>
      </c>
      <c r="R2246" s="6" t="n">
        <v>2</v>
      </c>
      <c r="S2246" s="11" t="n">
        <v>0</v>
      </c>
      <c r="T2246" s="11" t="n">
        <v>0</v>
      </c>
      <c r="U2246" s="11" t="n">
        <v>0.85</v>
      </c>
      <c r="V2246" s="11" t="n">
        <v>0.85</v>
      </c>
    </row>
    <row r="2247" customFormat="false" ht="15" hidden="false" customHeight="false" outlineLevel="0" collapsed="false">
      <c r="A2247" s="6" t="s">
        <v>42</v>
      </c>
      <c r="B2247" s="6" t="s">
        <v>43</v>
      </c>
      <c r="C2247" s="6" t="s">
        <v>44</v>
      </c>
      <c r="D2247" s="6" t="s">
        <v>114</v>
      </c>
      <c r="E2247" s="6" t="n">
        <v>16</v>
      </c>
      <c r="F2247" s="6" t="n">
        <v>5</v>
      </c>
      <c r="G2247" s="6" t="s">
        <v>69</v>
      </c>
      <c r="H2247" s="11" t="n">
        <v>0.001</v>
      </c>
      <c r="I2247" s="6" t="n">
        <v>20</v>
      </c>
      <c r="J2247" s="6" t="n">
        <v>0</v>
      </c>
      <c r="K2247" s="6" t="n">
        <v>20</v>
      </c>
      <c r="L2247" s="6" t="n">
        <v>0</v>
      </c>
      <c r="M2247" s="6" t="n">
        <v>20</v>
      </c>
      <c r="N2247" s="11" t="n">
        <f aca="false">J2247/(J2247+K2247)</f>
        <v>0</v>
      </c>
      <c r="O2247" s="11" t="str">
        <f aca="false">IF(J2247+L2247=0,"",J2247/(J2247+L2247))</f>
        <v/>
      </c>
      <c r="P2247" s="11" t="n">
        <f aca="false">2*J2247/(2*J2247+L2247+K2247)</f>
        <v>0</v>
      </c>
      <c r="Q2247" s="11" t="n">
        <f aca="false">L2247/(L2247+M2247)</f>
        <v>0</v>
      </c>
      <c r="R2247" s="6" t="n">
        <v>0</v>
      </c>
      <c r="S2247" s="11"/>
      <c r="T2247" s="11" t="n">
        <v>0</v>
      </c>
      <c r="U2247" s="11" t="n">
        <v>1</v>
      </c>
      <c r="V2247" s="11" t="n">
        <v>1</v>
      </c>
    </row>
    <row r="2248" customFormat="false" ht="15" hidden="false" customHeight="false" outlineLevel="0" collapsed="false">
      <c r="A2248" s="6" t="s">
        <v>42</v>
      </c>
      <c r="B2248" s="6" t="s">
        <v>43</v>
      </c>
      <c r="C2248" s="6" t="s">
        <v>44</v>
      </c>
      <c r="D2248" s="6" t="s">
        <v>114</v>
      </c>
      <c r="E2248" s="6" t="n">
        <v>16</v>
      </c>
      <c r="F2248" s="6" t="n">
        <v>5</v>
      </c>
      <c r="G2248" s="6" t="s">
        <v>70</v>
      </c>
      <c r="H2248" s="11" t="n">
        <v>0.001</v>
      </c>
      <c r="I2248" s="6" t="n">
        <v>20</v>
      </c>
      <c r="J2248" s="6" t="n">
        <v>0</v>
      </c>
      <c r="K2248" s="6" t="n">
        <v>20</v>
      </c>
      <c r="L2248" s="6" t="n">
        <v>0</v>
      </c>
      <c r="M2248" s="6" t="n">
        <v>20</v>
      </c>
      <c r="N2248" s="11" t="n">
        <f aca="false">J2248/(J2248+K2248)</f>
        <v>0</v>
      </c>
      <c r="O2248" s="11" t="str">
        <f aca="false">IF(J2248+L2248=0,"",J2248/(J2248+L2248))</f>
        <v/>
      </c>
      <c r="P2248" s="11" t="n">
        <f aca="false">2*J2248/(2*J2248+L2248+K2248)</f>
        <v>0</v>
      </c>
      <c r="Q2248" s="11" t="n">
        <f aca="false">L2248/(L2248+M2248)</f>
        <v>0</v>
      </c>
      <c r="R2248" s="6" t="n">
        <v>0</v>
      </c>
      <c r="S2248" s="11"/>
      <c r="T2248" s="11" t="n">
        <v>0</v>
      </c>
      <c r="U2248" s="11" t="n">
        <v>0.9</v>
      </c>
      <c r="V2248" s="11" t="n">
        <v>0.9</v>
      </c>
    </row>
    <row r="2249" customFormat="false" ht="15" hidden="false" customHeight="false" outlineLevel="0" collapsed="false">
      <c r="A2249" s="6" t="s">
        <v>42</v>
      </c>
      <c r="B2249" s="6" t="s">
        <v>43</v>
      </c>
      <c r="C2249" s="6" t="s">
        <v>44</v>
      </c>
      <c r="D2249" s="6" t="s">
        <v>114</v>
      </c>
      <c r="E2249" s="6" t="n">
        <v>16</v>
      </c>
      <c r="F2249" s="6" t="n">
        <v>5</v>
      </c>
      <c r="G2249" s="6" t="s">
        <v>71</v>
      </c>
      <c r="H2249" s="11" t="n">
        <v>0.001</v>
      </c>
      <c r="I2249" s="6" t="n">
        <v>20</v>
      </c>
      <c r="J2249" s="6" t="n">
        <v>0</v>
      </c>
      <c r="K2249" s="6" t="n">
        <v>20</v>
      </c>
      <c r="L2249" s="6" t="n">
        <v>0</v>
      </c>
      <c r="M2249" s="6" t="n">
        <v>20</v>
      </c>
      <c r="N2249" s="11" t="n">
        <f aca="false">J2249/(J2249+K2249)</f>
        <v>0</v>
      </c>
      <c r="O2249" s="11" t="str">
        <f aca="false">IF(J2249+L2249=0,"",J2249/(J2249+L2249))</f>
        <v/>
      </c>
      <c r="P2249" s="11" t="n">
        <f aca="false">2*J2249/(2*J2249+L2249+K2249)</f>
        <v>0</v>
      </c>
      <c r="Q2249" s="11" t="n">
        <f aca="false">L2249/(L2249+M2249)</f>
        <v>0</v>
      </c>
      <c r="R2249" s="6" t="n">
        <v>0</v>
      </c>
      <c r="S2249" s="11"/>
      <c r="T2249" s="11" t="n">
        <v>0</v>
      </c>
      <c r="U2249" s="11" t="n">
        <v>0.8</v>
      </c>
      <c r="V2249" s="11" t="n">
        <v>0.8</v>
      </c>
    </row>
    <row r="2250" customFormat="false" ht="15" hidden="false" customHeight="false" outlineLevel="0" collapsed="false">
      <c r="A2250" s="6" t="s">
        <v>42</v>
      </c>
      <c r="B2250" s="6" t="s">
        <v>43</v>
      </c>
      <c r="C2250" s="6" t="s">
        <v>44</v>
      </c>
      <c r="D2250" s="6" t="s">
        <v>114</v>
      </c>
      <c r="E2250" s="6" t="n">
        <v>16</v>
      </c>
      <c r="F2250" s="6" t="n">
        <v>5</v>
      </c>
      <c r="G2250" s="6" t="s">
        <v>72</v>
      </c>
      <c r="H2250" s="11" t="n">
        <v>0.001</v>
      </c>
      <c r="I2250" s="6" t="n">
        <v>20</v>
      </c>
      <c r="J2250" s="6" t="n">
        <v>0</v>
      </c>
      <c r="K2250" s="6" t="n">
        <v>20</v>
      </c>
      <c r="L2250" s="6" t="n">
        <v>0</v>
      </c>
      <c r="M2250" s="6" t="n">
        <v>20</v>
      </c>
      <c r="N2250" s="11" t="n">
        <f aca="false">J2250/(J2250+K2250)</f>
        <v>0</v>
      </c>
      <c r="O2250" s="11" t="str">
        <f aca="false">IF(J2250+L2250=0,"",J2250/(J2250+L2250))</f>
        <v/>
      </c>
      <c r="P2250" s="11" t="n">
        <f aca="false">2*J2250/(2*J2250+L2250+K2250)</f>
        <v>0</v>
      </c>
      <c r="Q2250" s="11" t="n">
        <f aca="false">L2250/(L2250+M2250)</f>
        <v>0</v>
      </c>
      <c r="R2250" s="6" t="n">
        <v>1</v>
      </c>
      <c r="S2250" s="11" t="n">
        <v>0</v>
      </c>
      <c r="T2250" s="11" t="n">
        <v>0</v>
      </c>
      <c r="U2250" s="11" t="n">
        <v>0.9</v>
      </c>
      <c r="V2250" s="11" t="n">
        <v>0.9</v>
      </c>
    </row>
    <row r="2251" customFormat="false" ht="15" hidden="false" customHeight="false" outlineLevel="0" collapsed="false">
      <c r="A2251" s="6" t="s">
        <v>42</v>
      </c>
      <c r="B2251" s="6" t="s">
        <v>43</v>
      </c>
      <c r="C2251" s="6" t="s">
        <v>44</v>
      </c>
      <c r="D2251" s="6" t="s">
        <v>114</v>
      </c>
      <c r="E2251" s="6" t="n">
        <v>16</v>
      </c>
      <c r="F2251" s="6" t="n">
        <v>5</v>
      </c>
      <c r="G2251" s="6" t="s">
        <v>73</v>
      </c>
      <c r="H2251" s="11" t="n">
        <v>0.001</v>
      </c>
      <c r="I2251" s="6" t="n">
        <v>20</v>
      </c>
      <c r="J2251" s="6" t="n">
        <v>0</v>
      </c>
      <c r="K2251" s="6" t="n">
        <v>20</v>
      </c>
      <c r="L2251" s="6" t="n">
        <v>0</v>
      </c>
      <c r="M2251" s="6" t="n">
        <v>20</v>
      </c>
      <c r="N2251" s="11" t="n">
        <f aca="false">J2251/(J2251+K2251)</f>
        <v>0</v>
      </c>
      <c r="O2251" s="11" t="str">
        <f aca="false">IF(J2251+L2251=0,"",J2251/(J2251+L2251))</f>
        <v/>
      </c>
      <c r="P2251" s="11" t="n">
        <f aca="false">2*J2251/(2*J2251+L2251+K2251)</f>
        <v>0</v>
      </c>
      <c r="Q2251" s="11" t="n">
        <f aca="false">L2251/(L2251+M2251)</f>
        <v>0</v>
      </c>
      <c r="R2251" s="6" t="n">
        <v>0</v>
      </c>
      <c r="S2251" s="11"/>
      <c r="T2251" s="11" t="n">
        <v>0</v>
      </c>
      <c r="U2251" s="11" t="n">
        <v>0.65</v>
      </c>
      <c r="V2251" s="11" t="n">
        <v>0.65</v>
      </c>
    </row>
    <row r="2252" customFormat="false" ht="15" hidden="false" customHeight="false" outlineLevel="0" collapsed="false">
      <c r="A2252" s="6" t="s">
        <v>42</v>
      </c>
      <c r="B2252" s="6" t="s">
        <v>43</v>
      </c>
      <c r="C2252" s="6" t="s">
        <v>44</v>
      </c>
      <c r="D2252" s="6" t="s">
        <v>114</v>
      </c>
      <c r="E2252" s="6" t="n">
        <v>16</v>
      </c>
      <c r="F2252" s="6" t="n">
        <v>5</v>
      </c>
      <c r="G2252" s="6" t="s">
        <v>74</v>
      </c>
      <c r="H2252" s="11" t="n">
        <v>0.001</v>
      </c>
      <c r="I2252" s="6" t="n">
        <v>20</v>
      </c>
      <c r="J2252" s="6" t="n">
        <v>0</v>
      </c>
      <c r="K2252" s="6" t="n">
        <v>20</v>
      </c>
      <c r="L2252" s="6" t="n">
        <v>0</v>
      </c>
      <c r="M2252" s="6" t="n">
        <v>20</v>
      </c>
      <c r="N2252" s="11" t="n">
        <f aca="false">J2252/(J2252+K2252)</f>
        <v>0</v>
      </c>
      <c r="O2252" s="11" t="str">
        <f aca="false">IF(J2252+L2252=0,"",J2252/(J2252+L2252))</f>
        <v/>
      </c>
      <c r="P2252" s="11" t="n">
        <f aca="false">2*J2252/(2*J2252+L2252+K2252)</f>
        <v>0</v>
      </c>
      <c r="Q2252" s="11" t="n">
        <f aca="false">L2252/(L2252+M2252)</f>
        <v>0</v>
      </c>
      <c r="R2252" s="6" t="n">
        <v>2</v>
      </c>
      <c r="S2252" s="11" t="n">
        <v>0</v>
      </c>
      <c r="T2252" s="11" t="n">
        <v>0</v>
      </c>
      <c r="U2252" s="11" t="n">
        <v>0.85</v>
      </c>
      <c r="V2252" s="11" t="n">
        <v>0.95</v>
      </c>
    </row>
    <row r="2253" customFormat="false" ht="15" hidden="false" customHeight="false" outlineLevel="0" collapsed="false">
      <c r="A2253" s="6" t="s">
        <v>42</v>
      </c>
      <c r="B2253" s="6" t="s">
        <v>43</v>
      </c>
      <c r="C2253" s="6" t="s">
        <v>44</v>
      </c>
      <c r="D2253" s="6" t="s">
        <v>114</v>
      </c>
      <c r="E2253" s="6" t="n">
        <v>16</v>
      </c>
      <c r="F2253" s="6" t="n">
        <v>5</v>
      </c>
      <c r="G2253" s="6" t="s">
        <v>75</v>
      </c>
      <c r="H2253" s="11" t="n">
        <v>0.001</v>
      </c>
      <c r="I2253" s="6" t="n">
        <v>20</v>
      </c>
      <c r="J2253" s="6" t="n">
        <v>0</v>
      </c>
      <c r="K2253" s="6" t="n">
        <v>20</v>
      </c>
      <c r="L2253" s="6" t="n">
        <v>0</v>
      </c>
      <c r="M2253" s="6" t="n">
        <v>20</v>
      </c>
      <c r="N2253" s="11" t="n">
        <f aca="false">J2253/(J2253+K2253)</f>
        <v>0</v>
      </c>
      <c r="O2253" s="11" t="str">
        <f aca="false">IF(J2253+L2253=0,"",J2253/(J2253+L2253))</f>
        <v/>
      </c>
      <c r="P2253" s="11" t="n">
        <f aca="false">2*J2253/(2*J2253+L2253+K2253)</f>
        <v>0</v>
      </c>
      <c r="Q2253" s="11" t="n">
        <f aca="false">L2253/(L2253+M2253)</f>
        <v>0</v>
      </c>
      <c r="R2253" s="6" t="n">
        <v>0</v>
      </c>
      <c r="S2253" s="11"/>
      <c r="T2253" s="11" t="n">
        <v>0</v>
      </c>
      <c r="U2253" s="11" t="n">
        <v>0.9</v>
      </c>
      <c r="V2253" s="11" t="n">
        <v>0.9</v>
      </c>
    </row>
    <row r="2254" customFormat="false" ht="15" hidden="false" customHeight="false" outlineLevel="0" collapsed="false">
      <c r="A2254" s="6" t="s">
        <v>42</v>
      </c>
      <c r="B2254" s="6" t="s">
        <v>43</v>
      </c>
      <c r="C2254" s="6" t="s">
        <v>44</v>
      </c>
      <c r="D2254" s="6" t="s">
        <v>114</v>
      </c>
      <c r="E2254" s="6" t="n">
        <v>16</v>
      </c>
      <c r="F2254" s="6" t="n">
        <v>5</v>
      </c>
      <c r="G2254" s="6" t="s">
        <v>76</v>
      </c>
      <c r="H2254" s="11" t="n">
        <v>0.001</v>
      </c>
      <c r="I2254" s="6" t="n">
        <v>20</v>
      </c>
      <c r="J2254" s="6" t="n">
        <v>0</v>
      </c>
      <c r="K2254" s="6" t="n">
        <v>20</v>
      </c>
      <c r="L2254" s="6" t="n">
        <v>0</v>
      </c>
      <c r="M2254" s="6" t="n">
        <v>20</v>
      </c>
      <c r="N2254" s="11" t="n">
        <f aca="false">J2254/(J2254+K2254)</f>
        <v>0</v>
      </c>
      <c r="O2254" s="11" t="str">
        <f aca="false">IF(J2254+L2254=0,"",J2254/(J2254+L2254))</f>
        <v/>
      </c>
      <c r="P2254" s="11" t="n">
        <f aca="false">2*J2254/(2*J2254+L2254+K2254)</f>
        <v>0</v>
      </c>
      <c r="Q2254" s="11" t="n">
        <f aca="false">L2254/(L2254+M2254)</f>
        <v>0</v>
      </c>
      <c r="R2254" s="6" t="n">
        <v>0</v>
      </c>
      <c r="S2254" s="11"/>
      <c r="T2254" s="11" t="n">
        <v>0</v>
      </c>
      <c r="U2254" s="11" t="n">
        <v>0.95</v>
      </c>
      <c r="V2254" s="11" t="n">
        <v>0.95</v>
      </c>
    </row>
    <row r="2255" customFormat="false" ht="15" hidden="false" customHeight="false" outlineLevel="0" collapsed="false">
      <c r="A2255" s="6" t="s">
        <v>42</v>
      </c>
      <c r="B2255" s="6" t="s">
        <v>43</v>
      </c>
      <c r="C2255" s="6" t="s">
        <v>44</v>
      </c>
      <c r="D2255" s="6" t="s">
        <v>114</v>
      </c>
      <c r="E2255" s="6" t="n">
        <v>16</v>
      </c>
      <c r="F2255" s="6" t="n">
        <v>5</v>
      </c>
      <c r="G2255" s="6" t="s">
        <v>77</v>
      </c>
      <c r="H2255" s="11" t="n">
        <v>0.001</v>
      </c>
      <c r="I2255" s="6" t="n">
        <v>20</v>
      </c>
      <c r="J2255" s="6" t="n">
        <v>0</v>
      </c>
      <c r="K2255" s="6" t="n">
        <v>20</v>
      </c>
      <c r="L2255" s="6" t="n">
        <v>0</v>
      </c>
      <c r="M2255" s="6" t="n">
        <v>20</v>
      </c>
      <c r="N2255" s="11" t="n">
        <f aca="false">J2255/(J2255+K2255)</f>
        <v>0</v>
      </c>
      <c r="O2255" s="11" t="str">
        <f aca="false">IF(J2255+L2255=0,"",J2255/(J2255+L2255))</f>
        <v/>
      </c>
      <c r="P2255" s="11" t="n">
        <f aca="false">2*J2255/(2*J2255+L2255+K2255)</f>
        <v>0</v>
      </c>
      <c r="Q2255" s="11" t="n">
        <f aca="false">L2255/(L2255+M2255)</f>
        <v>0</v>
      </c>
      <c r="R2255" s="6" t="n">
        <v>0</v>
      </c>
      <c r="S2255" s="11"/>
      <c r="T2255" s="11" t="n">
        <v>0</v>
      </c>
      <c r="U2255" s="11" t="n">
        <v>1</v>
      </c>
      <c r="V2255" s="11" t="n">
        <v>1</v>
      </c>
    </row>
    <row r="2256" customFormat="false" ht="15" hidden="false" customHeight="false" outlineLevel="0" collapsed="false">
      <c r="A2256" s="6" t="s">
        <v>42</v>
      </c>
      <c r="B2256" s="6" t="s">
        <v>43</v>
      </c>
      <c r="C2256" s="6" t="s">
        <v>44</v>
      </c>
      <c r="D2256" s="6" t="s">
        <v>114</v>
      </c>
      <c r="E2256" s="6" t="n">
        <v>16</v>
      </c>
      <c r="F2256" s="6" t="n">
        <v>5</v>
      </c>
      <c r="G2256" s="6" t="s">
        <v>78</v>
      </c>
      <c r="H2256" s="11" t="n">
        <v>0.001</v>
      </c>
      <c r="I2256" s="6" t="n">
        <v>200</v>
      </c>
      <c r="J2256" s="6" t="n">
        <v>0</v>
      </c>
      <c r="K2256" s="6" t="n">
        <v>200</v>
      </c>
      <c r="L2256" s="6" t="n">
        <v>0</v>
      </c>
      <c r="M2256" s="6" t="n">
        <v>200</v>
      </c>
      <c r="N2256" s="11" t="n">
        <f aca="false">J2256/(J2256+K2256)</f>
        <v>0</v>
      </c>
      <c r="O2256" s="11" t="str">
        <f aca="false">IF(J2256+L2256=0,"",J2256/(J2256+L2256))</f>
        <v/>
      </c>
      <c r="P2256" s="11" t="n">
        <f aca="false">2*J2256/(2*J2256+L2256+K2256)</f>
        <v>0</v>
      </c>
      <c r="Q2256" s="11" t="n">
        <f aca="false">L2256/(L2256+M2256)</f>
        <v>0</v>
      </c>
      <c r="R2256" s="6" t="n">
        <v>5</v>
      </c>
      <c r="S2256" s="11" t="n">
        <v>0</v>
      </c>
      <c r="T2256" s="11" t="n">
        <v>0</v>
      </c>
      <c r="U2256" s="11" t="n">
        <v>0.88</v>
      </c>
      <c r="V2256" s="11" t="n">
        <v>0.89</v>
      </c>
    </row>
    <row r="2257" customFormat="false" ht="15" hidden="false" customHeight="false" outlineLevel="0" collapsed="false">
      <c r="A2257" s="6" t="s">
        <v>42</v>
      </c>
      <c r="B2257" s="6" t="s">
        <v>43</v>
      </c>
      <c r="C2257" s="6" t="s">
        <v>44</v>
      </c>
      <c r="D2257" s="6" t="s">
        <v>114</v>
      </c>
      <c r="E2257" s="6" t="n">
        <v>16</v>
      </c>
      <c r="F2257" s="6" t="n">
        <v>6</v>
      </c>
      <c r="G2257" s="6" t="s">
        <v>68</v>
      </c>
      <c r="H2257" s="11" t="n">
        <v>0.001</v>
      </c>
      <c r="I2257" s="6" t="n">
        <v>20</v>
      </c>
      <c r="J2257" s="6" t="n">
        <v>0</v>
      </c>
      <c r="K2257" s="6" t="n">
        <v>20</v>
      </c>
      <c r="L2257" s="6" t="n">
        <v>0</v>
      </c>
      <c r="M2257" s="6" t="n">
        <v>20</v>
      </c>
      <c r="N2257" s="11" t="n">
        <f aca="false">J2257/(J2257+K2257)</f>
        <v>0</v>
      </c>
      <c r="O2257" s="11" t="str">
        <f aca="false">IF(J2257+L2257=0,"",J2257/(J2257+L2257))</f>
        <v/>
      </c>
      <c r="P2257" s="11" t="n">
        <f aca="false">2*J2257/(2*J2257+L2257+K2257)</f>
        <v>0</v>
      </c>
      <c r="Q2257" s="11" t="n">
        <f aca="false">L2257/(L2257+M2257)</f>
        <v>0</v>
      </c>
      <c r="R2257" s="6" t="n">
        <v>1</v>
      </c>
      <c r="S2257" s="11" t="n">
        <v>0</v>
      </c>
      <c r="T2257" s="11" t="n">
        <v>0</v>
      </c>
      <c r="U2257" s="11" t="n">
        <v>0.85</v>
      </c>
      <c r="V2257" s="11" t="n">
        <v>0.9</v>
      </c>
    </row>
    <row r="2258" customFormat="false" ht="15" hidden="false" customHeight="false" outlineLevel="0" collapsed="false">
      <c r="A2258" s="6" t="s">
        <v>42</v>
      </c>
      <c r="B2258" s="6" t="s">
        <v>43</v>
      </c>
      <c r="C2258" s="6" t="s">
        <v>44</v>
      </c>
      <c r="D2258" s="6" t="s">
        <v>114</v>
      </c>
      <c r="E2258" s="6" t="n">
        <v>16</v>
      </c>
      <c r="F2258" s="6" t="n">
        <v>6</v>
      </c>
      <c r="G2258" s="6" t="s">
        <v>69</v>
      </c>
      <c r="H2258" s="11" t="n">
        <v>0.001</v>
      </c>
      <c r="I2258" s="6" t="n">
        <v>20</v>
      </c>
      <c r="J2258" s="6" t="n">
        <v>0</v>
      </c>
      <c r="K2258" s="6" t="n">
        <v>20</v>
      </c>
      <c r="L2258" s="6" t="n">
        <v>0</v>
      </c>
      <c r="M2258" s="6" t="n">
        <v>20</v>
      </c>
      <c r="N2258" s="11" t="n">
        <f aca="false">J2258/(J2258+K2258)</f>
        <v>0</v>
      </c>
      <c r="O2258" s="11" t="str">
        <f aca="false">IF(J2258+L2258=0,"",J2258/(J2258+L2258))</f>
        <v/>
      </c>
      <c r="P2258" s="11" t="n">
        <f aca="false">2*J2258/(2*J2258+L2258+K2258)</f>
        <v>0</v>
      </c>
      <c r="Q2258" s="11" t="n">
        <f aca="false">L2258/(L2258+M2258)</f>
        <v>0</v>
      </c>
      <c r="R2258" s="6" t="n">
        <v>0</v>
      </c>
      <c r="S2258" s="11"/>
      <c r="T2258" s="11" t="n">
        <v>0</v>
      </c>
      <c r="U2258" s="11" t="n">
        <v>1</v>
      </c>
      <c r="V2258" s="11" t="n">
        <v>1</v>
      </c>
    </row>
    <row r="2259" customFormat="false" ht="15" hidden="false" customHeight="false" outlineLevel="0" collapsed="false">
      <c r="A2259" s="6" t="s">
        <v>42</v>
      </c>
      <c r="B2259" s="6" t="s">
        <v>43</v>
      </c>
      <c r="C2259" s="6" t="s">
        <v>44</v>
      </c>
      <c r="D2259" s="6" t="s">
        <v>114</v>
      </c>
      <c r="E2259" s="6" t="n">
        <v>16</v>
      </c>
      <c r="F2259" s="6" t="n">
        <v>6</v>
      </c>
      <c r="G2259" s="6" t="s">
        <v>70</v>
      </c>
      <c r="H2259" s="11" t="n">
        <v>0.001</v>
      </c>
      <c r="I2259" s="6" t="n">
        <v>20</v>
      </c>
      <c r="J2259" s="6" t="n">
        <v>0</v>
      </c>
      <c r="K2259" s="6" t="n">
        <v>20</v>
      </c>
      <c r="L2259" s="6" t="n">
        <v>0</v>
      </c>
      <c r="M2259" s="6" t="n">
        <v>20</v>
      </c>
      <c r="N2259" s="11" t="n">
        <f aca="false">J2259/(J2259+K2259)</f>
        <v>0</v>
      </c>
      <c r="O2259" s="11" t="str">
        <f aca="false">IF(J2259+L2259=0,"",J2259/(J2259+L2259))</f>
        <v/>
      </c>
      <c r="P2259" s="11" t="n">
        <f aca="false">2*J2259/(2*J2259+L2259+K2259)</f>
        <v>0</v>
      </c>
      <c r="Q2259" s="11" t="n">
        <f aca="false">L2259/(L2259+M2259)</f>
        <v>0</v>
      </c>
      <c r="R2259" s="6" t="n">
        <v>1</v>
      </c>
      <c r="S2259" s="11" t="n">
        <v>0</v>
      </c>
      <c r="T2259" s="11" t="n">
        <v>0</v>
      </c>
      <c r="U2259" s="11" t="n">
        <v>0.9</v>
      </c>
      <c r="V2259" s="11" t="n">
        <v>0.95</v>
      </c>
    </row>
    <row r="2260" customFormat="false" ht="15" hidden="false" customHeight="false" outlineLevel="0" collapsed="false">
      <c r="A2260" s="6" t="s">
        <v>42</v>
      </c>
      <c r="B2260" s="6" t="s">
        <v>43</v>
      </c>
      <c r="C2260" s="6" t="s">
        <v>44</v>
      </c>
      <c r="D2260" s="6" t="s">
        <v>114</v>
      </c>
      <c r="E2260" s="6" t="n">
        <v>16</v>
      </c>
      <c r="F2260" s="6" t="n">
        <v>6</v>
      </c>
      <c r="G2260" s="6" t="s">
        <v>71</v>
      </c>
      <c r="H2260" s="11" t="n">
        <v>0.001</v>
      </c>
      <c r="I2260" s="6" t="n">
        <v>20</v>
      </c>
      <c r="J2260" s="6" t="n">
        <v>0</v>
      </c>
      <c r="K2260" s="6" t="n">
        <v>20</v>
      </c>
      <c r="L2260" s="6" t="n">
        <v>0</v>
      </c>
      <c r="M2260" s="6" t="n">
        <v>20</v>
      </c>
      <c r="N2260" s="11" t="n">
        <f aca="false">J2260/(J2260+K2260)</f>
        <v>0</v>
      </c>
      <c r="O2260" s="11" t="str">
        <f aca="false">IF(J2260+L2260=0,"",J2260/(J2260+L2260))</f>
        <v/>
      </c>
      <c r="P2260" s="11" t="n">
        <f aca="false">2*J2260/(2*J2260+L2260+K2260)</f>
        <v>0</v>
      </c>
      <c r="Q2260" s="11" t="n">
        <f aca="false">L2260/(L2260+M2260)</f>
        <v>0</v>
      </c>
      <c r="R2260" s="6" t="n">
        <v>2</v>
      </c>
      <c r="S2260" s="11" t="n">
        <v>0</v>
      </c>
      <c r="T2260" s="11" t="n">
        <v>0</v>
      </c>
      <c r="U2260" s="11" t="n">
        <v>0.8</v>
      </c>
      <c r="V2260" s="11" t="n">
        <v>0.8</v>
      </c>
    </row>
    <row r="2261" customFormat="false" ht="15" hidden="false" customHeight="false" outlineLevel="0" collapsed="false">
      <c r="A2261" s="6" t="s">
        <v>42</v>
      </c>
      <c r="B2261" s="6" t="s">
        <v>43</v>
      </c>
      <c r="C2261" s="6" t="s">
        <v>44</v>
      </c>
      <c r="D2261" s="6" t="s">
        <v>114</v>
      </c>
      <c r="E2261" s="6" t="n">
        <v>16</v>
      </c>
      <c r="F2261" s="6" t="n">
        <v>6</v>
      </c>
      <c r="G2261" s="6" t="s">
        <v>72</v>
      </c>
      <c r="H2261" s="11" t="n">
        <v>0.001</v>
      </c>
      <c r="I2261" s="6" t="n">
        <v>20</v>
      </c>
      <c r="J2261" s="6" t="n">
        <v>0</v>
      </c>
      <c r="K2261" s="6" t="n">
        <v>20</v>
      </c>
      <c r="L2261" s="6" t="n">
        <v>0</v>
      </c>
      <c r="M2261" s="6" t="n">
        <v>20</v>
      </c>
      <c r="N2261" s="11" t="n">
        <f aca="false">J2261/(J2261+K2261)</f>
        <v>0</v>
      </c>
      <c r="O2261" s="11" t="str">
        <f aca="false">IF(J2261+L2261=0,"",J2261/(J2261+L2261))</f>
        <v/>
      </c>
      <c r="P2261" s="11" t="n">
        <f aca="false">2*J2261/(2*J2261+L2261+K2261)</f>
        <v>0</v>
      </c>
      <c r="Q2261" s="11" t="n">
        <f aca="false">L2261/(L2261+M2261)</f>
        <v>0</v>
      </c>
      <c r="R2261" s="6" t="n">
        <v>0</v>
      </c>
      <c r="S2261" s="11"/>
      <c r="T2261" s="11" t="n">
        <v>0</v>
      </c>
      <c r="U2261" s="11" t="n">
        <v>0.9</v>
      </c>
      <c r="V2261" s="11" t="n">
        <v>0.9</v>
      </c>
    </row>
    <row r="2262" customFormat="false" ht="15" hidden="false" customHeight="false" outlineLevel="0" collapsed="false">
      <c r="A2262" s="6" t="s">
        <v>42</v>
      </c>
      <c r="B2262" s="6" t="s">
        <v>43</v>
      </c>
      <c r="C2262" s="6" t="s">
        <v>44</v>
      </c>
      <c r="D2262" s="6" t="s">
        <v>114</v>
      </c>
      <c r="E2262" s="6" t="n">
        <v>16</v>
      </c>
      <c r="F2262" s="6" t="n">
        <v>6</v>
      </c>
      <c r="G2262" s="6" t="s">
        <v>73</v>
      </c>
      <c r="H2262" s="11" t="n">
        <v>0.001</v>
      </c>
      <c r="I2262" s="6" t="n">
        <v>20</v>
      </c>
      <c r="J2262" s="6" t="n">
        <v>0</v>
      </c>
      <c r="K2262" s="6" t="n">
        <v>20</v>
      </c>
      <c r="L2262" s="6" t="n">
        <v>0</v>
      </c>
      <c r="M2262" s="6" t="n">
        <v>20</v>
      </c>
      <c r="N2262" s="11" t="n">
        <f aca="false">J2262/(J2262+K2262)</f>
        <v>0</v>
      </c>
      <c r="O2262" s="11" t="str">
        <f aca="false">IF(J2262+L2262=0,"",J2262/(J2262+L2262))</f>
        <v/>
      </c>
      <c r="P2262" s="11" t="n">
        <f aca="false">2*J2262/(2*J2262+L2262+K2262)</f>
        <v>0</v>
      </c>
      <c r="Q2262" s="11" t="n">
        <f aca="false">L2262/(L2262+M2262)</f>
        <v>0</v>
      </c>
      <c r="R2262" s="6" t="n">
        <v>1</v>
      </c>
      <c r="S2262" s="11" t="n">
        <v>0</v>
      </c>
      <c r="T2262" s="11" t="n">
        <v>0</v>
      </c>
      <c r="U2262" s="11" t="n">
        <v>0.65</v>
      </c>
      <c r="V2262" s="11" t="n">
        <v>0.65</v>
      </c>
    </row>
    <row r="2263" customFormat="false" ht="15" hidden="false" customHeight="false" outlineLevel="0" collapsed="false">
      <c r="A2263" s="6" t="s">
        <v>42</v>
      </c>
      <c r="B2263" s="6" t="s">
        <v>43</v>
      </c>
      <c r="C2263" s="6" t="s">
        <v>44</v>
      </c>
      <c r="D2263" s="6" t="s">
        <v>114</v>
      </c>
      <c r="E2263" s="6" t="n">
        <v>16</v>
      </c>
      <c r="F2263" s="6" t="n">
        <v>6</v>
      </c>
      <c r="G2263" s="6" t="s">
        <v>74</v>
      </c>
      <c r="H2263" s="11" t="n">
        <v>0.001</v>
      </c>
      <c r="I2263" s="6" t="n">
        <v>20</v>
      </c>
      <c r="J2263" s="6" t="n">
        <v>0</v>
      </c>
      <c r="K2263" s="6" t="n">
        <v>20</v>
      </c>
      <c r="L2263" s="6" t="n">
        <v>0</v>
      </c>
      <c r="M2263" s="6" t="n">
        <v>20</v>
      </c>
      <c r="N2263" s="11" t="n">
        <f aca="false">J2263/(J2263+K2263)</f>
        <v>0</v>
      </c>
      <c r="O2263" s="11" t="str">
        <f aca="false">IF(J2263+L2263=0,"",J2263/(J2263+L2263))</f>
        <v/>
      </c>
      <c r="P2263" s="11" t="n">
        <f aca="false">2*J2263/(2*J2263+L2263+K2263)</f>
        <v>0</v>
      </c>
      <c r="Q2263" s="11" t="n">
        <f aca="false">L2263/(L2263+M2263)</f>
        <v>0</v>
      </c>
      <c r="R2263" s="6" t="n">
        <v>3</v>
      </c>
      <c r="S2263" s="11" t="n">
        <v>0</v>
      </c>
      <c r="T2263" s="11" t="n">
        <v>0</v>
      </c>
      <c r="U2263" s="11" t="n">
        <v>0.85</v>
      </c>
      <c r="V2263" s="11" t="n">
        <v>0.95</v>
      </c>
    </row>
    <row r="2264" customFormat="false" ht="15" hidden="false" customHeight="false" outlineLevel="0" collapsed="false">
      <c r="A2264" s="6" t="s">
        <v>42</v>
      </c>
      <c r="B2264" s="6" t="s">
        <v>43</v>
      </c>
      <c r="C2264" s="6" t="s">
        <v>44</v>
      </c>
      <c r="D2264" s="6" t="s">
        <v>114</v>
      </c>
      <c r="E2264" s="6" t="n">
        <v>16</v>
      </c>
      <c r="F2264" s="6" t="n">
        <v>6</v>
      </c>
      <c r="G2264" s="6" t="s">
        <v>75</v>
      </c>
      <c r="H2264" s="11" t="n">
        <v>0.001</v>
      </c>
      <c r="I2264" s="6" t="n">
        <v>20</v>
      </c>
      <c r="J2264" s="6" t="n">
        <v>0</v>
      </c>
      <c r="K2264" s="6" t="n">
        <v>20</v>
      </c>
      <c r="L2264" s="6" t="n">
        <v>0</v>
      </c>
      <c r="M2264" s="6" t="n">
        <v>20</v>
      </c>
      <c r="N2264" s="11" t="n">
        <f aca="false">J2264/(J2264+K2264)</f>
        <v>0</v>
      </c>
      <c r="O2264" s="11" t="str">
        <f aca="false">IF(J2264+L2264=0,"",J2264/(J2264+L2264))</f>
        <v/>
      </c>
      <c r="P2264" s="11" t="n">
        <f aca="false">2*J2264/(2*J2264+L2264+K2264)</f>
        <v>0</v>
      </c>
      <c r="Q2264" s="11" t="n">
        <f aca="false">L2264/(L2264+M2264)</f>
        <v>0</v>
      </c>
      <c r="R2264" s="6" t="n">
        <v>2</v>
      </c>
      <c r="S2264" s="11" t="n">
        <v>0</v>
      </c>
      <c r="T2264" s="11" t="n">
        <v>0</v>
      </c>
      <c r="U2264" s="11" t="n">
        <v>0.9</v>
      </c>
      <c r="V2264" s="11" t="n">
        <v>0.85</v>
      </c>
    </row>
    <row r="2265" customFormat="false" ht="15" hidden="false" customHeight="false" outlineLevel="0" collapsed="false">
      <c r="A2265" s="6" t="s">
        <v>42</v>
      </c>
      <c r="B2265" s="6" t="s">
        <v>43</v>
      </c>
      <c r="C2265" s="6" t="s">
        <v>44</v>
      </c>
      <c r="D2265" s="6" t="s">
        <v>114</v>
      </c>
      <c r="E2265" s="6" t="n">
        <v>16</v>
      </c>
      <c r="F2265" s="6" t="n">
        <v>6</v>
      </c>
      <c r="G2265" s="6" t="s">
        <v>76</v>
      </c>
      <c r="H2265" s="11" t="n">
        <v>0.001</v>
      </c>
      <c r="I2265" s="6" t="n">
        <v>20</v>
      </c>
      <c r="J2265" s="6" t="n">
        <v>0</v>
      </c>
      <c r="K2265" s="6" t="n">
        <v>20</v>
      </c>
      <c r="L2265" s="6" t="n">
        <v>0</v>
      </c>
      <c r="M2265" s="6" t="n">
        <v>20</v>
      </c>
      <c r="N2265" s="11" t="n">
        <f aca="false">J2265/(J2265+K2265)</f>
        <v>0</v>
      </c>
      <c r="O2265" s="11" t="str">
        <f aca="false">IF(J2265+L2265=0,"",J2265/(J2265+L2265))</f>
        <v/>
      </c>
      <c r="P2265" s="11" t="n">
        <f aca="false">2*J2265/(2*J2265+L2265+K2265)</f>
        <v>0</v>
      </c>
      <c r="Q2265" s="11" t="n">
        <f aca="false">L2265/(L2265+M2265)</f>
        <v>0</v>
      </c>
      <c r="R2265" s="6" t="n">
        <v>0</v>
      </c>
      <c r="S2265" s="11"/>
      <c r="T2265" s="11" t="n">
        <v>0</v>
      </c>
      <c r="U2265" s="11" t="n">
        <v>0.95</v>
      </c>
      <c r="V2265" s="11" t="n">
        <v>0.95</v>
      </c>
    </row>
    <row r="2266" customFormat="false" ht="15" hidden="false" customHeight="false" outlineLevel="0" collapsed="false">
      <c r="A2266" s="6" t="s">
        <v>42</v>
      </c>
      <c r="B2266" s="6" t="s">
        <v>43</v>
      </c>
      <c r="C2266" s="6" t="s">
        <v>44</v>
      </c>
      <c r="D2266" s="6" t="s">
        <v>114</v>
      </c>
      <c r="E2266" s="6" t="n">
        <v>16</v>
      </c>
      <c r="F2266" s="6" t="n">
        <v>6</v>
      </c>
      <c r="G2266" s="6" t="s">
        <v>77</v>
      </c>
      <c r="H2266" s="11" t="n">
        <v>0.001</v>
      </c>
      <c r="I2266" s="6" t="n">
        <v>20</v>
      </c>
      <c r="J2266" s="6" t="n">
        <v>0</v>
      </c>
      <c r="K2266" s="6" t="n">
        <v>20</v>
      </c>
      <c r="L2266" s="6" t="n">
        <v>0</v>
      </c>
      <c r="M2266" s="6" t="n">
        <v>20</v>
      </c>
      <c r="N2266" s="11" t="n">
        <f aca="false">J2266/(J2266+K2266)</f>
        <v>0</v>
      </c>
      <c r="O2266" s="11" t="str">
        <f aca="false">IF(J2266+L2266=0,"",J2266/(J2266+L2266))</f>
        <v/>
      </c>
      <c r="P2266" s="11" t="n">
        <f aca="false">2*J2266/(2*J2266+L2266+K2266)</f>
        <v>0</v>
      </c>
      <c r="Q2266" s="11" t="n">
        <f aca="false">L2266/(L2266+M2266)</f>
        <v>0</v>
      </c>
      <c r="R2266" s="6" t="n">
        <v>0</v>
      </c>
      <c r="S2266" s="11"/>
      <c r="T2266" s="11" t="n">
        <v>0</v>
      </c>
      <c r="U2266" s="11" t="n">
        <v>1</v>
      </c>
      <c r="V2266" s="11" t="n">
        <v>1</v>
      </c>
    </row>
    <row r="2267" customFormat="false" ht="15" hidden="false" customHeight="false" outlineLevel="0" collapsed="false">
      <c r="A2267" s="6" t="s">
        <v>42</v>
      </c>
      <c r="B2267" s="6" t="s">
        <v>43</v>
      </c>
      <c r="C2267" s="6" t="s">
        <v>44</v>
      </c>
      <c r="D2267" s="6" t="s">
        <v>114</v>
      </c>
      <c r="E2267" s="6" t="n">
        <v>16</v>
      </c>
      <c r="F2267" s="6" t="n">
        <v>6</v>
      </c>
      <c r="G2267" s="6" t="s">
        <v>78</v>
      </c>
      <c r="H2267" s="11" t="n">
        <v>0.001</v>
      </c>
      <c r="I2267" s="6" t="n">
        <v>200</v>
      </c>
      <c r="J2267" s="6" t="n">
        <v>0</v>
      </c>
      <c r="K2267" s="6" t="n">
        <v>200</v>
      </c>
      <c r="L2267" s="6" t="n">
        <v>0</v>
      </c>
      <c r="M2267" s="6" t="n">
        <v>200</v>
      </c>
      <c r="N2267" s="11" t="n">
        <f aca="false">J2267/(J2267+K2267)</f>
        <v>0</v>
      </c>
      <c r="O2267" s="11" t="str">
        <f aca="false">IF(J2267+L2267=0,"",J2267/(J2267+L2267))</f>
        <v/>
      </c>
      <c r="P2267" s="11" t="n">
        <f aca="false">2*J2267/(2*J2267+L2267+K2267)</f>
        <v>0</v>
      </c>
      <c r="Q2267" s="11" t="n">
        <f aca="false">L2267/(L2267+M2267)</f>
        <v>0</v>
      </c>
      <c r="R2267" s="6" t="n">
        <v>10</v>
      </c>
      <c r="S2267" s="11" t="n">
        <v>0</v>
      </c>
      <c r="T2267" s="11" t="n">
        <v>0</v>
      </c>
      <c r="U2267" s="11" t="n">
        <v>0.88</v>
      </c>
      <c r="V2267" s="11" t="n">
        <v>0.895</v>
      </c>
    </row>
    <row r="2268" customFormat="false" ht="15" hidden="false" customHeight="false" outlineLevel="0" collapsed="false">
      <c r="A2268" s="6" t="s">
        <v>42</v>
      </c>
      <c r="B2268" s="6" t="s">
        <v>43</v>
      </c>
      <c r="C2268" s="6" t="s">
        <v>44</v>
      </c>
      <c r="D2268" s="6" t="s">
        <v>114</v>
      </c>
      <c r="E2268" s="6" t="n">
        <v>16</v>
      </c>
      <c r="F2268" s="6" t="n">
        <v>7</v>
      </c>
      <c r="G2268" s="6" t="s">
        <v>68</v>
      </c>
      <c r="H2268" s="11" t="n">
        <v>0.001</v>
      </c>
      <c r="I2268" s="6" t="n">
        <v>20</v>
      </c>
      <c r="J2268" s="6" t="n">
        <v>0</v>
      </c>
      <c r="K2268" s="6" t="n">
        <v>20</v>
      </c>
      <c r="L2268" s="6" t="n">
        <v>0</v>
      </c>
      <c r="M2268" s="6" t="n">
        <v>20</v>
      </c>
      <c r="N2268" s="11" t="n">
        <f aca="false">J2268/(J2268+K2268)</f>
        <v>0</v>
      </c>
      <c r="O2268" s="11" t="str">
        <f aca="false">IF(J2268+L2268=0,"",J2268/(J2268+L2268))</f>
        <v/>
      </c>
      <c r="P2268" s="11" t="n">
        <f aca="false">2*J2268/(2*J2268+L2268+K2268)</f>
        <v>0</v>
      </c>
      <c r="Q2268" s="11" t="n">
        <f aca="false">L2268/(L2268+M2268)</f>
        <v>0</v>
      </c>
      <c r="R2268" s="6" t="n">
        <v>1</v>
      </c>
      <c r="S2268" s="11" t="n">
        <v>0</v>
      </c>
      <c r="T2268" s="11" t="n">
        <v>0</v>
      </c>
      <c r="U2268" s="11" t="n">
        <v>0.85</v>
      </c>
      <c r="V2268" s="11" t="n">
        <v>0.9</v>
      </c>
    </row>
    <row r="2269" customFormat="false" ht="15" hidden="false" customHeight="false" outlineLevel="0" collapsed="false">
      <c r="A2269" s="6" t="s">
        <v>42</v>
      </c>
      <c r="B2269" s="6" t="s">
        <v>43</v>
      </c>
      <c r="C2269" s="6" t="s">
        <v>44</v>
      </c>
      <c r="D2269" s="6" t="s">
        <v>114</v>
      </c>
      <c r="E2269" s="6" t="n">
        <v>16</v>
      </c>
      <c r="F2269" s="6" t="n">
        <v>7</v>
      </c>
      <c r="G2269" s="6" t="s">
        <v>69</v>
      </c>
      <c r="H2269" s="11" t="n">
        <v>0.001</v>
      </c>
      <c r="I2269" s="6" t="n">
        <v>20</v>
      </c>
      <c r="J2269" s="6" t="n">
        <v>0</v>
      </c>
      <c r="K2269" s="6" t="n">
        <v>20</v>
      </c>
      <c r="L2269" s="6" t="n">
        <v>0</v>
      </c>
      <c r="M2269" s="6" t="n">
        <v>20</v>
      </c>
      <c r="N2269" s="11" t="n">
        <f aca="false">J2269/(J2269+K2269)</f>
        <v>0</v>
      </c>
      <c r="O2269" s="11" t="str">
        <f aca="false">IF(J2269+L2269=0,"",J2269/(J2269+L2269))</f>
        <v/>
      </c>
      <c r="P2269" s="11" t="n">
        <f aca="false">2*J2269/(2*J2269+L2269+K2269)</f>
        <v>0</v>
      </c>
      <c r="Q2269" s="11" t="n">
        <f aca="false">L2269/(L2269+M2269)</f>
        <v>0</v>
      </c>
      <c r="R2269" s="6" t="n">
        <v>0</v>
      </c>
      <c r="S2269" s="11"/>
      <c r="T2269" s="11" t="n">
        <v>0</v>
      </c>
      <c r="U2269" s="11" t="n">
        <v>1</v>
      </c>
      <c r="V2269" s="11" t="n">
        <v>1</v>
      </c>
    </row>
    <row r="2270" customFormat="false" ht="15" hidden="false" customHeight="false" outlineLevel="0" collapsed="false">
      <c r="A2270" s="6" t="s">
        <v>42</v>
      </c>
      <c r="B2270" s="6" t="s">
        <v>43</v>
      </c>
      <c r="C2270" s="6" t="s">
        <v>44</v>
      </c>
      <c r="D2270" s="6" t="s">
        <v>114</v>
      </c>
      <c r="E2270" s="6" t="n">
        <v>16</v>
      </c>
      <c r="F2270" s="6" t="n">
        <v>7</v>
      </c>
      <c r="G2270" s="6" t="s">
        <v>70</v>
      </c>
      <c r="H2270" s="11" t="n">
        <v>0.001</v>
      </c>
      <c r="I2270" s="6" t="n">
        <v>20</v>
      </c>
      <c r="J2270" s="6" t="n">
        <v>0</v>
      </c>
      <c r="K2270" s="6" t="n">
        <v>20</v>
      </c>
      <c r="L2270" s="6" t="n">
        <v>0</v>
      </c>
      <c r="M2270" s="6" t="n">
        <v>20</v>
      </c>
      <c r="N2270" s="11" t="n">
        <f aca="false">J2270/(J2270+K2270)</f>
        <v>0</v>
      </c>
      <c r="O2270" s="11" t="str">
        <f aca="false">IF(J2270+L2270=0,"",J2270/(J2270+L2270))</f>
        <v/>
      </c>
      <c r="P2270" s="11" t="n">
        <f aca="false">2*J2270/(2*J2270+L2270+K2270)</f>
        <v>0</v>
      </c>
      <c r="Q2270" s="11" t="n">
        <f aca="false">L2270/(L2270+M2270)</f>
        <v>0</v>
      </c>
      <c r="R2270" s="6" t="n">
        <v>0</v>
      </c>
      <c r="S2270" s="11"/>
      <c r="T2270" s="11" t="n">
        <v>0</v>
      </c>
      <c r="U2270" s="11" t="n">
        <v>0.9</v>
      </c>
      <c r="V2270" s="11" t="n">
        <v>0.9</v>
      </c>
    </row>
    <row r="2271" customFormat="false" ht="15" hidden="false" customHeight="false" outlineLevel="0" collapsed="false">
      <c r="A2271" s="6" t="s">
        <v>42</v>
      </c>
      <c r="B2271" s="6" t="s">
        <v>43</v>
      </c>
      <c r="C2271" s="6" t="s">
        <v>44</v>
      </c>
      <c r="D2271" s="6" t="s">
        <v>114</v>
      </c>
      <c r="E2271" s="6" t="n">
        <v>16</v>
      </c>
      <c r="F2271" s="6" t="n">
        <v>7</v>
      </c>
      <c r="G2271" s="6" t="s">
        <v>71</v>
      </c>
      <c r="H2271" s="11" t="n">
        <v>0.001</v>
      </c>
      <c r="I2271" s="6" t="n">
        <v>20</v>
      </c>
      <c r="J2271" s="6" t="n">
        <v>0</v>
      </c>
      <c r="K2271" s="6" t="n">
        <v>20</v>
      </c>
      <c r="L2271" s="6" t="n">
        <v>0</v>
      </c>
      <c r="M2271" s="6" t="n">
        <v>20</v>
      </c>
      <c r="N2271" s="11" t="n">
        <f aca="false">J2271/(J2271+K2271)</f>
        <v>0</v>
      </c>
      <c r="O2271" s="11" t="str">
        <f aca="false">IF(J2271+L2271=0,"",J2271/(J2271+L2271))</f>
        <v/>
      </c>
      <c r="P2271" s="11" t="n">
        <f aca="false">2*J2271/(2*J2271+L2271+K2271)</f>
        <v>0</v>
      </c>
      <c r="Q2271" s="11" t="n">
        <f aca="false">L2271/(L2271+M2271)</f>
        <v>0</v>
      </c>
      <c r="R2271" s="6" t="n">
        <v>0</v>
      </c>
      <c r="S2271" s="11"/>
      <c r="T2271" s="11" t="n">
        <v>0</v>
      </c>
      <c r="U2271" s="11" t="n">
        <v>0.8</v>
      </c>
      <c r="V2271" s="11" t="n">
        <v>0.8</v>
      </c>
    </row>
    <row r="2272" customFormat="false" ht="15" hidden="false" customHeight="false" outlineLevel="0" collapsed="false">
      <c r="A2272" s="6" t="s">
        <v>42</v>
      </c>
      <c r="B2272" s="6" t="s">
        <v>43</v>
      </c>
      <c r="C2272" s="6" t="s">
        <v>44</v>
      </c>
      <c r="D2272" s="6" t="s">
        <v>114</v>
      </c>
      <c r="E2272" s="6" t="n">
        <v>16</v>
      </c>
      <c r="F2272" s="6" t="n">
        <v>7</v>
      </c>
      <c r="G2272" s="6" t="s">
        <v>72</v>
      </c>
      <c r="H2272" s="11" t="n">
        <v>0.001</v>
      </c>
      <c r="I2272" s="6" t="n">
        <v>20</v>
      </c>
      <c r="J2272" s="6" t="n">
        <v>0</v>
      </c>
      <c r="K2272" s="6" t="n">
        <v>20</v>
      </c>
      <c r="L2272" s="6" t="n">
        <v>0</v>
      </c>
      <c r="M2272" s="6" t="n">
        <v>20</v>
      </c>
      <c r="N2272" s="11" t="n">
        <f aca="false">J2272/(J2272+K2272)</f>
        <v>0</v>
      </c>
      <c r="O2272" s="11" t="str">
        <f aca="false">IF(J2272+L2272=0,"",J2272/(J2272+L2272))</f>
        <v/>
      </c>
      <c r="P2272" s="11" t="n">
        <f aca="false">2*J2272/(2*J2272+L2272+K2272)</f>
        <v>0</v>
      </c>
      <c r="Q2272" s="11" t="n">
        <f aca="false">L2272/(L2272+M2272)</f>
        <v>0</v>
      </c>
      <c r="R2272" s="6" t="n">
        <v>0</v>
      </c>
      <c r="S2272" s="11"/>
      <c r="T2272" s="11" t="n">
        <v>0</v>
      </c>
      <c r="U2272" s="11" t="n">
        <v>0.9</v>
      </c>
      <c r="V2272" s="11" t="n">
        <v>0.9</v>
      </c>
    </row>
    <row r="2273" customFormat="false" ht="15" hidden="false" customHeight="false" outlineLevel="0" collapsed="false">
      <c r="A2273" s="6" t="s">
        <v>42</v>
      </c>
      <c r="B2273" s="6" t="s">
        <v>43</v>
      </c>
      <c r="C2273" s="6" t="s">
        <v>44</v>
      </c>
      <c r="D2273" s="6" t="s">
        <v>114</v>
      </c>
      <c r="E2273" s="6" t="n">
        <v>16</v>
      </c>
      <c r="F2273" s="6" t="n">
        <v>7</v>
      </c>
      <c r="G2273" s="6" t="s">
        <v>73</v>
      </c>
      <c r="H2273" s="11" t="n">
        <v>0.001</v>
      </c>
      <c r="I2273" s="6" t="n">
        <v>20</v>
      </c>
      <c r="J2273" s="6" t="n">
        <v>0</v>
      </c>
      <c r="K2273" s="6" t="n">
        <v>20</v>
      </c>
      <c r="L2273" s="6" t="n">
        <v>0</v>
      </c>
      <c r="M2273" s="6" t="n">
        <v>20</v>
      </c>
      <c r="N2273" s="11" t="n">
        <f aca="false">J2273/(J2273+K2273)</f>
        <v>0</v>
      </c>
      <c r="O2273" s="11" t="str">
        <f aca="false">IF(J2273+L2273=0,"",J2273/(J2273+L2273))</f>
        <v/>
      </c>
      <c r="P2273" s="11" t="n">
        <f aca="false">2*J2273/(2*J2273+L2273+K2273)</f>
        <v>0</v>
      </c>
      <c r="Q2273" s="11" t="n">
        <f aca="false">L2273/(L2273+M2273)</f>
        <v>0</v>
      </c>
      <c r="R2273" s="6" t="n">
        <v>0</v>
      </c>
      <c r="S2273" s="11"/>
      <c r="T2273" s="11" t="n">
        <v>0</v>
      </c>
      <c r="U2273" s="11" t="n">
        <v>0.65</v>
      </c>
      <c r="V2273" s="11" t="n">
        <v>0.65</v>
      </c>
    </row>
    <row r="2274" customFormat="false" ht="15" hidden="false" customHeight="false" outlineLevel="0" collapsed="false">
      <c r="A2274" s="6" t="s">
        <v>42</v>
      </c>
      <c r="B2274" s="6" t="s">
        <v>43</v>
      </c>
      <c r="C2274" s="6" t="s">
        <v>44</v>
      </c>
      <c r="D2274" s="6" t="s">
        <v>114</v>
      </c>
      <c r="E2274" s="6" t="n">
        <v>16</v>
      </c>
      <c r="F2274" s="6" t="n">
        <v>7</v>
      </c>
      <c r="G2274" s="6" t="s">
        <v>74</v>
      </c>
      <c r="H2274" s="11" t="n">
        <v>0.001</v>
      </c>
      <c r="I2274" s="6" t="n">
        <v>20</v>
      </c>
      <c r="J2274" s="6" t="n">
        <v>0</v>
      </c>
      <c r="K2274" s="6" t="n">
        <v>20</v>
      </c>
      <c r="L2274" s="6" t="n">
        <v>0</v>
      </c>
      <c r="M2274" s="6" t="n">
        <v>20</v>
      </c>
      <c r="N2274" s="11" t="n">
        <f aca="false">J2274/(J2274+K2274)</f>
        <v>0</v>
      </c>
      <c r="O2274" s="11" t="str">
        <f aca="false">IF(J2274+L2274=0,"",J2274/(J2274+L2274))</f>
        <v/>
      </c>
      <c r="P2274" s="11" t="n">
        <f aca="false">2*J2274/(2*J2274+L2274+K2274)</f>
        <v>0</v>
      </c>
      <c r="Q2274" s="11" t="n">
        <f aca="false">L2274/(L2274+M2274)</f>
        <v>0</v>
      </c>
      <c r="R2274" s="6" t="n">
        <v>0</v>
      </c>
      <c r="S2274" s="11"/>
      <c r="T2274" s="11" t="n">
        <v>0</v>
      </c>
      <c r="U2274" s="11" t="n">
        <v>0.85</v>
      </c>
      <c r="V2274" s="11" t="n">
        <v>0.85</v>
      </c>
    </row>
    <row r="2275" customFormat="false" ht="15" hidden="false" customHeight="false" outlineLevel="0" collapsed="false">
      <c r="A2275" s="6" t="s">
        <v>42</v>
      </c>
      <c r="B2275" s="6" t="s">
        <v>43</v>
      </c>
      <c r="C2275" s="6" t="s">
        <v>44</v>
      </c>
      <c r="D2275" s="6" t="s">
        <v>114</v>
      </c>
      <c r="E2275" s="6" t="n">
        <v>16</v>
      </c>
      <c r="F2275" s="6" t="n">
        <v>7</v>
      </c>
      <c r="G2275" s="6" t="s">
        <v>75</v>
      </c>
      <c r="H2275" s="11" t="n">
        <v>0.001</v>
      </c>
      <c r="I2275" s="6" t="n">
        <v>20</v>
      </c>
      <c r="J2275" s="6" t="n">
        <v>0</v>
      </c>
      <c r="K2275" s="6" t="n">
        <v>20</v>
      </c>
      <c r="L2275" s="6" t="n">
        <v>0</v>
      </c>
      <c r="M2275" s="6" t="n">
        <v>20</v>
      </c>
      <c r="N2275" s="11" t="n">
        <f aca="false">J2275/(J2275+K2275)</f>
        <v>0</v>
      </c>
      <c r="O2275" s="11" t="str">
        <f aca="false">IF(J2275+L2275=0,"",J2275/(J2275+L2275))</f>
        <v/>
      </c>
      <c r="P2275" s="11" t="n">
        <f aca="false">2*J2275/(2*J2275+L2275+K2275)</f>
        <v>0</v>
      </c>
      <c r="Q2275" s="11" t="n">
        <f aca="false">L2275/(L2275+M2275)</f>
        <v>0</v>
      </c>
      <c r="R2275" s="6" t="n">
        <v>1</v>
      </c>
      <c r="S2275" s="11" t="n">
        <v>0</v>
      </c>
      <c r="T2275" s="11" t="n">
        <v>0</v>
      </c>
      <c r="U2275" s="11" t="n">
        <v>0.9</v>
      </c>
      <c r="V2275" s="11" t="n">
        <v>0.9</v>
      </c>
    </row>
    <row r="2276" customFormat="false" ht="15" hidden="false" customHeight="false" outlineLevel="0" collapsed="false">
      <c r="A2276" s="6" t="s">
        <v>42</v>
      </c>
      <c r="B2276" s="6" t="s">
        <v>43</v>
      </c>
      <c r="C2276" s="6" t="s">
        <v>44</v>
      </c>
      <c r="D2276" s="6" t="s">
        <v>114</v>
      </c>
      <c r="E2276" s="6" t="n">
        <v>16</v>
      </c>
      <c r="F2276" s="6" t="n">
        <v>7</v>
      </c>
      <c r="G2276" s="6" t="s">
        <v>76</v>
      </c>
      <c r="H2276" s="11" t="n">
        <v>0.001</v>
      </c>
      <c r="I2276" s="6" t="n">
        <v>20</v>
      </c>
      <c r="J2276" s="6" t="n">
        <v>0</v>
      </c>
      <c r="K2276" s="6" t="n">
        <v>20</v>
      </c>
      <c r="L2276" s="6" t="n">
        <v>0</v>
      </c>
      <c r="M2276" s="6" t="n">
        <v>20</v>
      </c>
      <c r="N2276" s="11" t="n">
        <f aca="false">J2276/(J2276+K2276)</f>
        <v>0</v>
      </c>
      <c r="O2276" s="11" t="str">
        <f aca="false">IF(J2276+L2276=0,"",J2276/(J2276+L2276))</f>
        <v/>
      </c>
      <c r="P2276" s="11" t="n">
        <f aca="false">2*J2276/(2*J2276+L2276+K2276)</f>
        <v>0</v>
      </c>
      <c r="Q2276" s="11" t="n">
        <f aca="false">L2276/(L2276+M2276)</f>
        <v>0</v>
      </c>
      <c r="R2276" s="6" t="n">
        <v>0</v>
      </c>
      <c r="S2276" s="11"/>
      <c r="T2276" s="11" t="n">
        <v>0</v>
      </c>
      <c r="U2276" s="11" t="n">
        <v>0.95</v>
      </c>
      <c r="V2276" s="11" t="n">
        <v>0.95</v>
      </c>
    </row>
    <row r="2277" customFormat="false" ht="15" hidden="false" customHeight="false" outlineLevel="0" collapsed="false">
      <c r="A2277" s="6" t="s">
        <v>42</v>
      </c>
      <c r="B2277" s="6" t="s">
        <v>43</v>
      </c>
      <c r="C2277" s="6" t="s">
        <v>44</v>
      </c>
      <c r="D2277" s="6" t="s">
        <v>114</v>
      </c>
      <c r="E2277" s="6" t="n">
        <v>16</v>
      </c>
      <c r="F2277" s="6" t="n">
        <v>7</v>
      </c>
      <c r="G2277" s="6" t="s">
        <v>77</v>
      </c>
      <c r="H2277" s="11" t="n">
        <v>0.001</v>
      </c>
      <c r="I2277" s="6" t="n">
        <v>20</v>
      </c>
      <c r="J2277" s="6" t="n">
        <v>0</v>
      </c>
      <c r="K2277" s="6" t="n">
        <v>20</v>
      </c>
      <c r="L2277" s="6" t="n">
        <v>0</v>
      </c>
      <c r="M2277" s="6" t="n">
        <v>20</v>
      </c>
      <c r="N2277" s="11" t="n">
        <f aca="false">J2277/(J2277+K2277)</f>
        <v>0</v>
      </c>
      <c r="O2277" s="11" t="str">
        <f aca="false">IF(J2277+L2277=0,"",J2277/(J2277+L2277))</f>
        <v/>
      </c>
      <c r="P2277" s="11" t="n">
        <f aca="false">2*J2277/(2*J2277+L2277+K2277)</f>
        <v>0</v>
      </c>
      <c r="Q2277" s="11" t="n">
        <f aca="false">L2277/(L2277+M2277)</f>
        <v>0</v>
      </c>
      <c r="R2277" s="6" t="n">
        <v>0</v>
      </c>
      <c r="S2277" s="11"/>
      <c r="T2277" s="11" t="n">
        <v>0</v>
      </c>
      <c r="U2277" s="11" t="n">
        <v>1</v>
      </c>
      <c r="V2277" s="11" t="n">
        <v>1</v>
      </c>
    </row>
    <row r="2278" customFormat="false" ht="15" hidden="false" customHeight="false" outlineLevel="0" collapsed="false">
      <c r="A2278" s="6" t="s">
        <v>42</v>
      </c>
      <c r="B2278" s="6" t="s">
        <v>43</v>
      </c>
      <c r="C2278" s="6" t="s">
        <v>44</v>
      </c>
      <c r="D2278" s="6" t="s">
        <v>114</v>
      </c>
      <c r="E2278" s="6" t="n">
        <v>16</v>
      </c>
      <c r="F2278" s="6" t="n">
        <v>7</v>
      </c>
      <c r="G2278" s="6" t="s">
        <v>78</v>
      </c>
      <c r="H2278" s="11" t="n">
        <v>0.001</v>
      </c>
      <c r="I2278" s="6" t="n">
        <v>200</v>
      </c>
      <c r="J2278" s="6" t="n">
        <v>0</v>
      </c>
      <c r="K2278" s="6" t="n">
        <v>200</v>
      </c>
      <c r="L2278" s="6" t="n">
        <v>0</v>
      </c>
      <c r="M2278" s="6" t="n">
        <v>200</v>
      </c>
      <c r="N2278" s="11" t="n">
        <f aca="false">J2278/(J2278+K2278)</f>
        <v>0</v>
      </c>
      <c r="O2278" s="11" t="str">
        <f aca="false">IF(J2278+L2278=0,"",J2278/(J2278+L2278))</f>
        <v/>
      </c>
      <c r="P2278" s="11" t="n">
        <f aca="false">2*J2278/(2*J2278+L2278+K2278)</f>
        <v>0</v>
      </c>
      <c r="Q2278" s="11" t="n">
        <f aca="false">L2278/(L2278+M2278)</f>
        <v>0</v>
      </c>
      <c r="R2278" s="6" t="n">
        <v>2</v>
      </c>
      <c r="S2278" s="11" t="n">
        <v>0</v>
      </c>
      <c r="T2278" s="11" t="n">
        <v>0</v>
      </c>
      <c r="U2278" s="11" t="n">
        <v>0.88</v>
      </c>
      <c r="V2278" s="11" t="n">
        <v>0.885</v>
      </c>
    </row>
    <row r="2279" customFormat="false" ht="15" hidden="false" customHeight="false" outlineLevel="0" collapsed="false">
      <c r="A2279" s="6" t="s">
        <v>42</v>
      </c>
      <c r="B2279" s="6" t="s">
        <v>43</v>
      </c>
      <c r="C2279" s="6" t="s">
        <v>44</v>
      </c>
      <c r="D2279" s="6" t="s">
        <v>114</v>
      </c>
      <c r="E2279" s="6" t="n">
        <v>16</v>
      </c>
      <c r="F2279" s="6" t="n">
        <v>8</v>
      </c>
      <c r="G2279" s="6" t="s">
        <v>68</v>
      </c>
      <c r="H2279" s="11" t="n">
        <v>0.001</v>
      </c>
      <c r="I2279" s="6" t="n">
        <v>20</v>
      </c>
      <c r="J2279" s="6" t="n">
        <v>0</v>
      </c>
      <c r="K2279" s="6" t="n">
        <v>20</v>
      </c>
      <c r="L2279" s="6" t="n">
        <v>0</v>
      </c>
      <c r="M2279" s="6" t="n">
        <v>20</v>
      </c>
      <c r="N2279" s="11" t="n">
        <f aca="false">J2279/(J2279+K2279)</f>
        <v>0</v>
      </c>
      <c r="O2279" s="11" t="str">
        <f aca="false">IF(J2279+L2279=0,"",J2279/(J2279+L2279))</f>
        <v/>
      </c>
      <c r="P2279" s="11" t="n">
        <f aca="false">2*J2279/(2*J2279+L2279+K2279)</f>
        <v>0</v>
      </c>
      <c r="Q2279" s="11" t="n">
        <f aca="false">L2279/(L2279+M2279)</f>
        <v>0</v>
      </c>
      <c r="R2279" s="6" t="n">
        <v>2</v>
      </c>
      <c r="S2279" s="11" t="n">
        <v>0</v>
      </c>
      <c r="T2279" s="11" t="n">
        <v>0</v>
      </c>
      <c r="U2279" s="11" t="n">
        <v>0.85</v>
      </c>
      <c r="V2279" s="11" t="n">
        <v>0.75</v>
      </c>
    </row>
    <row r="2280" customFormat="false" ht="15" hidden="false" customHeight="false" outlineLevel="0" collapsed="false">
      <c r="A2280" s="6" t="s">
        <v>42</v>
      </c>
      <c r="B2280" s="6" t="s">
        <v>43</v>
      </c>
      <c r="C2280" s="6" t="s">
        <v>44</v>
      </c>
      <c r="D2280" s="6" t="s">
        <v>114</v>
      </c>
      <c r="E2280" s="6" t="n">
        <v>16</v>
      </c>
      <c r="F2280" s="6" t="n">
        <v>8</v>
      </c>
      <c r="G2280" s="6" t="s">
        <v>69</v>
      </c>
      <c r="H2280" s="11" t="n">
        <v>0.001</v>
      </c>
      <c r="I2280" s="6" t="n">
        <v>20</v>
      </c>
      <c r="J2280" s="6" t="n">
        <v>0</v>
      </c>
      <c r="K2280" s="6" t="n">
        <v>20</v>
      </c>
      <c r="L2280" s="6" t="n">
        <v>0</v>
      </c>
      <c r="M2280" s="6" t="n">
        <v>20</v>
      </c>
      <c r="N2280" s="11" t="n">
        <f aca="false">J2280/(J2280+K2280)</f>
        <v>0</v>
      </c>
      <c r="O2280" s="11" t="str">
        <f aca="false">IF(J2280+L2280=0,"",J2280/(J2280+L2280))</f>
        <v/>
      </c>
      <c r="P2280" s="11" t="n">
        <f aca="false">2*J2280/(2*J2280+L2280+K2280)</f>
        <v>0</v>
      </c>
      <c r="Q2280" s="11" t="n">
        <f aca="false">L2280/(L2280+M2280)</f>
        <v>0</v>
      </c>
      <c r="R2280" s="6" t="n">
        <v>1</v>
      </c>
      <c r="S2280" s="11" t="n">
        <v>0</v>
      </c>
      <c r="T2280" s="11" t="n">
        <v>0</v>
      </c>
      <c r="U2280" s="11" t="n">
        <v>1</v>
      </c>
      <c r="V2280" s="11" t="n">
        <v>0.95</v>
      </c>
    </row>
    <row r="2281" customFormat="false" ht="15" hidden="false" customHeight="false" outlineLevel="0" collapsed="false">
      <c r="A2281" s="6" t="s">
        <v>42</v>
      </c>
      <c r="B2281" s="6" t="s">
        <v>43</v>
      </c>
      <c r="C2281" s="6" t="s">
        <v>44</v>
      </c>
      <c r="D2281" s="6" t="s">
        <v>114</v>
      </c>
      <c r="E2281" s="6" t="n">
        <v>16</v>
      </c>
      <c r="F2281" s="6" t="n">
        <v>8</v>
      </c>
      <c r="G2281" s="6" t="s">
        <v>70</v>
      </c>
      <c r="H2281" s="11" t="n">
        <v>0.001</v>
      </c>
      <c r="I2281" s="6" t="n">
        <v>20</v>
      </c>
      <c r="J2281" s="6" t="n">
        <v>0</v>
      </c>
      <c r="K2281" s="6" t="n">
        <v>20</v>
      </c>
      <c r="L2281" s="6" t="n">
        <v>0</v>
      </c>
      <c r="M2281" s="6" t="n">
        <v>20</v>
      </c>
      <c r="N2281" s="11" t="n">
        <f aca="false">J2281/(J2281+K2281)</f>
        <v>0</v>
      </c>
      <c r="O2281" s="11" t="str">
        <f aca="false">IF(J2281+L2281=0,"",J2281/(J2281+L2281))</f>
        <v/>
      </c>
      <c r="P2281" s="11" t="n">
        <f aca="false">2*J2281/(2*J2281+L2281+K2281)</f>
        <v>0</v>
      </c>
      <c r="Q2281" s="11" t="n">
        <f aca="false">L2281/(L2281+M2281)</f>
        <v>0</v>
      </c>
      <c r="R2281" s="6" t="n">
        <v>0</v>
      </c>
      <c r="S2281" s="11"/>
      <c r="T2281" s="11" t="n">
        <v>0</v>
      </c>
      <c r="U2281" s="11" t="n">
        <v>0.9</v>
      </c>
      <c r="V2281" s="11" t="n">
        <v>0.9</v>
      </c>
    </row>
    <row r="2282" customFormat="false" ht="15" hidden="false" customHeight="false" outlineLevel="0" collapsed="false">
      <c r="A2282" s="6" t="s">
        <v>42</v>
      </c>
      <c r="B2282" s="6" t="s">
        <v>43</v>
      </c>
      <c r="C2282" s="6" t="s">
        <v>44</v>
      </c>
      <c r="D2282" s="6" t="s">
        <v>114</v>
      </c>
      <c r="E2282" s="6" t="n">
        <v>16</v>
      </c>
      <c r="F2282" s="6" t="n">
        <v>8</v>
      </c>
      <c r="G2282" s="6" t="s">
        <v>71</v>
      </c>
      <c r="H2282" s="11" t="n">
        <v>0.001</v>
      </c>
      <c r="I2282" s="6" t="n">
        <v>20</v>
      </c>
      <c r="J2282" s="6" t="n">
        <v>0</v>
      </c>
      <c r="K2282" s="6" t="n">
        <v>20</v>
      </c>
      <c r="L2282" s="6" t="n">
        <v>0</v>
      </c>
      <c r="M2282" s="6" t="n">
        <v>20</v>
      </c>
      <c r="N2282" s="11" t="n">
        <f aca="false">J2282/(J2282+K2282)</f>
        <v>0</v>
      </c>
      <c r="O2282" s="11" t="str">
        <f aca="false">IF(J2282+L2282=0,"",J2282/(J2282+L2282))</f>
        <v/>
      </c>
      <c r="P2282" s="11" t="n">
        <f aca="false">2*J2282/(2*J2282+L2282+K2282)</f>
        <v>0</v>
      </c>
      <c r="Q2282" s="11" t="n">
        <f aca="false">L2282/(L2282+M2282)</f>
        <v>0</v>
      </c>
      <c r="R2282" s="6" t="n">
        <v>4</v>
      </c>
      <c r="S2282" s="11" t="n">
        <v>0</v>
      </c>
      <c r="T2282" s="11" t="n">
        <v>0</v>
      </c>
      <c r="U2282" s="11" t="n">
        <v>0.8</v>
      </c>
      <c r="V2282" s="11" t="n">
        <v>0.8</v>
      </c>
    </row>
    <row r="2283" customFormat="false" ht="15" hidden="false" customHeight="false" outlineLevel="0" collapsed="false">
      <c r="A2283" s="6" t="s">
        <v>42</v>
      </c>
      <c r="B2283" s="6" t="s">
        <v>43</v>
      </c>
      <c r="C2283" s="6" t="s">
        <v>44</v>
      </c>
      <c r="D2283" s="6" t="s">
        <v>114</v>
      </c>
      <c r="E2283" s="6" t="n">
        <v>16</v>
      </c>
      <c r="F2283" s="6" t="n">
        <v>8</v>
      </c>
      <c r="G2283" s="6" t="s">
        <v>72</v>
      </c>
      <c r="H2283" s="11" t="n">
        <v>0.001</v>
      </c>
      <c r="I2283" s="6" t="n">
        <v>20</v>
      </c>
      <c r="J2283" s="6" t="n">
        <v>0</v>
      </c>
      <c r="K2283" s="6" t="n">
        <v>20</v>
      </c>
      <c r="L2283" s="6" t="n">
        <v>0</v>
      </c>
      <c r="M2283" s="6" t="n">
        <v>20</v>
      </c>
      <c r="N2283" s="11" t="n">
        <f aca="false">J2283/(J2283+K2283)</f>
        <v>0</v>
      </c>
      <c r="O2283" s="11" t="str">
        <f aca="false">IF(J2283+L2283=0,"",J2283/(J2283+L2283))</f>
        <v/>
      </c>
      <c r="P2283" s="11" t="n">
        <f aca="false">2*J2283/(2*J2283+L2283+K2283)</f>
        <v>0</v>
      </c>
      <c r="Q2283" s="11" t="n">
        <f aca="false">L2283/(L2283+M2283)</f>
        <v>0</v>
      </c>
      <c r="R2283" s="6" t="n">
        <v>2</v>
      </c>
      <c r="S2283" s="11" t="n">
        <v>0</v>
      </c>
      <c r="T2283" s="11" t="n">
        <v>0</v>
      </c>
      <c r="U2283" s="11" t="n">
        <v>0.9</v>
      </c>
      <c r="V2283" s="11" t="n">
        <v>0.9</v>
      </c>
    </row>
    <row r="2284" customFormat="false" ht="15" hidden="false" customHeight="false" outlineLevel="0" collapsed="false">
      <c r="A2284" s="6" t="s">
        <v>42</v>
      </c>
      <c r="B2284" s="6" t="s">
        <v>43</v>
      </c>
      <c r="C2284" s="6" t="s">
        <v>44</v>
      </c>
      <c r="D2284" s="6" t="s">
        <v>114</v>
      </c>
      <c r="E2284" s="6" t="n">
        <v>16</v>
      </c>
      <c r="F2284" s="6" t="n">
        <v>8</v>
      </c>
      <c r="G2284" s="6" t="s">
        <v>73</v>
      </c>
      <c r="H2284" s="11" t="n">
        <v>0.001</v>
      </c>
      <c r="I2284" s="6" t="n">
        <v>20</v>
      </c>
      <c r="J2284" s="6" t="n">
        <v>0</v>
      </c>
      <c r="K2284" s="6" t="n">
        <v>20</v>
      </c>
      <c r="L2284" s="6" t="n">
        <v>0</v>
      </c>
      <c r="M2284" s="6" t="n">
        <v>20</v>
      </c>
      <c r="N2284" s="11" t="n">
        <f aca="false">J2284/(J2284+K2284)</f>
        <v>0</v>
      </c>
      <c r="O2284" s="11" t="str">
        <f aca="false">IF(J2284+L2284=0,"",J2284/(J2284+L2284))</f>
        <v/>
      </c>
      <c r="P2284" s="11" t="n">
        <f aca="false">2*J2284/(2*J2284+L2284+K2284)</f>
        <v>0</v>
      </c>
      <c r="Q2284" s="11" t="n">
        <f aca="false">L2284/(L2284+M2284)</f>
        <v>0</v>
      </c>
      <c r="R2284" s="6" t="n">
        <v>2</v>
      </c>
      <c r="S2284" s="11" t="n">
        <v>0</v>
      </c>
      <c r="T2284" s="11" t="n">
        <v>0</v>
      </c>
      <c r="U2284" s="11" t="n">
        <v>0.65</v>
      </c>
      <c r="V2284" s="11" t="n">
        <v>0.6</v>
      </c>
    </row>
    <row r="2285" customFormat="false" ht="15" hidden="false" customHeight="false" outlineLevel="0" collapsed="false">
      <c r="A2285" s="6" t="s">
        <v>42</v>
      </c>
      <c r="B2285" s="6" t="s">
        <v>43</v>
      </c>
      <c r="C2285" s="6" t="s">
        <v>44</v>
      </c>
      <c r="D2285" s="6" t="s">
        <v>114</v>
      </c>
      <c r="E2285" s="6" t="n">
        <v>16</v>
      </c>
      <c r="F2285" s="6" t="n">
        <v>8</v>
      </c>
      <c r="G2285" s="6" t="s">
        <v>74</v>
      </c>
      <c r="H2285" s="11" t="n">
        <v>0.001</v>
      </c>
      <c r="I2285" s="6" t="n">
        <v>20</v>
      </c>
      <c r="J2285" s="6" t="n">
        <v>0</v>
      </c>
      <c r="K2285" s="6" t="n">
        <v>20</v>
      </c>
      <c r="L2285" s="6" t="n">
        <v>0</v>
      </c>
      <c r="M2285" s="6" t="n">
        <v>20</v>
      </c>
      <c r="N2285" s="11" t="n">
        <f aca="false">J2285/(J2285+K2285)</f>
        <v>0</v>
      </c>
      <c r="O2285" s="11" t="str">
        <f aca="false">IF(J2285+L2285=0,"",J2285/(J2285+L2285))</f>
        <v/>
      </c>
      <c r="P2285" s="11" t="n">
        <f aca="false">2*J2285/(2*J2285+L2285+K2285)</f>
        <v>0</v>
      </c>
      <c r="Q2285" s="11" t="n">
        <f aca="false">L2285/(L2285+M2285)</f>
        <v>0</v>
      </c>
      <c r="R2285" s="6" t="n">
        <v>4</v>
      </c>
      <c r="S2285" s="11" t="n">
        <v>0</v>
      </c>
      <c r="T2285" s="11" t="n">
        <v>0</v>
      </c>
      <c r="U2285" s="11" t="n">
        <v>0.85</v>
      </c>
      <c r="V2285" s="11" t="n">
        <v>0.9</v>
      </c>
    </row>
    <row r="2286" customFormat="false" ht="15" hidden="false" customHeight="false" outlineLevel="0" collapsed="false">
      <c r="A2286" s="6" t="s">
        <v>42</v>
      </c>
      <c r="B2286" s="6" t="s">
        <v>43</v>
      </c>
      <c r="C2286" s="6" t="s">
        <v>44</v>
      </c>
      <c r="D2286" s="6" t="s">
        <v>114</v>
      </c>
      <c r="E2286" s="6" t="n">
        <v>16</v>
      </c>
      <c r="F2286" s="6" t="n">
        <v>8</v>
      </c>
      <c r="G2286" s="6" t="s">
        <v>75</v>
      </c>
      <c r="H2286" s="11" t="n">
        <v>0.001</v>
      </c>
      <c r="I2286" s="6" t="n">
        <v>20</v>
      </c>
      <c r="J2286" s="6" t="n">
        <v>0</v>
      </c>
      <c r="K2286" s="6" t="n">
        <v>20</v>
      </c>
      <c r="L2286" s="6" t="n">
        <v>0</v>
      </c>
      <c r="M2286" s="6" t="n">
        <v>20</v>
      </c>
      <c r="N2286" s="11" t="n">
        <f aca="false">J2286/(J2286+K2286)</f>
        <v>0</v>
      </c>
      <c r="O2286" s="11" t="str">
        <f aca="false">IF(J2286+L2286=0,"",J2286/(J2286+L2286))</f>
        <v/>
      </c>
      <c r="P2286" s="11" t="n">
        <f aca="false">2*J2286/(2*J2286+L2286+K2286)</f>
        <v>0</v>
      </c>
      <c r="Q2286" s="11" t="n">
        <f aca="false">L2286/(L2286+M2286)</f>
        <v>0</v>
      </c>
      <c r="R2286" s="6" t="n">
        <v>0</v>
      </c>
      <c r="S2286" s="11"/>
      <c r="T2286" s="11" t="n">
        <v>0</v>
      </c>
      <c r="U2286" s="11" t="n">
        <v>0.9</v>
      </c>
      <c r="V2286" s="11" t="n">
        <v>0.9</v>
      </c>
    </row>
    <row r="2287" customFormat="false" ht="15" hidden="false" customHeight="false" outlineLevel="0" collapsed="false">
      <c r="A2287" s="6" t="s">
        <v>42</v>
      </c>
      <c r="B2287" s="6" t="s">
        <v>43</v>
      </c>
      <c r="C2287" s="6" t="s">
        <v>44</v>
      </c>
      <c r="D2287" s="6" t="s">
        <v>114</v>
      </c>
      <c r="E2287" s="6" t="n">
        <v>16</v>
      </c>
      <c r="F2287" s="6" t="n">
        <v>8</v>
      </c>
      <c r="G2287" s="6" t="s">
        <v>76</v>
      </c>
      <c r="H2287" s="11" t="n">
        <v>0.001</v>
      </c>
      <c r="I2287" s="6" t="n">
        <v>20</v>
      </c>
      <c r="J2287" s="6" t="n">
        <v>0</v>
      </c>
      <c r="K2287" s="6" t="n">
        <v>20</v>
      </c>
      <c r="L2287" s="6" t="n">
        <v>0</v>
      </c>
      <c r="M2287" s="6" t="n">
        <v>20</v>
      </c>
      <c r="N2287" s="11" t="n">
        <f aca="false">J2287/(J2287+K2287)</f>
        <v>0</v>
      </c>
      <c r="O2287" s="11" t="str">
        <f aca="false">IF(J2287+L2287=0,"",J2287/(J2287+L2287))</f>
        <v/>
      </c>
      <c r="P2287" s="11" t="n">
        <f aca="false">2*J2287/(2*J2287+L2287+K2287)</f>
        <v>0</v>
      </c>
      <c r="Q2287" s="11" t="n">
        <f aca="false">L2287/(L2287+M2287)</f>
        <v>0</v>
      </c>
      <c r="R2287" s="6" t="n">
        <v>0</v>
      </c>
      <c r="S2287" s="11"/>
      <c r="T2287" s="11" t="n">
        <v>0</v>
      </c>
      <c r="U2287" s="11" t="n">
        <v>0.95</v>
      </c>
      <c r="V2287" s="11" t="n">
        <v>0.95</v>
      </c>
    </row>
    <row r="2288" customFormat="false" ht="15" hidden="false" customHeight="false" outlineLevel="0" collapsed="false">
      <c r="A2288" s="6" t="s">
        <v>42</v>
      </c>
      <c r="B2288" s="6" t="s">
        <v>43</v>
      </c>
      <c r="C2288" s="6" t="s">
        <v>44</v>
      </c>
      <c r="D2288" s="6" t="s">
        <v>114</v>
      </c>
      <c r="E2288" s="6" t="n">
        <v>16</v>
      </c>
      <c r="F2288" s="6" t="n">
        <v>8</v>
      </c>
      <c r="G2288" s="6" t="s">
        <v>77</v>
      </c>
      <c r="H2288" s="11" t="n">
        <v>0.001</v>
      </c>
      <c r="I2288" s="6" t="n">
        <v>20</v>
      </c>
      <c r="J2288" s="6" t="n">
        <v>0</v>
      </c>
      <c r="K2288" s="6" t="n">
        <v>20</v>
      </c>
      <c r="L2288" s="6" t="n">
        <v>0</v>
      </c>
      <c r="M2288" s="6" t="n">
        <v>20</v>
      </c>
      <c r="N2288" s="11" t="n">
        <f aca="false">J2288/(J2288+K2288)</f>
        <v>0</v>
      </c>
      <c r="O2288" s="11" t="str">
        <f aca="false">IF(J2288+L2288=0,"",J2288/(J2288+L2288))</f>
        <v/>
      </c>
      <c r="P2288" s="11" t="n">
        <f aca="false">2*J2288/(2*J2288+L2288+K2288)</f>
        <v>0</v>
      </c>
      <c r="Q2288" s="11" t="n">
        <f aca="false">L2288/(L2288+M2288)</f>
        <v>0</v>
      </c>
      <c r="R2288" s="6" t="n">
        <v>0</v>
      </c>
      <c r="S2288" s="11"/>
      <c r="T2288" s="11" t="n">
        <v>0</v>
      </c>
      <c r="U2288" s="11" t="n">
        <v>1</v>
      </c>
      <c r="V2288" s="11" t="n">
        <v>1</v>
      </c>
    </row>
    <row r="2289" customFormat="false" ht="15" hidden="false" customHeight="false" outlineLevel="0" collapsed="false">
      <c r="A2289" s="6" t="s">
        <v>42</v>
      </c>
      <c r="B2289" s="6" t="s">
        <v>43</v>
      </c>
      <c r="C2289" s="6" t="s">
        <v>44</v>
      </c>
      <c r="D2289" s="6" t="s">
        <v>114</v>
      </c>
      <c r="E2289" s="6" t="n">
        <v>16</v>
      </c>
      <c r="F2289" s="6" t="n">
        <v>8</v>
      </c>
      <c r="G2289" s="6" t="s">
        <v>78</v>
      </c>
      <c r="H2289" s="11" t="n">
        <v>0.001</v>
      </c>
      <c r="I2289" s="6" t="n">
        <v>200</v>
      </c>
      <c r="J2289" s="6" t="n">
        <v>0</v>
      </c>
      <c r="K2289" s="6" t="n">
        <v>200</v>
      </c>
      <c r="L2289" s="6" t="n">
        <v>0</v>
      </c>
      <c r="M2289" s="6" t="n">
        <v>200</v>
      </c>
      <c r="N2289" s="11" t="n">
        <f aca="false">J2289/(J2289+K2289)</f>
        <v>0</v>
      </c>
      <c r="O2289" s="11" t="str">
        <f aca="false">IF(J2289+L2289=0,"",J2289/(J2289+L2289))</f>
        <v/>
      </c>
      <c r="P2289" s="11" t="n">
        <f aca="false">2*J2289/(2*J2289+L2289+K2289)</f>
        <v>0</v>
      </c>
      <c r="Q2289" s="11" t="n">
        <f aca="false">L2289/(L2289+M2289)</f>
        <v>0</v>
      </c>
      <c r="R2289" s="6" t="n">
        <v>15</v>
      </c>
      <c r="S2289" s="11" t="n">
        <v>0</v>
      </c>
      <c r="T2289" s="11" t="n">
        <v>0</v>
      </c>
      <c r="U2289" s="11" t="n">
        <v>0.88</v>
      </c>
      <c r="V2289" s="11" t="n">
        <v>0.865</v>
      </c>
    </row>
    <row r="2290" customFormat="false" ht="15" hidden="false" customHeight="false" outlineLevel="0" collapsed="false">
      <c r="A2290" s="6" t="s">
        <v>42</v>
      </c>
      <c r="B2290" s="6" t="s">
        <v>43</v>
      </c>
      <c r="C2290" s="6" t="s">
        <v>44</v>
      </c>
      <c r="D2290" s="6" t="s">
        <v>114</v>
      </c>
      <c r="E2290" s="6" t="n">
        <v>16</v>
      </c>
      <c r="F2290" s="6" t="n">
        <v>9</v>
      </c>
      <c r="G2290" s="6" t="s">
        <v>68</v>
      </c>
      <c r="H2290" s="11" t="n">
        <v>0.001</v>
      </c>
      <c r="I2290" s="6" t="n">
        <v>20</v>
      </c>
      <c r="J2290" s="6" t="n">
        <v>0</v>
      </c>
      <c r="K2290" s="6" t="n">
        <v>20</v>
      </c>
      <c r="L2290" s="6" t="n">
        <v>0</v>
      </c>
      <c r="M2290" s="6" t="n">
        <v>20</v>
      </c>
      <c r="N2290" s="11" t="n">
        <f aca="false">J2290/(J2290+K2290)</f>
        <v>0</v>
      </c>
      <c r="O2290" s="11" t="str">
        <f aca="false">IF(J2290+L2290=0,"",J2290/(J2290+L2290))</f>
        <v/>
      </c>
      <c r="P2290" s="11" t="n">
        <f aca="false">2*J2290/(2*J2290+L2290+K2290)</f>
        <v>0</v>
      </c>
      <c r="Q2290" s="11" t="n">
        <f aca="false">L2290/(L2290+M2290)</f>
        <v>0</v>
      </c>
      <c r="R2290" s="6" t="n">
        <v>2</v>
      </c>
      <c r="S2290" s="11" t="n">
        <v>0</v>
      </c>
      <c r="T2290" s="11" t="n">
        <v>0</v>
      </c>
      <c r="U2290" s="11" t="n">
        <v>0.85</v>
      </c>
      <c r="V2290" s="11" t="n">
        <v>0.95</v>
      </c>
    </row>
    <row r="2291" customFormat="false" ht="15" hidden="false" customHeight="false" outlineLevel="0" collapsed="false">
      <c r="A2291" s="6" t="s">
        <v>42</v>
      </c>
      <c r="B2291" s="6" t="s">
        <v>43</v>
      </c>
      <c r="C2291" s="6" t="s">
        <v>44</v>
      </c>
      <c r="D2291" s="6" t="s">
        <v>114</v>
      </c>
      <c r="E2291" s="6" t="n">
        <v>16</v>
      </c>
      <c r="F2291" s="6" t="n">
        <v>9</v>
      </c>
      <c r="G2291" s="6" t="s">
        <v>69</v>
      </c>
      <c r="H2291" s="11" t="n">
        <v>0.001</v>
      </c>
      <c r="I2291" s="6" t="n">
        <v>20</v>
      </c>
      <c r="J2291" s="6" t="n">
        <v>0</v>
      </c>
      <c r="K2291" s="6" t="n">
        <v>20</v>
      </c>
      <c r="L2291" s="6" t="n">
        <v>0</v>
      </c>
      <c r="M2291" s="6" t="n">
        <v>20</v>
      </c>
      <c r="N2291" s="11" t="n">
        <f aca="false">J2291/(J2291+K2291)</f>
        <v>0</v>
      </c>
      <c r="O2291" s="11" t="str">
        <f aca="false">IF(J2291+L2291=0,"",J2291/(J2291+L2291))</f>
        <v/>
      </c>
      <c r="P2291" s="11" t="n">
        <f aca="false">2*J2291/(2*J2291+L2291+K2291)</f>
        <v>0</v>
      </c>
      <c r="Q2291" s="11" t="n">
        <f aca="false">L2291/(L2291+M2291)</f>
        <v>0</v>
      </c>
      <c r="R2291" s="6" t="n">
        <v>0</v>
      </c>
      <c r="S2291" s="11"/>
      <c r="T2291" s="11" t="n">
        <v>0</v>
      </c>
      <c r="U2291" s="11" t="n">
        <v>1</v>
      </c>
      <c r="V2291" s="11" t="n">
        <v>1</v>
      </c>
    </row>
    <row r="2292" customFormat="false" ht="15" hidden="false" customHeight="false" outlineLevel="0" collapsed="false">
      <c r="A2292" s="6" t="s">
        <v>42</v>
      </c>
      <c r="B2292" s="6" t="s">
        <v>43</v>
      </c>
      <c r="C2292" s="6" t="s">
        <v>44</v>
      </c>
      <c r="D2292" s="6" t="s">
        <v>114</v>
      </c>
      <c r="E2292" s="6" t="n">
        <v>16</v>
      </c>
      <c r="F2292" s="6" t="n">
        <v>9</v>
      </c>
      <c r="G2292" s="6" t="s">
        <v>70</v>
      </c>
      <c r="H2292" s="11" t="n">
        <v>0.001</v>
      </c>
      <c r="I2292" s="6" t="n">
        <v>20</v>
      </c>
      <c r="J2292" s="6" t="n">
        <v>0</v>
      </c>
      <c r="K2292" s="6" t="n">
        <v>20</v>
      </c>
      <c r="L2292" s="6" t="n">
        <v>0</v>
      </c>
      <c r="M2292" s="6" t="n">
        <v>20</v>
      </c>
      <c r="N2292" s="11" t="n">
        <f aca="false">J2292/(J2292+K2292)</f>
        <v>0</v>
      </c>
      <c r="O2292" s="11" t="str">
        <f aca="false">IF(J2292+L2292=0,"",J2292/(J2292+L2292))</f>
        <v/>
      </c>
      <c r="P2292" s="11" t="n">
        <f aca="false">2*J2292/(2*J2292+L2292+K2292)</f>
        <v>0</v>
      </c>
      <c r="Q2292" s="11" t="n">
        <f aca="false">L2292/(L2292+M2292)</f>
        <v>0</v>
      </c>
      <c r="R2292" s="6" t="n">
        <v>0</v>
      </c>
      <c r="S2292" s="11"/>
      <c r="T2292" s="11" t="n">
        <v>0</v>
      </c>
      <c r="U2292" s="11" t="n">
        <v>0.9</v>
      </c>
      <c r="V2292" s="11" t="n">
        <v>0.9</v>
      </c>
    </row>
    <row r="2293" customFormat="false" ht="15" hidden="false" customHeight="false" outlineLevel="0" collapsed="false">
      <c r="A2293" s="6" t="s">
        <v>42</v>
      </c>
      <c r="B2293" s="6" t="s">
        <v>43</v>
      </c>
      <c r="C2293" s="6" t="s">
        <v>44</v>
      </c>
      <c r="D2293" s="6" t="s">
        <v>114</v>
      </c>
      <c r="E2293" s="6" t="n">
        <v>16</v>
      </c>
      <c r="F2293" s="6" t="n">
        <v>9</v>
      </c>
      <c r="G2293" s="6" t="s">
        <v>71</v>
      </c>
      <c r="H2293" s="11" t="n">
        <v>0.001</v>
      </c>
      <c r="I2293" s="6" t="n">
        <v>20</v>
      </c>
      <c r="J2293" s="6" t="n">
        <v>0</v>
      </c>
      <c r="K2293" s="6" t="n">
        <v>20</v>
      </c>
      <c r="L2293" s="6" t="n">
        <v>0</v>
      </c>
      <c r="M2293" s="6" t="n">
        <v>20</v>
      </c>
      <c r="N2293" s="11" t="n">
        <f aca="false">J2293/(J2293+K2293)</f>
        <v>0</v>
      </c>
      <c r="O2293" s="11" t="str">
        <f aca="false">IF(J2293+L2293=0,"",J2293/(J2293+L2293))</f>
        <v/>
      </c>
      <c r="P2293" s="11" t="n">
        <f aca="false">2*J2293/(2*J2293+L2293+K2293)</f>
        <v>0</v>
      </c>
      <c r="Q2293" s="11" t="n">
        <f aca="false">L2293/(L2293+M2293)</f>
        <v>0</v>
      </c>
      <c r="R2293" s="6" t="n">
        <v>1</v>
      </c>
      <c r="S2293" s="11" t="n">
        <v>0</v>
      </c>
      <c r="T2293" s="11" t="n">
        <v>0</v>
      </c>
      <c r="U2293" s="11" t="n">
        <v>0.8</v>
      </c>
      <c r="V2293" s="11" t="n">
        <v>0.85</v>
      </c>
    </row>
    <row r="2294" customFormat="false" ht="15" hidden="false" customHeight="false" outlineLevel="0" collapsed="false">
      <c r="A2294" s="6" t="s">
        <v>42</v>
      </c>
      <c r="B2294" s="6" t="s">
        <v>43</v>
      </c>
      <c r="C2294" s="6" t="s">
        <v>44</v>
      </c>
      <c r="D2294" s="6" t="s">
        <v>114</v>
      </c>
      <c r="E2294" s="6" t="n">
        <v>16</v>
      </c>
      <c r="F2294" s="6" t="n">
        <v>9</v>
      </c>
      <c r="G2294" s="6" t="s">
        <v>72</v>
      </c>
      <c r="H2294" s="11" t="n">
        <v>0.001</v>
      </c>
      <c r="I2294" s="6" t="n">
        <v>20</v>
      </c>
      <c r="J2294" s="6" t="n">
        <v>0</v>
      </c>
      <c r="K2294" s="6" t="n">
        <v>20</v>
      </c>
      <c r="L2294" s="6" t="n">
        <v>0</v>
      </c>
      <c r="M2294" s="6" t="n">
        <v>20</v>
      </c>
      <c r="N2294" s="11" t="n">
        <f aca="false">J2294/(J2294+K2294)</f>
        <v>0</v>
      </c>
      <c r="O2294" s="11" t="str">
        <f aca="false">IF(J2294+L2294=0,"",J2294/(J2294+L2294))</f>
        <v/>
      </c>
      <c r="P2294" s="11" t="n">
        <f aca="false">2*J2294/(2*J2294+L2294+K2294)</f>
        <v>0</v>
      </c>
      <c r="Q2294" s="11" t="n">
        <f aca="false">L2294/(L2294+M2294)</f>
        <v>0</v>
      </c>
      <c r="R2294" s="6" t="n">
        <v>0</v>
      </c>
      <c r="S2294" s="11"/>
      <c r="T2294" s="11" t="n">
        <v>0</v>
      </c>
      <c r="U2294" s="11" t="n">
        <v>0.9</v>
      </c>
      <c r="V2294" s="11" t="n">
        <v>0.9</v>
      </c>
    </row>
    <row r="2295" customFormat="false" ht="15" hidden="false" customHeight="false" outlineLevel="0" collapsed="false">
      <c r="A2295" s="6" t="s">
        <v>42</v>
      </c>
      <c r="B2295" s="6" t="s">
        <v>43</v>
      </c>
      <c r="C2295" s="6" t="s">
        <v>44</v>
      </c>
      <c r="D2295" s="6" t="s">
        <v>114</v>
      </c>
      <c r="E2295" s="6" t="n">
        <v>16</v>
      </c>
      <c r="F2295" s="6" t="n">
        <v>9</v>
      </c>
      <c r="G2295" s="6" t="s">
        <v>73</v>
      </c>
      <c r="H2295" s="11" t="n">
        <v>0.001</v>
      </c>
      <c r="I2295" s="6" t="n">
        <v>20</v>
      </c>
      <c r="J2295" s="6" t="n">
        <v>0</v>
      </c>
      <c r="K2295" s="6" t="n">
        <v>20</v>
      </c>
      <c r="L2295" s="6" t="n">
        <v>0</v>
      </c>
      <c r="M2295" s="6" t="n">
        <v>20</v>
      </c>
      <c r="N2295" s="11" t="n">
        <f aca="false">J2295/(J2295+K2295)</f>
        <v>0</v>
      </c>
      <c r="O2295" s="11" t="str">
        <f aca="false">IF(J2295+L2295=0,"",J2295/(J2295+L2295))</f>
        <v/>
      </c>
      <c r="P2295" s="11" t="n">
        <f aca="false">2*J2295/(2*J2295+L2295+K2295)</f>
        <v>0</v>
      </c>
      <c r="Q2295" s="11" t="n">
        <f aca="false">L2295/(L2295+M2295)</f>
        <v>0</v>
      </c>
      <c r="R2295" s="6" t="n">
        <v>3</v>
      </c>
      <c r="S2295" s="11" t="n">
        <v>0</v>
      </c>
      <c r="T2295" s="11" t="n">
        <v>0</v>
      </c>
      <c r="U2295" s="11" t="n">
        <v>0.65</v>
      </c>
      <c r="V2295" s="11" t="n">
        <v>0.6</v>
      </c>
    </row>
    <row r="2296" customFormat="false" ht="15" hidden="false" customHeight="false" outlineLevel="0" collapsed="false">
      <c r="A2296" s="6" t="s">
        <v>42</v>
      </c>
      <c r="B2296" s="6" t="s">
        <v>43</v>
      </c>
      <c r="C2296" s="6" t="s">
        <v>44</v>
      </c>
      <c r="D2296" s="6" t="s">
        <v>114</v>
      </c>
      <c r="E2296" s="6" t="n">
        <v>16</v>
      </c>
      <c r="F2296" s="6" t="n">
        <v>9</v>
      </c>
      <c r="G2296" s="6" t="s">
        <v>74</v>
      </c>
      <c r="H2296" s="11" t="n">
        <v>0.001</v>
      </c>
      <c r="I2296" s="6" t="n">
        <v>20</v>
      </c>
      <c r="J2296" s="6" t="n">
        <v>0</v>
      </c>
      <c r="K2296" s="6" t="n">
        <v>20</v>
      </c>
      <c r="L2296" s="6" t="n">
        <v>0</v>
      </c>
      <c r="M2296" s="6" t="n">
        <v>20</v>
      </c>
      <c r="N2296" s="11" t="n">
        <f aca="false">J2296/(J2296+K2296)</f>
        <v>0</v>
      </c>
      <c r="O2296" s="11" t="str">
        <f aca="false">IF(J2296+L2296=0,"",J2296/(J2296+L2296))</f>
        <v/>
      </c>
      <c r="P2296" s="11" t="n">
        <f aca="false">2*J2296/(2*J2296+L2296+K2296)</f>
        <v>0</v>
      </c>
      <c r="Q2296" s="11" t="n">
        <f aca="false">L2296/(L2296+M2296)</f>
        <v>0</v>
      </c>
      <c r="R2296" s="6" t="n">
        <v>3</v>
      </c>
      <c r="S2296" s="11" t="n">
        <v>0</v>
      </c>
      <c r="T2296" s="11" t="n">
        <v>0</v>
      </c>
      <c r="U2296" s="11" t="n">
        <v>0.85</v>
      </c>
      <c r="V2296" s="11" t="n">
        <v>0.95</v>
      </c>
    </row>
    <row r="2297" customFormat="false" ht="15" hidden="false" customHeight="false" outlineLevel="0" collapsed="false">
      <c r="A2297" s="6" t="s">
        <v>42</v>
      </c>
      <c r="B2297" s="6" t="s">
        <v>43</v>
      </c>
      <c r="C2297" s="6" t="s">
        <v>44</v>
      </c>
      <c r="D2297" s="6" t="s">
        <v>114</v>
      </c>
      <c r="E2297" s="6" t="n">
        <v>16</v>
      </c>
      <c r="F2297" s="6" t="n">
        <v>9</v>
      </c>
      <c r="G2297" s="6" t="s">
        <v>75</v>
      </c>
      <c r="H2297" s="11" t="n">
        <v>0.001</v>
      </c>
      <c r="I2297" s="6" t="n">
        <v>20</v>
      </c>
      <c r="J2297" s="6" t="n">
        <v>0</v>
      </c>
      <c r="K2297" s="6" t="n">
        <v>20</v>
      </c>
      <c r="L2297" s="6" t="n">
        <v>0</v>
      </c>
      <c r="M2297" s="6" t="n">
        <v>20</v>
      </c>
      <c r="N2297" s="11" t="n">
        <f aca="false">J2297/(J2297+K2297)</f>
        <v>0</v>
      </c>
      <c r="O2297" s="11" t="str">
        <f aca="false">IF(J2297+L2297=0,"",J2297/(J2297+L2297))</f>
        <v/>
      </c>
      <c r="P2297" s="11" t="n">
        <f aca="false">2*J2297/(2*J2297+L2297+K2297)</f>
        <v>0</v>
      </c>
      <c r="Q2297" s="11" t="n">
        <f aca="false">L2297/(L2297+M2297)</f>
        <v>0</v>
      </c>
      <c r="R2297" s="6" t="n">
        <v>2</v>
      </c>
      <c r="S2297" s="11" t="n">
        <v>0</v>
      </c>
      <c r="T2297" s="11" t="n">
        <v>0</v>
      </c>
      <c r="U2297" s="11" t="n">
        <v>0.9</v>
      </c>
      <c r="V2297" s="11" t="n">
        <v>0.95</v>
      </c>
    </row>
    <row r="2298" customFormat="false" ht="15" hidden="false" customHeight="false" outlineLevel="0" collapsed="false">
      <c r="A2298" s="6" t="s">
        <v>42</v>
      </c>
      <c r="B2298" s="6" t="s">
        <v>43</v>
      </c>
      <c r="C2298" s="6" t="s">
        <v>44</v>
      </c>
      <c r="D2298" s="6" t="s">
        <v>114</v>
      </c>
      <c r="E2298" s="6" t="n">
        <v>16</v>
      </c>
      <c r="F2298" s="6" t="n">
        <v>9</v>
      </c>
      <c r="G2298" s="6" t="s">
        <v>76</v>
      </c>
      <c r="H2298" s="11" t="n">
        <v>0.001</v>
      </c>
      <c r="I2298" s="6" t="n">
        <v>20</v>
      </c>
      <c r="J2298" s="6" t="n">
        <v>0</v>
      </c>
      <c r="K2298" s="6" t="n">
        <v>20</v>
      </c>
      <c r="L2298" s="6" t="n">
        <v>0</v>
      </c>
      <c r="M2298" s="6" t="n">
        <v>20</v>
      </c>
      <c r="N2298" s="11" t="n">
        <f aca="false">J2298/(J2298+K2298)</f>
        <v>0</v>
      </c>
      <c r="O2298" s="11" t="str">
        <f aca="false">IF(J2298+L2298=0,"",J2298/(J2298+L2298))</f>
        <v/>
      </c>
      <c r="P2298" s="11" t="n">
        <f aca="false">2*J2298/(2*J2298+L2298+K2298)</f>
        <v>0</v>
      </c>
      <c r="Q2298" s="11" t="n">
        <f aca="false">L2298/(L2298+M2298)</f>
        <v>0</v>
      </c>
      <c r="R2298" s="6" t="n">
        <v>0</v>
      </c>
      <c r="S2298" s="11"/>
      <c r="T2298" s="11" t="n">
        <v>0</v>
      </c>
      <c r="U2298" s="11" t="n">
        <v>0.95</v>
      </c>
      <c r="V2298" s="11" t="n">
        <v>0.95</v>
      </c>
    </row>
    <row r="2299" customFormat="false" ht="15" hidden="false" customHeight="false" outlineLevel="0" collapsed="false">
      <c r="A2299" s="6" t="s">
        <v>42</v>
      </c>
      <c r="B2299" s="6" t="s">
        <v>43</v>
      </c>
      <c r="C2299" s="6" t="s">
        <v>44</v>
      </c>
      <c r="D2299" s="6" t="s">
        <v>114</v>
      </c>
      <c r="E2299" s="6" t="n">
        <v>16</v>
      </c>
      <c r="F2299" s="6" t="n">
        <v>9</v>
      </c>
      <c r="G2299" s="6" t="s">
        <v>77</v>
      </c>
      <c r="H2299" s="11" t="n">
        <v>0.001</v>
      </c>
      <c r="I2299" s="6" t="n">
        <v>20</v>
      </c>
      <c r="J2299" s="6" t="n">
        <v>0</v>
      </c>
      <c r="K2299" s="6" t="n">
        <v>20</v>
      </c>
      <c r="L2299" s="6" t="n">
        <v>0</v>
      </c>
      <c r="M2299" s="6" t="n">
        <v>20</v>
      </c>
      <c r="N2299" s="11" t="n">
        <f aca="false">J2299/(J2299+K2299)</f>
        <v>0</v>
      </c>
      <c r="O2299" s="11" t="str">
        <f aca="false">IF(J2299+L2299=0,"",J2299/(J2299+L2299))</f>
        <v/>
      </c>
      <c r="P2299" s="11" t="n">
        <f aca="false">2*J2299/(2*J2299+L2299+K2299)</f>
        <v>0</v>
      </c>
      <c r="Q2299" s="11" t="n">
        <f aca="false">L2299/(L2299+M2299)</f>
        <v>0</v>
      </c>
      <c r="R2299" s="6" t="n">
        <v>0</v>
      </c>
      <c r="S2299" s="11"/>
      <c r="T2299" s="11" t="n">
        <v>0</v>
      </c>
      <c r="U2299" s="11" t="n">
        <v>1</v>
      </c>
      <c r="V2299" s="11" t="n">
        <v>1</v>
      </c>
    </row>
    <row r="2300" customFormat="false" ht="15" hidden="false" customHeight="false" outlineLevel="0" collapsed="false">
      <c r="A2300" s="6" t="s">
        <v>42</v>
      </c>
      <c r="B2300" s="6" t="s">
        <v>43</v>
      </c>
      <c r="C2300" s="6" t="s">
        <v>44</v>
      </c>
      <c r="D2300" s="6" t="s">
        <v>114</v>
      </c>
      <c r="E2300" s="6" t="n">
        <v>16</v>
      </c>
      <c r="F2300" s="6" t="n">
        <v>9</v>
      </c>
      <c r="G2300" s="6" t="s">
        <v>78</v>
      </c>
      <c r="H2300" s="11" t="n">
        <v>0.001</v>
      </c>
      <c r="I2300" s="6" t="n">
        <v>200</v>
      </c>
      <c r="J2300" s="6" t="n">
        <v>0</v>
      </c>
      <c r="K2300" s="6" t="n">
        <v>200</v>
      </c>
      <c r="L2300" s="6" t="n">
        <v>0</v>
      </c>
      <c r="M2300" s="6" t="n">
        <v>200</v>
      </c>
      <c r="N2300" s="11" t="n">
        <f aca="false">J2300/(J2300+K2300)</f>
        <v>0</v>
      </c>
      <c r="O2300" s="11" t="str">
        <f aca="false">IF(J2300+L2300=0,"",J2300/(J2300+L2300))</f>
        <v/>
      </c>
      <c r="P2300" s="11" t="n">
        <f aca="false">2*J2300/(2*J2300+L2300+K2300)</f>
        <v>0</v>
      </c>
      <c r="Q2300" s="11" t="n">
        <f aca="false">L2300/(L2300+M2300)</f>
        <v>0</v>
      </c>
      <c r="R2300" s="6" t="n">
        <v>11</v>
      </c>
      <c r="S2300" s="11" t="n">
        <v>0</v>
      </c>
      <c r="T2300" s="11" t="n">
        <v>0</v>
      </c>
      <c r="U2300" s="11" t="n">
        <v>0.88</v>
      </c>
      <c r="V2300" s="11" t="n">
        <v>0.905</v>
      </c>
    </row>
    <row r="2301" customFormat="false" ht="15" hidden="false" customHeight="false" outlineLevel="0" collapsed="false">
      <c r="A2301" s="6" t="s">
        <v>42</v>
      </c>
      <c r="B2301" s="6" t="s">
        <v>43</v>
      </c>
      <c r="C2301" s="6" t="s">
        <v>44</v>
      </c>
      <c r="D2301" s="6" t="s">
        <v>114</v>
      </c>
      <c r="E2301" s="6" t="n">
        <v>16</v>
      </c>
      <c r="F2301" s="6" t="n">
        <v>10</v>
      </c>
      <c r="G2301" s="6" t="s">
        <v>68</v>
      </c>
      <c r="H2301" s="11" t="n">
        <v>0.001</v>
      </c>
      <c r="I2301" s="6" t="n">
        <v>20</v>
      </c>
      <c r="J2301" s="6" t="n">
        <v>0</v>
      </c>
      <c r="K2301" s="6" t="n">
        <v>20</v>
      </c>
      <c r="L2301" s="6" t="n">
        <v>0</v>
      </c>
      <c r="M2301" s="6" t="n">
        <v>20</v>
      </c>
      <c r="N2301" s="11" t="n">
        <f aca="false">J2301/(J2301+K2301)</f>
        <v>0</v>
      </c>
      <c r="O2301" s="11" t="str">
        <f aca="false">IF(J2301+L2301=0,"",J2301/(J2301+L2301))</f>
        <v/>
      </c>
      <c r="P2301" s="11" t="n">
        <f aca="false">2*J2301/(2*J2301+L2301+K2301)</f>
        <v>0</v>
      </c>
      <c r="Q2301" s="11" t="n">
        <f aca="false">L2301/(L2301+M2301)</f>
        <v>0</v>
      </c>
      <c r="R2301" s="6" t="n">
        <v>0</v>
      </c>
      <c r="S2301" s="11"/>
      <c r="T2301" s="11" t="n">
        <v>0</v>
      </c>
      <c r="U2301" s="11" t="n">
        <v>0.85</v>
      </c>
      <c r="V2301" s="11" t="n">
        <v>0.85</v>
      </c>
    </row>
    <row r="2302" customFormat="false" ht="15" hidden="false" customHeight="false" outlineLevel="0" collapsed="false">
      <c r="A2302" s="6" t="s">
        <v>42</v>
      </c>
      <c r="B2302" s="6" t="s">
        <v>43</v>
      </c>
      <c r="C2302" s="6" t="s">
        <v>44</v>
      </c>
      <c r="D2302" s="6" t="s">
        <v>114</v>
      </c>
      <c r="E2302" s="6" t="n">
        <v>16</v>
      </c>
      <c r="F2302" s="6" t="n">
        <v>10</v>
      </c>
      <c r="G2302" s="6" t="s">
        <v>69</v>
      </c>
      <c r="H2302" s="11" t="n">
        <v>0.001</v>
      </c>
      <c r="I2302" s="6" t="n">
        <v>20</v>
      </c>
      <c r="J2302" s="6" t="n">
        <v>0</v>
      </c>
      <c r="K2302" s="6" t="n">
        <v>20</v>
      </c>
      <c r="L2302" s="6" t="n">
        <v>0</v>
      </c>
      <c r="M2302" s="6" t="n">
        <v>20</v>
      </c>
      <c r="N2302" s="11" t="n">
        <f aca="false">J2302/(J2302+K2302)</f>
        <v>0</v>
      </c>
      <c r="O2302" s="11" t="str">
        <f aca="false">IF(J2302+L2302=0,"",J2302/(J2302+L2302))</f>
        <v/>
      </c>
      <c r="P2302" s="11" t="n">
        <f aca="false">2*J2302/(2*J2302+L2302+K2302)</f>
        <v>0</v>
      </c>
      <c r="Q2302" s="11" t="n">
        <f aca="false">L2302/(L2302+M2302)</f>
        <v>0</v>
      </c>
      <c r="R2302" s="6" t="n">
        <v>0</v>
      </c>
      <c r="S2302" s="11"/>
      <c r="T2302" s="11" t="n">
        <v>0</v>
      </c>
      <c r="U2302" s="11" t="n">
        <v>1</v>
      </c>
      <c r="V2302" s="11" t="n">
        <v>1</v>
      </c>
    </row>
    <row r="2303" customFormat="false" ht="15" hidden="false" customHeight="false" outlineLevel="0" collapsed="false">
      <c r="A2303" s="6" t="s">
        <v>42</v>
      </c>
      <c r="B2303" s="6" t="s">
        <v>43</v>
      </c>
      <c r="C2303" s="6" t="s">
        <v>44</v>
      </c>
      <c r="D2303" s="6" t="s">
        <v>114</v>
      </c>
      <c r="E2303" s="6" t="n">
        <v>16</v>
      </c>
      <c r="F2303" s="6" t="n">
        <v>10</v>
      </c>
      <c r="G2303" s="6" t="s">
        <v>70</v>
      </c>
      <c r="H2303" s="11" t="n">
        <v>0.001</v>
      </c>
      <c r="I2303" s="6" t="n">
        <v>20</v>
      </c>
      <c r="J2303" s="6" t="n">
        <v>0</v>
      </c>
      <c r="K2303" s="6" t="n">
        <v>20</v>
      </c>
      <c r="L2303" s="6" t="n">
        <v>0</v>
      </c>
      <c r="M2303" s="6" t="n">
        <v>20</v>
      </c>
      <c r="N2303" s="11" t="n">
        <f aca="false">J2303/(J2303+K2303)</f>
        <v>0</v>
      </c>
      <c r="O2303" s="11" t="str">
        <f aca="false">IF(J2303+L2303=0,"",J2303/(J2303+L2303))</f>
        <v/>
      </c>
      <c r="P2303" s="11" t="n">
        <f aca="false">2*J2303/(2*J2303+L2303+K2303)</f>
        <v>0</v>
      </c>
      <c r="Q2303" s="11" t="n">
        <f aca="false">L2303/(L2303+M2303)</f>
        <v>0</v>
      </c>
      <c r="R2303" s="6" t="n">
        <v>0</v>
      </c>
      <c r="S2303" s="11"/>
      <c r="T2303" s="11" t="n">
        <v>0</v>
      </c>
      <c r="U2303" s="11" t="n">
        <v>0.9</v>
      </c>
      <c r="V2303" s="11" t="n">
        <v>0.9</v>
      </c>
    </row>
    <row r="2304" customFormat="false" ht="15" hidden="false" customHeight="false" outlineLevel="0" collapsed="false">
      <c r="A2304" s="6" t="s">
        <v>42</v>
      </c>
      <c r="B2304" s="6" t="s">
        <v>43</v>
      </c>
      <c r="C2304" s="6" t="s">
        <v>44</v>
      </c>
      <c r="D2304" s="6" t="s">
        <v>114</v>
      </c>
      <c r="E2304" s="6" t="n">
        <v>16</v>
      </c>
      <c r="F2304" s="6" t="n">
        <v>10</v>
      </c>
      <c r="G2304" s="6" t="s">
        <v>71</v>
      </c>
      <c r="H2304" s="11" t="n">
        <v>0.001</v>
      </c>
      <c r="I2304" s="6" t="n">
        <v>20</v>
      </c>
      <c r="J2304" s="6" t="n">
        <v>0</v>
      </c>
      <c r="K2304" s="6" t="n">
        <v>20</v>
      </c>
      <c r="L2304" s="6" t="n">
        <v>0</v>
      </c>
      <c r="M2304" s="6" t="n">
        <v>20</v>
      </c>
      <c r="N2304" s="11" t="n">
        <f aca="false">J2304/(J2304+K2304)</f>
        <v>0</v>
      </c>
      <c r="O2304" s="11" t="str">
        <f aca="false">IF(J2304+L2304=0,"",J2304/(J2304+L2304))</f>
        <v/>
      </c>
      <c r="P2304" s="11" t="n">
        <f aca="false">2*J2304/(2*J2304+L2304+K2304)</f>
        <v>0</v>
      </c>
      <c r="Q2304" s="11" t="n">
        <f aca="false">L2304/(L2304+M2304)</f>
        <v>0</v>
      </c>
      <c r="R2304" s="6" t="n">
        <v>0</v>
      </c>
      <c r="S2304" s="11"/>
      <c r="T2304" s="11" t="n">
        <v>0</v>
      </c>
      <c r="U2304" s="11" t="n">
        <v>0.8</v>
      </c>
      <c r="V2304" s="11" t="n">
        <v>0.8</v>
      </c>
    </row>
    <row r="2305" customFormat="false" ht="15" hidden="false" customHeight="false" outlineLevel="0" collapsed="false">
      <c r="A2305" s="6" t="s">
        <v>42</v>
      </c>
      <c r="B2305" s="6" t="s">
        <v>43</v>
      </c>
      <c r="C2305" s="6" t="s">
        <v>44</v>
      </c>
      <c r="D2305" s="6" t="s">
        <v>114</v>
      </c>
      <c r="E2305" s="6" t="n">
        <v>16</v>
      </c>
      <c r="F2305" s="6" t="n">
        <v>10</v>
      </c>
      <c r="G2305" s="6" t="s">
        <v>72</v>
      </c>
      <c r="H2305" s="11" t="n">
        <v>0.001</v>
      </c>
      <c r="I2305" s="6" t="n">
        <v>20</v>
      </c>
      <c r="J2305" s="6" t="n">
        <v>0</v>
      </c>
      <c r="K2305" s="6" t="n">
        <v>20</v>
      </c>
      <c r="L2305" s="6" t="n">
        <v>0</v>
      </c>
      <c r="M2305" s="6" t="n">
        <v>20</v>
      </c>
      <c r="N2305" s="11" t="n">
        <f aca="false">J2305/(J2305+K2305)</f>
        <v>0</v>
      </c>
      <c r="O2305" s="11" t="str">
        <f aca="false">IF(J2305+L2305=0,"",J2305/(J2305+L2305))</f>
        <v/>
      </c>
      <c r="P2305" s="11" t="n">
        <f aca="false">2*J2305/(2*J2305+L2305+K2305)</f>
        <v>0</v>
      </c>
      <c r="Q2305" s="11" t="n">
        <f aca="false">L2305/(L2305+M2305)</f>
        <v>0</v>
      </c>
      <c r="R2305" s="6" t="n">
        <v>0</v>
      </c>
      <c r="S2305" s="11"/>
      <c r="T2305" s="11" t="n">
        <v>0</v>
      </c>
      <c r="U2305" s="11" t="n">
        <v>0.9</v>
      </c>
      <c r="V2305" s="11" t="n">
        <v>0.9</v>
      </c>
    </row>
    <row r="2306" customFormat="false" ht="15" hidden="false" customHeight="false" outlineLevel="0" collapsed="false">
      <c r="A2306" s="6" t="s">
        <v>42</v>
      </c>
      <c r="B2306" s="6" t="s">
        <v>43</v>
      </c>
      <c r="C2306" s="6" t="s">
        <v>44</v>
      </c>
      <c r="D2306" s="6" t="s">
        <v>114</v>
      </c>
      <c r="E2306" s="6" t="n">
        <v>16</v>
      </c>
      <c r="F2306" s="6" t="n">
        <v>10</v>
      </c>
      <c r="G2306" s="6" t="s">
        <v>73</v>
      </c>
      <c r="H2306" s="11" t="n">
        <v>0.001</v>
      </c>
      <c r="I2306" s="6" t="n">
        <v>20</v>
      </c>
      <c r="J2306" s="6" t="n">
        <v>0</v>
      </c>
      <c r="K2306" s="6" t="n">
        <v>20</v>
      </c>
      <c r="L2306" s="6" t="n">
        <v>0</v>
      </c>
      <c r="M2306" s="6" t="n">
        <v>20</v>
      </c>
      <c r="N2306" s="11" t="n">
        <f aca="false">J2306/(J2306+K2306)</f>
        <v>0</v>
      </c>
      <c r="O2306" s="11" t="str">
        <f aca="false">IF(J2306+L2306=0,"",J2306/(J2306+L2306))</f>
        <v/>
      </c>
      <c r="P2306" s="11" t="n">
        <f aca="false">2*J2306/(2*J2306+L2306+K2306)</f>
        <v>0</v>
      </c>
      <c r="Q2306" s="11" t="n">
        <f aca="false">L2306/(L2306+M2306)</f>
        <v>0</v>
      </c>
      <c r="R2306" s="6" t="n">
        <v>1</v>
      </c>
      <c r="S2306" s="11" t="n">
        <v>0</v>
      </c>
      <c r="T2306" s="11" t="n">
        <v>0</v>
      </c>
      <c r="U2306" s="11" t="n">
        <v>0.65</v>
      </c>
      <c r="V2306" s="11" t="n">
        <v>0.65</v>
      </c>
    </row>
    <row r="2307" customFormat="false" ht="15" hidden="false" customHeight="false" outlineLevel="0" collapsed="false">
      <c r="A2307" s="6" t="s">
        <v>42</v>
      </c>
      <c r="B2307" s="6" t="s">
        <v>43</v>
      </c>
      <c r="C2307" s="6" t="s">
        <v>44</v>
      </c>
      <c r="D2307" s="6" t="s">
        <v>114</v>
      </c>
      <c r="E2307" s="6" t="n">
        <v>16</v>
      </c>
      <c r="F2307" s="6" t="n">
        <v>10</v>
      </c>
      <c r="G2307" s="6" t="s">
        <v>74</v>
      </c>
      <c r="H2307" s="11" t="n">
        <v>0.001</v>
      </c>
      <c r="I2307" s="6" t="n">
        <v>20</v>
      </c>
      <c r="J2307" s="6" t="n">
        <v>0</v>
      </c>
      <c r="K2307" s="6" t="n">
        <v>20</v>
      </c>
      <c r="L2307" s="6" t="n">
        <v>0</v>
      </c>
      <c r="M2307" s="6" t="n">
        <v>20</v>
      </c>
      <c r="N2307" s="11" t="n">
        <f aca="false">J2307/(J2307+K2307)</f>
        <v>0</v>
      </c>
      <c r="O2307" s="11" t="str">
        <f aca="false">IF(J2307+L2307=0,"",J2307/(J2307+L2307))</f>
        <v/>
      </c>
      <c r="P2307" s="11" t="n">
        <f aca="false">2*J2307/(2*J2307+L2307+K2307)</f>
        <v>0</v>
      </c>
      <c r="Q2307" s="11" t="n">
        <f aca="false">L2307/(L2307+M2307)</f>
        <v>0</v>
      </c>
      <c r="R2307" s="6" t="n">
        <v>1</v>
      </c>
      <c r="S2307" s="11" t="n">
        <v>0</v>
      </c>
      <c r="T2307" s="11" t="n">
        <v>0</v>
      </c>
      <c r="U2307" s="11" t="n">
        <v>0.85</v>
      </c>
      <c r="V2307" s="11" t="n">
        <v>0.9</v>
      </c>
    </row>
    <row r="2308" customFormat="false" ht="15" hidden="false" customHeight="false" outlineLevel="0" collapsed="false">
      <c r="A2308" s="6" t="s">
        <v>42</v>
      </c>
      <c r="B2308" s="6" t="s">
        <v>43</v>
      </c>
      <c r="C2308" s="6" t="s">
        <v>44</v>
      </c>
      <c r="D2308" s="6" t="s">
        <v>114</v>
      </c>
      <c r="E2308" s="6" t="n">
        <v>16</v>
      </c>
      <c r="F2308" s="6" t="n">
        <v>10</v>
      </c>
      <c r="G2308" s="6" t="s">
        <v>75</v>
      </c>
      <c r="H2308" s="11" t="n">
        <v>0.001</v>
      </c>
      <c r="I2308" s="6" t="n">
        <v>20</v>
      </c>
      <c r="J2308" s="6" t="n">
        <v>0</v>
      </c>
      <c r="K2308" s="6" t="n">
        <v>20</v>
      </c>
      <c r="L2308" s="6" t="n">
        <v>0</v>
      </c>
      <c r="M2308" s="6" t="n">
        <v>20</v>
      </c>
      <c r="N2308" s="11" t="n">
        <f aca="false">J2308/(J2308+K2308)</f>
        <v>0</v>
      </c>
      <c r="O2308" s="11" t="str">
        <f aca="false">IF(J2308+L2308=0,"",J2308/(J2308+L2308))</f>
        <v/>
      </c>
      <c r="P2308" s="11" t="n">
        <f aca="false">2*J2308/(2*J2308+L2308+K2308)</f>
        <v>0</v>
      </c>
      <c r="Q2308" s="11" t="n">
        <f aca="false">L2308/(L2308+M2308)</f>
        <v>0</v>
      </c>
      <c r="R2308" s="6" t="n">
        <v>0</v>
      </c>
      <c r="S2308" s="11"/>
      <c r="T2308" s="11" t="n">
        <v>0</v>
      </c>
      <c r="U2308" s="11" t="n">
        <v>0.9</v>
      </c>
      <c r="V2308" s="11" t="n">
        <v>0.9</v>
      </c>
    </row>
    <row r="2309" customFormat="false" ht="15" hidden="false" customHeight="false" outlineLevel="0" collapsed="false">
      <c r="A2309" s="6" t="s">
        <v>42</v>
      </c>
      <c r="B2309" s="6" t="s">
        <v>43</v>
      </c>
      <c r="C2309" s="6" t="s">
        <v>44</v>
      </c>
      <c r="D2309" s="6" t="s">
        <v>114</v>
      </c>
      <c r="E2309" s="6" t="n">
        <v>16</v>
      </c>
      <c r="F2309" s="6" t="n">
        <v>10</v>
      </c>
      <c r="G2309" s="6" t="s">
        <v>76</v>
      </c>
      <c r="H2309" s="11" t="n">
        <v>0.001</v>
      </c>
      <c r="I2309" s="6" t="n">
        <v>20</v>
      </c>
      <c r="J2309" s="6" t="n">
        <v>0</v>
      </c>
      <c r="K2309" s="6" t="n">
        <v>20</v>
      </c>
      <c r="L2309" s="6" t="n">
        <v>0</v>
      </c>
      <c r="M2309" s="6" t="n">
        <v>20</v>
      </c>
      <c r="N2309" s="11" t="n">
        <f aca="false">J2309/(J2309+K2309)</f>
        <v>0</v>
      </c>
      <c r="O2309" s="11" t="str">
        <f aca="false">IF(J2309+L2309=0,"",J2309/(J2309+L2309))</f>
        <v/>
      </c>
      <c r="P2309" s="11" t="n">
        <f aca="false">2*J2309/(2*J2309+L2309+K2309)</f>
        <v>0</v>
      </c>
      <c r="Q2309" s="11" t="n">
        <f aca="false">L2309/(L2309+M2309)</f>
        <v>0</v>
      </c>
      <c r="R2309" s="6" t="n">
        <v>0</v>
      </c>
      <c r="S2309" s="11"/>
      <c r="T2309" s="11" t="n">
        <v>0</v>
      </c>
      <c r="U2309" s="11" t="n">
        <v>0.95</v>
      </c>
      <c r="V2309" s="11" t="n">
        <v>0.95</v>
      </c>
    </row>
    <row r="2310" customFormat="false" ht="15" hidden="false" customHeight="false" outlineLevel="0" collapsed="false">
      <c r="A2310" s="6" t="s">
        <v>42</v>
      </c>
      <c r="B2310" s="6" t="s">
        <v>43</v>
      </c>
      <c r="C2310" s="6" t="s">
        <v>44</v>
      </c>
      <c r="D2310" s="6" t="s">
        <v>114</v>
      </c>
      <c r="E2310" s="6" t="n">
        <v>16</v>
      </c>
      <c r="F2310" s="6" t="n">
        <v>10</v>
      </c>
      <c r="G2310" s="6" t="s">
        <v>77</v>
      </c>
      <c r="H2310" s="11" t="n">
        <v>0.001</v>
      </c>
      <c r="I2310" s="6" t="n">
        <v>20</v>
      </c>
      <c r="J2310" s="6" t="n">
        <v>0</v>
      </c>
      <c r="K2310" s="6" t="n">
        <v>20</v>
      </c>
      <c r="L2310" s="6" t="n">
        <v>0</v>
      </c>
      <c r="M2310" s="6" t="n">
        <v>20</v>
      </c>
      <c r="N2310" s="11" t="n">
        <f aca="false">J2310/(J2310+K2310)</f>
        <v>0</v>
      </c>
      <c r="O2310" s="11" t="str">
        <f aca="false">IF(J2310+L2310=0,"",J2310/(J2310+L2310))</f>
        <v/>
      </c>
      <c r="P2310" s="11" t="n">
        <f aca="false">2*J2310/(2*J2310+L2310+K2310)</f>
        <v>0</v>
      </c>
      <c r="Q2310" s="11" t="n">
        <f aca="false">L2310/(L2310+M2310)</f>
        <v>0</v>
      </c>
      <c r="R2310" s="6" t="n">
        <v>0</v>
      </c>
      <c r="S2310" s="11"/>
      <c r="T2310" s="11" t="n">
        <v>0</v>
      </c>
      <c r="U2310" s="11" t="n">
        <v>1</v>
      </c>
      <c r="V2310" s="11" t="n">
        <v>1</v>
      </c>
    </row>
    <row r="2311" customFormat="false" ht="15" hidden="false" customHeight="false" outlineLevel="0" collapsed="false">
      <c r="A2311" s="6" t="s">
        <v>42</v>
      </c>
      <c r="B2311" s="6" t="s">
        <v>43</v>
      </c>
      <c r="C2311" s="6" t="s">
        <v>44</v>
      </c>
      <c r="D2311" s="6" t="s">
        <v>114</v>
      </c>
      <c r="E2311" s="6" t="n">
        <v>16</v>
      </c>
      <c r="F2311" s="6" t="n">
        <v>10</v>
      </c>
      <c r="G2311" s="6" t="s">
        <v>78</v>
      </c>
      <c r="H2311" s="11" t="n">
        <v>0.001</v>
      </c>
      <c r="I2311" s="6" t="n">
        <v>200</v>
      </c>
      <c r="J2311" s="6" t="n">
        <v>0</v>
      </c>
      <c r="K2311" s="6" t="n">
        <v>200</v>
      </c>
      <c r="L2311" s="6" t="n">
        <v>0</v>
      </c>
      <c r="M2311" s="6" t="n">
        <v>200</v>
      </c>
      <c r="N2311" s="11" t="n">
        <f aca="false">J2311/(J2311+K2311)</f>
        <v>0</v>
      </c>
      <c r="O2311" s="11" t="str">
        <f aca="false">IF(J2311+L2311=0,"",J2311/(J2311+L2311))</f>
        <v/>
      </c>
      <c r="P2311" s="11" t="n">
        <f aca="false">2*J2311/(2*J2311+L2311+K2311)</f>
        <v>0</v>
      </c>
      <c r="Q2311" s="11" t="n">
        <f aca="false">L2311/(L2311+M2311)</f>
        <v>0</v>
      </c>
      <c r="R2311" s="6" t="n">
        <v>2</v>
      </c>
      <c r="S2311" s="11" t="n">
        <v>0</v>
      </c>
      <c r="T2311" s="11" t="n">
        <v>0</v>
      </c>
      <c r="U2311" s="11" t="n">
        <v>0.88</v>
      </c>
      <c r="V2311" s="11" t="n">
        <v>0.885</v>
      </c>
    </row>
    <row r="2312" customFormat="false" ht="15" hidden="false" customHeight="false" outlineLevel="0" collapsed="false">
      <c r="A2312" s="6" t="s">
        <v>46</v>
      </c>
      <c r="B2312" s="6" t="s">
        <v>43</v>
      </c>
      <c r="C2312" s="6" t="s">
        <v>44</v>
      </c>
      <c r="D2312" s="6" t="s">
        <v>115</v>
      </c>
      <c r="E2312" s="6" t="n">
        <v>1</v>
      </c>
      <c r="F2312" s="6" t="n">
        <v>1</v>
      </c>
      <c r="G2312" s="6" t="s">
        <v>68</v>
      </c>
      <c r="H2312" s="11" t="n">
        <v>0.001</v>
      </c>
      <c r="I2312" s="6" t="n">
        <v>20</v>
      </c>
      <c r="J2312" s="6" t="n">
        <v>0</v>
      </c>
      <c r="K2312" s="6" t="n">
        <v>20</v>
      </c>
      <c r="L2312" s="6" t="n">
        <v>0</v>
      </c>
      <c r="M2312" s="6" t="n">
        <v>20</v>
      </c>
      <c r="N2312" s="11" t="n">
        <f aca="false">J2312/(J2312+K2312)</f>
        <v>0</v>
      </c>
      <c r="O2312" s="11" t="str">
        <f aca="false">IF(J2312+L2312=0,"",J2312/(J2312+L2312))</f>
        <v/>
      </c>
      <c r="P2312" s="11" t="n">
        <f aca="false">2*J2312/(2*J2312+L2312+K2312)</f>
        <v>0</v>
      </c>
      <c r="Q2312" s="11" t="n">
        <f aca="false">L2312/(L2312+M2312)</f>
        <v>0</v>
      </c>
      <c r="R2312" s="6" t="n">
        <v>0</v>
      </c>
      <c r="S2312" s="11"/>
      <c r="T2312" s="11" t="n">
        <v>0</v>
      </c>
      <c r="U2312" s="11" t="n">
        <v>0.85</v>
      </c>
      <c r="V2312" s="11" t="n">
        <v>0.85</v>
      </c>
    </row>
    <row r="2313" customFormat="false" ht="15" hidden="false" customHeight="false" outlineLevel="0" collapsed="false">
      <c r="A2313" s="6" t="s">
        <v>46</v>
      </c>
      <c r="B2313" s="6" t="s">
        <v>43</v>
      </c>
      <c r="C2313" s="6" t="s">
        <v>44</v>
      </c>
      <c r="D2313" s="6" t="s">
        <v>115</v>
      </c>
      <c r="E2313" s="6" t="n">
        <v>1</v>
      </c>
      <c r="F2313" s="6" t="n">
        <v>1</v>
      </c>
      <c r="G2313" s="6" t="s">
        <v>69</v>
      </c>
      <c r="H2313" s="11" t="n">
        <v>0.001</v>
      </c>
      <c r="I2313" s="6" t="n">
        <v>20</v>
      </c>
      <c r="J2313" s="6" t="n">
        <v>0</v>
      </c>
      <c r="K2313" s="6" t="n">
        <v>20</v>
      </c>
      <c r="L2313" s="6" t="n">
        <v>0</v>
      </c>
      <c r="M2313" s="6" t="n">
        <v>20</v>
      </c>
      <c r="N2313" s="11" t="n">
        <f aca="false">J2313/(J2313+K2313)</f>
        <v>0</v>
      </c>
      <c r="O2313" s="11" t="str">
        <f aca="false">IF(J2313+L2313=0,"",J2313/(J2313+L2313))</f>
        <v/>
      </c>
      <c r="P2313" s="11" t="n">
        <f aca="false">2*J2313/(2*J2313+L2313+K2313)</f>
        <v>0</v>
      </c>
      <c r="Q2313" s="11" t="n">
        <f aca="false">L2313/(L2313+M2313)</f>
        <v>0</v>
      </c>
      <c r="R2313" s="6" t="n">
        <v>0</v>
      </c>
      <c r="S2313" s="11"/>
      <c r="T2313" s="11" t="n">
        <v>0</v>
      </c>
      <c r="U2313" s="11" t="n">
        <v>1</v>
      </c>
      <c r="V2313" s="11" t="n">
        <v>1</v>
      </c>
    </row>
    <row r="2314" customFormat="false" ht="15" hidden="false" customHeight="false" outlineLevel="0" collapsed="false">
      <c r="A2314" s="6" t="s">
        <v>46</v>
      </c>
      <c r="B2314" s="6" t="s">
        <v>43</v>
      </c>
      <c r="C2314" s="6" t="s">
        <v>44</v>
      </c>
      <c r="D2314" s="6" t="s">
        <v>115</v>
      </c>
      <c r="E2314" s="6" t="n">
        <v>1</v>
      </c>
      <c r="F2314" s="6" t="n">
        <v>1</v>
      </c>
      <c r="G2314" s="6" t="s">
        <v>70</v>
      </c>
      <c r="H2314" s="11" t="n">
        <v>0.001</v>
      </c>
      <c r="I2314" s="6" t="n">
        <v>20</v>
      </c>
      <c r="J2314" s="6" t="n">
        <v>0</v>
      </c>
      <c r="K2314" s="6" t="n">
        <v>20</v>
      </c>
      <c r="L2314" s="6" t="n">
        <v>0</v>
      </c>
      <c r="M2314" s="6" t="n">
        <v>20</v>
      </c>
      <c r="N2314" s="11" t="n">
        <f aca="false">J2314/(J2314+K2314)</f>
        <v>0</v>
      </c>
      <c r="O2314" s="11" t="str">
        <f aca="false">IF(J2314+L2314=0,"",J2314/(J2314+L2314))</f>
        <v/>
      </c>
      <c r="P2314" s="11" t="n">
        <f aca="false">2*J2314/(2*J2314+L2314+K2314)</f>
        <v>0</v>
      </c>
      <c r="Q2314" s="11" t="n">
        <f aca="false">L2314/(L2314+M2314)</f>
        <v>0</v>
      </c>
      <c r="R2314" s="6" t="n">
        <v>0</v>
      </c>
      <c r="S2314" s="11"/>
      <c r="T2314" s="11" t="n">
        <v>0</v>
      </c>
      <c r="U2314" s="11" t="n">
        <v>0.9</v>
      </c>
      <c r="V2314" s="11" t="n">
        <v>0.9</v>
      </c>
    </row>
    <row r="2315" customFormat="false" ht="15" hidden="false" customHeight="false" outlineLevel="0" collapsed="false">
      <c r="A2315" s="6" t="s">
        <v>46</v>
      </c>
      <c r="B2315" s="6" t="s">
        <v>43</v>
      </c>
      <c r="C2315" s="6" t="s">
        <v>44</v>
      </c>
      <c r="D2315" s="6" t="s">
        <v>115</v>
      </c>
      <c r="E2315" s="6" t="n">
        <v>1</v>
      </c>
      <c r="F2315" s="6" t="n">
        <v>1</v>
      </c>
      <c r="G2315" s="6" t="s">
        <v>71</v>
      </c>
      <c r="H2315" s="11" t="n">
        <v>0.001</v>
      </c>
      <c r="I2315" s="6" t="n">
        <v>20</v>
      </c>
      <c r="J2315" s="6" t="n">
        <v>0</v>
      </c>
      <c r="K2315" s="6" t="n">
        <v>20</v>
      </c>
      <c r="L2315" s="6" t="n">
        <v>0</v>
      </c>
      <c r="M2315" s="6" t="n">
        <v>20</v>
      </c>
      <c r="N2315" s="11" t="n">
        <f aca="false">J2315/(J2315+K2315)</f>
        <v>0</v>
      </c>
      <c r="O2315" s="11" t="str">
        <f aca="false">IF(J2315+L2315=0,"",J2315/(J2315+L2315))</f>
        <v/>
      </c>
      <c r="P2315" s="11" t="n">
        <f aca="false">2*J2315/(2*J2315+L2315+K2315)</f>
        <v>0</v>
      </c>
      <c r="Q2315" s="11" t="n">
        <f aca="false">L2315/(L2315+M2315)</f>
        <v>0</v>
      </c>
      <c r="R2315" s="6" t="n">
        <v>0</v>
      </c>
      <c r="S2315" s="11"/>
      <c r="T2315" s="11" t="n">
        <v>0</v>
      </c>
      <c r="U2315" s="11" t="n">
        <v>0.8</v>
      </c>
      <c r="V2315" s="11" t="n">
        <v>0.8</v>
      </c>
    </row>
    <row r="2316" customFormat="false" ht="15" hidden="false" customHeight="false" outlineLevel="0" collapsed="false">
      <c r="A2316" s="6" t="s">
        <v>46</v>
      </c>
      <c r="B2316" s="6" t="s">
        <v>43</v>
      </c>
      <c r="C2316" s="6" t="s">
        <v>44</v>
      </c>
      <c r="D2316" s="6" t="s">
        <v>115</v>
      </c>
      <c r="E2316" s="6" t="n">
        <v>1</v>
      </c>
      <c r="F2316" s="6" t="n">
        <v>1</v>
      </c>
      <c r="G2316" s="6" t="s">
        <v>72</v>
      </c>
      <c r="H2316" s="11" t="n">
        <v>0.001</v>
      </c>
      <c r="I2316" s="6" t="n">
        <v>20</v>
      </c>
      <c r="J2316" s="6" t="n">
        <v>0</v>
      </c>
      <c r="K2316" s="6" t="n">
        <v>20</v>
      </c>
      <c r="L2316" s="6" t="n">
        <v>0</v>
      </c>
      <c r="M2316" s="6" t="n">
        <v>20</v>
      </c>
      <c r="N2316" s="11" t="n">
        <f aca="false">J2316/(J2316+K2316)</f>
        <v>0</v>
      </c>
      <c r="O2316" s="11" t="str">
        <f aca="false">IF(J2316+L2316=0,"",J2316/(J2316+L2316))</f>
        <v/>
      </c>
      <c r="P2316" s="11" t="n">
        <f aca="false">2*J2316/(2*J2316+L2316+K2316)</f>
        <v>0</v>
      </c>
      <c r="Q2316" s="11" t="n">
        <f aca="false">L2316/(L2316+M2316)</f>
        <v>0</v>
      </c>
      <c r="R2316" s="6" t="n">
        <v>0</v>
      </c>
      <c r="S2316" s="11"/>
      <c r="T2316" s="11" t="n">
        <v>0</v>
      </c>
      <c r="U2316" s="11" t="n">
        <v>0.9</v>
      </c>
      <c r="V2316" s="11" t="n">
        <v>0.9</v>
      </c>
    </row>
    <row r="2317" customFormat="false" ht="15" hidden="false" customHeight="false" outlineLevel="0" collapsed="false">
      <c r="A2317" s="6" t="s">
        <v>46</v>
      </c>
      <c r="B2317" s="6" t="s">
        <v>43</v>
      </c>
      <c r="C2317" s="6" t="s">
        <v>44</v>
      </c>
      <c r="D2317" s="6" t="s">
        <v>115</v>
      </c>
      <c r="E2317" s="6" t="n">
        <v>1</v>
      </c>
      <c r="F2317" s="6" t="n">
        <v>1</v>
      </c>
      <c r="G2317" s="6" t="s">
        <v>73</v>
      </c>
      <c r="H2317" s="11" t="n">
        <v>0.001</v>
      </c>
      <c r="I2317" s="6" t="n">
        <v>20</v>
      </c>
      <c r="J2317" s="6" t="n">
        <v>0</v>
      </c>
      <c r="K2317" s="6" t="n">
        <v>20</v>
      </c>
      <c r="L2317" s="6" t="n">
        <v>0</v>
      </c>
      <c r="M2317" s="6" t="n">
        <v>20</v>
      </c>
      <c r="N2317" s="11" t="n">
        <f aca="false">J2317/(J2317+K2317)</f>
        <v>0</v>
      </c>
      <c r="O2317" s="11" t="str">
        <f aca="false">IF(J2317+L2317=0,"",J2317/(J2317+L2317))</f>
        <v/>
      </c>
      <c r="P2317" s="11" t="n">
        <f aca="false">2*J2317/(2*J2317+L2317+K2317)</f>
        <v>0</v>
      </c>
      <c r="Q2317" s="11" t="n">
        <f aca="false">L2317/(L2317+M2317)</f>
        <v>0</v>
      </c>
      <c r="R2317" s="6" t="n">
        <v>0</v>
      </c>
      <c r="S2317" s="11"/>
      <c r="T2317" s="11" t="n">
        <v>0</v>
      </c>
      <c r="U2317" s="11" t="n">
        <v>0.65</v>
      </c>
      <c r="V2317" s="11" t="n">
        <v>0.65</v>
      </c>
    </row>
    <row r="2318" customFormat="false" ht="15" hidden="false" customHeight="false" outlineLevel="0" collapsed="false">
      <c r="A2318" s="6" t="s">
        <v>46</v>
      </c>
      <c r="B2318" s="6" t="s">
        <v>43</v>
      </c>
      <c r="C2318" s="6" t="s">
        <v>44</v>
      </c>
      <c r="D2318" s="6" t="s">
        <v>115</v>
      </c>
      <c r="E2318" s="6" t="n">
        <v>1</v>
      </c>
      <c r="F2318" s="6" t="n">
        <v>1</v>
      </c>
      <c r="G2318" s="6" t="s">
        <v>74</v>
      </c>
      <c r="H2318" s="11" t="n">
        <v>0.001</v>
      </c>
      <c r="I2318" s="6" t="n">
        <v>20</v>
      </c>
      <c r="J2318" s="6" t="n">
        <v>0</v>
      </c>
      <c r="K2318" s="6" t="n">
        <v>20</v>
      </c>
      <c r="L2318" s="6" t="n">
        <v>0</v>
      </c>
      <c r="M2318" s="6" t="n">
        <v>20</v>
      </c>
      <c r="N2318" s="11" t="n">
        <f aca="false">J2318/(J2318+K2318)</f>
        <v>0</v>
      </c>
      <c r="O2318" s="11" t="str">
        <f aca="false">IF(J2318+L2318=0,"",J2318/(J2318+L2318))</f>
        <v/>
      </c>
      <c r="P2318" s="11" t="n">
        <f aca="false">2*J2318/(2*J2318+L2318+K2318)</f>
        <v>0</v>
      </c>
      <c r="Q2318" s="11" t="n">
        <f aca="false">L2318/(L2318+M2318)</f>
        <v>0</v>
      </c>
      <c r="R2318" s="6" t="n">
        <v>0</v>
      </c>
      <c r="S2318" s="11"/>
      <c r="T2318" s="11" t="n">
        <v>0</v>
      </c>
      <c r="U2318" s="11" t="n">
        <v>0.85</v>
      </c>
      <c r="V2318" s="11" t="n">
        <v>0.85</v>
      </c>
    </row>
    <row r="2319" customFormat="false" ht="15" hidden="false" customHeight="false" outlineLevel="0" collapsed="false">
      <c r="A2319" s="6" t="s">
        <v>46</v>
      </c>
      <c r="B2319" s="6" t="s">
        <v>43</v>
      </c>
      <c r="C2319" s="6" t="s">
        <v>44</v>
      </c>
      <c r="D2319" s="6" t="s">
        <v>115</v>
      </c>
      <c r="E2319" s="6" t="n">
        <v>1</v>
      </c>
      <c r="F2319" s="6" t="n">
        <v>1</v>
      </c>
      <c r="G2319" s="6" t="s">
        <v>75</v>
      </c>
      <c r="H2319" s="11" t="n">
        <v>0.001</v>
      </c>
      <c r="I2319" s="6" t="n">
        <v>20</v>
      </c>
      <c r="J2319" s="6" t="n">
        <v>0</v>
      </c>
      <c r="K2319" s="6" t="n">
        <v>20</v>
      </c>
      <c r="L2319" s="6" t="n">
        <v>0</v>
      </c>
      <c r="M2319" s="6" t="n">
        <v>20</v>
      </c>
      <c r="N2319" s="11" t="n">
        <f aca="false">J2319/(J2319+K2319)</f>
        <v>0</v>
      </c>
      <c r="O2319" s="11" t="str">
        <f aca="false">IF(J2319+L2319=0,"",J2319/(J2319+L2319))</f>
        <v/>
      </c>
      <c r="P2319" s="11" t="n">
        <f aca="false">2*J2319/(2*J2319+L2319+K2319)</f>
        <v>0</v>
      </c>
      <c r="Q2319" s="11" t="n">
        <f aca="false">L2319/(L2319+M2319)</f>
        <v>0</v>
      </c>
      <c r="R2319" s="6" t="n">
        <v>0</v>
      </c>
      <c r="S2319" s="11"/>
      <c r="T2319" s="11" t="n">
        <v>0</v>
      </c>
      <c r="U2319" s="11" t="n">
        <v>0.9</v>
      </c>
      <c r="V2319" s="11" t="n">
        <v>0.9</v>
      </c>
    </row>
    <row r="2320" customFormat="false" ht="15" hidden="false" customHeight="false" outlineLevel="0" collapsed="false">
      <c r="A2320" s="6" t="s">
        <v>46</v>
      </c>
      <c r="B2320" s="6" t="s">
        <v>43</v>
      </c>
      <c r="C2320" s="6" t="s">
        <v>44</v>
      </c>
      <c r="D2320" s="6" t="s">
        <v>115</v>
      </c>
      <c r="E2320" s="6" t="n">
        <v>1</v>
      </c>
      <c r="F2320" s="6" t="n">
        <v>1</v>
      </c>
      <c r="G2320" s="6" t="s">
        <v>76</v>
      </c>
      <c r="H2320" s="11" t="n">
        <v>0.001</v>
      </c>
      <c r="I2320" s="6" t="n">
        <v>20</v>
      </c>
      <c r="J2320" s="6" t="n">
        <v>0</v>
      </c>
      <c r="K2320" s="6" t="n">
        <v>20</v>
      </c>
      <c r="L2320" s="6" t="n">
        <v>0</v>
      </c>
      <c r="M2320" s="6" t="n">
        <v>20</v>
      </c>
      <c r="N2320" s="11" t="n">
        <f aca="false">J2320/(J2320+K2320)</f>
        <v>0</v>
      </c>
      <c r="O2320" s="11" t="str">
        <f aca="false">IF(J2320+L2320=0,"",J2320/(J2320+L2320))</f>
        <v/>
      </c>
      <c r="P2320" s="11" t="n">
        <f aca="false">2*J2320/(2*J2320+L2320+K2320)</f>
        <v>0</v>
      </c>
      <c r="Q2320" s="11" t="n">
        <f aca="false">L2320/(L2320+M2320)</f>
        <v>0</v>
      </c>
      <c r="R2320" s="6" t="n">
        <v>0</v>
      </c>
      <c r="S2320" s="11"/>
      <c r="T2320" s="11" t="n">
        <v>0</v>
      </c>
      <c r="U2320" s="11" t="n">
        <v>0.95</v>
      </c>
      <c r="V2320" s="11" t="n">
        <v>0.95</v>
      </c>
    </row>
    <row r="2321" customFormat="false" ht="15" hidden="false" customHeight="false" outlineLevel="0" collapsed="false">
      <c r="A2321" s="6" t="s">
        <v>46</v>
      </c>
      <c r="B2321" s="6" t="s">
        <v>43</v>
      </c>
      <c r="C2321" s="6" t="s">
        <v>44</v>
      </c>
      <c r="D2321" s="6" t="s">
        <v>115</v>
      </c>
      <c r="E2321" s="6" t="n">
        <v>1</v>
      </c>
      <c r="F2321" s="6" t="n">
        <v>1</v>
      </c>
      <c r="G2321" s="6" t="s">
        <v>77</v>
      </c>
      <c r="H2321" s="11" t="n">
        <v>0.001</v>
      </c>
      <c r="I2321" s="6" t="n">
        <v>20</v>
      </c>
      <c r="J2321" s="6" t="n">
        <v>0</v>
      </c>
      <c r="K2321" s="6" t="n">
        <v>20</v>
      </c>
      <c r="L2321" s="6" t="n">
        <v>0</v>
      </c>
      <c r="M2321" s="6" t="n">
        <v>20</v>
      </c>
      <c r="N2321" s="11" t="n">
        <f aca="false">J2321/(J2321+K2321)</f>
        <v>0</v>
      </c>
      <c r="O2321" s="11" t="str">
        <f aca="false">IF(J2321+L2321=0,"",J2321/(J2321+L2321))</f>
        <v/>
      </c>
      <c r="P2321" s="11" t="n">
        <f aca="false">2*J2321/(2*J2321+L2321+K2321)</f>
        <v>0</v>
      </c>
      <c r="Q2321" s="11" t="n">
        <f aca="false">L2321/(L2321+M2321)</f>
        <v>0</v>
      </c>
      <c r="R2321" s="6" t="n">
        <v>0</v>
      </c>
      <c r="S2321" s="11"/>
      <c r="T2321" s="11" t="n">
        <v>0</v>
      </c>
      <c r="U2321" s="11" t="n">
        <v>1</v>
      </c>
      <c r="V2321" s="11" t="n">
        <v>1</v>
      </c>
    </row>
    <row r="2322" customFormat="false" ht="15" hidden="false" customHeight="false" outlineLevel="0" collapsed="false">
      <c r="A2322" s="6" t="s">
        <v>46</v>
      </c>
      <c r="B2322" s="6" t="s">
        <v>43</v>
      </c>
      <c r="C2322" s="6" t="s">
        <v>44</v>
      </c>
      <c r="D2322" s="6" t="s">
        <v>115</v>
      </c>
      <c r="E2322" s="6" t="n">
        <v>1</v>
      </c>
      <c r="F2322" s="6" t="n">
        <v>1</v>
      </c>
      <c r="G2322" s="6" t="s">
        <v>78</v>
      </c>
      <c r="H2322" s="11" t="n">
        <v>0.001</v>
      </c>
      <c r="I2322" s="6" t="n">
        <v>200</v>
      </c>
      <c r="J2322" s="6" t="n">
        <v>0</v>
      </c>
      <c r="K2322" s="6" t="n">
        <v>200</v>
      </c>
      <c r="L2322" s="6" t="n">
        <v>0</v>
      </c>
      <c r="M2322" s="6" t="n">
        <v>200</v>
      </c>
      <c r="N2322" s="11" t="n">
        <f aca="false">J2322/(J2322+K2322)</f>
        <v>0</v>
      </c>
      <c r="O2322" s="11" t="str">
        <f aca="false">IF(J2322+L2322=0,"",J2322/(J2322+L2322))</f>
        <v/>
      </c>
      <c r="P2322" s="11" t="n">
        <f aca="false">2*J2322/(2*J2322+L2322+K2322)</f>
        <v>0</v>
      </c>
      <c r="Q2322" s="11" t="n">
        <f aca="false">L2322/(L2322+M2322)</f>
        <v>0</v>
      </c>
      <c r="R2322" s="6" t="n">
        <v>0</v>
      </c>
      <c r="S2322" s="11"/>
      <c r="T2322" s="11" t="n">
        <v>0</v>
      </c>
      <c r="U2322" s="11" t="n">
        <v>0.88</v>
      </c>
      <c r="V2322" s="11" t="n">
        <v>0.88</v>
      </c>
    </row>
    <row r="2323" customFormat="false" ht="15" hidden="false" customHeight="false" outlineLevel="0" collapsed="false">
      <c r="A2323" s="6" t="s">
        <v>46</v>
      </c>
      <c r="B2323" s="6" t="s">
        <v>43</v>
      </c>
      <c r="C2323" s="6" t="s">
        <v>44</v>
      </c>
      <c r="D2323" s="6" t="s">
        <v>115</v>
      </c>
      <c r="E2323" s="6" t="n">
        <v>1</v>
      </c>
      <c r="F2323" s="6" t="n">
        <v>2</v>
      </c>
      <c r="G2323" s="6" t="s">
        <v>68</v>
      </c>
      <c r="H2323" s="11" t="n">
        <v>0.001</v>
      </c>
      <c r="I2323" s="6" t="n">
        <v>20</v>
      </c>
      <c r="J2323" s="6" t="n">
        <v>0</v>
      </c>
      <c r="K2323" s="6" t="n">
        <v>20</v>
      </c>
      <c r="L2323" s="6" t="n">
        <v>0</v>
      </c>
      <c r="M2323" s="6" t="n">
        <v>20</v>
      </c>
      <c r="N2323" s="11" t="n">
        <f aca="false">J2323/(J2323+K2323)</f>
        <v>0</v>
      </c>
      <c r="O2323" s="11" t="str">
        <f aca="false">IF(J2323+L2323=0,"",J2323/(J2323+L2323))</f>
        <v/>
      </c>
      <c r="P2323" s="11" t="n">
        <f aca="false">2*J2323/(2*J2323+L2323+K2323)</f>
        <v>0</v>
      </c>
      <c r="Q2323" s="11" t="n">
        <f aca="false">L2323/(L2323+M2323)</f>
        <v>0</v>
      </c>
      <c r="R2323" s="6" t="n">
        <v>0</v>
      </c>
      <c r="S2323" s="11"/>
      <c r="T2323" s="11" t="n">
        <v>0</v>
      </c>
      <c r="U2323" s="11" t="n">
        <v>0.85</v>
      </c>
      <c r="V2323" s="11" t="n">
        <v>0.85</v>
      </c>
    </row>
    <row r="2324" customFormat="false" ht="15" hidden="false" customHeight="false" outlineLevel="0" collapsed="false">
      <c r="A2324" s="6" t="s">
        <v>46</v>
      </c>
      <c r="B2324" s="6" t="s">
        <v>43</v>
      </c>
      <c r="C2324" s="6" t="s">
        <v>44</v>
      </c>
      <c r="D2324" s="6" t="s">
        <v>115</v>
      </c>
      <c r="E2324" s="6" t="n">
        <v>1</v>
      </c>
      <c r="F2324" s="6" t="n">
        <v>2</v>
      </c>
      <c r="G2324" s="6" t="s">
        <v>69</v>
      </c>
      <c r="H2324" s="11" t="n">
        <v>0.001</v>
      </c>
      <c r="I2324" s="6" t="n">
        <v>20</v>
      </c>
      <c r="J2324" s="6" t="n">
        <v>0</v>
      </c>
      <c r="K2324" s="6" t="n">
        <v>20</v>
      </c>
      <c r="L2324" s="6" t="n">
        <v>0</v>
      </c>
      <c r="M2324" s="6" t="n">
        <v>20</v>
      </c>
      <c r="N2324" s="11" t="n">
        <f aca="false">J2324/(J2324+K2324)</f>
        <v>0</v>
      </c>
      <c r="O2324" s="11" t="str">
        <f aca="false">IF(J2324+L2324=0,"",J2324/(J2324+L2324))</f>
        <v/>
      </c>
      <c r="P2324" s="11" t="n">
        <f aca="false">2*J2324/(2*J2324+L2324+K2324)</f>
        <v>0</v>
      </c>
      <c r="Q2324" s="11" t="n">
        <f aca="false">L2324/(L2324+M2324)</f>
        <v>0</v>
      </c>
      <c r="R2324" s="6" t="n">
        <v>0</v>
      </c>
      <c r="S2324" s="11"/>
      <c r="T2324" s="11" t="n">
        <v>0</v>
      </c>
      <c r="U2324" s="11" t="n">
        <v>1</v>
      </c>
      <c r="V2324" s="11" t="n">
        <v>1</v>
      </c>
    </row>
    <row r="2325" customFormat="false" ht="15" hidden="false" customHeight="false" outlineLevel="0" collapsed="false">
      <c r="A2325" s="6" t="s">
        <v>46</v>
      </c>
      <c r="B2325" s="6" t="s">
        <v>43</v>
      </c>
      <c r="C2325" s="6" t="s">
        <v>44</v>
      </c>
      <c r="D2325" s="6" t="s">
        <v>115</v>
      </c>
      <c r="E2325" s="6" t="n">
        <v>1</v>
      </c>
      <c r="F2325" s="6" t="n">
        <v>2</v>
      </c>
      <c r="G2325" s="6" t="s">
        <v>70</v>
      </c>
      <c r="H2325" s="11" t="n">
        <v>0.001</v>
      </c>
      <c r="I2325" s="6" t="n">
        <v>20</v>
      </c>
      <c r="J2325" s="6" t="n">
        <v>0</v>
      </c>
      <c r="K2325" s="6" t="n">
        <v>20</v>
      </c>
      <c r="L2325" s="6" t="n">
        <v>0</v>
      </c>
      <c r="M2325" s="6" t="n">
        <v>20</v>
      </c>
      <c r="N2325" s="11" t="n">
        <f aca="false">J2325/(J2325+K2325)</f>
        <v>0</v>
      </c>
      <c r="O2325" s="11" t="str">
        <f aca="false">IF(J2325+L2325=0,"",J2325/(J2325+L2325))</f>
        <v/>
      </c>
      <c r="P2325" s="11" t="n">
        <f aca="false">2*J2325/(2*J2325+L2325+K2325)</f>
        <v>0</v>
      </c>
      <c r="Q2325" s="11" t="n">
        <f aca="false">L2325/(L2325+M2325)</f>
        <v>0</v>
      </c>
      <c r="R2325" s="6" t="n">
        <v>0</v>
      </c>
      <c r="S2325" s="11"/>
      <c r="T2325" s="11" t="n">
        <v>0</v>
      </c>
      <c r="U2325" s="11" t="n">
        <v>0.9</v>
      </c>
      <c r="V2325" s="11" t="n">
        <v>0.9</v>
      </c>
    </row>
    <row r="2326" customFormat="false" ht="15" hidden="false" customHeight="false" outlineLevel="0" collapsed="false">
      <c r="A2326" s="6" t="s">
        <v>46</v>
      </c>
      <c r="B2326" s="6" t="s">
        <v>43</v>
      </c>
      <c r="C2326" s="6" t="s">
        <v>44</v>
      </c>
      <c r="D2326" s="6" t="s">
        <v>115</v>
      </c>
      <c r="E2326" s="6" t="n">
        <v>1</v>
      </c>
      <c r="F2326" s="6" t="n">
        <v>2</v>
      </c>
      <c r="G2326" s="6" t="s">
        <v>71</v>
      </c>
      <c r="H2326" s="11" t="n">
        <v>0.001</v>
      </c>
      <c r="I2326" s="6" t="n">
        <v>20</v>
      </c>
      <c r="J2326" s="6" t="n">
        <v>0</v>
      </c>
      <c r="K2326" s="6" t="n">
        <v>20</v>
      </c>
      <c r="L2326" s="6" t="n">
        <v>0</v>
      </c>
      <c r="M2326" s="6" t="n">
        <v>20</v>
      </c>
      <c r="N2326" s="11" t="n">
        <f aca="false">J2326/(J2326+K2326)</f>
        <v>0</v>
      </c>
      <c r="O2326" s="11" t="str">
        <f aca="false">IF(J2326+L2326=0,"",J2326/(J2326+L2326))</f>
        <v/>
      </c>
      <c r="P2326" s="11" t="n">
        <f aca="false">2*J2326/(2*J2326+L2326+K2326)</f>
        <v>0</v>
      </c>
      <c r="Q2326" s="11" t="n">
        <f aca="false">L2326/(L2326+M2326)</f>
        <v>0</v>
      </c>
      <c r="R2326" s="6" t="n">
        <v>0</v>
      </c>
      <c r="S2326" s="11"/>
      <c r="T2326" s="11" t="n">
        <v>0</v>
      </c>
      <c r="U2326" s="11" t="n">
        <v>0.8</v>
      </c>
      <c r="V2326" s="11" t="n">
        <v>0.8</v>
      </c>
    </row>
    <row r="2327" customFormat="false" ht="15" hidden="false" customHeight="false" outlineLevel="0" collapsed="false">
      <c r="A2327" s="6" t="s">
        <v>46</v>
      </c>
      <c r="B2327" s="6" t="s">
        <v>43</v>
      </c>
      <c r="C2327" s="6" t="s">
        <v>44</v>
      </c>
      <c r="D2327" s="6" t="s">
        <v>115</v>
      </c>
      <c r="E2327" s="6" t="n">
        <v>1</v>
      </c>
      <c r="F2327" s="6" t="n">
        <v>2</v>
      </c>
      <c r="G2327" s="6" t="s">
        <v>72</v>
      </c>
      <c r="H2327" s="11" t="n">
        <v>0.001</v>
      </c>
      <c r="I2327" s="6" t="n">
        <v>20</v>
      </c>
      <c r="J2327" s="6" t="n">
        <v>0</v>
      </c>
      <c r="K2327" s="6" t="n">
        <v>20</v>
      </c>
      <c r="L2327" s="6" t="n">
        <v>0</v>
      </c>
      <c r="M2327" s="6" t="n">
        <v>20</v>
      </c>
      <c r="N2327" s="11" t="n">
        <f aca="false">J2327/(J2327+K2327)</f>
        <v>0</v>
      </c>
      <c r="O2327" s="11" t="str">
        <f aca="false">IF(J2327+L2327=0,"",J2327/(J2327+L2327))</f>
        <v/>
      </c>
      <c r="P2327" s="11" t="n">
        <f aca="false">2*J2327/(2*J2327+L2327+K2327)</f>
        <v>0</v>
      </c>
      <c r="Q2327" s="11" t="n">
        <f aca="false">L2327/(L2327+M2327)</f>
        <v>0</v>
      </c>
      <c r="R2327" s="6" t="n">
        <v>0</v>
      </c>
      <c r="S2327" s="11"/>
      <c r="T2327" s="11" t="n">
        <v>0</v>
      </c>
      <c r="U2327" s="11" t="n">
        <v>0.9</v>
      </c>
      <c r="V2327" s="11" t="n">
        <v>0.9</v>
      </c>
    </row>
    <row r="2328" customFormat="false" ht="15" hidden="false" customHeight="false" outlineLevel="0" collapsed="false">
      <c r="A2328" s="6" t="s">
        <v>46</v>
      </c>
      <c r="B2328" s="6" t="s">
        <v>43</v>
      </c>
      <c r="C2328" s="6" t="s">
        <v>44</v>
      </c>
      <c r="D2328" s="6" t="s">
        <v>115</v>
      </c>
      <c r="E2328" s="6" t="n">
        <v>1</v>
      </c>
      <c r="F2328" s="6" t="n">
        <v>2</v>
      </c>
      <c r="G2328" s="6" t="s">
        <v>73</v>
      </c>
      <c r="H2328" s="11" t="n">
        <v>0.001</v>
      </c>
      <c r="I2328" s="6" t="n">
        <v>20</v>
      </c>
      <c r="J2328" s="6" t="n">
        <v>0</v>
      </c>
      <c r="K2328" s="6" t="n">
        <v>20</v>
      </c>
      <c r="L2328" s="6" t="n">
        <v>0</v>
      </c>
      <c r="M2328" s="6" t="n">
        <v>20</v>
      </c>
      <c r="N2328" s="11" t="n">
        <f aca="false">J2328/(J2328+K2328)</f>
        <v>0</v>
      </c>
      <c r="O2328" s="11" t="str">
        <f aca="false">IF(J2328+L2328=0,"",J2328/(J2328+L2328))</f>
        <v/>
      </c>
      <c r="P2328" s="11" t="n">
        <f aca="false">2*J2328/(2*J2328+L2328+K2328)</f>
        <v>0</v>
      </c>
      <c r="Q2328" s="11" t="n">
        <f aca="false">L2328/(L2328+M2328)</f>
        <v>0</v>
      </c>
      <c r="R2328" s="6" t="n">
        <v>0</v>
      </c>
      <c r="S2328" s="11"/>
      <c r="T2328" s="11" t="n">
        <v>0</v>
      </c>
      <c r="U2328" s="11" t="n">
        <v>0.65</v>
      </c>
      <c r="V2328" s="11" t="n">
        <v>0.65</v>
      </c>
    </row>
    <row r="2329" customFormat="false" ht="15" hidden="false" customHeight="false" outlineLevel="0" collapsed="false">
      <c r="A2329" s="6" t="s">
        <v>46</v>
      </c>
      <c r="B2329" s="6" t="s">
        <v>43</v>
      </c>
      <c r="C2329" s="6" t="s">
        <v>44</v>
      </c>
      <c r="D2329" s="6" t="s">
        <v>115</v>
      </c>
      <c r="E2329" s="6" t="n">
        <v>1</v>
      </c>
      <c r="F2329" s="6" t="n">
        <v>2</v>
      </c>
      <c r="G2329" s="6" t="s">
        <v>74</v>
      </c>
      <c r="H2329" s="11" t="n">
        <v>0.001</v>
      </c>
      <c r="I2329" s="6" t="n">
        <v>20</v>
      </c>
      <c r="J2329" s="6" t="n">
        <v>0</v>
      </c>
      <c r="K2329" s="6" t="n">
        <v>20</v>
      </c>
      <c r="L2329" s="6" t="n">
        <v>0</v>
      </c>
      <c r="M2329" s="6" t="n">
        <v>20</v>
      </c>
      <c r="N2329" s="11" t="n">
        <f aca="false">J2329/(J2329+K2329)</f>
        <v>0</v>
      </c>
      <c r="O2329" s="11" t="str">
        <f aca="false">IF(J2329+L2329=0,"",J2329/(J2329+L2329))</f>
        <v/>
      </c>
      <c r="P2329" s="11" t="n">
        <f aca="false">2*J2329/(2*J2329+L2329+K2329)</f>
        <v>0</v>
      </c>
      <c r="Q2329" s="11" t="n">
        <f aca="false">L2329/(L2329+M2329)</f>
        <v>0</v>
      </c>
      <c r="R2329" s="6" t="n">
        <v>0</v>
      </c>
      <c r="S2329" s="11"/>
      <c r="T2329" s="11" t="n">
        <v>0</v>
      </c>
      <c r="U2329" s="11" t="n">
        <v>0.85</v>
      </c>
      <c r="V2329" s="11" t="n">
        <v>0.85</v>
      </c>
    </row>
    <row r="2330" customFormat="false" ht="15" hidden="false" customHeight="false" outlineLevel="0" collapsed="false">
      <c r="A2330" s="6" t="s">
        <v>46</v>
      </c>
      <c r="B2330" s="6" t="s">
        <v>43</v>
      </c>
      <c r="C2330" s="6" t="s">
        <v>44</v>
      </c>
      <c r="D2330" s="6" t="s">
        <v>115</v>
      </c>
      <c r="E2330" s="6" t="n">
        <v>1</v>
      </c>
      <c r="F2330" s="6" t="n">
        <v>2</v>
      </c>
      <c r="G2330" s="6" t="s">
        <v>75</v>
      </c>
      <c r="H2330" s="11" t="n">
        <v>0.001</v>
      </c>
      <c r="I2330" s="6" t="n">
        <v>20</v>
      </c>
      <c r="J2330" s="6" t="n">
        <v>0</v>
      </c>
      <c r="K2330" s="6" t="n">
        <v>20</v>
      </c>
      <c r="L2330" s="6" t="n">
        <v>0</v>
      </c>
      <c r="M2330" s="6" t="n">
        <v>20</v>
      </c>
      <c r="N2330" s="11" t="n">
        <f aca="false">J2330/(J2330+K2330)</f>
        <v>0</v>
      </c>
      <c r="O2330" s="11" t="str">
        <f aca="false">IF(J2330+L2330=0,"",J2330/(J2330+L2330))</f>
        <v/>
      </c>
      <c r="P2330" s="11" t="n">
        <f aca="false">2*J2330/(2*J2330+L2330+K2330)</f>
        <v>0</v>
      </c>
      <c r="Q2330" s="11" t="n">
        <f aca="false">L2330/(L2330+M2330)</f>
        <v>0</v>
      </c>
      <c r="R2330" s="6" t="n">
        <v>0</v>
      </c>
      <c r="S2330" s="11"/>
      <c r="T2330" s="11" t="n">
        <v>0</v>
      </c>
      <c r="U2330" s="11" t="n">
        <v>0.9</v>
      </c>
      <c r="V2330" s="11" t="n">
        <v>0.9</v>
      </c>
    </row>
    <row r="2331" customFormat="false" ht="15" hidden="false" customHeight="false" outlineLevel="0" collapsed="false">
      <c r="A2331" s="6" t="s">
        <v>46</v>
      </c>
      <c r="B2331" s="6" t="s">
        <v>43</v>
      </c>
      <c r="C2331" s="6" t="s">
        <v>44</v>
      </c>
      <c r="D2331" s="6" t="s">
        <v>115</v>
      </c>
      <c r="E2331" s="6" t="n">
        <v>1</v>
      </c>
      <c r="F2331" s="6" t="n">
        <v>2</v>
      </c>
      <c r="G2331" s="6" t="s">
        <v>76</v>
      </c>
      <c r="H2331" s="11" t="n">
        <v>0.001</v>
      </c>
      <c r="I2331" s="6" t="n">
        <v>20</v>
      </c>
      <c r="J2331" s="6" t="n">
        <v>0</v>
      </c>
      <c r="K2331" s="6" t="n">
        <v>20</v>
      </c>
      <c r="L2331" s="6" t="n">
        <v>0</v>
      </c>
      <c r="M2331" s="6" t="n">
        <v>20</v>
      </c>
      <c r="N2331" s="11" t="n">
        <f aca="false">J2331/(J2331+K2331)</f>
        <v>0</v>
      </c>
      <c r="O2331" s="11" t="str">
        <f aca="false">IF(J2331+L2331=0,"",J2331/(J2331+L2331))</f>
        <v/>
      </c>
      <c r="P2331" s="11" t="n">
        <f aca="false">2*J2331/(2*J2331+L2331+K2331)</f>
        <v>0</v>
      </c>
      <c r="Q2331" s="11" t="n">
        <f aca="false">L2331/(L2331+M2331)</f>
        <v>0</v>
      </c>
      <c r="R2331" s="6" t="n">
        <v>0</v>
      </c>
      <c r="S2331" s="11"/>
      <c r="T2331" s="11" t="n">
        <v>0</v>
      </c>
      <c r="U2331" s="11" t="n">
        <v>0.95</v>
      </c>
      <c r="V2331" s="11" t="n">
        <v>0.95</v>
      </c>
    </row>
    <row r="2332" customFormat="false" ht="15" hidden="false" customHeight="false" outlineLevel="0" collapsed="false">
      <c r="A2332" s="6" t="s">
        <v>46</v>
      </c>
      <c r="B2332" s="6" t="s">
        <v>43</v>
      </c>
      <c r="C2332" s="6" t="s">
        <v>44</v>
      </c>
      <c r="D2332" s="6" t="s">
        <v>115</v>
      </c>
      <c r="E2332" s="6" t="n">
        <v>1</v>
      </c>
      <c r="F2332" s="6" t="n">
        <v>2</v>
      </c>
      <c r="G2332" s="6" t="s">
        <v>77</v>
      </c>
      <c r="H2332" s="11" t="n">
        <v>0.001</v>
      </c>
      <c r="I2332" s="6" t="n">
        <v>20</v>
      </c>
      <c r="J2332" s="6" t="n">
        <v>0</v>
      </c>
      <c r="K2332" s="6" t="n">
        <v>20</v>
      </c>
      <c r="L2332" s="6" t="n">
        <v>0</v>
      </c>
      <c r="M2332" s="6" t="n">
        <v>20</v>
      </c>
      <c r="N2332" s="11" t="n">
        <f aca="false">J2332/(J2332+K2332)</f>
        <v>0</v>
      </c>
      <c r="O2332" s="11" t="str">
        <f aca="false">IF(J2332+L2332=0,"",J2332/(J2332+L2332))</f>
        <v/>
      </c>
      <c r="P2332" s="11" t="n">
        <f aca="false">2*J2332/(2*J2332+L2332+K2332)</f>
        <v>0</v>
      </c>
      <c r="Q2332" s="11" t="n">
        <f aca="false">L2332/(L2332+M2332)</f>
        <v>0</v>
      </c>
      <c r="R2332" s="6" t="n">
        <v>0</v>
      </c>
      <c r="S2332" s="11"/>
      <c r="T2332" s="11" t="n">
        <v>0</v>
      </c>
      <c r="U2332" s="11" t="n">
        <v>1</v>
      </c>
      <c r="V2332" s="11" t="n">
        <v>1</v>
      </c>
    </row>
    <row r="2333" customFormat="false" ht="15" hidden="false" customHeight="false" outlineLevel="0" collapsed="false">
      <c r="A2333" s="6" t="s">
        <v>46</v>
      </c>
      <c r="B2333" s="6" t="s">
        <v>43</v>
      </c>
      <c r="C2333" s="6" t="s">
        <v>44</v>
      </c>
      <c r="D2333" s="6" t="s">
        <v>115</v>
      </c>
      <c r="E2333" s="6" t="n">
        <v>1</v>
      </c>
      <c r="F2333" s="6" t="n">
        <v>2</v>
      </c>
      <c r="G2333" s="6" t="s">
        <v>78</v>
      </c>
      <c r="H2333" s="11" t="n">
        <v>0.001</v>
      </c>
      <c r="I2333" s="6" t="n">
        <v>200</v>
      </c>
      <c r="J2333" s="6" t="n">
        <v>0</v>
      </c>
      <c r="K2333" s="6" t="n">
        <v>200</v>
      </c>
      <c r="L2333" s="6" t="n">
        <v>0</v>
      </c>
      <c r="M2333" s="6" t="n">
        <v>200</v>
      </c>
      <c r="N2333" s="11" t="n">
        <f aca="false">J2333/(J2333+K2333)</f>
        <v>0</v>
      </c>
      <c r="O2333" s="11" t="str">
        <f aca="false">IF(J2333+L2333=0,"",J2333/(J2333+L2333))</f>
        <v/>
      </c>
      <c r="P2333" s="11" t="n">
        <f aca="false">2*J2333/(2*J2333+L2333+K2333)</f>
        <v>0</v>
      </c>
      <c r="Q2333" s="11" t="n">
        <f aca="false">L2333/(L2333+M2333)</f>
        <v>0</v>
      </c>
      <c r="R2333" s="6" t="n">
        <v>0</v>
      </c>
      <c r="S2333" s="11"/>
      <c r="T2333" s="11" t="n">
        <v>0</v>
      </c>
      <c r="U2333" s="11" t="n">
        <v>0.88</v>
      </c>
      <c r="V2333" s="11" t="n">
        <v>0.88</v>
      </c>
    </row>
    <row r="2334" customFormat="false" ht="15" hidden="false" customHeight="false" outlineLevel="0" collapsed="false">
      <c r="A2334" s="6" t="s">
        <v>46</v>
      </c>
      <c r="B2334" s="6" t="s">
        <v>43</v>
      </c>
      <c r="C2334" s="6" t="s">
        <v>44</v>
      </c>
      <c r="D2334" s="6" t="s">
        <v>115</v>
      </c>
      <c r="E2334" s="6" t="n">
        <v>1</v>
      </c>
      <c r="F2334" s="6" t="n">
        <v>3</v>
      </c>
      <c r="G2334" s="6" t="s">
        <v>68</v>
      </c>
      <c r="H2334" s="11" t="n">
        <v>0.001</v>
      </c>
      <c r="I2334" s="6" t="n">
        <v>20</v>
      </c>
      <c r="J2334" s="6" t="n">
        <v>0</v>
      </c>
      <c r="K2334" s="6" t="n">
        <v>20</v>
      </c>
      <c r="L2334" s="6" t="n">
        <v>0</v>
      </c>
      <c r="M2334" s="6" t="n">
        <v>20</v>
      </c>
      <c r="N2334" s="11" t="n">
        <f aca="false">J2334/(J2334+K2334)</f>
        <v>0</v>
      </c>
      <c r="O2334" s="11" t="str">
        <f aca="false">IF(J2334+L2334=0,"",J2334/(J2334+L2334))</f>
        <v/>
      </c>
      <c r="P2334" s="11" t="n">
        <f aca="false">2*J2334/(2*J2334+L2334+K2334)</f>
        <v>0</v>
      </c>
      <c r="Q2334" s="11" t="n">
        <f aca="false">L2334/(L2334+M2334)</f>
        <v>0</v>
      </c>
      <c r="R2334" s="6" t="n">
        <v>0</v>
      </c>
      <c r="S2334" s="11"/>
      <c r="T2334" s="11" t="n">
        <v>0</v>
      </c>
      <c r="U2334" s="11" t="n">
        <v>0.85</v>
      </c>
      <c r="V2334" s="11" t="n">
        <v>0.85</v>
      </c>
    </row>
    <row r="2335" customFormat="false" ht="15" hidden="false" customHeight="false" outlineLevel="0" collapsed="false">
      <c r="A2335" s="6" t="s">
        <v>46</v>
      </c>
      <c r="B2335" s="6" t="s">
        <v>43</v>
      </c>
      <c r="C2335" s="6" t="s">
        <v>44</v>
      </c>
      <c r="D2335" s="6" t="s">
        <v>115</v>
      </c>
      <c r="E2335" s="6" t="n">
        <v>1</v>
      </c>
      <c r="F2335" s="6" t="n">
        <v>3</v>
      </c>
      <c r="G2335" s="6" t="s">
        <v>69</v>
      </c>
      <c r="H2335" s="11" t="n">
        <v>0.001</v>
      </c>
      <c r="I2335" s="6" t="n">
        <v>20</v>
      </c>
      <c r="J2335" s="6" t="n">
        <v>0</v>
      </c>
      <c r="K2335" s="6" t="n">
        <v>20</v>
      </c>
      <c r="L2335" s="6" t="n">
        <v>0</v>
      </c>
      <c r="M2335" s="6" t="n">
        <v>20</v>
      </c>
      <c r="N2335" s="11" t="n">
        <f aca="false">J2335/(J2335+K2335)</f>
        <v>0</v>
      </c>
      <c r="O2335" s="11" t="str">
        <f aca="false">IF(J2335+L2335=0,"",J2335/(J2335+L2335))</f>
        <v/>
      </c>
      <c r="P2335" s="11" t="n">
        <f aca="false">2*J2335/(2*J2335+L2335+K2335)</f>
        <v>0</v>
      </c>
      <c r="Q2335" s="11" t="n">
        <f aca="false">L2335/(L2335+M2335)</f>
        <v>0</v>
      </c>
      <c r="R2335" s="6" t="n">
        <v>0</v>
      </c>
      <c r="S2335" s="11"/>
      <c r="T2335" s="11" t="n">
        <v>0</v>
      </c>
      <c r="U2335" s="11" t="n">
        <v>1</v>
      </c>
      <c r="V2335" s="11" t="n">
        <v>1</v>
      </c>
    </row>
    <row r="2336" customFormat="false" ht="15" hidden="false" customHeight="false" outlineLevel="0" collapsed="false">
      <c r="A2336" s="6" t="s">
        <v>46</v>
      </c>
      <c r="B2336" s="6" t="s">
        <v>43</v>
      </c>
      <c r="C2336" s="6" t="s">
        <v>44</v>
      </c>
      <c r="D2336" s="6" t="s">
        <v>115</v>
      </c>
      <c r="E2336" s="6" t="n">
        <v>1</v>
      </c>
      <c r="F2336" s="6" t="n">
        <v>3</v>
      </c>
      <c r="G2336" s="6" t="s">
        <v>70</v>
      </c>
      <c r="H2336" s="11" t="n">
        <v>0.001</v>
      </c>
      <c r="I2336" s="6" t="n">
        <v>20</v>
      </c>
      <c r="J2336" s="6" t="n">
        <v>0</v>
      </c>
      <c r="K2336" s="6" t="n">
        <v>20</v>
      </c>
      <c r="L2336" s="6" t="n">
        <v>0</v>
      </c>
      <c r="M2336" s="6" t="n">
        <v>20</v>
      </c>
      <c r="N2336" s="11" t="n">
        <f aca="false">J2336/(J2336+K2336)</f>
        <v>0</v>
      </c>
      <c r="O2336" s="11" t="str">
        <f aca="false">IF(J2336+L2336=0,"",J2336/(J2336+L2336))</f>
        <v/>
      </c>
      <c r="P2336" s="11" t="n">
        <f aca="false">2*J2336/(2*J2336+L2336+K2336)</f>
        <v>0</v>
      </c>
      <c r="Q2336" s="11" t="n">
        <f aca="false">L2336/(L2336+M2336)</f>
        <v>0</v>
      </c>
      <c r="R2336" s="6" t="n">
        <v>0</v>
      </c>
      <c r="S2336" s="11"/>
      <c r="T2336" s="11" t="n">
        <v>0</v>
      </c>
      <c r="U2336" s="11" t="n">
        <v>0.9</v>
      </c>
      <c r="V2336" s="11" t="n">
        <v>0.9</v>
      </c>
    </row>
    <row r="2337" customFormat="false" ht="15" hidden="false" customHeight="false" outlineLevel="0" collapsed="false">
      <c r="A2337" s="6" t="s">
        <v>46</v>
      </c>
      <c r="B2337" s="6" t="s">
        <v>43</v>
      </c>
      <c r="C2337" s="6" t="s">
        <v>44</v>
      </c>
      <c r="D2337" s="6" t="s">
        <v>115</v>
      </c>
      <c r="E2337" s="6" t="n">
        <v>1</v>
      </c>
      <c r="F2337" s="6" t="n">
        <v>3</v>
      </c>
      <c r="G2337" s="6" t="s">
        <v>71</v>
      </c>
      <c r="H2337" s="11" t="n">
        <v>0.001</v>
      </c>
      <c r="I2337" s="6" t="n">
        <v>20</v>
      </c>
      <c r="J2337" s="6" t="n">
        <v>0</v>
      </c>
      <c r="K2337" s="6" t="n">
        <v>20</v>
      </c>
      <c r="L2337" s="6" t="n">
        <v>0</v>
      </c>
      <c r="M2337" s="6" t="n">
        <v>20</v>
      </c>
      <c r="N2337" s="11" t="n">
        <f aca="false">J2337/(J2337+K2337)</f>
        <v>0</v>
      </c>
      <c r="O2337" s="11" t="str">
        <f aca="false">IF(J2337+L2337=0,"",J2337/(J2337+L2337))</f>
        <v/>
      </c>
      <c r="P2337" s="11" t="n">
        <f aca="false">2*J2337/(2*J2337+L2337+K2337)</f>
        <v>0</v>
      </c>
      <c r="Q2337" s="11" t="n">
        <f aca="false">L2337/(L2337+M2337)</f>
        <v>0</v>
      </c>
      <c r="R2337" s="6" t="n">
        <v>0</v>
      </c>
      <c r="S2337" s="11"/>
      <c r="T2337" s="11" t="n">
        <v>0</v>
      </c>
      <c r="U2337" s="11" t="n">
        <v>0.8</v>
      </c>
      <c r="V2337" s="11" t="n">
        <v>0.8</v>
      </c>
    </row>
    <row r="2338" customFormat="false" ht="15" hidden="false" customHeight="false" outlineLevel="0" collapsed="false">
      <c r="A2338" s="6" t="s">
        <v>46</v>
      </c>
      <c r="B2338" s="6" t="s">
        <v>43</v>
      </c>
      <c r="C2338" s="6" t="s">
        <v>44</v>
      </c>
      <c r="D2338" s="6" t="s">
        <v>115</v>
      </c>
      <c r="E2338" s="6" t="n">
        <v>1</v>
      </c>
      <c r="F2338" s="6" t="n">
        <v>3</v>
      </c>
      <c r="G2338" s="6" t="s">
        <v>72</v>
      </c>
      <c r="H2338" s="11" t="n">
        <v>0.001</v>
      </c>
      <c r="I2338" s="6" t="n">
        <v>20</v>
      </c>
      <c r="J2338" s="6" t="n">
        <v>0</v>
      </c>
      <c r="K2338" s="6" t="n">
        <v>20</v>
      </c>
      <c r="L2338" s="6" t="n">
        <v>0</v>
      </c>
      <c r="M2338" s="6" t="n">
        <v>20</v>
      </c>
      <c r="N2338" s="11" t="n">
        <f aca="false">J2338/(J2338+K2338)</f>
        <v>0</v>
      </c>
      <c r="O2338" s="11" t="str">
        <f aca="false">IF(J2338+L2338=0,"",J2338/(J2338+L2338))</f>
        <v/>
      </c>
      <c r="P2338" s="11" t="n">
        <f aca="false">2*J2338/(2*J2338+L2338+K2338)</f>
        <v>0</v>
      </c>
      <c r="Q2338" s="11" t="n">
        <f aca="false">L2338/(L2338+M2338)</f>
        <v>0</v>
      </c>
      <c r="R2338" s="6" t="n">
        <v>0</v>
      </c>
      <c r="S2338" s="11"/>
      <c r="T2338" s="11" t="n">
        <v>0</v>
      </c>
      <c r="U2338" s="11" t="n">
        <v>0.9</v>
      </c>
      <c r="V2338" s="11" t="n">
        <v>0.9</v>
      </c>
    </row>
    <row r="2339" customFormat="false" ht="15" hidden="false" customHeight="false" outlineLevel="0" collapsed="false">
      <c r="A2339" s="6" t="s">
        <v>46</v>
      </c>
      <c r="B2339" s="6" t="s">
        <v>43</v>
      </c>
      <c r="C2339" s="6" t="s">
        <v>44</v>
      </c>
      <c r="D2339" s="6" t="s">
        <v>115</v>
      </c>
      <c r="E2339" s="6" t="n">
        <v>1</v>
      </c>
      <c r="F2339" s="6" t="n">
        <v>3</v>
      </c>
      <c r="G2339" s="6" t="s">
        <v>73</v>
      </c>
      <c r="H2339" s="11" t="n">
        <v>0.001</v>
      </c>
      <c r="I2339" s="6" t="n">
        <v>20</v>
      </c>
      <c r="J2339" s="6" t="n">
        <v>0</v>
      </c>
      <c r="K2339" s="6" t="n">
        <v>20</v>
      </c>
      <c r="L2339" s="6" t="n">
        <v>0</v>
      </c>
      <c r="M2339" s="6" t="n">
        <v>20</v>
      </c>
      <c r="N2339" s="11" t="n">
        <f aca="false">J2339/(J2339+K2339)</f>
        <v>0</v>
      </c>
      <c r="O2339" s="11" t="str">
        <f aca="false">IF(J2339+L2339=0,"",J2339/(J2339+L2339))</f>
        <v/>
      </c>
      <c r="P2339" s="11" t="n">
        <f aca="false">2*J2339/(2*J2339+L2339+K2339)</f>
        <v>0</v>
      </c>
      <c r="Q2339" s="11" t="n">
        <f aca="false">L2339/(L2339+M2339)</f>
        <v>0</v>
      </c>
      <c r="R2339" s="6" t="n">
        <v>0</v>
      </c>
      <c r="S2339" s="11"/>
      <c r="T2339" s="11" t="n">
        <v>0</v>
      </c>
      <c r="U2339" s="11" t="n">
        <v>0.65</v>
      </c>
      <c r="V2339" s="11" t="n">
        <v>0.65</v>
      </c>
    </row>
    <row r="2340" customFormat="false" ht="15" hidden="false" customHeight="false" outlineLevel="0" collapsed="false">
      <c r="A2340" s="6" t="s">
        <v>46</v>
      </c>
      <c r="B2340" s="6" t="s">
        <v>43</v>
      </c>
      <c r="C2340" s="6" t="s">
        <v>44</v>
      </c>
      <c r="D2340" s="6" t="s">
        <v>115</v>
      </c>
      <c r="E2340" s="6" t="n">
        <v>1</v>
      </c>
      <c r="F2340" s="6" t="n">
        <v>3</v>
      </c>
      <c r="G2340" s="6" t="s">
        <v>74</v>
      </c>
      <c r="H2340" s="11" t="n">
        <v>0.001</v>
      </c>
      <c r="I2340" s="6" t="n">
        <v>20</v>
      </c>
      <c r="J2340" s="6" t="n">
        <v>0</v>
      </c>
      <c r="K2340" s="6" t="n">
        <v>20</v>
      </c>
      <c r="L2340" s="6" t="n">
        <v>0</v>
      </c>
      <c r="M2340" s="6" t="n">
        <v>20</v>
      </c>
      <c r="N2340" s="11" t="n">
        <f aca="false">J2340/(J2340+K2340)</f>
        <v>0</v>
      </c>
      <c r="O2340" s="11" t="str">
        <f aca="false">IF(J2340+L2340=0,"",J2340/(J2340+L2340))</f>
        <v/>
      </c>
      <c r="P2340" s="11" t="n">
        <f aca="false">2*J2340/(2*J2340+L2340+K2340)</f>
        <v>0</v>
      </c>
      <c r="Q2340" s="11" t="n">
        <f aca="false">L2340/(L2340+M2340)</f>
        <v>0</v>
      </c>
      <c r="R2340" s="6" t="n">
        <v>2</v>
      </c>
      <c r="S2340" s="11" t="n">
        <v>0</v>
      </c>
      <c r="T2340" s="11" t="n">
        <v>0</v>
      </c>
      <c r="U2340" s="11" t="n">
        <v>0.85</v>
      </c>
      <c r="V2340" s="11" t="n">
        <v>0.9</v>
      </c>
    </row>
    <row r="2341" customFormat="false" ht="15" hidden="false" customHeight="false" outlineLevel="0" collapsed="false">
      <c r="A2341" s="6" t="s">
        <v>46</v>
      </c>
      <c r="B2341" s="6" t="s">
        <v>43</v>
      </c>
      <c r="C2341" s="6" t="s">
        <v>44</v>
      </c>
      <c r="D2341" s="6" t="s">
        <v>115</v>
      </c>
      <c r="E2341" s="6" t="n">
        <v>1</v>
      </c>
      <c r="F2341" s="6" t="n">
        <v>3</v>
      </c>
      <c r="G2341" s="6" t="s">
        <v>75</v>
      </c>
      <c r="H2341" s="11" t="n">
        <v>0.001</v>
      </c>
      <c r="I2341" s="6" t="n">
        <v>20</v>
      </c>
      <c r="J2341" s="6" t="n">
        <v>0</v>
      </c>
      <c r="K2341" s="6" t="n">
        <v>20</v>
      </c>
      <c r="L2341" s="6" t="n">
        <v>0</v>
      </c>
      <c r="M2341" s="6" t="n">
        <v>20</v>
      </c>
      <c r="N2341" s="11" t="n">
        <f aca="false">J2341/(J2341+K2341)</f>
        <v>0</v>
      </c>
      <c r="O2341" s="11" t="str">
        <f aca="false">IF(J2341+L2341=0,"",J2341/(J2341+L2341))</f>
        <v/>
      </c>
      <c r="P2341" s="11" t="n">
        <f aca="false">2*J2341/(2*J2341+L2341+K2341)</f>
        <v>0</v>
      </c>
      <c r="Q2341" s="11" t="n">
        <f aca="false">L2341/(L2341+M2341)</f>
        <v>0</v>
      </c>
      <c r="R2341" s="6" t="n">
        <v>0</v>
      </c>
      <c r="S2341" s="11"/>
      <c r="T2341" s="11" t="n">
        <v>0</v>
      </c>
      <c r="U2341" s="11" t="n">
        <v>0.9</v>
      </c>
      <c r="V2341" s="11" t="n">
        <v>0.9</v>
      </c>
    </row>
    <row r="2342" customFormat="false" ht="15" hidden="false" customHeight="false" outlineLevel="0" collapsed="false">
      <c r="A2342" s="6" t="s">
        <v>46</v>
      </c>
      <c r="B2342" s="6" t="s">
        <v>43</v>
      </c>
      <c r="C2342" s="6" t="s">
        <v>44</v>
      </c>
      <c r="D2342" s="6" t="s">
        <v>115</v>
      </c>
      <c r="E2342" s="6" t="n">
        <v>1</v>
      </c>
      <c r="F2342" s="6" t="n">
        <v>3</v>
      </c>
      <c r="G2342" s="6" t="s">
        <v>76</v>
      </c>
      <c r="H2342" s="11" t="n">
        <v>0.001</v>
      </c>
      <c r="I2342" s="6" t="n">
        <v>20</v>
      </c>
      <c r="J2342" s="6" t="n">
        <v>0</v>
      </c>
      <c r="K2342" s="6" t="n">
        <v>20</v>
      </c>
      <c r="L2342" s="6" t="n">
        <v>0</v>
      </c>
      <c r="M2342" s="6" t="n">
        <v>20</v>
      </c>
      <c r="N2342" s="11" t="n">
        <f aca="false">J2342/(J2342+K2342)</f>
        <v>0</v>
      </c>
      <c r="O2342" s="11" t="str">
        <f aca="false">IF(J2342+L2342=0,"",J2342/(J2342+L2342))</f>
        <v/>
      </c>
      <c r="P2342" s="11" t="n">
        <f aca="false">2*J2342/(2*J2342+L2342+K2342)</f>
        <v>0</v>
      </c>
      <c r="Q2342" s="11" t="n">
        <f aca="false">L2342/(L2342+M2342)</f>
        <v>0</v>
      </c>
      <c r="R2342" s="6" t="n">
        <v>0</v>
      </c>
      <c r="S2342" s="11"/>
      <c r="T2342" s="11" t="n">
        <v>0</v>
      </c>
      <c r="U2342" s="11" t="n">
        <v>0.95</v>
      </c>
      <c r="V2342" s="11" t="n">
        <v>0.95</v>
      </c>
    </row>
    <row r="2343" customFormat="false" ht="15" hidden="false" customHeight="false" outlineLevel="0" collapsed="false">
      <c r="A2343" s="6" t="s">
        <v>46</v>
      </c>
      <c r="B2343" s="6" t="s">
        <v>43</v>
      </c>
      <c r="C2343" s="6" t="s">
        <v>44</v>
      </c>
      <c r="D2343" s="6" t="s">
        <v>115</v>
      </c>
      <c r="E2343" s="6" t="n">
        <v>1</v>
      </c>
      <c r="F2343" s="6" t="n">
        <v>3</v>
      </c>
      <c r="G2343" s="6" t="s">
        <v>77</v>
      </c>
      <c r="H2343" s="11" t="n">
        <v>0.001</v>
      </c>
      <c r="I2343" s="6" t="n">
        <v>20</v>
      </c>
      <c r="J2343" s="6" t="n">
        <v>0</v>
      </c>
      <c r="K2343" s="6" t="n">
        <v>20</v>
      </c>
      <c r="L2343" s="6" t="n">
        <v>0</v>
      </c>
      <c r="M2343" s="6" t="n">
        <v>20</v>
      </c>
      <c r="N2343" s="11" t="n">
        <f aca="false">J2343/(J2343+K2343)</f>
        <v>0</v>
      </c>
      <c r="O2343" s="11" t="str">
        <f aca="false">IF(J2343+L2343=0,"",J2343/(J2343+L2343))</f>
        <v/>
      </c>
      <c r="P2343" s="11" t="n">
        <f aca="false">2*J2343/(2*J2343+L2343+K2343)</f>
        <v>0</v>
      </c>
      <c r="Q2343" s="11" t="n">
        <f aca="false">L2343/(L2343+M2343)</f>
        <v>0</v>
      </c>
      <c r="R2343" s="6" t="n">
        <v>0</v>
      </c>
      <c r="S2343" s="11"/>
      <c r="T2343" s="11" t="n">
        <v>0</v>
      </c>
      <c r="U2343" s="11" t="n">
        <v>1</v>
      </c>
      <c r="V2343" s="11" t="n">
        <v>1</v>
      </c>
    </row>
    <row r="2344" customFormat="false" ht="15" hidden="false" customHeight="false" outlineLevel="0" collapsed="false">
      <c r="A2344" s="6" t="s">
        <v>46</v>
      </c>
      <c r="B2344" s="6" t="s">
        <v>43</v>
      </c>
      <c r="C2344" s="6" t="s">
        <v>44</v>
      </c>
      <c r="D2344" s="6" t="s">
        <v>115</v>
      </c>
      <c r="E2344" s="6" t="n">
        <v>1</v>
      </c>
      <c r="F2344" s="6" t="n">
        <v>3</v>
      </c>
      <c r="G2344" s="6" t="s">
        <v>78</v>
      </c>
      <c r="H2344" s="11" t="n">
        <v>0.001</v>
      </c>
      <c r="I2344" s="6" t="n">
        <v>200</v>
      </c>
      <c r="J2344" s="6" t="n">
        <v>0</v>
      </c>
      <c r="K2344" s="6" t="n">
        <v>200</v>
      </c>
      <c r="L2344" s="6" t="n">
        <v>0</v>
      </c>
      <c r="M2344" s="6" t="n">
        <v>200</v>
      </c>
      <c r="N2344" s="11" t="n">
        <f aca="false">J2344/(J2344+K2344)</f>
        <v>0</v>
      </c>
      <c r="O2344" s="11" t="str">
        <f aca="false">IF(J2344+L2344=0,"",J2344/(J2344+L2344))</f>
        <v/>
      </c>
      <c r="P2344" s="11" t="n">
        <f aca="false">2*J2344/(2*J2344+L2344+K2344)</f>
        <v>0</v>
      </c>
      <c r="Q2344" s="11" t="n">
        <f aca="false">L2344/(L2344+M2344)</f>
        <v>0</v>
      </c>
      <c r="R2344" s="6" t="n">
        <v>2</v>
      </c>
      <c r="S2344" s="11" t="n">
        <v>0</v>
      </c>
      <c r="T2344" s="11" t="n">
        <v>0</v>
      </c>
      <c r="U2344" s="11" t="n">
        <v>0.88</v>
      </c>
      <c r="V2344" s="11" t="n">
        <v>0.885</v>
      </c>
    </row>
    <row r="2345" customFormat="false" ht="15" hidden="false" customHeight="false" outlineLevel="0" collapsed="false">
      <c r="A2345" s="6" t="s">
        <v>46</v>
      </c>
      <c r="B2345" s="6" t="s">
        <v>43</v>
      </c>
      <c r="C2345" s="6" t="s">
        <v>44</v>
      </c>
      <c r="D2345" s="6" t="s">
        <v>115</v>
      </c>
      <c r="E2345" s="6" t="n">
        <v>1</v>
      </c>
      <c r="F2345" s="6" t="n">
        <v>4</v>
      </c>
      <c r="G2345" s="6" t="s">
        <v>68</v>
      </c>
      <c r="H2345" s="11" t="n">
        <v>0.001</v>
      </c>
      <c r="I2345" s="6" t="n">
        <v>20</v>
      </c>
      <c r="J2345" s="6" t="n">
        <v>20</v>
      </c>
      <c r="K2345" s="6" t="n">
        <v>0</v>
      </c>
      <c r="L2345" s="6" t="n">
        <v>0</v>
      </c>
      <c r="M2345" s="6" t="n">
        <v>20</v>
      </c>
      <c r="N2345" s="11" t="n">
        <f aca="false">J2345/(J2345+K2345)</f>
        <v>1</v>
      </c>
      <c r="O2345" s="11" t="n">
        <f aca="false">IF(J2345+L2345=0,"",J2345/(J2345+L2345))</f>
        <v>1</v>
      </c>
      <c r="P2345" s="11" t="n">
        <f aca="false">2*J2345/(2*J2345+L2345+K2345)</f>
        <v>1</v>
      </c>
      <c r="Q2345" s="11" t="n">
        <f aca="false">L2345/(L2345+M2345)</f>
        <v>0</v>
      </c>
      <c r="R2345" s="6" t="n">
        <v>20</v>
      </c>
      <c r="S2345" s="11" t="n">
        <v>1</v>
      </c>
      <c r="T2345" s="11"/>
      <c r="U2345" s="11" t="n">
        <v>0.85</v>
      </c>
      <c r="V2345" s="11" t="n">
        <v>0</v>
      </c>
    </row>
    <row r="2346" customFormat="false" ht="15" hidden="false" customHeight="false" outlineLevel="0" collapsed="false">
      <c r="A2346" s="6" t="s">
        <v>46</v>
      </c>
      <c r="B2346" s="6" t="s">
        <v>43</v>
      </c>
      <c r="C2346" s="6" t="s">
        <v>44</v>
      </c>
      <c r="D2346" s="6" t="s">
        <v>115</v>
      </c>
      <c r="E2346" s="6" t="n">
        <v>1</v>
      </c>
      <c r="F2346" s="6" t="n">
        <v>4</v>
      </c>
      <c r="G2346" s="6" t="s">
        <v>69</v>
      </c>
      <c r="H2346" s="11" t="n">
        <v>0.001</v>
      </c>
      <c r="I2346" s="6" t="n">
        <v>20</v>
      </c>
      <c r="J2346" s="6" t="n">
        <v>20</v>
      </c>
      <c r="K2346" s="6" t="n">
        <v>0</v>
      </c>
      <c r="L2346" s="6" t="n">
        <v>0</v>
      </c>
      <c r="M2346" s="6" t="n">
        <v>20</v>
      </c>
      <c r="N2346" s="11" t="n">
        <f aca="false">J2346/(J2346+K2346)</f>
        <v>1</v>
      </c>
      <c r="O2346" s="11" t="n">
        <f aca="false">IF(J2346+L2346=0,"",J2346/(J2346+L2346))</f>
        <v>1</v>
      </c>
      <c r="P2346" s="11" t="n">
        <f aca="false">2*J2346/(2*J2346+L2346+K2346)</f>
        <v>1</v>
      </c>
      <c r="Q2346" s="11" t="n">
        <f aca="false">L2346/(L2346+M2346)</f>
        <v>0</v>
      </c>
      <c r="R2346" s="6" t="n">
        <v>20</v>
      </c>
      <c r="S2346" s="11" t="n">
        <v>1</v>
      </c>
      <c r="T2346" s="11"/>
      <c r="U2346" s="11" t="n">
        <v>1</v>
      </c>
      <c r="V2346" s="11" t="n">
        <v>0</v>
      </c>
    </row>
    <row r="2347" customFormat="false" ht="15" hidden="false" customHeight="false" outlineLevel="0" collapsed="false">
      <c r="A2347" s="6" t="s">
        <v>46</v>
      </c>
      <c r="B2347" s="6" t="s">
        <v>43</v>
      </c>
      <c r="C2347" s="6" t="s">
        <v>44</v>
      </c>
      <c r="D2347" s="6" t="s">
        <v>115</v>
      </c>
      <c r="E2347" s="6" t="n">
        <v>1</v>
      </c>
      <c r="F2347" s="6" t="n">
        <v>4</v>
      </c>
      <c r="G2347" s="6" t="s">
        <v>70</v>
      </c>
      <c r="H2347" s="11" t="n">
        <v>0.001</v>
      </c>
      <c r="I2347" s="6" t="n">
        <v>20</v>
      </c>
      <c r="J2347" s="6" t="n">
        <v>20</v>
      </c>
      <c r="K2347" s="6" t="n">
        <v>0</v>
      </c>
      <c r="L2347" s="6" t="n">
        <v>0</v>
      </c>
      <c r="M2347" s="6" t="n">
        <v>20</v>
      </c>
      <c r="N2347" s="11" t="n">
        <f aca="false">J2347/(J2347+K2347)</f>
        <v>1</v>
      </c>
      <c r="O2347" s="11" t="n">
        <f aca="false">IF(J2347+L2347=0,"",J2347/(J2347+L2347))</f>
        <v>1</v>
      </c>
      <c r="P2347" s="11" t="n">
        <f aca="false">2*J2347/(2*J2347+L2347+K2347)</f>
        <v>1</v>
      </c>
      <c r="Q2347" s="11" t="n">
        <f aca="false">L2347/(L2347+M2347)</f>
        <v>0</v>
      </c>
      <c r="R2347" s="6" t="n">
        <v>6</v>
      </c>
      <c r="S2347" s="11" t="n">
        <v>1</v>
      </c>
      <c r="T2347" s="11" t="n">
        <v>1</v>
      </c>
      <c r="U2347" s="11" t="n">
        <v>0.9</v>
      </c>
      <c r="V2347" s="11" t="n">
        <v>0.8</v>
      </c>
    </row>
    <row r="2348" customFormat="false" ht="15" hidden="false" customHeight="false" outlineLevel="0" collapsed="false">
      <c r="A2348" s="6" t="s">
        <v>46</v>
      </c>
      <c r="B2348" s="6" t="s">
        <v>43</v>
      </c>
      <c r="C2348" s="6" t="s">
        <v>44</v>
      </c>
      <c r="D2348" s="6" t="s">
        <v>115</v>
      </c>
      <c r="E2348" s="6" t="n">
        <v>1</v>
      </c>
      <c r="F2348" s="6" t="n">
        <v>4</v>
      </c>
      <c r="G2348" s="6" t="s">
        <v>71</v>
      </c>
      <c r="H2348" s="11" t="n">
        <v>0.001</v>
      </c>
      <c r="I2348" s="6" t="n">
        <v>20</v>
      </c>
      <c r="J2348" s="6" t="n">
        <v>20</v>
      </c>
      <c r="K2348" s="6" t="n">
        <v>0</v>
      </c>
      <c r="L2348" s="6" t="n">
        <v>0</v>
      </c>
      <c r="M2348" s="6" t="n">
        <v>20</v>
      </c>
      <c r="N2348" s="11" t="n">
        <f aca="false">J2348/(J2348+K2348)</f>
        <v>1</v>
      </c>
      <c r="O2348" s="11" t="n">
        <f aca="false">IF(J2348+L2348=0,"",J2348/(J2348+L2348))</f>
        <v>1</v>
      </c>
      <c r="P2348" s="11" t="n">
        <f aca="false">2*J2348/(2*J2348+L2348+K2348)</f>
        <v>1</v>
      </c>
      <c r="Q2348" s="11" t="n">
        <f aca="false">L2348/(L2348+M2348)</f>
        <v>0</v>
      </c>
      <c r="R2348" s="6" t="n">
        <v>18</v>
      </c>
      <c r="S2348" s="11" t="n">
        <v>1</v>
      </c>
      <c r="T2348" s="11" t="n">
        <v>1</v>
      </c>
      <c r="U2348" s="11" t="n">
        <v>0.8</v>
      </c>
      <c r="V2348" s="11" t="n">
        <v>0</v>
      </c>
    </row>
    <row r="2349" customFormat="false" ht="15" hidden="false" customHeight="false" outlineLevel="0" collapsed="false">
      <c r="A2349" s="6" t="s">
        <v>46</v>
      </c>
      <c r="B2349" s="6" t="s">
        <v>43</v>
      </c>
      <c r="C2349" s="6" t="s">
        <v>44</v>
      </c>
      <c r="D2349" s="6" t="s">
        <v>115</v>
      </c>
      <c r="E2349" s="6" t="n">
        <v>1</v>
      </c>
      <c r="F2349" s="6" t="n">
        <v>4</v>
      </c>
      <c r="G2349" s="6" t="s">
        <v>72</v>
      </c>
      <c r="H2349" s="11" t="n">
        <v>0.001</v>
      </c>
      <c r="I2349" s="6" t="n">
        <v>20</v>
      </c>
      <c r="J2349" s="6" t="n">
        <v>20</v>
      </c>
      <c r="K2349" s="6" t="n">
        <v>0</v>
      </c>
      <c r="L2349" s="6" t="n">
        <v>0</v>
      </c>
      <c r="M2349" s="6" t="n">
        <v>20</v>
      </c>
      <c r="N2349" s="11" t="n">
        <f aca="false">J2349/(J2349+K2349)</f>
        <v>1</v>
      </c>
      <c r="O2349" s="11" t="n">
        <f aca="false">IF(J2349+L2349=0,"",J2349/(J2349+L2349))</f>
        <v>1</v>
      </c>
      <c r="P2349" s="11" t="n">
        <f aca="false">2*J2349/(2*J2349+L2349+K2349)</f>
        <v>1</v>
      </c>
      <c r="Q2349" s="11" t="n">
        <f aca="false">L2349/(L2349+M2349)</f>
        <v>0</v>
      </c>
      <c r="R2349" s="6" t="n">
        <v>19</v>
      </c>
      <c r="S2349" s="11" t="n">
        <v>1</v>
      </c>
      <c r="T2349" s="11" t="n">
        <v>1</v>
      </c>
      <c r="U2349" s="11" t="n">
        <v>0.9</v>
      </c>
      <c r="V2349" s="11" t="n">
        <v>0</v>
      </c>
    </row>
    <row r="2350" customFormat="false" ht="15" hidden="false" customHeight="false" outlineLevel="0" collapsed="false">
      <c r="A2350" s="6" t="s">
        <v>46</v>
      </c>
      <c r="B2350" s="6" t="s">
        <v>43</v>
      </c>
      <c r="C2350" s="6" t="s">
        <v>44</v>
      </c>
      <c r="D2350" s="6" t="s">
        <v>115</v>
      </c>
      <c r="E2350" s="6" t="n">
        <v>1</v>
      </c>
      <c r="F2350" s="6" t="n">
        <v>4</v>
      </c>
      <c r="G2350" s="6" t="s">
        <v>73</v>
      </c>
      <c r="H2350" s="11" t="n">
        <v>0.001</v>
      </c>
      <c r="I2350" s="6" t="n">
        <v>20</v>
      </c>
      <c r="J2350" s="6" t="n">
        <v>20</v>
      </c>
      <c r="K2350" s="6" t="n">
        <v>0</v>
      </c>
      <c r="L2350" s="6" t="n">
        <v>0</v>
      </c>
      <c r="M2350" s="6" t="n">
        <v>20</v>
      </c>
      <c r="N2350" s="11" t="n">
        <f aca="false">J2350/(J2350+K2350)</f>
        <v>1</v>
      </c>
      <c r="O2350" s="11" t="n">
        <f aca="false">IF(J2350+L2350=0,"",J2350/(J2350+L2350))</f>
        <v>1</v>
      </c>
      <c r="P2350" s="11" t="n">
        <f aca="false">2*J2350/(2*J2350+L2350+K2350)</f>
        <v>1</v>
      </c>
      <c r="Q2350" s="11" t="n">
        <f aca="false">L2350/(L2350+M2350)</f>
        <v>0</v>
      </c>
      <c r="R2350" s="6" t="n">
        <v>19</v>
      </c>
      <c r="S2350" s="11" t="n">
        <v>1</v>
      </c>
      <c r="T2350" s="11" t="n">
        <v>1</v>
      </c>
      <c r="U2350" s="11" t="n">
        <v>0.65</v>
      </c>
      <c r="V2350" s="11" t="n">
        <v>0</v>
      </c>
    </row>
    <row r="2351" customFormat="false" ht="15" hidden="false" customHeight="false" outlineLevel="0" collapsed="false">
      <c r="A2351" s="6" t="s">
        <v>46</v>
      </c>
      <c r="B2351" s="6" t="s">
        <v>43</v>
      </c>
      <c r="C2351" s="6" t="s">
        <v>44</v>
      </c>
      <c r="D2351" s="6" t="s">
        <v>115</v>
      </c>
      <c r="E2351" s="6" t="n">
        <v>1</v>
      </c>
      <c r="F2351" s="6" t="n">
        <v>4</v>
      </c>
      <c r="G2351" s="6" t="s">
        <v>74</v>
      </c>
      <c r="H2351" s="11" t="n">
        <v>0.001</v>
      </c>
      <c r="I2351" s="6" t="n">
        <v>20</v>
      </c>
      <c r="J2351" s="6" t="n">
        <v>20</v>
      </c>
      <c r="K2351" s="6" t="n">
        <v>0</v>
      </c>
      <c r="L2351" s="6" t="n">
        <v>0</v>
      </c>
      <c r="M2351" s="6" t="n">
        <v>20</v>
      </c>
      <c r="N2351" s="11" t="n">
        <f aca="false">J2351/(J2351+K2351)</f>
        <v>1</v>
      </c>
      <c r="O2351" s="11" t="n">
        <f aca="false">IF(J2351+L2351=0,"",J2351/(J2351+L2351))</f>
        <v>1</v>
      </c>
      <c r="P2351" s="11" t="n">
        <f aca="false">2*J2351/(2*J2351+L2351+K2351)</f>
        <v>1</v>
      </c>
      <c r="Q2351" s="11" t="n">
        <f aca="false">L2351/(L2351+M2351)</f>
        <v>0</v>
      </c>
      <c r="R2351" s="6" t="n">
        <v>18</v>
      </c>
      <c r="S2351" s="11" t="n">
        <v>1</v>
      </c>
      <c r="T2351" s="11" t="n">
        <v>1</v>
      </c>
      <c r="U2351" s="11" t="n">
        <v>0.85</v>
      </c>
      <c r="V2351" s="11" t="n">
        <v>0</v>
      </c>
    </row>
    <row r="2352" customFormat="false" ht="15" hidden="false" customHeight="false" outlineLevel="0" collapsed="false">
      <c r="A2352" s="6" t="s">
        <v>46</v>
      </c>
      <c r="B2352" s="6" t="s">
        <v>43</v>
      </c>
      <c r="C2352" s="6" t="s">
        <v>44</v>
      </c>
      <c r="D2352" s="6" t="s">
        <v>115</v>
      </c>
      <c r="E2352" s="6" t="n">
        <v>1</v>
      </c>
      <c r="F2352" s="6" t="n">
        <v>4</v>
      </c>
      <c r="G2352" s="6" t="s">
        <v>75</v>
      </c>
      <c r="H2352" s="11" t="n">
        <v>0.001</v>
      </c>
      <c r="I2352" s="6" t="n">
        <v>20</v>
      </c>
      <c r="J2352" s="6" t="n">
        <v>20</v>
      </c>
      <c r="K2352" s="6" t="n">
        <v>0</v>
      </c>
      <c r="L2352" s="6" t="n">
        <v>0</v>
      </c>
      <c r="M2352" s="6" t="n">
        <v>20</v>
      </c>
      <c r="N2352" s="11" t="n">
        <f aca="false">J2352/(J2352+K2352)</f>
        <v>1</v>
      </c>
      <c r="O2352" s="11" t="n">
        <f aca="false">IF(J2352+L2352=0,"",J2352/(J2352+L2352))</f>
        <v>1</v>
      </c>
      <c r="P2352" s="11" t="n">
        <f aca="false">2*J2352/(2*J2352+L2352+K2352)</f>
        <v>1</v>
      </c>
      <c r="Q2352" s="11" t="n">
        <f aca="false">L2352/(L2352+M2352)</f>
        <v>0</v>
      </c>
      <c r="R2352" s="6" t="n">
        <v>20</v>
      </c>
      <c r="S2352" s="11" t="n">
        <v>1</v>
      </c>
      <c r="T2352" s="11"/>
      <c r="U2352" s="11" t="n">
        <v>0.9</v>
      </c>
      <c r="V2352" s="11" t="n">
        <v>0</v>
      </c>
    </row>
    <row r="2353" customFormat="false" ht="15" hidden="false" customHeight="false" outlineLevel="0" collapsed="false">
      <c r="A2353" s="6" t="s">
        <v>46</v>
      </c>
      <c r="B2353" s="6" t="s">
        <v>43</v>
      </c>
      <c r="C2353" s="6" t="s">
        <v>44</v>
      </c>
      <c r="D2353" s="6" t="s">
        <v>115</v>
      </c>
      <c r="E2353" s="6" t="n">
        <v>1</v>
      </c>
      <c r="F2353" s="6" t="n">
        <v>4</v>
      </c>
      <c r="G2353" s="6" t="s">
        <v>76</v>
      </c>
      <c r="H2353" s="11" t="n">
        <v>0.001</v>
      </c>
      <c r="I2353" s="6" t="n">
        <v>20</v>
      </c>
      <c r="J2353" s="6" t="n">
        <v>20</v>
      </c>
      <c r="K2353" s="6" t="n">
        <v>0</v>
      </c>
      <c r="L2353" s="6" t="n">
        <v>0</v>
      </c>
      <c r="M2353" s="6" t="n">
        <v>20</v>
      </c>
      <c r="N2353" s="11" t="n">
        <f aca="false">J2353/(J2353+K2353)</f>
        <v>1</v>
      </c>
      <c r="O2353" s="11" t="n">
        <f aca="false">IF(J2353+L2353=0,"",J2353/(J2353+L2353))</f>
        <v>1</v>
      </c>
      <c r="P2353" s="11" t="n">
        <f aca="false">2*J2353/(2*J2353+L2353+K2353)</f>
        <v>1</v>
      </c>
      <c r="Q2353" s="11" t="n">
        <f aca="false">L2353/(L2353+M2353)</f>
        <v>0</v>
      </c>
      <c r="R2353" s="6" t="n">
        <v>14</v>
      </c>
      <c r="S2353" s="11" t="n">
        <v>1</v>
      </c>
      <c r="T2353" s="11" t="n">
        <v>1</v>
      </c>
      <c r="U2353" s="11" t="n">
        <v>0.95</v>
      </c>
      <c r="V2353" s="11" t="n">
        <v>0.3</v>
      </c>
    </row>
    <row r="2354" customFormat="false" ht="15" hidden="false" customHeight="false" outlineLevel="0" collapsed="false">
      <c r="A2354" s="6" t="s">
        <v>46</v>
      </c>
      <c r="B2354" s="6" t="s">
        <v>43</v>
      </c>
      <c r="C2354" s="6" t="s">
        <v>44</v>
      </c>
      <c r="D2354" s="6" t="s">
        <v>115</v>
      </c>
      <c r="E2354" s="6" t="n">
        <v>1</v>
      </c>
      <c r="F2354" s="6" t="n">
        <v>4</v>
      </c>
      <c r="G2354" s="6" t="s">
        <v>77</v>
      </c>
      <c r="H2354" s="11" t="n">
        <v>0.001</v>
      </c>
      <c r="I2354" s="6" t="n">
        <v>20</v>
      </c>
      <c r="J2354" s="6" t="n">
        <v>20</v>
      </c>
      <c r="K2354" s="6" t="n">
        <v>0</v>
      </c>
      <c r="L2354" s="6" t="n">
        <v>0</v>
      </c>
      <c r="M2354" s="6" t="n">
        <v>20</v>
      </c>
      <c r="N2354" s="11" t="n">
        <f aca="false">J2354/(J2354+K2354)</f>
        <v>1</v>
      </c>
      <c r="O2354" s="11" t="n">
        <f aca="false">IF(J2354+L2354=0,"",J2354/(J2354+L2354))</f>
        <v>1</v>
      </c>
      <c r="P2354" s="11" t="n">
        <f aca="false">2*J2354/(2*J2354+L2354+K2354)</f>
        <v>1</v>
      </c>
      <c r="Q2354" s="11" t="n">
        <f aca="false">L2354/(L2354+M2354)</f>
        <v>0</v>
      </c>
      <c r="R2354" s="6" t="n">
        <v>20</v>
      </c>
      <c r="S2354" s="11" t="n">
        <v>1</v>
      </c>
      <c r="T2354" s="11"/>
      <c r="U2354" s="11" t="n">
        <v>1</v>
      </c>
      <c r="V2354" s="11" t="n">
        <v>0</v>
      </c>
    </row>
    <row r="2355" customFormat="false" ht="15" hidden="false" customHeight="false" outlineLevel="0" collapsed="false">
      <c r="A2355" s="6" t="s">
        <v>46</v>
      </c>
      <c r="B2355" s="6" t="s">
        <v>43</v>
      </c>
      <c r="C2355" s="6" t="s">
        <v>44</v>
      </c>
      <c r="D2355" s="6" t="s">
        <v>115</v>
      </c>
      <c r="E2355" s="6" t="n">
        <v>1</v>
      </c>
      <c r="F2355" s="6" t="n">
        <v>4</v>
      </c>
      <c r="G2355" s="6" t="s">
        <v>78</v>
      </c>
      <c r="H2355" s="11" t="n">
        <v>0.001</v>
      </c>
      <c r="I2355" s="6" t="n">
        <v>200</v>
      </c>
      <c r="J2355" s="6" t="n">
        <v>200</v>
      </c>
      <c r="K2355" s="6" t="n">
        <v>0</v>
      </c>
      <c r="L2355" s="6" t="n">
        <v>0</v>
      </c>
      <c r="M2355" s="6" t="n">
        <v>200</v>
      </c>
      <c r="N2355" s="11" t="n">
        <f aca="false">J2355/(J2355+K2355)</f>
        <v>1</v>
      </c>
      <c r="O2355" s="11" t="n">
        <f aca="false">IF(J2355+L2355=0,"",J2355/(J2355+L2355))</f>
        <v>1</v>
      </c>
      <c r="P2355" s="11" t="n">
        <f aca="false">2*J2355/(2*J2355+L2355+K2355)</f>
        <v>1</v>
      </c>
      <c r="Q2355" s="11" t="n">
        <f aca="false">L2355/(L2355+M2355)</f>
        <v>0</v>
      </c>
      <c r="R2355" s="6" t="n">
        <v>174</v>
      </c>
      <c r="S2355" s="11" t="n">
        <v>1</v>
      </c>
      <c r="T2355" s="11" t="n">
        <v>1</v>
      </c>
      <c r="U2355" s="11" t="n">
        <v>0.88</v>
      </c>
      <c r="V2355" s="11" t="n">
        <v>0.11</v>
      </c>
    </row>
    <row r="2356" customFormat="false" ht="15" hidden="false" customHeight="false" outlineLevel="0" collapsed="false">
      <c r="A2356" s="6" t="s">
        <v>46</v>
      </c>
      <c r="B2356" s="6" t="s">
        <v>43</v>
      </c>
      <c r="C2356" s="6" t="s">
        <v>44</v>
      </c>
      <c r="D2356" s="6" t="s">
        <v>115</v>
      </c>
      <c r="E2356" s="6" t="n">
        <v>1</v>
      </c>
      <c r="F2356" s="6" t="n">
        <v>5</v>
      </c>
      <c r="G2356" s="6" t="s">
        <v>68</v>
      </c>
      <c r="H2356" s="11" t="n">
        <v>0.001</v>
      </c>
      <c r="I2356" s="6" t="n">
        <v>20</v>
      </c>
      <c r="J2356" s="6" t="n">
        <v>0</v>
      </c>
      <c r="K2356" s="6" t="n">
        <v>20</v>
      </c>
      <c r="L2356" s="6" t="n">
        <v>0</v>
      </c>
      <c r="M2356" s="6" t="n">
        <v>20</v>
      </c>
      <c r="N2356" s="11" t="n">
        <f aca="false">J2356/(J2356+K2356)</f>
        <v>0</v>
      </c>
      <c r="O2356" s="11" t="str">
        <f aca="false">IF(J2356+L2356=0,"",J2356/(J2356+L2356))</f>
        <v/>
      </c>
      <c r="P2356" s="11" t="n">
        <f aca="false">2*J2356/(2*J2356+L2356+K2356)</f>
        <v>0</v>
      </c>
      <c r="Q2356" s="11" t="n">
        <f aca="false">L2356/(L2356+M2356)</f>
        <v>0</v>
      </c>
      <c r="R2356" s="6" t="n">
        <v>0</v>
      </c>
      <c r="S2356" s="11"/>
      <c r="T2356" s="11" t="n">
        <v>0</v>
      </c>
      <c r="U2356" s="11" t="n">
        <v>0.85</v>
      </c>
      <c r="V2356" s="11" t="n">
        <v>0.85</v>
      </c>
    </row>
    <row r="2357" customFormat="false" ht="15" hidden="false" customHeight="false" outlineLevel="0" collapsed="false">
      <c r="A2357" s="6" t="s">
        <v>46</v>
      </c>
      <c r="B2357" s="6" t="s">
        <v>43</v>
      </c>
      <c r="C2357" s="6" t="s">
        <v>44</v>
      </c>
      <c r="D2357" s="6" t="s">
        <v>115</v>
      </c>
      <c r="E2357" s="6" t="n">
        <v>1</v>
      </c>
      <c r="F2357" s="6" t="n">
        <v>5</v>
      </c>
      <c r="G2357" s="6" t="s">
        <v>69</v>
      </c>
      <c r="H2357" s="11" t="n">
        <v>0.001</v>
      </c>
      <c r="I2357" s="6" t="n">
        <v>20</v>
      </c>
      <c r="J2357" s="6" t="n">
        <v>0</v>
      </c>
      <c r="K2357" s="6" t="n">
        <v>20</v>
      </c>
      <c r="L2357" s="6" t="n">
        <v>0</v>
      </c>
      <c r="M2357" s="6" t="n">
        <v>20</v>
      </c>
      <c r="N2357" s="11" t="n">
        <f aca="false">J2357/(J2357+K2357)</f>
        <v>0</v>
      </c>
      <c r="O2357" s="11" t="str">
        <f aca="false">IF(J2357+L2357=0,"",J2357/(J2357+L2357))</f>
        <v/>
      </c>
      <c r="P2357" s="11" t="n">
        <f aca="false">2*J2357/(2*J2357+L2357+K2357)</f>
        <v>0</v>
      </c>
      <c r="Q2357" s="11" t="n">
        <f aca="false">L2357/(L2357+M2357)</f>
        <v>0</v>
      </c>
      <c r="R2357" s="6" t="n">
        <v>0</v>
      </c>
      <c r="S2357" s="11"/>
      <c r="T2357" s="11" t="n">
        <v>0</v>
      </c>
      <c r="U2357" s="11" t="n">
        <v>1</v>
      </c>
      <c r="V2357" s="11" t="n">
        <v>1</v>
      </c>
    </row>
    <row r="2358" customFormat="false" ht="15" hidden="false" customHeight="false" outlineLevel="0" collapsed="false">
      <c r="A2358" s="6" t="s">
        <v>46</v>
      </c>
      <c r="B2358" s="6" t="s">
        <v>43</v>
      </c>
      <c r="C2358" s="6" t="s">
        <v>44</v>
      </c>
      <c r="D2358" s="6" t="s">
        <v>115</v>
      </c>
      <c r="E2358" s="6" t="n">
        <v>1</v>
      </c>
      <c r="F2358" s="6" t="n">
        <v>5</v>
      </c>
      <c r="G2358" s="6" t="s">
        <v>70</v>
      </c>
      <c r="H2358" s="11" t="n">
        <v>0.001</v>
      </c>
      <c r="I2358" s="6" t="n">
        <v>20</v>
      </c>
      <c r="J2358" s="6" t="n">
        <v>0</v>
      </c>
      <c r="K2358" s="6" t="n">
        <v>20</v>
      </c>
      <c r="L2358" s="6" t="n">
        <v>0</v>
      </c>
      <c r="M2358" s="6" t="n">
        <v>20</v>
      </c>
      <c r="N2358" s="11" t="n">
        <f aca="false">J2358/(J2358+K2358)</f>
        <v>0</v>
      </c>
      <c r="O2358" s="11" t="str">
        <f aca="false">IF(J2358+L2358=0,"",J2358/(J2358+L2358))</f>
        <v/>
      </c>
      <c r="P2358" s="11" t="n">
        <f aca="false">2*J2358/(2*J2358+L2358+K2358)</f>
        <v>0</v>
      </c>
      <c r="Q2358" s="11" t="n">
        <f aca="false">L2358/(L2358+M2358)</f>
        <v>0</v>
      </c>
      <c r="R2358" s="6" t="n">
        <v>0</v>
      </c>
      <c r="S2358" s="11"/>
      <c r="T2358" s="11" t="n">
        <v>0</v>
      </c>
      <c r="U2358" s="11" t="n">
        <v>0.9</v>
      </c>
      <c r="V2358" s="11" t="n">
        <v>0.9</v>
      </c>
    </row>
    <row r="2359" customFormat="false" ht="15" hidden="false" customHeight="false" outlineLevel="0" collapsed="false">
      <c r="A2359" s="6" t="s">
        <v>46</v>
      </c>
      <c r="B2359" s="6" t="s">
        <v>43</v>
      </c>
      <c r="C2359" s="6" t="s">
        <v>44</v>
      </c>
      <c r="D2359" s="6" t="s">
        <v>115</v>
      </c>
      <c r="E2359" s="6" t="n">
        <v>1</v>
      </c>
      <c r="F2359" s="6" t="n">
        <v>5</v>
      </c>
      <c r="G2359" s="6" t="s">
        <v>71</v>
      </c>
      <c r="H2359" s="11" t="n">
        <v>0.001</v>
      </c>
      <c r="I2359" s="6" t="n">
        <v>20</v>
      </c>
      <c r="J2359" s="6" t="n">
        <v>0</v>
      </c>
      <c r="K2359" s="6" t="n">
        <v>20</v>
      </c>
      <c r="L2359" s="6" t="n">
        <v>0</v>
      </c>
      <c r="M2359" s="6" t="n">
        <v>20</v>
      </c>
      <c r="N2359" s="11" t="n">
        <f aca="false">J2359/(J2359+K2359)</f>
        <v>0</v>
      </c>
      <c r="O2359" s="11" t="str">
        <f aca="false">IF(J2359+L2359=0,"",J2359/(J2359+L2359))</f>
        <v/>
      </c>
      <c r="P2359" s="11" t="n">
        <f aca="false">2*J2359/(2*J2359+L2359+K2359)</f>
        <v>0</v>
      </c>
      <c r="Q2359" s="11" t="n">
        <f aca="false">L2359/(L2359+M2359)</f>
        <v>0</v>
      </c>
      <c r="R2359" s="6" t="n">
        <v>0</v>
      </c>
      <c r="S2359" s="11"/>
      <c r="T2359" s="11" t="n">
        <v>0</v>
      </c>
      <c r="U2359" s="11" t="n">
        <v>0.8</v>
      </c>
      <c r="V2359" s="11" t="n">
        <v>0.8</v>
      </c>
    </row>
    <row r="2360" customFormat="false" ht="15" hidden="false" customHeight="false" outlineLevel="0" collapsed="false">
      <c r="A2360" s="6" t="s">
        <v>46</v>
      </c>
      <c r="B2360" s="6" t="s">
        <v>43</v>
      </c>
      <c r="C2360" s="6" t="s">
        <v>44</v>
      </c>
      <c r="D2360" s="6" t="s">
        <v>115</v>
      </c>
      <c r="E2360" s="6" t="n">
        <v>1</v>
      </c>
      <c r="F2360" s="6" t="n">
        <v>5</v>
      </c>
      <c r="G2360" s="6" t="s">
        <v>72</v>
      </c>
      <c r="H2360" s="11" t="n">
        <v>0.001</v>
      </c>
      <c r="I2360" s="6" t="n">
        <v>20</v>
      </c>
      <c r="J2360" s="6" t="n">
        <v>0</v>
      </c>
      <c r="K2360" s="6" t="n">
        <v>20</v>
      </c>
      <c r="L2360" s="6" t="n">
        <v>0</v>
      </c>
      <c r="M2360" s="6" t="n">
        <v>20</v>
      </c>
      <c r="N2360" s="11" t="n">
        <f aca="false">J2360/(J2360+K2360)</f>
        <v>0</v>
      </c>
      <c r="O2360" s="11" t="str">
        <f aca="false">IF(J2360+L2360=0,"",J2360/(J2360+L2360))</f>
        <v/>
      </c>
      <c r="P2360" s="11" t="n">
        <f aca="false">2*J2360/(2*J2360+L2360+K2360)</f>
        <v>0</v>
      </c>
      <c r="Q2360" s="11" t="n">
        <f aca="false">L2360/(L2360+M2360)</f>
        <v>0</v>
      </c>
      <c r="R2360" s="6" t="n">
        <v>0</v>
      </c>
      <c r="S2360" s="11"/>
      <c r="T2360" s="11" t="n">
        <v>0</v>
      </c>
      <c r="U2360" s="11" t="n">
        <v>0.9</v>
      </c>
      <c r="V2360" s="11" t="n">
        <v>0.9</v>
      </c>
    </row>
    <row r="2361" customFormat="false" ht="15" hidden="false" customHeight="false" outlineLevel="0" collapsed="false">
      <c r="A2361" s="6" t="s">
        <v>46</v>
      </c>
      <c r="B2361" s="6" t="s">
        <v>43</v>
      </c>
      <c r="C2361" s="6" t="s">
        <v>44</v>
      </c>
      <c r="D2361" s="6" t="s">
        <v>115</v>
      </c>
      <c r="E2361" s="6" t="n">
        <v>1</v>
      </c>
      <c r="F2361" s="6" t="n">
        <v>5</v>
      </c>
      <c r="G2361" s="6" t="s">
        <v>73</v>
      </c>
      <c r="H2361" s="11" t="n">
        <v>0.001</v>
      </c>
      <c r="I2361" s="6" t="n">
        <v>20</v>
      </c>
      <c r="J2361" s="6" t="n">
        <v>0</v>
      </c>
      <c r="K2361" s="6" t="n">
        <v>20</v>
      </c>
      <c r="L2361" s="6" t="n">
        <v>0</v>
      </c>
      <c r="M2361" s="6" t="n">
        <v>20</v>
      </c>
      <c r="N2361" s="11" t="n">
        <f aca="false">J2361/(J2361+K2361)</f>
        <v>0</v>
      </c>
      <c r="O2361" s="11" t="str">
        <f aca="false">IF(J2361+L2361=0,"",J2361/(J2361+L2361))</f>
        <v/>
      </c>
      <c r="P2361" s="11" t="n">
        <f aca="false">2*J2361/(2*J2361+L2361+K2361)</f>
        <v>0</v>
      </c>
      <c r="Q2361" s="11" t="n">
        <f aca="false">L2361/(L2361+M2361)</f>
        <v>0</v>
      </c>
      <c r="R2361" s="6" t="n">
        <v>0</v>
      </c>
      <c r="S2361" s="11"/>
      <c r="T2361" s="11" t="n">
        <v>0</v>
      </c>
      <c r="U2361" s="11" t="n">
        <v>0.65</v>
      </c>
      <c r="V2361" s="11" t="n">
        <v>0.65</v>
      </c>
    </row>
    <row r="2362" customFormat="false" ht="15" hidden="false" customHeight="false" outlineLevel="0" collapsed="false">
      <c r="A2362" s="6" t="s">
        <v>46</v>
      </c>
      <c r="B2362" s="6" t="s">
        <v>43</v>
      </c>
      <c r="C2362" s="6" t="s">
        <v>44</v>
      </c>
      <c r="D2362" s="6" t="s">
        <v>115</v>
      </c>
      <c r="E2362" s="6" t="n">
        <v>1</v>
      </c>
      <c r="F2362" s="6" t="n">
        <v>5</v>
      </c>
      <c r="G2362" s="6" t="s">
        <v>74</v>
      </c>
      <c r="H2362" s="11" t="n">
        <v>0.001</v>
      </c>
      <c r="I2362" s="6" t="n">
        <v>20</v>
      </c>
      <c r="J2362" s="6" t="n">
        <v>0</v>
      </c>
      <c r="K2362" s="6" t="n">
        <v>20</v>
      </c>
      <c r="L2362" s="6" t="n">
        <v>0</v>
      </c>
      <c r="M2362" s="6" t="n">
        <v>20</v>
      </c>
      <c r="N2362" s="11" t="n">
        <f aca="false">J2362/(J2362+K2362)</f>
        <v>0</v>
      </c>
      <c r="O2362" s="11" t="str">
        <f aca="false">IF(J2362+L2362=0,"",J2362/(J2362+L2362))</f>
        <v/>
      </c>
      <c r="P2362" s="11" t="n">
        <f aca="false">2*J2362/(2*J2362+L2362+K2362)</f>
        <v>0</v>
      </c>
      <c r="Q2362" s="11" t="n">
        <f aca="false">L2362/(L2362+M2362)</f>
        <v>0</v>
      </c>
      <c r="R2362" s="6" t="n">
        <v>3</v>
      </c>
      <c r="S2362" s="11" t="n">
        <v>0</v>
      </c>
      <c r="T2362" s="11" t="n">
        <v>0</v>
      </c>
      <c r="U2362" s="11" t="n">
        <v>0.85</v>
      </c>
      <c r="V2362" s="11" t="n">
        <v>0.85</v>
      </c>
    </row>
    <row r="2363" customFormat="false" ht="15" hidden="false" customHeight="false" outlineLevel="0" collapsed="false">
      <c r="A2363" s="6" t="s">
        <v>46</v>
      </c>
      <c r="B2363" s="6" t="s">
        <v>43</v>
      </c>
      <c r="C2363" s="6" t="s">
        <v>44</v>
      </c>
      <c r="D2363" s="6" t="s">
        <v>115</v>
      </c>
      <c r="E2363" s="6" t="n">
        <v>1</v>
      </c>
      <c r="F2363" s="6" t="n">
        <v>5</v>
      </c>
      <c r="G2363" s="6" t="s">
        <v>75</v>
      </c>
      <c r="H2363" s="11" t="n">
        <v>0.001</v>
      </c>
      <c r="I2363" s="6" t="n">
        <v>20</v>
      </c>
      <c r="J2363" s="6" t="n">
        <v>0</v>
      </c>
      <c r="K2363" s="6" t="n">
        <v>20</v>
      </c>
      <c r="L2363" s="6" t="n">
        <v>0</v>
      </c>
      <c r="M2363" s="6" t="n">
        <v>20</v>
      </c>
      <c r="N2363" s="11" t="n">
        <f aca="false">J2363/(J2363+K2363)</f>
        <v>0</v>
      </c>
      <c r="O2363" s="11" t="str">
        <f aca="false">IF(J2363+L2363=0,"",J2363/(J2363+L2363))</f>
        <v/>
      </c>
      <c r="P2363" s="11" t="n">
        <f aca="false">2*J2363/(2*J2363+L2363+K2363)</f>
        <v>0</v>
      </c>
      <c r="Q2363" s="11" t="n">
        <f aca="false">L2363/(L2363+M2363)</f>
        <v>0</v>
      </c>
      <c r="R2363" s="6" t="n">
        <v>2</v>
      </c>
      <c r="S2363" s="11" t="n">
        <v>0</v>
      </c>
      <c r="T2363" s="11" t="n">
        <v>0</v>
      </c>
      <c r="U2363" s="11" t="n">
        <v>0.9</v>
      </c>
      <c r="V2363" s="11" t="n">
        <v>0.95</v>
      </c>
    </row>
    <row r="2364" customFormat="false" ht="15" hidden="false" customHeight="false" outlineLevel="0" collapsed="false">
      <c r="A2364" s="6" t="s">
        <v>46</v>
      </c>
      <c r="B2364" s="6" t="s">
        <v>43</v>
      </c>
      <c r="C2364" s="6" t="s">
        <v>44</v>
      </c>
      <c r="D2364" s="6" t="s">
        <v>115</v>
      </c>
      <c r="E2364" s="6" t="n">
        <v>1</v>
      </c>
      <c r="F2364" s="6" t="n">
        <v>5</v>
      </c>
      <c r="G2364" s="6" t="s">
        <v>76</v>
      </c>
      <c r="H2364" s="11" t="n">
        <v>0.001</v>
      </c>
      <c r="I2364" s="6" t="n">
        <v>20</v>
      </c>
      <c r="J2364" s="6" t="n">
        <v>0</v>
      </c>
      <c r="K2364" s="6" t="n">
        <v>20</v>
      </c>
      <c r="L2364" s="6" t="n">
        <v>0</v>
      </c>
      <c r="M2364" s="6" t="n">
        <v>20</v>
      </c>
      <c r="N2364" s="11" t="n">
        <f aca="false">J2364/(J2364+K2364)</f>
        <v>0</v>
      </c>
      <c r="O2364" s="11" t="str">
        <f aca="false">IF(J2364+L2364=0,"",J2364/(J2364+L2364))</f>
        <v/>
      </c>
      <c r="P2364" s="11" t="n">
        <f aca="false">2*J2364/(2*J2364+L2364+K2364)</f>
        <v>0</v>
      </c>
      <c r="Q2364" s="11" t="n">
        <f aca="false">L2364/(L2364+M2364)</f>
        <v>0</v>
      </c>
      <c r="R2364" s="6" t="n">
        <v>0</v>
      </c>
      <c r="S2364" s="11"/>
      <c r="T2364" s="11" t="n">
        <v>0</v>
      </c>
      <c r="U2364" s="11" t="n">
        <v>0.95</v>
      </c>
      <c r="V2364" s="11" t="n">
        <v>0.95</v>
      </c>
    </row>
    <row r="2365" customFormat="false" ht="15" hidden="false" customHeight="false" outlineLevel="0" collapsed="false">
      <c r="A2365" s="6" t="s">
        <v>46</v>
      </c>
      <c r="B2365" s="6" t="s">
        <v>43</v>
      </c>
      <c r="C2365" s="6" t="s">
        <v>44</v>
      </c>
      <c r="D2365" s="6" t="s">
        <v>115</v>
      </c>
      <c r="E2365" s="6" t="n">
        <v>1</v>
      </c>
      <c r="F2365" s="6" t="n">
        <v>5</v>
      </c>
      <c r="G2365" s="6" t="s">
        <v>77</v>
      </c>
      <c r="H2365" s="11" t="n">
        <v>0.001</v>
      </c>
      <c r="I2365" s="6" t="n">
        <v>20</v>
      </c>
      <c r="J2365" s="6" t="n">
        <v>0</v>
      </c>
      <c r="K2365" s="6" t="n">
        <v>20</v>
      </c>
      <c r="L2365" s="6" t="n">
        <v>0</v>
      </c>
      <c r="M2365" s="6" t="n">
        <v>20</v>
      </c>
      <c r="N2365" s="11" t="n">
        <f aca="false">J2365/(J2365+K2365)</f>
        <v>0</v>
      </c>
      <c r="O2365" s="11" t="str">
        <f aca="false">IF(J2365+L2365=0,"",J2365/(J2365+L2365))</f>
        <v/>
      </c>
      <c r="P2365" s="11" t="n">
        <f aca="false">2*J2365/(2*J2365+L2365+K2365)</f>
        <v>0</v>
      </c>
      <c r="Q2365" s="11" t="n">
        <f aca="false">L2365/(L2365+M2365)</f>
        <v>0</v>
      </c>
      <c r="R2365" s="6" t="n">
        <v>0</v>
      </c>
      <c r="S2365" s="11"/>
      <c r="T2365" s="11" t="n">
        <v>0</v>
      </c>
      <c r="U2365" s="11" t="n">
        <v>1</v>
      </c>
      <c r="V2365" s="11" t="n">
        <v>1</v>
      </c>
    </row>
    <row r="2366" customFormat="false" ht="15" hidden="false" customHeight="false" outlineLevel="0" collapsed="false">
      <c r="A2366" s="6" t="s">
        <v>46</v>
      </c>
      <c r="B2366" s="6" t="s">
        <v>43</v>
      </c>
      <c r="C2366" s="6" t="s">
        <v>44</v>
      </c>
      <c r="D2366" s="6" t="s">
        <v>115</v>
      </c>
      <c r="E2366" s="6" t="n">
        <v>1</v>
      </c>
      <c r="F2366" s="6" t="n">
        <v>5</v>
      </c>
      <c r="G2366" s="6" t="s">
        <v>78</v>
      </c>
      <c r="H2366" s="11" t="n">
        <v>0.001</v>
      </c>
      <c r="I2366" s="6" t="n">
        <v>200</v>
      </c>
      <c r="J2366" s="6" t="n">
        <v>0</v>
      </c>
      <c r="K2366" s="6" t="n">
        <v>200</v>
      </c>
      <c r="L2366" s="6" t="n">
        <v>0</v>
      </c>
      <c r="M2366" s="6" t="n">
        <v>200</v>
      </c>
      <c r="N2366" s="11" t="n">
        <f aca="false">J2366/(J2366+K2366)</f>
        <v>0</v>
      </c>
      <c r="O2366" s="11" t="str">
        <f aca="false">IF(J2366+L2366=0,"",J2366/(J2366+L2366))</f>
        <v/>
      </c>
      <c r="P2366" s="11" t="n">
        <f aca="false">2*J2366/(2*J2366+L2366+K2366)</f>
        <v>0</v>
      </c>
      <c r="Q2366" s="11" t="n">
        <f aca="false">L2366/(L2366+M2366)</f>
        <v>0</v>
      </c>
      <c r="R2366" s="6" t="n">
        <v>5</v>
      </c>
      <c r="S2366" s="11" t="n">
        <v>0</v>
      </c>
      <c r="T2366" s="11" t="n">
        <v>0</v>
      </c>
      <c r="U2366" s="11" t="n">
        <v>0.88</v>
      </c>
      <c r="V2366" s="11" t="n">
        <v>0.885</v>
      </c>
    </row>
    <row r="2367" customFormat="false" ht="15" hidden="false" customHeight="false" outlineLevel="0" collapsed="false">
      <c r="A2367" s="6" t="s">
        <v>46</v>
      </c>
      <c r="B2367" s="6" t="s">
        <v>43</v>
      </c>
      <c r="C2367" s="6" t="s">
        <v>44</v>
      </c>
      <c r="D2367" s="6" t="s">
        <v>115</v>
      </c>
      <c r="E2367" s="6" t="n">
        <v>1</v>
      </c>
      <c r="F2367" s="6" t="n">
        <v>6</v>
      </c>
      <c r="G2367" s="6" t="s">
        <v>68</v>
      </c>
      <c r="H2367" s="11" t="n">
        <v>0.001</v>
      </c>
      <c r="I2367" s="6" t="n">
        <v>20</v>
      </c>
      <c r="J2367" s="6" t="n">
        <v>20</v>
      </c>
      <c r="K2367" s="6" t="n">
        <v>0</v>
      </c>
      <c r="L2367" s="6" t="n">
        <v>0</v>
      </c>
      <c r="M2367" s="6" t="n">
        <v>20</v>
      </c>
      <c r="N2367" s="11" t="n">
        <f aca="false">J2367/(J2367+K2367)</f>
        <v>1</v>
      </c>
      <c r="O2367" s="11" t="n">
        <f aca="false">IF(J2367+L2367=0,"",J2367/(J2367+L2367))</f>
        <v>1</v>
      </c>
      <c r="P2367" s="11" t="n">
        <f aca="false">2*J2367/(2*J2367+L2367+K2367)</f>
        <v>1</v>
      </c>
      <c r="Q2367" s="11" t="n">
        <f aca="false">L2367/(L2367+M2367)</f>
        <v>0</v>
      </c>
      <c r="R2367" s="6" t="n">
        <v>20</v>
      </c>
      <c r="S2367" s="11" t="n">
        <v>1</v>
      </c>
      <c r="T2367" s="11"/>
      <c r="U2367" s="11" t="n">
        <v>0.85</v>
      </c>
      <c r="V2367" s="11" t="n">
        <v>0</v>
      </c>
    </row>
    <row r="2368" customFormat="false" ht="15" hidden="false" customHeight="false" outlineLevel="0" collapsed="false">
      <c r="A2368" s="6" t="s">
        <v>46</v>
      </c>
      <c r="B2368" s="6" t="s">
        <v>43</v>
      </c>
      <c r="C2368" s="6" t="s">
        <v>44</v>
      </c>
      <c r="D2368" s="6" t="s">
        <v>115</v>
      </c>
      <c r="E2368" s="6" t="n">
        <v>1</v>
      </c>
      <c r="F2368" s="6" t="n">
        <v>6</v>
      </c>
      <c r="G2368" s="6" t="s">
        <v>69</v>
      </c>
      <c r="H2368" s="11" t="n">
        <v>0.001</v>
      </c>
      <c r="I2368" s="6" t="n">
        <v>20</v>
      </c>
      <c r="J2368" s="6" t="n">
        <v>20</v>
      </c>
      <c r="K2368" s="6" t="n">
        <v>0</v>
      </c>
      <c r="L2368" s="6" t="n">
        <v>0</v>
      </c>
      <c r="M2368" s="6" t="n">
        <v>20</v>
      </c>
      <c r="N2368" s="11" t="n">
        <f aca="false">J2368/(J2368+K2368)</f>
        <v>1</v>
      </c>
      <c r="O2368" s="11" t="n">
        <f aca="false">IF(J2368+L2368=0,"",J2368/(J2368+L2368))</f>
        <v>1</v>
      </c>
      <c r="P2368" s="11" t="n">
        <f aca="false">2*J2368/(2*J2368+L2368+K2368)</f>
        <v>1</v>
      </c>
      <c r="Q2368" s="11" t="n">
        <f aca="false">L2368/(L2368+M2368)</f>
        <v>0</v>
      </c>
      <c r="R2368" s="6" t="n">
        <v>20</v>
      </c>
      <c r="S2368" s="11" t="n">
        <v>1</v>
      </c>
      <c r="T2368" s="11"/>
      <c r="U2368" s="11" t="n">
        <v>1</v>
      </c>
      <c r="V2368" s="11" t="n">
        <v>0</v>
      </c>
    </row>
    <row r="2369" customFormat="false" ht="15" hidden="false" customHeight="false" outlineLevel="0" collapsed="false">
      <c r="A2369" s="6" t="s">
        <v>46</v>
      </c>
      <c r="B2369" s="6" t="s">
        <v>43</v>
      </c>
      <c r="C2369" s="6" t="s">
        <v>44</v>
      </c>
      <c r="D2369" s="6" t="s">
        <v>115</v>
      </c>
      <c r="E2369" s="6" t="n">
        <v>1</v>
      </c>
      <c r="F2369" s="6" t="n">
        <v>6</v>
      </c>
      <c r="G2369" s="6" t="s">
        <v>70</v>
      </c>
      <c r="H2369" s="11" t="n">
        <v>0.001</v>
      </c>
      <c r="I2369" s="6" t="n">
        <v>20</v>
      </c>
      <c r="J2369" s="6" t="n">
        <v>20</v>
      </c>
      <c r="K2369" s="6" t="n">
        <v>0</v>
      </c>
      <c r="L2369" s="6" t="n">
        <v>0</v>
      </c>
      <c r="M2369" s="6" t="n">
        <v>20</v>
      </c>
      <c r="N2369" s="11" t="n">
        <f aca="false">J2369/(J2369+K2369)</f>
        <v>1</v>
      </c>
      <c r="O2369" s="11" t="n">
        <f aca="false">IF(J2369+L2369=0,"",J2369/(J2369+L2369))</f>
        <v>1</v>
      </c>
      <c r="P2369" s="11" t="n">
        <f aca="false">2*J2369/(2*J2369+L2369+K2369)</f>
        <v>1</v>
      </c>
      <c r="Q2369" s="11" t="n">
        <f aca="false">L2369/(L2369+M2369)</f>
        <v>0</v>
      </c>
      <c r="R2369" s="6" t="n">
        <v>13</v>
      </c>
      <c r="S2369" s="11" t="n">
        <v>1</v>
      </c>
      <c r="T2369" s="11" t="n">
        <v>1</v>
      </c>
      <c r="U2369" s="11" t="n">
        <v>0.9</v>
      </c>
      <c r="V2369" s="11" t="n">
        <v>0.4</v>
      </c>
    </row>
    <row r="2370" customFormat="false" ht="15" hidden="false" customHeight="false" outlineLevel="0" collapsed="false">
      <c r="A2370" s="6" t="s">
        <v>46</v>
      </c>
      <c r="B2370" s="6" t="s">
        <v>43</v>
      </c>
      <c r="C2370" s="6" t="s">
        <v>44</v>
      </c>
      <c r="D2370" s="6" t="s">
        <v>115</v>
      </c>
      <c r="E2370" s="6" t="n">
        <v>1</v>
      </c>
      <c r="F2370" s="6" t="n">
        <v>6</v>
      </c>
      <c r="G2370" s="6" t="s">
        <v>71</v>
      </c>
      <c r="H2370" s="11" t="n">
        <v>0.001</v>
      </c>
      <c r="I2370" s="6" t="n">
        <v>20</v>
      </c>
      <c r="J2370" s="6" t="n">
        <v>20</v>
      </c>
      <c r="K2370" s="6" t="n">
        <v>0</v>
      </c>
      <c r="L2370" s="6" t="n">
        <v>0</v>
      </c>
      <c r="M2370" s="6" t="n">
        <v>20</v>
      </c>
      <c r="N2370" s="11" t="n">
        <f aca="false">J2370/(J2370+K2370)</f>
        <v>1</v>
      </c>
      <c r="O2370" s="11" t="n">
        <f aca="false">IF(J2370+L2370=0,"",J2370/(J2370+L2370))</f>
        <v>1</v>
      </c>
      <c r="P2370" s="11" t="n">
        <f aca="false">2*J2370/(2*J2370+L2370+K2370)</f>
        <v>1</v>
      </c>
      <c r="Q2370" s="11" t="n">
        <f aca="false">L2370/(L2370+M2370)</f>
        <v>0</v>
      </c>
      <c r="R2370" s="6" t="n">
        <v>18</v>
      </c>
      <c r="S2370" s="11" t="n">
        <v>1</v>
      </c>
      <c r="T2370" s="11" t="n">
        <v>1</v>
      </c>
      <c r="U2370" s="11" t="n">
        <v>0.8</v>
      </c>
      <c r="V2370" s="11" t="n">
        <v>0</v>
      </c>
    </row>
    <row r="2371" customFormat="false" ht="15" hidden="false" customHeight="false" outlineLevel="0" collapsed="false">
      <c r="A2371" s="6" t="s">
        <v>46</v>
      </c>
      <c r="B2371" s="6" t="s">
        <v>43</v>
      </c>
      <c r="C2371" s="6" t="s">
        <v>44</v>
      </c>
      <c r="D2371" s="6" t="s">
        <v>115</v>
      </c>
      <c r="E2371" s="6" t="n">
        <v>1</v>
      </c>
      <c r="F2371" s="6" t="n">
        <v>6</v>
      </c>
      <c r="G2371" s="6" t="s">
        <v>72</v>
      </c>
      <c r="H2371" s="11" t="n">
        <v>0.001</v>
      </c>
      <c r="I2371" s="6" t="n">
        <v>20</v>
      </c>
      <c r="J2371" s="6" t="n">
        <v>20</v>
      </c>
      <c r="K2371" s="6" t="n">
        <v>0</v>
      </c>
      <c r="L2371" s="6" t="n">
        <v>0</v>
      </c>
      <c r="M2371" s="6" t="n">
        <v>20</v>
      </c>
      <c r="N2371" s="11" t="n">
        <f aca="false">J2371/(J2371+K2371)</f>
        <v>1</v>
      </c>
      <c r="O2371" s="11" t="n">
        <f aca="false">IF(J2371+L2371=0,"",J2371/(J2371+L2371))</f>
        <v>1</v>
      </c>
      <c r="P2371" s="11" t="n">
        <f aca="false">2*J2371/(2*J2371+L2371+K2371)</f>
        <v>1</v>
      </c>
      <c r="Q2371" s="11" t="n">
        <f aca="false">L2371/(L2371+M2371)</f>
        <v>0</v>
      </c>
      <c r="R2371" s="6" t="n">
        <v>19</v>
      </c>
      <c r="S2371" s="11" t="n">
        <v>1</v>
      </c>
      <c r="T2371" s="11" t="n">
        <v>1</v>
      </c>
      <c r="U2371" s="11" t="n">
        <v>0.9</v>
      </c>
      <c r="V2371" s="11" t="n">
        <v>0</v>
      </c>
    </row>
    <row r="2372" customFormat="false" ht="15" hidden="false" customHeight="false" outlineLevel="0" collapsed="false">
      <c r="A2372" s="6" t="s">
        <v>46</v>
      </c>
      <c r="B2372" s="6" t="s">
        <v>43</v>
      </c>
      <c r="C2372" s="6" t="s">
        <v>44</v>
      </c>
      <c r="D2372" s="6" t="s">
        <v>115</v>
      </c>
      <c r="E2372" s="6" t="n">
        <v>1</v>
      </c>
      <c r="F2372" s="6" t="n">
        <v>6</v>
      </c>
      <c r="G2372" s="6" t="s">
        <v>73</v>
      </c>
      <c r="H2372" s="11" t="n">
        <v>0.001</v>
      </c>
      <c r="I2372" s="6" t="n">
        <v>20</v>
      </c>
      <c r="J2372" s="6" t="n">
        <v>20</v>
      </c>
      <c r="K2372" s="6" t="n">
        <v>0</v>
      </c>
      <c r="L2372" s="6" t="n">
        <v>0</v>
      </c>
      <c r="M2372" s="6" t="n">
        <v>20</v>
      </c>
      <c r="N2372" s="11" t="n">
        <f aca="false">J2372/(J2372+K2372)</f>
        <v>1</v>
      </c>
      <c r="O2372" s="11" t="n">
        <f aca="false">IF(J2372+L2372=0,"",J2372/(J2372+L2372))</f>
        <v>1</v>
      </c>
      <c r="P2372" s="11" t="n">
        <f aca="false">2*J2372/(2*J2372+L2372+K2372)</f>
        <v>1</v>
      </c>
      <c r="Q2372" s="11" t="n">
        <f aca="false">L2372/(L2372+M2372)</f>
        <v>0</v>
      </c>
      <c r="R2372" s="6" t="n">
        <v>20</v>
      </c>
      <c r="S2372" s="11" t="n">
        <v>1</v>
      </c>
      <c r="T2372" s="11"/>
      <c r="U2372" s="11" t="n">
        <v>0.65</v>
      </c>
      <c r="V2372" s="11" t="n">
        <v>0</v>
      </c>
    </row>
    <row r="2373" customFormat="false" ht="15" hidden="false" customHeight="false" outlineLevel="0" collapsed="false">
      <c r="A2373" s="6" t="s">
        <v>46</v>
      </c>
      <c r="B2373" s="6" t="s">
        <v>43</v>
      </c>
      <c r="C2373" s="6" t="s">
        <v>44</v>
      </c>
      <c r="D2373" s="6" t="s">
        <v>115</v>
      </c>
      <c r="E2373" s="6" t="n">
        <v>1</v>
      </c>
      <c r="F2373" s="6" t="n">
        <v>6</v>
      </c>
      <c r="G2373" s="6" t="s">
        <v>74</v>
      </c>
      <c r="H2373" s="11" t="n">
        <v>0.001</v>
      </c>
      <c r="I2373" s="6" t="n">
        <v>20</v>
      </c>
      <c r="J2373" s="6" t="n">
        <v>20</v>
      </c>
      <c r="K2373" s="6" t="n">
        <v>0</v>
      </c>
      <c r="L2373" s="6" t="n">
        <v>0</v>
      </c>
      <c r="M2373" s="6" t="n">
        <v>20</v>
      </c>
      <c r="N2373" s="11" t="n">
        <f aca="false">J2373/(J2373+K2373)</f>
        <v>1</v>
      </c>
      <c r="O2373" s="11" t="n">
        <f aca="false">IF(J2373+L2373=0,"",J2373/(J2373+L2373))</f>
        <v>1</v>
      </c>
      <c r="P2373" s="11" t="n">
        <f aca="false">2*J2373/(2*J2373+L2373+K2373)</f>
        <v>1</v>
      </c>
      <c r="Q2373" s="11" t="n">
        <f aca="false">L2373/(L2373+M2373)</f>
        <v>0</v>
      </c>
      <c r="R2373" s="6" t="n">
        <v>18</v>
      </c>
      <c r="S2373" s="11" t="n">
        <v>1</v>
      </c>
      <c r="T2373" s="11" t="n">
        <v>1</v>
      </c>
      <c r="U2373" s="11" t="n">
        <v>0.85</v>
      </c>
      <c r="V2373" s="11" t="n">
        <v>0</v>
      </c>
    </row>
    <row r="2374" customFormat="false" ht="15" hidden="false" customHeight="false" outlineLevel="0" collapsed="false">
      <c r="A2374" s="6" t="s">
        <v>46</v>
      </c>
      <c r="B2374" s="6" t="s">
        <v>43</v>
      </c>
      <c r="C2374" s="6" t="s">
        <v>44</v>
      </c>
      <c r="D2374" s="6" t="s">
        <v>115</v>
      </c>
      <c r="E2374" s="6" t="n">
        <v>1</v>
      </c>
      <c r="F2374" s="6" t="n">
        <v>6</v>
      </c>
      <c r="G2374" s="6" t="s">
        <v>75</v>
      </c>
      <c r="H2374" s="11" t="n">
        <v>0.001</v>
      </c>
      <c r="I2374" s="6" t="n">
        <v>20</v>
      </c>
      <c r="J2374" s="6" t="n">
        <v>20</v>
      </c>
      <c r="K2374" s="6" t="n">
        <v>0</v>
      </c>
      <c r="L2374" s="6" t="n">
        <v>0</v>
      </c>
      <c r="M2374" s="6" t="n">
        <v>20</v>
      </c>
      <c r="N2374" s="11" t="n">
        <f aca="false">J2374/(J2374+K2374)</f>
        <v>1</v>
      </c>
      <c r="O2374" s="11" t="n">
        <f aca="false">IF(J2374+L2374=0,"",J2374/(J2374+L2374))</f>
        <v>1</v>
      </c>
      <c r="P2374" s="11" t="n">
        <f aca="false">2*J2374/(2*J2374+L2374+K2374)</f>
        <v>1</v>
      </c>
      <c r="Q2374" s="11" t="n">
        <f aca="false">L2374/(L2374+M2374)</f>
        <v>0</v>
      </c>
      <c r="R2374" s="6" t="n">
        <v>20</v>
      </c>
      <c r="S2374" s="11" t="n">
        <v>1</v>
      </c>
      <c r="T2374" s="11"/>
      <c r="U2374" s="11" t="n">
        <v>0.9</v>
      </c>
      <c r="V2374" s="11" t="n">
        <v>0</v>
      </c>
    </row>
    <row r="2375" customFormat="false" ht="15" hidden="false" customHeight="false" outlineLevel="0" collapsed="false">
      <c r="A2375" s="6" t="s">
        <v>46</v>
      </c>
      <c r="B2375" s="6" t="s">
        <v>43</v>
      </c>
      <c r="C2375" s="6" t="s">
        <v>44</v>
      </c>
      <c r="D2375" s="6" t="s">
        <v>115</v>
      </c>
      <c r="E2375" s="6" t="n">
        <v>1</v>
      </c>
      <c r="F2375" s="6" t="n">
        <v>6</v>
      </c>
      <c r="G2375" s="6" t="s">
        <v>76</v>
      </c>
      <c r="H2375" s="11" t="n">
        <v>0.001</v>
      </c>
      <c r="I2375" s="6" t="n">
        <v>20</v>
      </c>
      <c r="J2375" s="6" t="n">
        <v>20</v>
      </c>
      <c r="K2375" s="6" t="n">
        <v>0</v>
      </c>
      <c r="L2375" s="6" t="n">
        <v>0</v>
      </c>
      <c r="M2375" s="6" t="n">
        <v>20</v>
      </c>
      <c r="N2375" s="11" t="n">
        <f aca="false">J2375/(J2375+K2375)</f>
        <v>1</v>
      </c>
      <c r="O2375" s="11" t="n">
        <f aca="false">IF(J2375+L2375=0,"",J2375/(J2375+L2375))</f>
        <v>1</v>
      </c>
      <c r="P2375" s="11" t="n">
        <f aca="false">2*J2375/(2*J2375+L2375+K2375)</f>
        <v>1</v>
      </c>
      <c r="Q2375" s="11" t="n">
        <f aca="false">L2375/(L2375+M2375)</f>
        <v>0</v>
      </c>
      <c r="R2375" s="6" t="n">
        <v>14</v>
      </c>
      <c r="S2375" s="11" t="n">
        <v>1</v>
      </c>
      <c r="T2375" s="11" t="n">
        <v>1</v>
      </c>
      <c r="U2375" s="11" t="n">
        <v>0.95</v>
      </c>
      <c r="V2375" s="11" t="n">
        <v>0.3</v>
      </c>
    </row>
    <row r="2376" customFormat="false" ht="15" hidden="false" customHeight="false" outlineLevel="0" collapsed="false">
      <c r="A2376" s="6" t="s">
        <v>46</v>
      </c>
      <c r="B2376" s="6" t="s">
        <v>43</v>
      </c>
      <c r="C2376" s="6" t="s">
        <v>44</v>
      </c>
      <c r="D2376" s="6" t="s">
        <v>115</v>
      </c>
      <c r="E2376" s="6" t="n">
        <v>1</v>
      </c>
      <c r="F2376" s="6" t="n">
        <v>6</v>
      </c>
      <c r="G2376" s="6" t="s">
        <v>77</v>
      </c>
      <c r="H2376" s="11" t="n">
        <v>0.001</v>
      </c>
      <c r="I2376" s="6" t="n">
        <v>20</v>
      </c>
      <c r="J2376" s="6" t="n">
        <v>20</v>
      </c>
      <c r="K2376" s="6" t="n">
        <v>0</v>
      </c>
      <c r="L2376" s="6" t="n">
        <v>0</v>
      </c>
      <c r="M2376" s="6" t="n">
        <v>20</v>
      </c>
      <c r="N2376" s="11" t="n">
        <f aca="false">J2376/(J2376+K2376)</f>
        <v>1</v>
      </c>
      <c r="O2376" s="11" t="n">
        <f aca="false">IF(J2376+L2376=0,"",J2376/(J2376+L2376))</f>
        <v>1</v>
      </c>
      <c r="P2376" s="11" t="n">
        <f aca="false">2*J2376/(2*J2376+L2376+K2376)</f>
        <v>1</v>
      </c>
      <c r="Q2376" s="11" t="n">
        <f aca="false">L2376/(L2376+M2376)</f>
        <v>0</v>
      </c>
      <c r="R2376" s="6" t="n">
        <v>20</v>
      </c>
      <c r="S2376" s="11" t="n">
        <v>1</v>
      </c>
      <c r="T2376" s="11"/>
      <c r="U2376" s="11" t="n">
        <v>1</v>
      </c>
      <c r="V2376" s="11" t="n">
        <v>0</v>
      </c>
    </row>
    <row r="2377" customFormat="false" ht="15" hidden="false" customHeight="false" outlineLevel="0" collapsed="false">
      <c r="A2377" s="6" t="s">
        <v>46</v>
      </c>
      <c r="B2377" s="6" t="s">
        <v>43</v>
      </c>
      <c r="C2377" s="6" t="s">
        <v>44</v>
      </c>
      <c r="D2377" s="6" t="s">
        <v>115</v>
      </c>
      <c r="E2377" s="6" t="n">
        <v>1</v>
      </c>
      <c r="F2377" s="6" t="n">
        <v>6</v>
      </c>
      <c r="G2377" s="6" t="s">
        <v>78</v>
      </c>
      <c r="H2377" s="11" t="n">
        <v>0.001</v>
      </c>
      <c r="I2377" s="6" t="n">
        <v>200</v>
      </c>
      <c r="J2377" s="6" t="n">
        <v>200</v>
      </c>
      <c r="K2377" s="6" t="n">
        <v>0</v>
      </c>
      <c r="L2377" s="6" t="n">
        <v>0</v>
      </c>
      <c r="M2377" s="6" t="n">
        <v>200</v>
      </c>
      <c r="N2377" s="11" t="n">
        <f aca="false">J2377/(J2377+K2377)</f>
        <v>1</v>
      </c>
      <c r="O2377" s="11" t="n">
        <f aca="false">IF(J2377+L2377=0,"",J2377/(J2377+L2377))</f>
        <v>1</v>
      </c>
      <c r="P2377" s="11" t="n">
        <f aca="false">2*J2377/(2*J2377+L2377+K2377)</f>
        <v>1</v>
      </c>
      <c r="Q2377" s="11" t="n">
        <f aca="false">L2377/(L2377+M2377)</f>
        <v>0</v>
      </c>
      <c r="R2377" s="6" t="n">
        <v>182</v>
      </c>
      <c r="S2377" s="11" t="n">
        <v>1</v>
      </c>
      <c r="T2377" s="11" t="n">
        <v>1</v>
      </c>
      <c r="U2377" s="11" t="n">
        <v>0.88</v>
      </c>
      <c r="V2377" s="11" t="n">
        <v>0.07</v>
      </c>
    </row>
    <row r="2378" customFormat="false" ht="15" hidden="false" customHeight="false" outlineLevel="0" collapsed="false">
      <c r="A2378" s="6" t="s">
        <v>46</v>
      </c>
      <c r="B2378" s="6" t="s">
        <v>43</v>
      </c>
      <c r="C2378" s="6" t="s">
        <v>44</v>
      </c>
      <c r="D2378" s="6" t="s">
        <v>115</v>
      </c>
      <c r="E2378" s="6" t="n">
        <v>1</v>
      </c>
      <c r="F2378" s="6" t="n">
        <v>7</v>
      </c>
      <c r="G2378" s="6" t="s">
        <v>68</v>
      </c>
      <c r="H2378" s="11" t="n">
        <v>0.001</v>
      </c>
      <c r="I2378" s="6" t="n">
        <v>20</v>
      </c>
      <c r="J2378" s="6" t="n">
        <v>0</v>
      </c>
      <c r="K2378" s="6" t="n">
        <v>20</v>
      </c>
      <c r="L2378" s="6" t="n">
        <v>0</v>
      </c>
      <c r="M2378" s="6" t="n">
        <v>20</v>
      </c>
      <c r="N2378" s="11" t="n">
        <f aca="false">J2378/(J2378+K2378)</f>
        <v>0</v>
      </c>
      <c r="O2378" s="11" t="str">
        <f aca="false">IF(J2378+L2378=0,"",J2378/(J2378+L2378))</f>
        <v/>
      </c>
      <c r="P2378" s="11" t="n">
        <f aca="false">2*J2378/(2*J2378+L2378+K2378)</f>
        <v>0</v>
      </c>
      <c r="Q2378" s="11" t="n">
        <f aca="false">L2378/(L2378+M2378)</f>
        <v>0</v>
      </c>
      <c r="R2378" s="6" t="n">
        <v>0</v>
      </c>
      <c r="S2378" s="11"/>
      <c r="T2378" s="11" t="n">
        <v>0</v>
      </c>
      <c r="U2378" s="11" t="n">
        <v>0.85</v>
      </c>
      <c r="V2378" s="11" t="n">
        <v>0.85</v>
      </c>
    </row>
    <row r="2379" customFormat="false" ht="15" hidden="false" customHeight="false" outlineLevel="0" collapsed="false">
      <c r="A2379" s="6" t="s">
        <v>46</v>
      </c>
      <c r="B2379" s="6" t="s">
        <v>43</v>
      </c>
      <c r="C2379" s="6" t="s">
        <v>44</v>
      </c>
      <c r="D2379" s="6" t="s">
        <v>115</v>
      </c>
      <c r="E2379" s="6" t="n">
        <v>1</v>
      </c>
      <c r="F2379" s="6" t="n">
        <v>7</v>
      </c>
      <c r="G2379" s="6" t="s">
        <v>69</v>
      </c>
      <c r="H2379" s="11" t="n">
        <v>0.001</v>
      </c>
      <c r="I2379" s="6" t="n">
        <v>20</v>
      </c>
      <c r="J2379" s="6" t="n">
        <v>0</v>
      </c>
      <c r="K2379" s="6" t="n">
        <v>20</v>
      </c>
      <c r="L2379" s="6" t="n">
        <v>0</v>
      </c>
      <c r="M2379" s="6" t="n">
        <v>20</v>
      </c>
      <c r="N2379" s="11" t="n">
        <f aca="false">J2379/(J2379+K2379)</f>
        <v>0</v>
      </c>
      <c r="O2379" s="11" t="str">
        <f aca="false">IF(J2379+L2379=0,"",J2379/(J2379+L2379))</f>
        <v/>
      </c>
      <c r="P2379" s="11" t="n">
        <f aca="false">2*J2379/(2*J2379+L2379+K2379)</f>
        <v>0</v>
      </c>
      <c r="Q2379" s="11" t="n">
        <f aca="false">L2379/(L2379+M2379)</f>
        <v>0</v>
      </c>
      <c r="R2379" s="6" t="n">
        <v>0</v>
      </c>
      <c r="S2379" s="11"/>
      <c r="T2379" s="11" t="n">
        <v>0</v>
      </c>
      <c r="U2379" s="11" t="n">
        <v>1</v>
      </c>
      <c r="V2379" s="11" t="n">
        <v>1</v>
      </c>
    </row>
    <row r="2380" customFormat="false" ht="15" hidden="false" customHeight="false" outlineLevel="0" collapsed="false">
      <c r="A2380" s="6" t="s">
        <v>46</v>
      </c>
      <c r="B2380" s="6" t="s">
        <v>43</v>
      </c>
      <c r="C2380" s="6" t="s">
        <v>44</v>
      </c>
      <c r="D2380" s="6" t="s">
        <v>115</v>
      </c>
      <c r="E2380" s="6" t="n">
        <v>1</v>
      </c>
      <c r="F2380" s="6" t="n">
        <v>7</v>
      </c>
      <c r="G2380" s="6" t="s">
        <v>70</v>
      </c>
      <c r="H2380" s="11" t="n">
        <v>0.001</v>
      </c>
      <c r="I2380" s="6" t="n">
        <v>20</v>
      </c>
      <c r="J2380" s="6" t="n">
        <v>0</v>
      </c>
      <c r="K2380" s="6" t="n">
        <v>20</v>
      </c>
      <c r="L2380" s="6" t="n">
        <v>0</v>
      </c>
      <c r="M2380" s="6" t="n">
        <v>20</v>
      </c>
      <c r="N2380" s="11" t="n">
        <f aca="false">J2380/(J2380+K2380)</f>
        <v>0</v>
      </c>
      <c r="O2380" s="11" t="str">
        <f aca="false">IF(J2380+L2380=0,"",J2380/(J2380+L2380))</f>
        <v/>
      </c>
      <c r="P2380" s="11" t="n">
        <f aca="false">2*J2380/(2*J2380+L2380+K2380)</f>
        <v>0</v>
      </c>
      <c r="Q2380" s="11" t="n">
        <f aca="false">L2380/(L2380+M2380)</f>
        <v>0</v>
      </c>
      <c r="R2380" s="6" t="n">
        <v>0</v>
      </c>
      <c r="S2380" s="11"/>
      <c r="T2380" s="11" t="n">
        <v>0</v>
      </c>
      <c r="U2380" s="11" t="n">
        <v>0.9</v>
      </c>
      <c r="V2380" s="11" t="n">
        <v>0.9</v>
      </c>
    </row>
    <row r="2381" customFormat="false" ht="15" hidden="false" customHeight="false" outlineLevel="0" collapsed="false">
      <c r="A2381" s="6" t="s">
        <v>46</v>
      </c>
      <c r="B2381" s="6" t="s">
        <v>43</v>
      </c>
      <c r="C2381" s="6" t="s">
        <v>44</v>
      </c>
      <c r="D2381" s="6" t="s">
        <v>115</v>
      </c>
      <c r="E2381" s="6" t="n">
        <v>1</v>
      </c>
      <c r="F2381" s="6" t="n">
        <v>7</v>
      </c>
      <c r="G2381" s="6" t="s">
        <v>71</v>
      </c>
      <c r="H2381" s="11" t="n">
        <v>0.001</v>
      </c>
      <c r="I2381" s="6" t="n">
        <v>20</v>
      </c>
      <c r="J2381" s="6" t="n">
        <v>0</v>
      </c>
      <c r="K2381" s="6" t="n">
        <v>20</v>
      </c>
      <c r="L2381" s="6" t="n">
        <v>0</v>
      </c>
      <c r="M2381" s="6" t="n">
        <v>20</v>
      </c>
      <c r="N2381" s="11" t="n">
        <f aca="false">J2381/(J2381+K2381)</f>
        <v>0</v>
      </c>
      <c r="O2381" s="11" t="str">
        <f aca="false">IF(J2381+L2381=0,"",J2381/(J2381+L2381))</f>
        <v/>
      </c>
      <c r="P2381" s="11" t="n">
        <f aca="false">2*J2381/(2*J2381+L2381+K2381)</f>
        <v>0</v>
      </c>
      <c r="Q2381" s="11" t="n">
        <f aca="false">L2381/(L2381+M2381)</f>
        <v>0</v>
      </c>
      <c r="R2381" s="6" t="n">
        <v>0</v>
      </c>
      <c r="S2381" s="11"/>
      <c r="T2381" s="11" t="n">
        <v>0</v>
      </c>
      <c r="U2381" s="11" t="n">
        <v>0.8</v>
      </c>
      <c r="V2381" s="11" t="n">
        <v>0.8</v>
      </c>
    </row>
    <row r="2382" customFormat="false" ht="15" hidden="false" customHeight="false" outlineLevel="0" collapsed="false">
      <c r="A2382" s="6" t="s">
        <v>46</v>
      </c>
      <c r="B2382" s="6" t="s">
        <v>43</v>
      </c>
      <c r="C2382" s="6" t="s">
        <v>44</v>
      </c>
      <c r="D2382" s="6" t="s">
        <v>115</v>
      </c>
      <c r="E2382" s="6" t="n">
        <v>1</v>
      </c>
      <c r="F2382" s="6" t="n">
        <v>7</v>
      </c>
      <c r="G2382" s="6" t="s">
        <v>72</v>
      </c>
      <c r="H2382" s="11" t="n">
        <v>0.001</v>
      </c>
      <c r="I2382" s="6" t="n">
        <v>20</v>
      </c>
      <c r="J2382" s="6" t="n">
        <v>0</v>
      </c>
      <c r="K2382" s="6" t="n">
        <v>20</v>
      </c>
      <c r="L2382" s="6" t="n">
        <v>0</v>
      </c>
      <c r="M2382" s="6" t="n">
        <v>20</v>
      </c>
      <c r="N2382" s="11" t="n">
        <f aca="false">J2382/(J2382+K2382)</f>
        <v>0</v>
      </c>
      <c r="O2382" s="11" t="str">
        <f aca="false">IF(J2382+L2382=0,"",J2382/(J2382+L2382))</f>
        <v/>
      </c>
      <c r="P2382" s="11" t="n">
        <f aca="false">2*J2382/(2*J2382+L2382+K2382)</f>
        <v>0</v>
      </c>
      <c r="Q2382" s="11" t="n">
        <f aca="false">L2382/(L2382+M2382)</f>
        <v>0</v>
      </c>
      <c r="R2382" s="6" t="n">
        <v>0</v>
      </c>
      <c r="S2382" s="11"/>
      <c r="T2382" s="11" t="n">
        <v>0</v>
      </c>
      <c r="U2382" s="11" t="n">
        <v>0.9</v>
      </c>
      <c r="V2382" s="11" t="n">
        <v>0.9</v>
      </c>
    </row>
    <row r="2383" customFormat="false" ht="15" hidden="false" customHeight="false" outlineLevel="0" collapsed="false">
      <c r="A2383" s="6" t="s">
        <v>46</v>
      </c>
      <c r="B2383" s="6" t="s">
        <v>43</v>
      </c>
      <c r="C2383" s="6" t="s">
        <v>44</v>
      </c>
      <c r="D2383" s="6" t="s">
        <v>115</v>
      </c>
      <c r="E2383" s="6" t="n">
        <v>1</v>
      </c>
      <c r="F2383" s="6" t="n">
        <v>7</v>
      </c>
      <c r="G2383" s="6" t="s">
        <v>73</v>
      </c>
      <c r="H2383" s="11" t="n">
        <v>0.001</v>
      </c>
      <c r="I2383" s="6" t="n">
        <v>20</v>
      </c>
      <c r="J2383" s="6" t="n">
        <v>0</v>
      </c>
      <c r="K2383" s="6" t="n">
        <v>20</v>
      </c>
      <c r="L2383" s="6" t="n">
        <v>0</v>
      </c>
      <c r="M2383" s="6" t="n">
        <v>20</v>
      </c>
      <c r="N2383" s="11" t="n">
        <f aca="false">J2383/(J2383+K2383)</f>
        <v>0</v>
      </c>
      <c r="O2383" s="11" t="str">
        <f aca="false">IF(J2383+L2383=0,"",J2383/(J2383+L2383))</f>
        <v/>
      </c>
      <c r="P2383" s="11" t="n">
        <f aca="false">2*J2383/(2*J2383+L2383+K2383)</f>
        <v>0</v>
      </c>
      <c r="Q2383" s="11" t="n">
        <f aca="false">L2383/(L2383+M2383)</f>
        <v>0</v>
      </c>
      <c r="R2383" s="6" t="n">
        <v>0</v>
      </c>
      <c r="S2383" s="11"/>
      <c r="T2383" s="11" t="n">
        <v>0</v>
      </c>
      <c r="U2383" s="11" t="n">
        <v>0.65</v>
      </c>
      <c r="V2383" s="11" t="n">
        <v>0.65</v>
      </c>
    </row>
    <row r="2384" customFormat="false" ht="15" hidden="false" customHeight="false" outlineLevel="0" collapsed="false">
      <c r="A2384" s="6" t="s">
        <v>46</v>
      </c>
      <c r="B2384" s="6" t="s">
        <v>43</v>
      </c>
      <c r="C2384" s="6" t="s">
        <v>44</v>
      </c>
      <c r="D2384" s="6" t="s">
        <v>115</v>
      </c>
      <c r="E2384" s="6" t="n">
        <v>1</v>
      </c>
      <c r="F2384" s="6" t="n">
        <v>7</v>
      </c>
      <c r="G2384" s="6" t="s">
        <v>74</v>
      </c>
      <c r="H2384" s="11" t="n">
        <v>0.001</v>
      </c>
      <c r="I2384" s="6" t="n">
        <v>20</v>
      </c>
      <c r="J2384" s="6" t="n">
        <v>0</v>
      </c>
      <c r="K2384" s="6" t="n">
        <v>20</v>
      </c>
      <c r="L2384" s="6" t="n">
        <v>0</v>
      </c>
      <c r="M2384" s="6" t="n">
        <v>20</v>
      </c>
      <c r="N2384" s="11" t="n">
        <f aca="false">J2384/(J2384+K2384)</f>
        <v>0</v>
      </c>
      <c r="O2384" s="11" t="str">
        <f aca="false">IF(J2384+L2384=0,"",J2384/(J2384+L2384))</f>
        <v/>
      </c>
      <c r="P2384" s="11" t="n">
        <f aca="false">2*J2384/(2*J2384+L2384+K2384)</f>
        <v>0</v>
      </c>
      <c r="Q2384" s="11" t="n">
        <f aca="false">L2384/(L2384+M2384)</f>
        <v>0</v>
      </c>
      <c r="R2384" s="6" t="n">
        <v>0</v>
      </c>
      <c r="S2384" s="11"/>
      <c r="T2384" s="11" t="n">
        <v>0</v>
      </c>
      <c r="U2384" s="11" t="n">
        <v>0.85</v>
      </c>
      <c r="V2384" s="11" t="n">
        <v>0.85</v>
      </c>
    </row>
    <row r="2385" customFormat="false" ht="15" hidden="false" customHeight="false" outlineLevel="0" collapsed="false">
      <c r="A2385" s="6" t="s">
        <v>46</v>
      </c>
      <c r="B2385" s="6" t="s">
        <v>43</v>
      </c>
      <c r="C2385" s="6" t="s">
        <v>44</v>
      </c>
      <c r="D2385" s="6" t="s">
        <v>115</v>
      </c>
      <c r="E2385" s="6" t="n">
        <v>1</v>
      </c>
      <c r="F2385" s="6" t="n">
        <v>7</v>
      </c>
      <c r="G2385" s="6" t="s">
        <v>75</v>
      </c>
      <c r="H2385" s="11" t="n">
        <v>0.001</v>
      </c>
      <c r="I2385" s="6" t="n">
        <v>20</v>
      </c>
      <c r="J2385" s="6" t="n">
        <v>0</v>
      </c>
      <c r="K2385" s="6" t="n">
        <v>20</v>
      </c>
      <c r="L2385" s="6" t="n">
        <v>0</v>
      </c>
      <c r="M2385" s="6" t="n">
        <v>20</v>
      </c>
      <c r="N2385" s="11" t="n">
        <f aca="false">J2385/(J2385+K2385)</f>
        <v>0</v>
      </c>
      <c r="O2385" s="11" t="str">
        <f aca="false">IF(J2385+L2385=0,"",J2385/(J2385+L2385))</f>
        <v/>
      </c>
      <c r="P2385" s="11" t="n">
        <f aca="false">2*J2385/(2*J2385+L2385+K2385)</f>
        <v>0</v>
      </c>
      <c r="Q2385" s="11" t="n">
        <f aca="false">L2385/(L2385+M2385)</f>
        <v>0</v>
      </c>
      <c r="R2385" s="6" t="n">
        <v>0</v>
      </c>
      <c r="S2385" s="11"/>
      <c r="T2385" s="11" t="n">
        <v>0</v>
      </c>
      <c r="U2385" s="11" t="n">
        <v>0.9</v>
      </c>
      <c r="V2385" s="11" t="n">
        <v>0.9</v>
      </c>
    </row>
    <row r="2386" customFormat="false" ht="15" hidden="false" customHeight="false" outlineLevel="0" collapsed="false">
      <c r="A2386" s="6" t="s">
        <v>46</v>
      </c>
      <c r="B2386" s="6" t="s">
        <v>43</v>
      </c>
      <c r="C2386" s="6" t="s">
        <v>44</v>
      </c>
      <c r="D2386" s="6" t="s">
        <v>115</v>
      </c>
      <c r="E2386" s="6" t="n">
        <v>1</v>
      </c>
      <c r="F2386" s="6" t="n">
        <v>7</v>
      </c>
      <c r="G2386" s="6" t="s">
        <v>76</v>
      </c>
      <c r="H2386" s="11" t="n">
        <v>0.001</v>
      </c>
      <c r="I2386" s="6" t="n">
        <v>20</v>
      </c>
      <c r="J2386" s="6" t="n">
        <v>0</v>
      </c>
      <c r="K2386" s="6" t="n">
        <v>20</v>
      </c>
      <c r="L2386" s="6" t="n">
        <v>0</v>
      </c>
      <c r="M2386" s="6" t="n">
        <v>20</v>
      </c>
      <c r="N2386" s="11" t="n">
        <f aca="false">J2386/(J2386+K2386)</f>
        <v>0</v>
      </c>
      <c r="O2386" s="11" t="str">
        <f aca="false">IF(J2386+L2386=0,"",J2386/(J2386+L2386))</f>
        <v/>
      </c>
      <c r="P2386" s="11" t="n">
        <f aca="false">2*J2386/(2*J2386+L2386+K2386)</f>
        <v>0</v>
      </c>
      <c r="Q2386" s="11" t="n">
        <f aca="false">L2386/(L2386+M2386)</f>
        <v>0</v>
      </c>
      <c r="R2386" s="6" t="n">
        <v>0</v>
      </c>
      <c r="S2386" s="11"/>
      <c r="T2386" s="11" t="n">
        <v>0</v>
      </c>
      <c r="U2386" s="11" t="n">
        <v>0.95</v>
      </c>
      <c r="V2386" s="11" t="n">
        <v>0.95</v>
      </c>
    </row>
    <row r="2387" customFormat="false" ht="15" hidden="false" customHeight="false" outlineLevel="0" collapsed="false">
      <c r="A2387" s="6" t="s">
        <v>46</v>
      </c>
      <c r="B2387" s="6" t="s">
        <v>43</v>
      </c>
      <c r="C2387" s="6" t="s">
        <v>44</v>
      </c>
      <c r="D2387" s="6" t="s">
        <v>115</v>
      </c>
      <c r="E2387" s="6" t="n">
        <v>1</v>
      </c>
      <c r="F2387" s="6" t="n">
        <v>7</v>
      </c>
      <c r="G2387" s="6" t="s">
        <v>77</v>
      </c>
      <c r="H2387" s="11" t="n">
        <v>0.001</v>
      </c>
      <c r="I2387" s="6" t="n">
        <v>20</v>
      </c>
      <c r="J2387" s="6" t="n">
        <v>0</v>
      </c>
      <c r="K2387" s="6" t="n">
        <v>20</v>
      </c>
      <c r="L2387" s="6" t="n">
        <v>0</v>
      </c>
      <c r="M2387" s="6" t="n">
        <v>20</v>
      </c>
      <c r="N2387" s="11" t="n">
        <f aca="false">J2387/(J2387+K2387)</f>
        <v>0</v>
      </c>
      <c r="O2387" s="11" t="str">
        <f aca="false">IF(J2387+L2387=0,"",J2387/(J2387+L2387))</f>
        <v/>
      </c>
      <c r="P2387" s="11" t="n">
        <f aca="false">2*J2387/(2*J2387+L2387+K2387)</f>
        <v>0</v>
      </c>
      <c r="Q2387" s="11" t="n">
        <f aca="false">L2387/(L2387+M2387)</f>
        <v>0</v>
      </c>
      <c r="R2387" s="6" t="n">
        <v>0</v>
      </c>
      <c r="S2387" s="11"/>
      <c r="T2387" s="11" t="n">
        <v>0</v>
      </c>
      <c r="U2387" s="11" t="n">
        <v>1</v>
      </c>
      <c r="V2387" s="11" t="n">
        <v>1</v>
      </c>
    </row>
    <row r="2388" customFormat="false" ht="15" hidden="false" customHeight="false" outlineLevel="0" collapsed="false">
      <c r="A2388" s="6" t="s">
        <v>46</v>
      </c>
      <c r="B2388" s="6" t="s">
        <v>43</v>
      </c>
      <c r="C2388" s="6" t="s">
        <v>44</v>
      </c>
      <c r="D2388" s="6" t="s">
        <v>115</v>
      </c>
      <c r="E2388" s="6" t="n">
        <v>1</v>
      </c>
      <c r="F2388" s="6" t="n">
        <v>7</v>
      </c>
      <c r="G2388" s="6" t="s">
        <v>78</v>
      </c>
      <c r="H2388" s="11" t="n">
        <v>0.001</v>
      </c>
      <c r="I2388" s="6" t="n">
        <v>200</v>
      </c>
      <c r="J2388" s="6" t="n">
        <v>0</v>
      </c>
      <c r="K2388" s="6" t="n">
        <v>200</v>
      </c>
      <c r="L2388" s="6" t="n">
        <v>0</v>
      </c>
      <c r="M2388" s="6" t="n">
        <v>200</v>
      </c>
      <c r="N2388" s="11" t="n">
        <f aca="false">J2388/(J2388+K2388)</f>
        <v>0</v>
      </c>
      <c r="O2388" s="11" t="str">
        <f aca="false">IF(J2388+L2388=0,"",J2388/(J2388+L2388))</f>
        <v/>
      </c>
      <c r="P2388" s="11" t="n">
        <f aca="false">2*J2388/(2*J2388+L2388+K2388)</f>
        <v>0</v>
      </c>
      <c r="Q2388" s="11" t="n">
        <f aca="false">L2388/(L2388+M2388)</f>
        <v>0</v>
      </c>
      <c r="R2388" s="6" t="n">
        <v>0</v>
      </c>
      <c r="S2388" s="11"/>
      <c r="T2388" s="11" t="n">
        <v>0</v>
      </c>
      <c r="U2388" s="11" t="n">
        <v>0.88</v>
      </c>
      <c r="V2388" s="11" t="n">
        <v>0.88</v>
      </c>
    </row>
    <row r="2389" customFormat="false" ht="15" hidden="false" customHeight="false" outlineLevel="0" collapsed="false">
      <c r="A2389" s="6" t="s">
        <v>46</v>
      </c>
      <c r="B2389" s="6" t="s">
        <v>43</v>
      </c>
      <c r="C2389" s="6" t="s">
        <v>44</v>
      </c>
      <c r="D2389" s="6" t="s">
        <v>115</v>
      </c>
      <c r="E2389" s="6" t="n">
        <v>1</v>
      </c>
      <c r="F2389" s="6" t="n">
        <v>8</v>
      </c>
      <c r="G2389" s="6" t="s">
        <v>68</v>
      </c>
      <c r="H2389" s="11" t="n">
        <v>0.001</v>
      </c>
      <c r="I2389" s="6" t="n">
        <v>20</v>
      </c>
      <c r="J2389" s="6" t="n">
        <v>0</v>
      </c>
      <c r="K2389" s="6" t="n">
        <v>20</v>
      </c>
      <c r="L2389" s="6" t="n">
        <v>0</v>
      </c>
      <c r="M2389" s="6" t="n">
        <v>20</v>
      </c>
      <c r="N2389" s="11" t="n">
        <f aca="false">J2389/(J2389+K2389)</f>
        <v>0</v>
      </c>
      <c r="O2389" s="11" t="str">
        <f aca="false">IF(J2389+L2389=0,"",J2389/(J2389+L2389))</f>
        <v/>
      </c>
      <c r="P2389" s="11" t="n">
        <f aca="false">2*J2389/(2*J2389+L2389+K2389)</f>
        <v>0</v>
      </c>
      <c r="Q2389" s="11" t="n">
        <f aca="false">L2389/(L2389+M2389)</f>
        <v>0</v>
      </c>
      <c r="R2389" s="6" t="n">
        <v>0</v>
      </c>
      <c r="S2389" s="11"/>
      <c r="T2389" s="11" t="n">
        <v>0</v>
      </c>
      <c r="U2389" s="11" t="n">
        <v>0.85</v>
      </c>
      <c r="V2389" s="11" t="n">
        <v>0.85</v>
      </c>
    </row>
    <row r="2390" customFormat="false" ht="15" hidden="false" customHeight="false" outlineLevel="0" collapsed="false">
      <c r="A2390" s="6" t="s">
        <v>46</v>
      </c>
      <c r="B2390" s="6" t="s">
        <v>43</v>
      </c>
      <c r="C2390" s="6" t="s">
        <v>44</v>
      </c>
      <c r="D2390" s="6" t="s">
        <v>115</v>
      </c>
      <c r="E2390" s="6" t="n">
        <v>1</v>
      </c>
      <c r="F2390" s="6" t="n">
        <v>8</v>
      </c>
      <c r="G2390" s="6" t="s">
        <v>69</v>
      </c>
      <c r="H2390" s="11" t="n">
        <v>0.001</v>
      </c>
      <c r="I2390" s="6" t="n">
        <v>20</v>
      </c>
      <c r="J2390" s="6" t="n">
        <v>0</v>
      </c>
      <c r="K2390" s="6" t="n">
        <v>20</v>
      </c>
      <c r="L2390" s="6" t="n">
        <v>0</v>
      </c>
      <c r="M2390" s="6" t="n">
        <v>20</v>
      </c>
      <c r="N2390" s="11" t="n">
        <f aca="false">J2390/(J2390+K2390)</f>
        <v>0</v>
      </c>
      <c r="O2390" s="11" t="str">
        <f aca="false">IF(J2390+L2390=0,"",J2390/(J2390+L2390))</f>
        <v/>
      </c>
      <c r="P2390" s="11" t="n">
        <f aca="false">2*J2390/(2*J2390+L2390+K2390)</f>
        <v>0</v>
      </c>
      <c r="Q2390" s="11" t="n">
        <f aca="false">L2390/(L2390+M2390)</f>
        <v>0</v>
      </c>
      <c r="R2390" s="6" t="n">
        <v>0</v>
      </c>
      <c r="S2390" s="11"/>
      <c r="T2390" s="11" t="n">
        <v>0</v>
      </c>
      <c r="U2390" s="11" t="n">
        <v>1</v>
      </c>
      <c r="V2390" s="11" t="n">
        <v>1</v>
      </c>
    </row>
    <row r="2391" customFormat="false" ht="15" hidden="false" customHeight="false" outlineLevel="0" collapsed="false">
      <c r="A2391" s="6" t="s">
        <v>46</v>
      </c>
      <c r="B2391" s="6" t="s">
        <v>43</v>
      </c>
      <c r="C2391" s="6" t="s">
        <v>44</v>
      </c>
      <c r="D2391" s="6" t="s">
        <v>115</v>
      </c>
      <c r="E2391" s="6" t="n">
        <v>1</v>
      </c>
      <c r="F2391" s="6" t="n">
        <v>8</v>
      </c>
      <c r="G2391" s="6" t="s">
        <v>70</v>
      </c>
      <c r="H2391" s="11" t="n">
        <v>0.001</v>
      </c>
      <c r="I2391" s="6" t="n">
        <v>20</v>
      </c>
      <c r="J2391" s="6" t="n">
        <v>0</v>
      </c>
      <c r="K2391" s="6" t="n">
        <v>20</v>
      </c>
      <c r="L2391" s="6" t="n">
        <v>0</v>
      </c>
      <c r="M2391" s="6" t="n">
        <v>20</v>
      </c>
      <c r="N2391" s="11" t="n">
        <f aca="false">J2391/(J2391+K2391)</f>
        <v>0</v>
      </c>
      <c r="O2391" s="11" t="str">
        <f aca="false">IF(J2391+L2391=0,"",J2391/(J2391+L2391))</f>
        <v/>
      </c>
      <c r="P2391" s="11" t="n">
        <f aca="false">2*J2391/(2*J2391+L2391+K2391)</f>
        <v>0</v>
      </c>
      <c r="Q2391" s="11" t="n">
        <f aca="false">L2391/(L2391+M2391)</f>
        <v>0</v>
      </c>
      <c r="R2391" s="6" t="n">
        <v>0</v>
      </c>
      <c r="S2391" s="11"/>
      <c r="T2391" s="11" t="n">
        <v>0</v>
      </c>
      <c r="U2391" s="11" t="n">
        <v>0.9</v>
      </c>
      <c r="V2391" s="11" t="n">
        <v>0.9</v>
      </c>
    </row>
    <row r="2392" customFormat="false" ht="15" hidden="false" customHeight="false" outlineLevel="0" collapsed="false">
      <c r="A2392" s="6" t="s">
        <v>46</v>
      </c>
      <c r="B2392" s="6" t="s">
        <v>43</v>
      </c>
      <c r="C2392" s="6" t="s">
        <v>44</v>
      </c>
      <c r="D2392" s="6" t="s">
        <v>115</v>
      </c>
      <c r="E2392" s="6" t="n">
        <v>1</v>
      </c>
      <c r="F2392" s="6" t="n">
        <v>8</v>
      </c>
      <c r="G2392" s="6" t="s">
        <v>71</v>
      </c>
      <c r="H2392" s="11" t="n">
        <v>0.001</v>
      </c>
      <c r="I2392" s="6" t="n">
        <v>20</v>
      </c>
      <c r="J2392" s="6" t="n">
        <v>0</v>
      </c>
      <c r="K2392" s="6" t="n">
        <v>20</v>
      </c>
      <c r="L2392" s="6" t="n">
        <v>0</v>
      </c>
      <c r="M2392" s="6" t="n">
        <v>20</v>
      </c>
      <c r="N2392" s="11" t="n">
        <f aca="false">J2392/(J2392+K2392)</f>
        <v>0</v>
      </c>
      <c r="O2392" s="11" t="str">
        <f aca="false">IF(J2392+L2392=0,"",J2392/(J2392+L2392))</f>
        <v/>
      </c>
      <c r="P2392" s="11" t="n">
        <f aca="false">2*J2392/(2*J2392+L2392+K2392)</f>
        <v>0</v>
      </c>
      <c r="Q2392" s="11" t="n">
        <f aca="false">L2392/(L2392+M2392)</f>
        <v>0</v>
      </c>
      <c r="R2392" s="6" t="n">
        <v>0</v>
      </c>
      <c r="S2392" s="11"/>
      <c r="T2392" s="11" t="n">
        <v>0</v>
      </c>
      <c r="U2392" s="11" t="n">
        <v>0.8</v>
      </c>
      <c r="V2392" s="11" t="n">
        <v>0.8</v>
      </c>
    </row>
    <row r="2393" customFormat="false" ht="15" hidden="false" customHeight="false" outlineLevel="0" collapsed="false">
      <c r="A2393" s="6" t="s">
        <v>46</v>
      </c>
      <c r="B2393" s="6" t="s">
        <v>43</v>
      </c>
      <c r="C2393" s="6" t="s">
        <v>44</v>
      </c>
      <c r="D2393" s="6" t="s">
        <v>115</v>
      </c>
      <c r="E2393" s="6" t="n">
        <v>1</v>
      </c>
      <c r="F2393" s="6" t="n">
        <v>8</v>
      </c>
      <c r="G2393" s="6" t="s">
        <v>72</v>
      </c>
      <c r="H2393" s="11" t="n">
        <v>0.001</v>
      </c>
      <c r="I2393" s="6" t="n">
        <v>20</v>
      </c>
      <c r="J2393" s="6" t="n">
        <v>0</v>
      </c>
      <c r="K2393" s="6" t="n">
        <v>20</v>
      </c>
      <c r="L2393" s="6" t="n">
        <v>0</v>
      </c>
      <c r="M2393" s="6" t="n">
        <v>20</v>
      </c>
      <c r="N2393" s="11" t="n">
        <f aca="false">J2393/(J2393+K2393)</f>
        <v>0</v>
      </c>
      <c r="O2393" s="11" t="str">
        <f aca="false">IF(J2393+L2393=0,"",J2393/(J2393+L2393))</f>
        <v/>
      </c>
      <c r="P2393" s="11" t="n">
        <f aca="false">2*J2393/(2*J2393+L2393+K2393)</f>
        <v>0</v>
      </c>
      <c r="Q2393" s="11" t="n">
        <f aca="false">L2393/(L2393+M2393)</f>
        <v>0</v>
      </c>
      <c r="R2393" s="6" t="n">
        <v>0</v>
      </c>
      <c r="S2393" s="11"/>
      <c r="T2393" s="11" t="n">
        <v>0</v>
      </c>
      <c r="U2393" s="11" t="n">
        <v>0.9</v>
      </c>
      <c r="V2393" s="11" t="n">
        <v>0.9</v>
      </c>
    </row>
    <row r="2394" customFormat="false" ht="15" hidden="false" customHeight="false" outlineLevel="0" collapsed="false">
      <c r="A2394" s="6" t="s">
        <v>46</v>
      </c>
      <c r="B2394" s="6" t="s">
        <v>43</v>
      </c>
      <c r="C2394" s="6" t="s">
        <v>44</v>
      </c>
      <c r="D2394" s="6" t="s">
        <v>115</v>
      </c>
      <c r="E2394" s="6" t="n">
        <v>1</v>
      </c>
      <c r="F2394" s="6" t="n">
        <v>8</v>
      </c>
      <c r="G2394" s="6" t="s">
        <v>73</v>
      </c>
      <c r="H2394" s="11" t="n">
        <v>0.001</v>
      </c>
      <c r="I2394" s="6" t="n">
        <v>20</v>
      </c>
      <c r="J2394" s="6" t="n">
        <v>0</v>
      </c>
      <c r="K2394" s="6" t="n">
        <v>20</v>
      </c>
      <c r="L2394" s="6" t="n">
        <v>0</v>
      </c>
      <c r="M2394" s="6" t="n">
        <v>20</v>
      </c>
      <c r="N2394" s="11" t="n">
        <f aca="false">J2394/(J2394+K2394)</f>
        <v>0</v>
      </c>
      <c r="O2394" s="11" t="str">
        <f aca="false">IF(J2394+L2394=0,"",J2394/(J2394+L2394))</f>
        <v/>
      </c>
      <c r="P2394" s="11" t="n">
        <f aca="false">2*J2394/(2*J2394+L2394+K2394)</f>
        <v>0</v>
      </c>
      <c r="Q2394" s="11" t="n">
        <f aca="false">L2394/(L2394+M2394)</f>
        <v>0</v>
      </c>
      <c r="R2394" s="6" t="n">
        <v>1</v>
      </c>
      <c r="S2394" s="11" t="n">
        <v>0</v>
      </c>
      <c r="T2394" s="11" t="n">
        <v>0</v>
      </c>
      <c r="U2394" s="11" t="n">
        <v>0.65</v>
      </c>
      <c r="V2394" s="11" t="n">
        <v>0.65</v>
      </c>
    </row>
    <row r="2395" customFormat="false" ht="15" hidden="false" customHeight="false" outlineLevel="0" collapsed="false">
      <c r="A2395" s="6" t="s">
        <v>46</v>
      </c>
      <c r="B2395" s="6" t="s">
        <v>43</v>
      </c>
      <c r="C2395" s="6" t="s">
        <v>44</v>
      </c>
      <c r="D2395" s="6" t="s">
        <v>115</v>
      </c>
      <c r="E2395" s="6" t="n">
        <v>1</v>
      </c>
      <c r="F2395" s="6" t="n">
        <v>8</v>
      </c>
      <c r="G2395" s="6" t="s">
        <v>74</v>
      </c>
      <c r="H2395" s="11" t="n">
        <v>0.001</v>
      </c>
      <c r="I2395" s="6" t="n">
        <v>20</v>
      </c>
      <c r="J2395" s="6" t="n">
        <v>0</v>
      </c>
      <c r="K2395" s="6" t="n">
        <v>20</v>
      </c>
      <c r="L2395" s="6" t="n">
        <v>0</v>
      </c>
      <c r="M2395" s="6" t="n">
        <v>20</v>
      </c>
      <c r="N2395" s="11" t="n">
        <f aca="false">J2395/(J2395+K2395)</f>
        <v>0</v>
      </c>
      <c r="O2395" s="11" t="str">
        <f aca="false">IF(J2395+L2395=0,"",J2395/(J2395+L2395))</f>
        <v/>
      </c>
      <c r="P2395" s="11" t="n">
        <f aca="false">2*J2395/(2*J2395+L2395+K2395)</f>
        <v>0</v>
      </c>
      <c r="Q2395" s="11" t="n">
        <f aca="false">L2395/(L2395+M2395)</f>
        <v>0</v>
      </c>
      <c r="R2395" s="6" t="n">
        <v>1</v>
      </c>
      <c r="S2395" s="11" t="n">
        <v>0</v>
      </c>
      <c r="T2395" s="11" t="n">
        <v>0</v>
      </c>
      <c r="U2395" s="11" t="n">
        <v>0.85</v>
      </c>
      <c r="V2395" s="11" t="n">
        <v>0.85</v>
      </c>
    </row>
    <row r="2396" customFormat="false" ht="15" hidden="false" customHeight="false" outlineLevel="0" collapsed="false">
      <c r="A2396" s="6" t="s">
        <v>46</v>
      </c>
      <c r="B2396" s="6" t="s">
        <v>43</v>
      </c>
      <c r="C2396" s="6" t="s">
        <v>44</v>
      </c>
      <c r="D2396" s="6" t="s">
        <v>115</v>
      </c>
      <c r="E2396" s="6" t="n">
        <v>1</v>
      </c>
      <c r="F2396" s="6" t="n">
        <v>8</v>
      </c>
      <c r="G2396" s="6" t="s">
        <v>75</v>
      </c>
      <c r="H2396" s="11" t="n">
        <v>0.001</v>
      </c>
      <c r="I2396" s="6" t="n">
        <v>20</v>
      </c>
      <c r="J2396" s="6" t="n">
        <v>0</v>
      </c>
      <c r="K2396" s="6" t="n">
        <v>20</v>
      </c>
      <c r="L2396" s="6" t="n">
        <v>0</v>
      </c>
      <c r="M2396" s="6" t="n">
        <v>20</v>
      </c>
      <c r="N2396" s="11" t="n">
        <f aca="false">J2396/(J2396+K2396)</f>
        <v>0</v>
      </c>
      <c r="O2396" s="11" t="str">
        <f aca="false">IF(J2396+L2396=0,"",J2396/(J2396+L2396))</f>
        <v/>
      </c>
      <c r="P2396" s="11" t="n">
        <f aca="false">2*J2396/(2*J2396+L2396+K2396)</f>
        <v>0</v>
      </c>
      <c r="Q2396" s="11" t="n">
        <f aca="false">L2396/(L2396+M2396)</f>
        <v>0</v>
      </c>
      <c r="R2396" s="6" t="n">
        <v>0</v>
      </c>
      <c r="S2396" s="11"/>
      <c r="T2396" s="11" t="n">
        <v>0</v>
      </c>
      <c r="U2396" s="11" t="n">
        <v>0.9</v>
      </c>
      <c r="V2396" s="11" t="n">
        <v>0.9</v>
      </c>
    </row>
    <row r="2397" customFormat="false" ht="15" hidden="false" customHeight="false" outlineLevel="0" collapsed="false">
      <c r="A2397" s="6" t="s">
        <v>46</v>
      </c>
      <c r="B2397" s="6" t="s">
        <v>43</v>
      </c>
      <c r="C2397" s="6" t="s">
        <v>44</v>
      </c>
      <c r="D2397" s="6" t="s">
        <v>115</v>
      </c>
      <c r="E2397" s="6" t="n">
        <v>1</v>
      </c>
      <c r="F2397" s="6" t="n">
        <v>8</v>
      </c>
      <c r="G2397" s="6" t="s">
        <v>76</v>
      </c>
      <c r="H2397" s="11" t="n">
        <v>0.001</v>
      </c>
      <c r="I2397" s="6" t="n">
        <v>20</v>
      </c>
      <c r="J2397" s="6" t="n">
        <v>0</v>
      </c>
      <c r="K2397" s="6" t="n">
        <v>20</v>
      </c>
      <c r="L2397" s="6" t="n">
        <v>0</v>
      </c>
      <c r="M2397" s="6" t="n">
        <v>20</v>
      </c>
      <c r="N2397" s="11" t="n">
        <f aca="false">J2397/(J2397+K2397)</f>
        <v>0</v>
      </c>
      <c r="O2397" s="11" t="str">
        <f aca="false">IF(J2397+L2397=0,"",J2397/(J2397+L2397))</f>
        <v/>
      </c>
      <c r="P2397" s="11" t="n">
        <f aca="false">2*J2397/(2*J2397+L2397+K2397)</f>
        <v>0</v>
      </c>
      <c r="Q2397" s="11" t="n">
        <f aca="false">L2397/(L2397+M2397)</f>
        <v>0</v>
      </c>
      <c r="R2397" s="6" t="n">
        <v>0</v>
      </c>
      <c r="S2397" s="11"/>
      <c r="T2397" s="11" t="n">
        <v>0</v>
      </c>
      <c r="U2397" s="11" t="n">
        <v>0.95</v>
      </c>
      <c r="V2397" s="11" t="n">
        <v>0.95</v>
      </c>
    </row>
    <row r="2398" customFormat="false" ht="15" hidden="false" customHeight="false" outlineLevel="0" collapsed="false">
      <c r="A2398" s="6" t="s">
        <v>46</v>
      </c>
      <c r="B2398" s="6" t="s">
        <v>43</v>
      </c>
      <c r="C2398" s="6" t="s">
        <v>44</v>
      </c>
      <c r="D2398" s="6" t="s">
        <v>115</v>
      </c>
      <c r="E2398" s="6" t="n">
        <v>1</v>
      </c>
      <c r="F2398" s="6" t="n">
        <v>8</v>
      </c>
      <c r="G2398" s="6" t="s">
        <v>77</v>
      </c>
      <c r="H2398" s="11" t="n">
        <v>0.001</v>
      </c>
      <c r="I2398" s="6" t="n">
        <v>20</v>
      </c>
      <c r="J2398" s="6" t="n">
        <v>0</v>
      </c>
      <c r="K2398" s="6" t="n">
        <v>20</v>
      </c>
      <c r="L2398" s="6" t="n">
        <v>0</v>
      </c>
      <c r="M2398" s="6" t="n">
        <v>20</v>
      </c>
      <c r="N2398" s="11" t="n">
        <f aca="false">J2398/(J2398+K2398)</f>
        <v>0</v>
      </c>
      <c r="O2398" s="11" t="str">
        <f aca="false">IF(J2398+L2398=0,"",J2398/(J2398+L2398))</f>
        <v/>
      </c>
      <c r="P2398" s="11" t="n">
        <f aca="false">2*J2398/(2*J2398+L2398+K2398)</f>
        <v>0</v>
      </c>
      <c r="Q2398" s="11" t="n">
        <f aca="false">L2398/(L2398+M2398)</f>
        <v>0</v>
      </c>
      <c r="R2398" s="6" t="n">
        <v>0</v>
      </c>
      <c r="S2398" s="11"/>
      <c r="T2398" s="11" t="n">
        <v>0</v>
      </c>
      <c r="U2398" s="11" t="n">
        <v>1</v>
      </c>
      <c r="V2398" s="11" t="n">
        <v>1</v>
      </c>
    </row>
    <row r="2399" customFormat="false" ht="15" hidden="false" customHeight="false" outlineLevel="0" collapsed="false">
      <c r="A2399" s="6" t="s">
        <v>46</v>
      </c>
      <c r="B2399" s="6" t="s">
        <v>43</v>
      </c>
      <c r="C2399" s="6" t="s">
        <v>44</v>
      </c>
      <c r="D2399" s="6" t="s">
        <v>115</v>
      </c>
      <c r="E2399" s="6" t="n">
        <v>1</v>
      </c>
      <c r="F2399" s="6" t="n">
        <v>8</v>
      </c>
      <c r="G2399" s="6" t="s">
        <v>78</v>
      </c>
      <c r="H2399" s="11" t="n">
        <v>0.001</v>
      </c>
      <c r="I2399" s="6" t="n">
        <v>200</v>
      </c>
      <c r="J2399" s="6" t="n">
        <v>0</v>
      </c>
      <c r="K2399" s="6" t="n">
        <v>200</v>
      </c>
      <c r="L2399" s="6" t="n">
        <v>0</v>
      </c>
      <c r="M2399" s="6" t="n">
        <v>200</v>
      </c>
      <c r="N2399" s="11" t="n">
        <f aca="false">J2399/(J2399+K2399)</f>
        <v>0</v>
      </c>
      <c r="O2399" s="11" t="str">
        <f aca="false">IF(J2399+L2399=0,"",J2399/(J2399+L2399))</f>
        <v/>
      </c>
      <c r="P2399" s="11" t="n">
        <f aca="false">2*J2399/(2*J2399+L2399+K2399)</f>
        <v>0</v>
      </c>
      <c r="Q2399" s="11" t="n">
        <f aca="false">L2399/(L2399+M2399)</f>
        <v>0</v>
      </c>
      <c r="R2399" s="6" t="n">
        <v>2</v>
      </c>
      <c r="S2399" s="11" t="n">
        <v>0</v>
      </c>
      <c r="T2399" s="11" t="n">
        <v>0</v>
      </c>
      <c r="U2399" s="11" t="n">
        <v>0.88</v>
      </c>
      <c r="V2399" s="11" t="n">
        <v>0.88</v>
      </c>
    </row>
    <row r="2400" customFormat="false" ht="15" hidden="false" customHeight="false" outlineLevel="0" collapsed="false">
      <c r="A2400" s="6" t="s">
        <v>46</v>
      </c>
      <c r="B2400" s="6" t="s">
        <v>43</v>
      </c>
      <c r="C2400" s="6" t="s">
        <v>44</v>
      </c>
      <c r="D2400" s="6" t="s">
        <v>115</v>
      </c>
      <c r="E2400" s="6" t="n">
        <v>1</v>
      </c>
      <c r="F2400" s="6" t="n">
        <v>9</v>
      </c>
      <c r="G2400" s="6" t="s">
        <v>68</v>
      </c>
      <c r="H2400" s="11" t="n">
        <v>0.001</v>
      </c>
      <c r="I2400" s="6" t="n">
        <v>20</v>
      </c>
      <c r="J2400" s="6" t="n">
        <v>0</v>
      </c>
      <c r="K2400" s="6" t="n">
        <v>20</v>
      </c>
      <c r="L2400" s="6" t="n">
        <v>0</v>
      </c>
      <c r="M2400" s="6" t="n">
        <v>20</v>
      </c>
      <c r="N2400" s="11" t="n">
        <f aca="false">J2400/(J2400+K2400)</f>
        <v>0</v>
      </c>
      <c r="O2400" s="11" t="str">
        <f aca="false">IF(J2400+L2400=0,"",J2400/(J2400+L2400))</f>
        <v/>
      </c>
      <c r="P2400" s="11" t="n">
        <f aca="false">2*J2400/(2*J2400+L2400+K2400)</f>
        <v>0</v>
      </c>
      <c r="Q2400" s="11" t="n">
        <f aca="false">L2400/(L2400+M2400)</f>
        <v>0</v>
      </c>
      <c r="R2400" s="6" t="n">
        <v>0</v>
      </c>
      <c r="S2400" s="11"/>
      <c r="T2400" s="11" t="n">
        <v>0</v>
      </c>
      <c r="U2400" s="11" t="n">
        <v>0.85</v>
      </c>
      <c r="V2400" s="11" t="n">
        <v>0.85</v>
      </c>
    </row>
    <row r="2401" customFormat="false" ht="15" hidden="false" customHeight="false" outlineLevel="0" collapsed="false">
      <c r="A2401" s="6" t="s">
        <v>46</v>
      </c>
      <c r="B2401" s="6" t="s">
        <v>43</v>
      </c>
      <c r="C2401" s="6" t="s">
        <v>44</v>
      </c>
      <c r="D2401" s="6" t="s">
        <v>115</v>
      </c>
      <c r="E2401" s="6" t="n">
        <v>1</v>
      </c>
      <c r="F2401" s="6" t="n">
        <v>9</v>
      </c>
      <c r="G2401" s="6" t="s">
        <v>69</v>
      </c>
      <c r="H2401" s="11" t="n">
        <v>0.001</v>
      </c>
      <c r="I2401" s="6" t="n">
        <v>20</v>
      </c>
      <c r="J2401" s="6" t="n">
        <v>0</v>
      </c>
      <c r="K2401" s="6" t="n">
        <v>20</v>
      </c>
      <c r="L2401" s="6" t="n">
        <v>0</v>
      </c>
      <c r="M2401" s="6" t="n">
        <v>20</v>
      </c>
      <c r="N2401" s="11" t="n">
        <f aca="false">J2401/(J2401+K2401)</f>
        <v>0</v>
      </c>
      <c r="O2401" s="11" t="str">
        <f aca="false">IF(J2401+L2401=0,"",J2401/(J2401+L2401))</f>
        <v/>
      </c>
      <c r="P2401" s="11" t="n">
        <f aca="false">2*J2401/(2*J2401+L2401+K2401)</f>
        <v>0</v>
      </c>
      <c r="Q2401" s="11" t="n">
        <f aca="false">L2401/(L2401+M2401)</f>
        <v>0</v>
      </c>
      <c r="R2401" s="6" t="n">
        <v>0</v>
      </c>
      <c r="S2401" s="11"/>
      <c r="T2401" s="11" t="n">
        <v>0</v>
      </c>
      <c r="U2401" s="11" t="n">
        <v>1</v>
      </c>
      <c r="V2401" s="11" t="n">
        <v>1</v>
      </c>
    </row>
    <row r="2402" customFormat="false" ht="15" hidden="false" customHeight="false" outlineLevel="0" collapsed="false">
      <c r="A2402" s="6" t="s">
        <v>46</v>
      </c>
      <c r="B2402" s="6" t="s">
        <v>43</v>
      </c>
      <c r="C2402" s="6" t="s">
        <v>44</v>
      </c>
      <c r="D2402" s="6" t="s">
        <v>115</v>
      </c>
      <c r="E2402" s="6" t="n">
        <v>1</v>
      </c>
      <c r="F2402" s="6" t="n">
        <v>9</v>
      </c>
      <c r="G2402" s="6" t="s">
        <v>70</v>
      </c>
      <c r="H2402" s="11" t="n">
        <v>0.001</v>
      </c>
      <c r="I2402" s="6" t="n">
        <v>20</v>
      </c>
      <c r="J2402" s="6" t="n">
        <v>0</v>
      </c>
      <c r="K2402" s="6" t="n">
        <v>20</v>
      </c>
      <c r="L2402" s="6" t="n">
        <v>0</v>
      </c>
      <c r="M2402" s="6" t="n">
        <v>20</v>
      </c>
      <c r="N2402" s="11" t="n">
        <f aca="false">J2402/(J2402+K2402)</f>
        <v>0</v>
      </c>
      <c r="O2402" s="11" t="str">
        <f aca="false">IF(J2402+L2402=0,"",J2402/(J2402+L2402))</f>
        <v/>
      </c>
      <c r="P2402" s="11" t="n">
        <f aca="false">2*J2402/(2*J2402+L2402+K2402)</f>
        <v>0</v>
      </c>
      <c r="Q2402" s="11" t="n">
        <f aca="false">L2402/(L2402+M2402)</f>
        <v>0</v>
      </c>
      <c r="R2402" s="6" t="n">
        <v>0</v>
      </c>
      <c r="S2402" s="11"/>
      <c r="T2402" s="11" t="n">
        <v>0</v>
      </c>
      <c r="U2402" s="11" t="n">
        <v>0.9</v>
      </c>
      <c r="V2402" s="11" t="n">
        <v>0.9</v>
      </c>
    </row>
    <row r="2403" customFormat="false" ht="15" hidden="false" customHeight="false" outlineLevel="0" collapsed="false">
      <c r="A2403" s="6" t="s">
        <v>46</v>
      </c>
      <c r="B2403" s="6" t="s">
        <v>43</v>
      </c>
      <c r="C2403" s="6" t="s">
        <v>44</v>
      </c>
      <c r="D2403" s="6" t="s">
        <v>115</v>
      </c>
      <c r="E2403" s="6" t="n">
        <v>1</v>
      </c>
      <c r="F2403" s="6" t="n">
        <v>9</v>
      </c>
      <c r="G2403" s="6" t="s">
        <v>71</v>
      </c>
      <c r="H2403" s="11" t="n">
        <v>0.001</v>
      </c>
      <c r="I2403" s="6" t="n">
        <v>20</v>
      </c>
      <c r="J2403" s="6" t="n">
        <v>0</v>
      </c>
      <c r="K2403" s="6" t="n">
        <v>20</v>
      </c>
      <c r="L2403" s="6" t="n">
        <v>0</v>
      </c>
      <c r="M2403" s="6" t="n">
        <v>20</v>
      </c>
      <c r="N2403" s="11" t="n">
        <f aca="false">J2403/(J2403+K2403)</f>
        <v>0</v>
      </c>
      <c r="O2403" s="11" t="str">
        <f aca="false">IF(J2403+L2403=0,"",J2403/(J2403+L2403))</f>
        <v/>
      </c>
      <c r="P2403" s="11" t="n">
        <f aca="false">2*J2403/(2*J2403+L2403+K2403)</f>
        <v>0</v>
      </c>
      <c r="Q2403" s="11" t="n">
        <f aca="false">L2403/(L2403+M2403)</f>
        <v>0</v>
      </c>
      <c r="R2403" s="6" t="n">
        <v>0</v>
      </c>
      <c r="S2403" s="11"/>
      <c r="T2403" s="11" t="n">
        <v>0</v>
      </c>
      <c r="U2403" s="11" t="n">
        <v>0.8</v>
      </c>
      <c r="V2403" s="11" t="n">
        <v>0.8</v>
      </c>
    </row>
    <row r="2404" customFormat="false" ht="15" hidden="false" customHeight="false" outlineLevel="0" collapsed="false">
      <c r="A2404" s="6" t="s">
        <v>46</v>
      </c>
      <c r="B2404" s="6" t="s">
        <v>43</v>
      </c>
      <c r="C2404" s="6" t="s">
        <v>44</v>
      </c>
      <c r="D2404" s="6" t="s">
        <v>115</v>
      </c>
      <c r="E2404" s="6" t="n">
        <v>1</v>
      </c>
      <c r="F2404" s="6" t="n">
        <v>9</v>
      </c>
      <c r="G2404" s="6" t="s">
        <v>72</v>
      </c>
      <c r="H2404" s="11" t="n">
        <v>0.001</v>
      </c>
      <c r="I2404" s="6" t="n">
        <v>20</v>
      </c>
      <c r="J2404" s="6" t="n">
        <v>0</v>
      </c>
      <c r="K2404" s="6" t="n">
        <v>20</v>
      </c>
      <c r="L2404" s="6" t="n">
        <v>0</v>
      </c>
      <c r="M2404" s="6" t="n">
        <v>20</v>
      </c>
      <c r="N2404" s="11" t="n">
        <f aca="false">J2404/(J2404+K2404)</f>
        <v>0</v>
      </c>
      <c r="O2404" s="11" t="str">
        <f aca="false">IF(J2404+L2404=0,"",J2404/(J2404+L2404))</f>
        <v/>
      </c>
      <c r="P2404" s="11" t="n">
        <f aca="false">2*J2404/(2*J2404+L2404+K2404)</f>
        <v>0</v>
      </c>
      <c r="Q2404" s="11" t="n">
        <f aca="false">L2404/(L2404+M2404)</f>
        <v>0</v>
      </c>
      <c r="R2404" s="6" t="n">
        <v>0</v>
      </c>
      <c r="S2404" s="11"/>
      <c r="T2404" s="11" t="n">
        <v>0</v>
      </c>
      <c r="U2404" s="11" t="n">
        <v>0.9</v>
      </c>
      <c r="V2404" s="11" t="n">
        <v>0.9</v>
      </c>
    </row>
    <row r="2405" customFormat="false" ht="15" hidden="false" customHeight="false" outlineLevel="0" collapsed="false">
      <c r="A2405" s="6" t="s">
        <v>46</v>
      </c>
      <c r="B2405" s="6" t="s">
        <v>43</v>
      </c>
      <c r="C2405" s="6" t="s">
        <v>44</v>
      </c>
      <c r="D2405" s="6" t="s">
        <v>115</v>
      </c>
      <c r="E2405" s="6" t="n">
        <v>1</v>
      </c>
      <c r="F2405" s="6" t="n">
        <v>9</v>
      </c>
      <c r="G2405" s="6" t="s">
        <v>73</v>
      </c>
      <c r="H2405" s="11" t="n">
        <v>0.001</v>
      </c>
      <c r="I2405" s="6" t="n">
        <v>20</v>
      </c>
      <c r="J2405" s="6" t="n">
        <v>0</v>
      </c>
      <c r="K2405" s="6" t="n">
        <v>20</v>
      </c>
      <c r="L2405" s="6" t="n">
        <v>0</v>
      </c>
      <c r="M2405" s="6" t="n">
        <v>20</v>
      </c>
      <c r="N2405" s="11" t="n">
        <f aca="false">J2405/(J2405+K2405)</f>
        <v>0</v>
      </c>
      <c r="O2405" s="11" t="str">
        <f aca="false">IF(J2405+L2405=0,"",J2405/(J2405+L2405))</f>
        <v/>
      </c>
      <c r="P2405" s="11" t="n">
        <f aca="false">2*J2405/(2*J2405+L2405+K2405)</f>
        <v>0</v>
      </c>
      <c r="Q2405" s="11" t="n">
        <f aca="false">L2405/(L2405+M2405)</f>
        <v>0</v>
      </c>
      <c r="R2405" s="6" t="n">
        <v>0</v>
      </c>
      <c r="S2405" s="11"/>
      <c r="T2405" s="11" t="n">
        <v>0</v>
      </c>
      <c r="U2405" s="11" t="n">
        <v>0.65</v>
      </c>
      <c r="V2405" s="11" t="n">
        <v>0.65</v>
      </c>
    </row>
    <row r="2406" customFormat="false" ht="15" hidden="false" customHeight="false" outlineLevel="0" collapsed="false">
      <c r="A2406" s="6" t="s">
        <v>46</v>
      </c>
      <c r="B2406" s="6" t="s">
        <v>43</v>
      </c>
      <c r="C2406" s="6" t="s">
        <v>44</v>
      </c>
      <c r="D2406" s="6" t="s">
        <v>115</v>
      </c>
      <c r="E2406" s="6" t="n">
        <v>1</v>
      </c>
      <c r="F2406" s="6" t="n">
        <v>9</v>
      </c>
      <c r="G2406" s="6" t="s">
        <v>74</v>
      </c>
      <c r="H2406" s="11" t="n">
        <v>0.001</v>
      </c>
      <c r="I2406" s="6" t="n">
        <v>20</v>
      </c>
      <c r="J2406" s="6" t="n">
        <v>0</v>
      </c>
      <c r="K2406" s="6" t="n">
        <v>20</v>
      </c>
      <c r="L2406" s="6" t="n">
        <v>0</v>
      </c>
      <c r="M2406" s="6" t="n">
        <v>20</v>
      </c>
      <c r="N2406" s="11" t="n">
        <f aca="false">J2406/(J2406+K2406)</f>
        <v>0</v>
      </c>
      <c r="O2406" s="11" t="str">
        <f aca="false">IF(J2406+L2406=0,"",J2406/(J2406+L2406))</f>
        <v/>
      </c>
      <c r="P2406" s="11" t="n">
        <f aca="false">2*J2406/(2*J2406+L2406+K2406)</f>
        <v>0</v>
      </c>
      <c r="Q2406" s="11" t="n">
        <f aca="false">L2406/(L2406+M2406)</f>
        <v>0</v>
      </c>
      <c r="R2406" s="6" t="n">
        <v>0</v>
      </c>
      <c r="S2406" s="11"/>
      <c r="T2406" s="11" t="n">
        <v>0</v>
      </c>
      <c r="U2406" s="11" t="n">
        <v>0.85</v>
      </c>
      <c r="V2406" s="11" t="n">
        <v>0.85</v>
      </c>
    </row>
    <row r="2407" customFormat="false" ht="15" hidden="false" customHeight="false" outlineLevel="0" collapsed="false">
      <c r="A2407" s="6" t="s">
        <v>46</v>
      </c>
      <c r="B2407" s="6" t="s">
        <v>43</v>
      </c>
      <c r="C2407" s="6" t="s">
        <v>44</v>
      </c>
      <c r="D2407" s="6" t="s">
        <v>115</v>
      </c>
      <c r="E2407" s="6" t="n">
        <v>1</v>
      </c>
      <c r="F2407" s="6" t="n">
        <v>9</v>
      </c>
      <c r="G2407" s="6" t="s">
        <v>75</v>
      </c>
      <c r="H2407" s="11" t="n">
        <v>0.001</v>
      </c>
      <c r="I2407" s="6" t="n">
        <v>20</v>
      </c>
      <c r="J2407" s="6" t="n">
        <v>0</v>
      </c>
      <c r="K2407" s="6" t="n">
        <v>20</v>
      </c>
      <c r="L2407" s="6" t="n">
        <v>0</v>
      </c>
      <c r="M2407" s="6" t="n">
        <v>20</v>
      </c>
      <c r="N2407" s="11" t="n">
        <f aca="false">J2407/(J2407+K2407)</f>
        <v>0</v>
      </c>
      <c r="O2407" s="11" t="str">
        <f aca="false">IF(J2407+L2407=0,"",J2407/(J2407+L2407))</f>
        <v/>
      </c>
      <c r="P2407" s="11" t="n">
        <f aca="false">2*J2407/(2*J2407+L2407+K2407)</f>
        <v>0</v>
      </c>
      <c r="Q2407" s="11" t="n">
        <f aca="false">L2407/(L2407+M2407)</f>
        <v>0</v>
      </c>
      <c r="R2407" s="6" t="n">
        <v>0</v>
      </c>
      <c r="S2407" s="11"/>
      <c r="T2407" s="11" t="n">
        <v>0</v>
      </c>
      <c r="U2407" s="11" t="n">
        <v>0.9</v>
      </c>
      <c r="V2407" s="11" t="n">
        <v>0.9</v>
      </c>
    </row>
    <row r="2408" customFormat="false" ht="15" hidden="false" customHeight="false" outlineLevel="0" collapsed="false">
      <c r="A2408" s="6" t="s">
        <v>46</v>
      </c>
      <c r="B2408" s="6" t="s">
        <v>43</v>
      </c>
      <c r="C2408" s="6" t="s">
        <v>44</v>
      </c>
      <c r="D2408" s="6" t="s">
        <v>115</v>
      </c>
      <c r="E2408" s="6" t="n">
        <v>1</v>
      </c>
      <c r="F2408" s="6" t="n">
        <v>9</v>
      </c>
      <c r="G2408" s="6" t="s">
        <v>76</v>
      </c>
      <c r="H2408" s="11" t="n">
        <v>0.001</v>
      </c>
      <c r="I2408" s="6" t="n">
        <v>20</v>
      </c>
      <c r="J2408" s="6" t="n">
        <v>0</v>
      </c>
      <c r="K2408" s="6" t="n">
        <v>20</v>
      </c>
      <c r="L2408" s="6" t="n">
        <v>0</v>
      </c>
      <c r="M2408" s="6" t="n">
        <v>20</v>
      </c>
      <c r="N2408" s="11" t="n">
        <f aca="false">J2408/(J2408+K2408)</f>
        <v>0</v>
      </c>
      <c r="O2408" s="11" t="str">
        <f aca="false">IF(J2408+L2408=0,"",J2408/(J2408+L2408))</f>
        <v/>
      </c>
      <c r="P2408" s="11" t="n">
        <f aca="false">2*J2408/(2*J2408+L2408+K2408)</f>
        <v>0</v>
      </c>
      <c r="Q2408" s="11" t="n">
        <f aca="false">L2408/(L2408+M2408)</f>
        <v>0</v>
      </c>
      <c r="R2408" s="6" t="n">
        <v>0</v>
      </c>
      <c r="S2408" s="11"/>
      <c r="T2408" s="11" t="n">
        <v>0</v>
      </c>
      <c r="U2408" s="11" t="n">
        <v>0.95</v>
      </c>
      <c r="V2408" s="11" t="n">
        <v>0.95</v>
      </c>
    </row>
    <row r="2409" customFormat="false" ht="15" hidden="false" customHeight="false" outlineLevel="0" collapsed="false">
      <c r="A2409" s="6" t="s">
        <v>46</v>
      </c>
      <c r="B2409" s="6" t="s">
        <v>43</v>
      </c>
      <c r="C2409" s="6" t="s">
        <v>44</v>
      </c>
      <c r="D2409" s="6" t="s">
        <v>115</v>
      </c>
      <c r="E2409" s="6" t="n">
        <v>1</v>
      </c>
      <c r="F2409" s="6" t="n">
        <v>9</v>
      </c>
      <c r="G2409" s="6" t="s">
        <v>77</v>
      </c>
      <c r="H2409" s="11" t="n">
        <v>0.001</v>
      </c>
      <c r="I2409" s="6" t="n">
        <v>20</v>
      </c>
      <c r="J2409" s="6" t="n">
        <v>0</v>
      </c>
      <c r="K2409" s="6" t="n">
        <v>20</v>
      </c>
      <c r="L2409" s="6" t="n">
        <v>0</v>
      </c>
      <c r="M2409" s="6" t="n">
        <v>20</v>
      </c>
      <c r="N2409" s="11" t="n">
        <f aca="false">J2409/(J2409+K2409)</f>
        <v>0</v>
      </c>
      <c r="O2409" s="11" t="str">
        <f aca="false">IF(J2409+L2409=0,"",J2409/(J2409+L2409))</f>
        <v/>
      </c>
      <c r="P2409" s="11" t="n">
        <f aca="false">2*J2409/(2*J2409+L2409+K2409)</f>
        <v>0</v>
      </c>
      <c r="Q2409" s="11" t="n">
        <f aca="false">L2409/(L2409+M2409)</f>
        <v>0</v>
      </c>
      <c r="R2409" s="6" t="n">
        <v>0</v>
      </c>
      <c r="S2409" s="11"/>
      <c r="T2409" s="11" t="n">
        <v>0</v>
      </c>
      <c r="U2409" s="11" t="n">
        <v>1</v>
      </c>
      <c r="V2409" s="11" t="n">
        <v>1</v>
      </c>
    </row>
    <row r="2410" customFormat="false" ht="15" hidden="false" customHeight="false" outlineLevel="0" collapsed="false">
      <c r="A2410" s="6" t="s">
        <v>46</v>
      </c>
      <c r="B2410" s="6" t="s">
        <v>43</v>
      </c>
      <c r="C2410" s="6" t="s">
        <v>44</v>
      </c>
      <c r="D2410" s="6" t="s">
        <v>115</v>
      </c>
      <c r="E2410" s="6" t="n">
        <v>1</v>
      </c>
      <c r="F2410" s="6" t="n">
        <v>9</v>
      </c>
      <c r="G2410" s="6" t="s">
        <v>78</v>
      </c>
      <c r="H2410" s="11" t="n">
        <v>0.001</v>
      </c>
      <c r="I2410" s="6" t="n">
        <v>200</v>
      </c>
      <c r="J2410" s="6" t="n">
        <v>0</v>
      </c>
      <c r="K2410" s="6" t="n">
        <v>200</v>
      </c>
      <c r="L2410" s="6" t="n">
        <v>0</v>
      </c>
      <c r="M2410" s="6" t="n">
        <v>200</v>
      </c>
      <c r="N2410" s="11" t="n">
        <f aca="false">J2410/(J2410+K2410)</f>
        <v>0</v>
      </c>
      <c r="O2410" s="11" t="str">
        <f aca="false">IF(J2410+L2410=0,"",J2410/(J2410+L2410))</f>
        <v/>
      </c>
      <c r="P2410" s="11" t="n">
        <f aca="false">2*J2410/(2*J2410+L2410+K2410)</f>
        <v>0</v>
      </c>
      <c r="Q2410" s="11" t="n">
        <f aca="false">L2410/(L2410+M2410)</f>
        <v>0</v>
      </c>
      <c r="R2410" s="6" t="n">
        <v>0</v>
      </c>
      <c r="S2410" s="11"/>
      <c r="T2410" s="11" t="n">
        <v>0</v>
      </c>
      <c r="U2410" s="11" t="n">
        <v>0.88</v>
      </c>
      <c r="V2410" s="11" t="n">
        <v>0.88</v>
      </c>
    </row>
    <row r="2411" customFormat="false" ht="15" hidden="false" customHeight="false" outlineLevel="0" collapsed="false">
      <c r="A2411" s="6" t="s">
        <v>46</v>
      </c>
      <c r="B2411" s="6" t="s">
        <v>43</v>
      </c>
      <c r="C2411" s="6" t="s">
        <v>44</v>
      </c>
      <c r="D2411" s="6" t="s">
        <v>115</v>
      </c>
      <c r="E2411" s="6" t="n">
        <v>1</v>
      </c>
      <c r="F2411" s="6" t="n">
        <v>10</v>
      </c>
      <c r="G2411" s="6" t="s">
        <v>68</v>
      </c>
      <c r="H2411" s="11" t="n">
        <v>0.001</v>
      </c>
      <c r="I2411" s="6" t="n">
        <v>20</v>
      </c>
      <c r="J2411" s="6" t="n">
        <v>0</v>
      </c>
      <c r="K2411" s="6" t="n">
        <v>20</v>
      </c>
      <c r="L2411" s="6" t="n">
        <v>0</v>
      </c>
      <c r="M2411" s="6" t="n">
        <v>20</v>
      </c>
      <c r="N2411" s="11" t="n">
        <f aca="false">J2411/(J2411+K2411)</f>
        <v>0</v>
      </c>
      <c r="O2411" s="11" t="str">
        <f aca="false">IF(J2411+L2411=0,"",J2411/(J2411+L2411))</f>
        <v/>
      </c>
      <c r="P2411" s="11" t="n">
        <f aca="false">2*J2411/(2*J2411+L2411+K2411)</f>
        <v>0</v>
      </c>
      <c r="Q2411" s="11" t="n">
        <f aca="false">L2411/(L2411+M2411)</f>
        <v>0</v>
      </c>
      <c r="R2411" s="6" t="n">
        <v>0</v>
      </c>
      <c r="S2411" s="11"/>
      <c r="T2411" s="11" t="n">
        <v>0</v>
      </c>
      <c r="U2411" s="11" t="n">
        <v>0.85</v>
      </c>
      <c r="V2411" s="11" t="n">
        <v>0.85</v>
      </c>
    </row>
    <row r="2412" customFormat="false" ht="15" hidden="false" customHeight="false" outlineLevel="0" collapsed="false">
      <c r="A2412" s="6" t="s">
        <v>46</v>
      </c>
      <c r="B2412" s="6" t="s">
        <v>43</v>
      </c>
      <c r="C2412" s="6" t="s">
        <v>44</v>
      </c>
      <c r="D2412" s="6" t="s">
        <v>115</v>
      </c>
      <c r="E2412" s="6" t="n">
        <v>1</v>
      </c>
      <c r="F2412" s="6" t="n">
        <v>10</v>
      </c>
      <c r="G2412" s="6" t="s">
        <v>69</v>
      </c>
      <c r="H2412" s="11" t="n">
        <v>0.001</v>
      </c>
      <c r="I2412" s="6" t="n">
        <v>20</v>
      </c>
      <c r="J2412" s="6" t="n">
        <v>0</v>
      </c>
      <c r="K2412" s="6" t="n">
        <v>20</v>
      </c>
      <c r="L2412" s="6" t="n">
        <v>0</v>
      </c>
      <c r="M2412" s="6" t="n">
        <v>20</v>
      </c>
      <c r="N2412" s="11" t="n">
        <f aca="false">J2412/(J2412+K2412)</f>
        <v>0</v>
      </c>
      <c r="O2412" s="11" t="str">
        <f aca="false">IF(J2412+L2412=0,"",J2412/(J2412+L2412))</f>
        <v/>
      </c>
      <c r="P2412" s="11" t="n">
        <f aca="false">2*J2412/(2*J2412+L2412+K2412)</f>
        <v>0</v>
      </c>
      <c r="Q2412" s="11" t="n">
        <f aca="false">L2412/(L2412+M2412)</f>
        <v>0</v>
      </c>
      <c r="R2412" s="6" t="n">
        <v>0</v>
      </c>
      <c r="S2412" s="11"/>
      <c r="T2412" s="11" t="n">
        <v>0</v>
      </c>
      <c r="U2412" s="11" t="n">
        <v>1</v>
      </c>
      <c r="V2412" s="11" t="n">
        <v>1</v>
      </c>
    </row>
    <row r="2413" customFormat="false" ht="15" hidden="false" customHeight="false" outlineLevel="0" collapsed="false">
      <c r="A2413" s="6" t="s">
        <v>46</v>
      </c>
      <c r="B2413" s="6" t="s">
        <v>43</v>
      </c>
      <c r="C2413" s="6" t="s">
        <v>44</v>
      </c>
      <c r="D2413" s="6" t="s">
        <v>115</v>
      </c>
      <c r="E2413" s="6" t="n">
        <v>1</v>
      </c>
      <c r="F2413" s="6" t="n">
        <v>10</v>
      </c>
      <c r="G2413" s="6" t="s">
        <v>70</v>
      </c>
      <c r="H2413" s="11" t="n">
        <v>0.001</v>
      </c>
      <c r="I2413" s="6" t="n">
        <v>20</v>
      </c>
      <c r="J2413" s="6" t="n">
        <v>0</v>
      </c>
      <c r="K2413" s="6" t="n">
        <v>20</v>
      </c>
      <c r="L2413" s="6" t="n">
        <v>0</v>
      </c>
      <c r="M2413" s="6" t="n">
        <v>20</v>
      </c>
      <c r="N2413" s="11" t="n">
        <f aca="false">J2413/(J2413+K2413)</f>
        <v>0</v>
      </c>
      <c r="O2413" s="11" t="str">
        <f aca="false">IF(J2413+L2413=0,"",J2413/(J2413+L2413))</f>
        <v/>
      </c>
      <c r="P2413" s="11" t="n">
        <f aca="false">2*J2413/(2*J2413+L2413+K2413)</f>
        <v>0</v>
      </c>
      <c r="Q2413" s="11" t="n">
        <f aca="false">L2413/(L2413+M2413)</f>
        <v>0</v>
      </c>
      <c r="R2413" s="6" t="n">
        <v>0</v>
      </c>
      <c r="S2413" s="11"/>
      <c r="T2413" s="11" t="n">
        <v>0</v>
      </c>
      <c r="U2413" s="11" t="n">
        <v>0.9</v>
      </c>
      <c r="V2413" s="11" t="n">
        <v>0.9</v>
      </c>
    </row>
    <row r="2414" customFormat="false" ht="15" hidden="false" customHeight="false" outlineLevel="0" collapsed="false">
      <c r="A2414" s="6" t="s">
        <v>46</v>
      </c>
      <c r="B2414" s="6" t="s">
        <v>43</v>
      </c>
      <c r="C2414" s="6" t="s">
        <v>44</v>
      </c>
      <c r="D2414" s="6" t="s">
        <v>115</v>
      </c>
      <c r="E2414" s="6" t="n">
        <v>1</v>
      </c>
      <c r="F2414" s="6" t="n">
        <v>10</v>
      </c>
      <c r="G2414" s="6" t="s">
        <v>71</v>
      </c>
      <c r="H2414" s="11" t="n">
        <v>0.001</v>
      </c>
      <c r="I2414" s="6" t="n">
        <v>20</v>
      </c>
      <c r="J2414" s="6" t="n">
        <v>0</v>
      </c>
      <c r="K2414" s="6" t="n">
        <v>20</v>
      </c>
      <c r="L2414" s="6" t="n">
        <v>0</v>
      </c>
      <c r="M2414" s="6" t="n">
        <v>20</v>
      </c>
      <c r="N2414" s="11" t="n">
        <f aca="false">J2414/(J2414+K2414)</f>
        <v>0</v>
      </c>
      <c r="O2414" s="11" t="str">
        <f aca="false">IF(J2414+L2414=0,"",J2414/(J2414+L2414))</f>
        <v/>
      </c>
      <c r="P2414" s="11" t="n">
        <f aca="false">2*J2414/(2*J2414+L2414+K2414)</f>
        <v>0</v>
      </c>
      <c r="Q2414" s="11" t="n">
        <f aca="false">L2414/(L2414+M2414)</f>
        <v>0</v>
      </c>
      <c r="R2414" s="6" t="n">
        <v>0</v>
      </c>
      <c r="S2414" s="11"/>
      <c r="T2414" s="11" t="n">
        <v>0</v>
      </c>
      <c r="U2414" s="11" t="n">
        <v>0.8</v>
      </c>
      <c r="V2414" s="11" t="n">
        <v>0.8</v>
      </c>
    </row>
    <row r="2415" customFormat="false" ht="15" hidden="false" customHeight="false" outlineLevel="0" collapsed="false">
      <c r="A2415" s="6" t="s">
        <v>46</v>
      </c>
      <c r="B2415" s="6" t="s">
        <v>43</v>
      </c>
      <c r="C2415" s="6" t="s">
        <v>44</v>
      </c>
      <c r="D2415" s="6" t="s">
        <v>115</v>
      </c>
      <c r="E2415" s="6" t="n">
        <v>1</v>
      </c>
      <c r="F2415" s="6" t="n">
        <v>10</v>
      </c>
      <c r="G2415" s="6" t="s">
        <v>72</v>
      </c>
      <c r="H2415" s="11" t="n">
        <v>0.001</v>
      </c>
      <c r="I2415" s="6" t="n">
        <v>20</v>
      </c>
      <c r="J2415" s="6" t="n">
        <v>0</v>
      </c>
      <c r="K2415" s="6" t="n">
        <v>20</v>
      </c>
      <c r="L2415" s="6" t="n">
        <v>0</v>
      </c>
      <c r="M2415" s="6" t="n">
        <v>20</v>
      </c>
      <c r="N2415" s="11" t="n">
        <f aca="false">J2415/(J2415+K2415)</f>
        <v>0</v>
      </c>
      <c r="O2415" s="11" t="str">
        <f aca="false">IF(J2415+L2415=0,"",J2415/(J2415+L2415))</f>
        <v/>
      </c>
      <c r="P2415" s="11" t="n">
        <f aca="false">2*J2415/(2*J2415+L2415+K2415)</f>
        <v>0</v>
      </c>
      <c r="Q2415" s="11" t="n">
        <f aca="false">L2415/(L2415+M2415)</f>
        <v>0</v>
      </c>
      <c r="R2415" s="6" t="n">
        <v>0</v>
      </c>
      <c r="S2415" s="11"/>
      <c r="T2415" s="11" t="n">
        <v>0</v>
      </c>
      <c r="U2415" s="11" t="n">
        <v>0.9</v>
      </c>
      <c r="V2415" s="11" t="n">
        <v>0.9</v>
      </c>
    </row>
    <row r="2416" customFormat="false" ht="15" hidden="false" customHeight="false" outlineLevel="0" collapsed="false">
      <c r="A2416" s="6" t="s">
        <v>46</v>
      </c>
      <c r="B2416" s="6" t="s">
        <v>43</v>
      </c>
      <c r="C2416" s="6" t="s">
        <v>44</v>
      </c>
      <c r="D2416" s="6" t="s">
        <v>115</v>
      </c>
      <c r="E2416" s="6" t="n">
        <v>1</v>
      </c>
      <c r="F2416" s="6" t="n">
        <v>10</v>
      </c>
      <c r="G2416" s="6" t="s">
        <v>73</v>
      </c>
      <c r="H2416" s="11" t="n">
        <v>0.001</v>
      </c>
      <c r="I2416" s="6" t="n">
        <v>20</v>
      </c>
      <c r="J2416" s="6" t="n">
        <v>0</v>
      </c>
      <c r="K2416" s="6" t="n">
        <v>20</v>
      </c>
      <c r="L2416" s="6" t="n">
        <v>0</v>
      </c>
      <c r="M2416" s="6" t="n">
        <v>20</v>
      </c>
      <c r="N2416" s="11" t="n">
        <f aca="false">J2416/(J2416+K2416)</f>
        <v>0</v>
      </c>
      <c r="O2416" s="11" t="str">
        <f aca="false">IF(J2416+L2416=0,"",J2416/(J2416+L2416))</f>
        <v/>
      </c>
      <c r="P2416" s="11" t="n">
        <f aca="false">2*J2416/(2*J2416+L2416+K2416)</f>
        <v>0</v>
      </c>
      <c r="Q2416" s="11" t="n">
        <f aca="false">L2416/(L2416+M2416)</f>
        <v>0</v>
      </c>
      <c r="R2416" s="6" t="n">
        <v>0</v>
      </c>
      <c r="S2416" s="11"/>
      <c r="T2416" s="11" t="n">
        <v>0</v>
      </c>
      <c r="U2416" s="11" t="n">
        <v>0.65</v>
      </c>
      <c r="V2416" s="11" t="n">
        <v>0.65</v>
      </c>
    </row>
    <row r="2417" customFormat="false" ht="15" hidden="false" customHeight="false" outlineLevel="0" collapsed="false">
      <c r="A2417" s="6" t="s">
        <v>46</v>
      </c>
      <c r="B2417" s="6" t="s">
        <v>43</v>
      </c>
      <c r="C2417" s="6" t="s">
        <v>44</v>
      </c>
      <c r="D2417" s="6" t="s">
        <v>115</v>
      </c>
      <c r="E2417" s="6" t="n">
        <v>1</v>
      </c>
      <c r="F2417" s="6" t="n">
        <v>10</v>
      </c>
      <c r="G2417" s="6" t="s">
        <v>74</v>
      </c>
      <c r="H2417" s="11" t="n">
        <v>0.001</v>
      </c>
      <c r="I2417" s="6" t="n">
        <v>20</v>
      </c>
      <c r="J2417" s="6" t="n">
        <v>0</v>
      </c>
      <c r="K2417" s="6" t="n">
        <v>20</v>
      </c>
      <c r="L2417" s="6" t="n">
        <v>0</v>
      </c>
      <c r="M2417" s="6" t="n">
        <v>20</v>
      </c>
      <c r="N2417" s="11" t="n">
        <f aca="false">J2417/(J2417+K2417)</f>
        <v>0</v>
      </c>
      <c r="O2417" s="11" t="str">
        <f aca="false">IF(J2417+L2417=0,"",J2417/(J2417+L2417))</f>
        <v/>
      </c>
      <c r="P2417" s="11" t="n">
        <f aca="false">2*J2417/(2*J2417+L2417+K2417)</f>
        <v>0</v>
      </c>
      <c r="Q2417" s="11" t="n">
        <f aca="false">L2417/(L2417+M2417)</f>
        <v>0</v>
      </c>
      <c r="R2417" s="6" t="n">
        <v>0</v>
      </c>
      <c r="S2417" s="11"/>
      <c r="T2417" s="11" t="n">
        <v>0</v>
      </c>
      <c r="U2417" s="11" t="n">
        <v>0.85</v>
      </c>
      <c r="V2417" s="11" t="n">
        <v>0.85</v>
      </c>
    </row>
    <row r="2418" customFormat="false" ht="15" hidden="false" customHeight="false" outlineLevel="0" collapsed="false">
      <c r="A2418" s="6" t="s">
        <v>46</v>
      </c>
      <c r="B2418" s="6" t="s">
        <v>43</v>
      </c>
      <c r="C2418" s="6" t="s">
        <v>44</v>
      </c>
      <c r="D2418" s="6" t="s">
        <v>115</v>
      </c>
      <c r="E2418" s="6" t="n">
        <v>1</v>
      </c>
      <c r="F2418" s="6" t="n">
        <v>10</v>
      </c>
      <c r="G2418" s="6" t="s">
        <v>75</v>
      </c>
      <c r="H2418" s="11" t="n">
        <v>0.001</v>
      </c>
      <c r="I2418" s="6" t="n">
        <v>20</v>
      </c>
      <c r="J2418" s="6" t="n">
        <v>0</v>
      </c>
      <c r="K2418" s="6" t="n">
        <v>20</v>
      </c>
      <c r="L2418" s="6" t="n">
        <v>0</v>
      </c>
      <c r="M2418" s="6" t="n">
        <v>20</v>
      </c>
      <c r="N2418" s="11" t="n">
        <f aca="false">J2418/(J2418+K2418)</f>
        <v>0</v>
      </c>
      <c r="O2418" s="11" t="str">
        <f aca="false">IF(J2418+L2418=0,"",J2418/(J2418+L2418))</f>
        <v/>
      </c>
      <c r="P2418" s="11" t="n">
        <f aca="false">2*J2418/(2*J2418+L2418+K2418)</f>
        <v>0</v>
      </c>
      <c r="Q2418" s="11" t="n">
        <f aca="false">L2418/(L2418+M2418)</f>
        <v>0</v>
      </c>
      <c r="R2418" s="6" t="n">
        <v>0</v>
      </c>
      <c r="S2418" s="11"/>
      <c r="T2418" s="11" t="n">
        <v>0</v>
      </c>
      <c r="U2418" s="11" t="n">
        <v>0.9</v>
      </c>
      <c r="V2418" s="11" t="n">
        <v>0.9</v>
      </c>
    </row>
    <row r="2419" customFormat="false" ht="15" hidden="false" customHeight="false" outlineLevel="0" collapsed="false">
      <c r="A2419" s="6" t="s">
        <v>46</v>
      </c>
      <c r="B2419" s="6" t="s">
        <v>43</v>
      </c>
      <c r="C2419" s="6" t="s">
        <v>44</v>
      </c>
      <c r="D2419" s="6" t="s">
        <v>115</v>
      </c>
      <c r="E2419" s="6" t="n">
        <v>1</v>
      </c>
      <c r="F2419" s="6" t="n">
        <v>10</v>
      </c>
      <c r="G2419" s="6" t="s">
        <v>76</v>
      </c>
      <c r="H2419" s="11" t="n">
        <v>0.001</v>
      </c>
      <c r="I2419" s="6" t="n">
        <v>20</v>
      </c>
      <c r="J2419" s="6" t="n">
        <v>0</v>
      </c>
      <c r="K2419" s="6" t="n">
        <v>20</v>
      </c>
      <c r="L2419" s="6" t="n">
        <v>0</v>
      </c>
      <c r="M2419" s="6" t="n">
        <v>20</v>
      </c>
      <c r="N2419" s="11" t="n">
        <f aca="false">J2419/(J2419+K2419)</f>
        <v>0</v>
      </c>
      <c r="O2419" s="11" t="str">
        <f aca="false">IF(J2419+L2419=0,"",J2419/(J2419+L2419))</f>
        <v/>
      </c>
      <c r="P2419" s="11" t="n">
        <f aca="false">2*J2419/(2*J2419+L2419+K2419)</f>
        <v>0</v>
      </c>
      <c r="Q2419" s="11" t="n">
        <f aca="false">L2419/(L2419+M2419)</f>
        <v>0</v>
      </c>
      <c r="R2419" s="6" t="n">
        <v>0</v>
      </c>
      <c r="S2419" s="11"/>
      <c r="T2419" s="11" t="n">
        <v>0</v>
      </c>
      <c r="U2419" s="11" t="n">
        <v>0.95</v>
      </c>
      <c r="V2419" s="11" t="n">
        <v>0.95</v>
      </c>
    </row>
    <row r="2420" customFormat="false" ht="15" hidden="false" customHeight="false" outlineLevel="0" collapsed="false">
      <c r="A2420" s="6" t="s">
        <v>46</v>
      </c>
      <c r="B2420" s="6" t="s">
        <v>43</v>
      </c>
      <c r="C2420" s="6" t="s">
        <v>44</v>
      </c>
      <c r="D2420" s="6" t="s">
        <v>115</v>
      </c>
      <c r="E2420" s="6" t="n">
        <v>1</v>
      </c>
      <c r="F2420" s="6" t="n">
        <v>10</v>
      </c>
      <c r="G2420" s="6" t="s">
        <v>77</v>
      </c>
      <c r="H2420" s="11" t="n">
        <v>0.001</v>
      </c>
      <c r="I2420" s="6" t="n">
        <v>20</v>
      </c>
      <c r="J2420" s="6" t="n">
        <v>0</v>
      </c>
      <c r="K2420" s="6" t="n">
        <v>20</v>
      </c>
      <c r="L2420" s="6" t="n">
        <v>0</v>
      </c>
      <c r="M2420" s="6" t="n">
        <v>20</v>
      </c>
      <c r="N2420" s="11" t="n">
        <f aca="false">J2420/(J2420+K2420)</f>
        <v>0</v>
      </c>
      <c r="O2420" s="11" t="str">
        <f aca="false">IF(J2420+L2420=0,"",J2420/(J2420+L2420))</f>
        <v/>
      </c>
      <c r="P2420" s="11" t="n">
        <f aca="false">2*J2420/(2*J2420+L2420+K2420)</f>
        <v>0</v>
      </c>
      <c r="Q2420" s="11" t="n">
        <f aca="false">L2420/(L2420+M2420)</f>
        <v>0</v>
      </c>
      <c r="R2420" s="6" t="n">
        <v>0</v>
      </c>
      <c r="S2420" s="11"/>
      <c r="T2420" s="11" t="n">
        <v>0</v>
      </c>
      <c r="U2420" s="11" t="n">
        <v>1</v>
      </c>
      <c r="V2420" s="11" t="n">
        <v>1</v>
      </c>
    </row>
    <row r="2421" customFormat="false" ht="15" hidden="false" customHeight="false" outlineLevel="0" collapsed="false">
      <c r="A2421" s="6" t="s">
        <v>46</v>
      </c>
      <c r="B2421" s="6" t="s">
        <v>43</v>
      </c>
      <c r="C2421" s="6" t="s">
        <v>44</v>
      </c>
      <c r="D2421" s="6" t="s">
        <v>115</v>
      </c>
      <c r="E2421" s="6" t="n">
        <v>1</v>
      </c>
      <c r="F2421" s="6" t="n">
        <v>10</v>
      </c>
      <c r="G2421" s="6" t="s">
        <v>78</v>
      </c>
      <c r="H2421" s="11" t="n">
        <v>0.001</v>
      </c>
      <c r="I2421" s="6" t="n">
        <v>200</v>
      </c>
      <c r="J2421" s="6" t="n">
        <v>0</v>
      </c>
      <c r="K2421" s="6" t="n">
        <v>200</v>
      </c>
      <c r="L2421" s="6" t="n">
        <v>0</v>
      </c>
      <c r="M2421" s="6" t="n">
        <v>200</v>
      </c>
      <c r="N2421" s="11" t="n">
        <f aca="false">J2421/(J2421+K2421)</f>
        <v>0</v>
      </c>
      <c r="O2421" s="11" t="str">
        <f aca="false">IF(J2421+L2421=0,"",J2421/(J2421+L2421))</f>
        <v/>
      </c>
      <c r="P2421" s="11" t="n">
        <f aca="false">2*J2421/(2*J2421+L2421+K2421)</f>
        <v>0</v>
      </c>
      <c r="Q2421" s="11" t="n">
        <f aca="false">L2421/(L2421+M2421)</f>
        <v>0</v>
      </c>
      <c r="R2421" s="6" t="n">
        <v>0</v>
      </c>
      <c r="S2421" s="11"/>
      <c r="T2421" s="11" t="n">
        <v>0</v>
      </c>
      <c r="U2421" s="11" t="n">
        <v>0.88</v>
      </c>
      <c r="V2421" s="11" t="n">
        <v>0.88</v>
      </c>
    </row>
    <row r="2422" customFormat="false" ht="15" hidden="false" customHeight="false" outlineLevel="0" collapsed="false">
      <c r="A2422" s="6" t="s">
        <v>48</v>
      </c>
      <c r="B2422" s="6" t="s">
        <v>43</v>
      </c>
      <c r="C2422" s="6" t="s">
        <v>49</v>
      </c>
      <c r="D2422" s="6" t="s">
        <v>115</v>
      </c>
      <c r="E2422" s="6" t="n">
        <v>4</v>
      </c>
      <c r="F2422" s="6" t="n">
        <v>1</v>
      </c>
      <c r="G2422" s="6" t="s">
        <v>68</v>
      </c>
      <c r="H2422" s="11" t="n">
        <v>0.001</v>
      </c>
      <c r="I2422" s="6" t="n">
        <v>20</v>
      </c>
      <c r="J2422" s="6" t="n">
        <v>20</v>
      </c>
      <c r="K2422" s="6" t="n">
        <v>0</v>
      </c>
      <c r="L2422" s="6" t="n">
        <v>0</v>
      </c>
      <c r="M2422" s="6" t="n">
        <v>20</v>
      </c>
      <c r="N2422" s="11" t="n">
        <f aca="false">J2422/(J2422+K2422)</f>
        <v>1</v>
      </c>
      <c r="O2422" s="11" t="n">
        <f aca="false">IF(J2422+L2422=0,"",J2422/(J2422+L2422))</f>
        <v>1</v>
      </c>
      <c r="P2422" s="11" t="n">
        <f aca="false">2*J2422/(2*J2422+L2422+K2422)</f>
        <v>1</v>
      </c>
      <c r="Q2422" s="11" t="n">
        <f aca="false">L2422/(L2422+M2422)</f>
        <v>0</v>
      </c>
      <c r="R2422" s="6" t="n">
        <v>20</v>
      </c>
      <c r="S2422" s="11" t="n">
        <v>1</v>
      </c>
      <c r="T2422" s="11"/>
      <c r="U2422" s="11" t="n">
        <v>0.85</v>
      </c>
      <c r="V2422" s="11" t="n">
        <v>0</v>
      </c>
    </row>
    <row r="2423" customFormat="false" ht="15" hidden="false" customHeight="false" outlineLevel="0" collapsed="false">
      <c r="A2423" s="6" t="s">
        <v>48</v>
      </c>
      <c r="B2423" s="6" t="s">
        <v>43</v>
      </c>
      <c r="C2423" s="6" t="s">
        <v>49</v>
      </c>
      <c r="D2423" s="6" t="s">
        <v>115</v>
      </c>
      <c r="E2423" s="6" t="n">
        <v>4</v>
      </c>
      <c r="F2423" s="6" t="n">
        <v>1</v>
      </c>
      <c r="G2423" s="6" t="s">
        <v>69</v>
      </c>
      <c r="H2423" s="11" t="n">
        <v>0.001</v>
      </c>
      <c r="I2423" s="6" t="n">
        <v>20</v>
      </c>
      <c r="J2423" s="6" t="n">
        <v>20</v>
      </c>
      <c r="K2423" s="6" t="n">
        <v>0</v>
      </c>
      <c r="L2423" s="6" t="n">
        <v>0</v>
      </c>
      <c r="M2423" s="6" t="n">
        <v>20</v>
      </c>
      <c r="N2423" s="11" t="n">
        <f aca="false">J2423/(J2423+K2423)</f>
        <v>1</v>
      </c>
      <c r="O2423" s="11" t="n">
        <f aca="false">IF(J2423+L2423=0,"",J2423/(J2423+L2423))</f>
        <v>1</v>
      </c>
      <c r="P2423" s="11" t="n">
        <f aca="false">2*J2423/(2*J2423+L2423+K2423)</f>
        <v>1</v>
      </c>
      <c r="Q2423" s="11" t="n">
        <f aca="false">L2423/(L2423+M2423)</f>
        <v>0</v>
      </c>
      <c r="R2423" s="6" t="n">
        <v>20</v>
      </c>
      <c r="S2423" s="11" t="n">
        <v>1</v>
      </c>
      <c r="T2423" s="11"/>
      <c r="U2423" s="11" t="n">
        <v>1</v>
      </c>
      <c r="V2423" s="11" t="n">
        <v>0</v>
      </c>
    </row>
    <row r="2424" customFormat="false" ht="15" hidden="false" customHeight="false" outlineLevel="0" collapsed="false">
      <c r="A2424" s="6" t="s">
        <v>48</v>
      </c>
      <c r="B2424" s="6" t="s">
        <v>43</v>
      </c>
      <c r="C2424" s="6" t="s">
        <v>49</v>
      </c>
      <c r="D2424" s="6" t="s">
        <v>115</v>
      </c>
      <c r="E2424" s="6" t="n">
        <v>4</v>
      </c>
      <c r="F2424" s="6" t="n">
        <v>1</v>
      </c>
      <c r="G2424" s="6" t="s">
        <v>70</v>
      </c>
      <c r="H2424" s="11" t="n">
        <v>0.001</v>
      </c>
      <c r="I2424" s="6" t="n">
        <v>20</v>
      </c>
      <c r="J2424" s="6" t="n">
        <v>20</v>
      </c>
      <c r="K2424" s="6" t="n">
        <v>0</v>
      </c>
      <c r="L2424" s="6" t="n">
        <v>0</v>
      </c>
      <c r="M2424" s="6" t="n">
        <v>20</v>
      </c>
      <c r="N2424" s="11" t="n">
        <f aca="false">J2424/(J2424+K2424)</f>
        <v>1</v>
      </c>
      <c r="O2424" s="11" t="n">
        <f aca="false">IF(J2424+L2424=0,"",J2424/(J2424+L2424))</f>
        <v>1</v>
      </c>
      <c r="P2424" s="11" t="n">
        <f aca="false">2*J2424/(2*J2424+L2424+K2424)</f>
        <v>1</v>
      </c>
      <c r="Q2424" s="11" t="n">
        <f aca="false">L2424/(L2424+M2424)</f>
        <v>0</v>
      </c>
      <c r="R2424" s="6" t="n">
        <v>20</v>
      </c>
      <c r="S2424" s="11" t="n">
        <v>1</v>
      </c>
      <c r="T2424" s="11"/>
      <c r="U2424" s="11" t="n">
        <v>0.9</v>
      </c>
      <c r="V2424" s="11" t="n">
        <v>0</v>
      </c>
    </row>
    <row r="2425" customFormat="false" ht="15" hidden="false" customHeight="false" outlineLevel="0" collapsed="false">
      <c r="A2425" s="6" t="s">
        <v>48</v>
      </c>
      <c r="B2425" s="6" t="s">
        <v>43</v>
      </c>
      <c r="C2425" s="6" t="s">
        <v>49</v>
      </c>
      <c r="D2425" s="6" t="s">
        <v>115</v>
      </c>
      <c r="E2425" s="6" t="n">
        <v>4</v>
      </c>
      <c r="F2425" s="6" t="n">
        <v>1</v>
      </c>
      <c r="G2425" s="6" t="s">
        <v>71</v>
      </c>
      <c r="H2425" s="11" t="n">
        <v>0.001</v>
      </c>
      <c r="I2425" s="6" t="n">
        <v>20</v>
      </c>
      <c r="J2425" s="6" t="n">
        <v>20</v>
      </c>
      <c r="K2425" s="6" t="n">
        <v>0</v>
      </c>
      <c r="L2425" s="6" t="n">
        <v>0</v>
      </c>
      <c r="M2425" s="6" t="n">
        <v>20</v>
      </c>
      <c r="N2425" s="11" t="n">
        <f aca="false">J2425/(J2425+K2425)</f>
        <v>1</v>
      </c>
      <c r="O2425" s="11" t="n">
        <f aca="false">IF(J2425+L2425=0,"",J2425/(J2425+L2425))</f>
        <v>1</v>
      </c>
      <c r="P2425" s="11" t="n">
        <f aca="false">2*J2425/(2*J2425+L2425+K2425)</f>
        <v>1</v>
      </c>
      <c r="Q2425" s="11" t="n">
        <f aca="false">L2425/(L2425+M2425)</f>
        <v>0</v>
      </c>
      <c r="R2425" s="6" t="n">
        <v>4</v>
      </c>
      <c r="S2425" s="11" t="n">
        <v>1</v>
      </c>
      <c r="T2425" s="11" t="n">
        <v>1</v>
      </c>
      <c r="U2425" s="11" t="n">
        <v>0.8</v>
      </c>
      <c r="V2425" s="11" t="n">
        <v>1</v>
      </c>
    </row>
    <row r="2426" customFormat="false" ht="15" hidden="false" customHeight="false" outlineLevel="0" collapsed="false">
      <c r="A2426" s="6" t="s">
        <v>48</v>
      </c>
      <c r="B2426" s="6" t="s">
        <v>43</v>
      </c>
      <c r="C2426" s="6" t="s">
        <v>49</v>
      </c>
      <c r="D2426" s="6" t="s">
        <v>115</v>
      </c>
      <c r="E2426" s="6" t="n">
        <v>4</v>
      </c>
      <c r="F2426" s="6" t="n">
        <v>1</v>
      </c>
      <c r="G2426" s="6" t="s">
        <v>72</v>
      </c>
      <c r="H2426" s="11" t="n">
        <v>0.001</v>
      </c>
      <c r="I2426" s="6" t="n">
        <v>20</v>
      </c>
      <c r="J2426" s="6" t="n">
        <v>20</v>
      </c>
      <c r="K2426" s="6" t="n">
        <v>0</v>
      </c>
      <c r="L2426" s="6" t="n">
        <v>0</v>
      </c>
      <c r="M2426" s="6" t="n">
        <v>20</v>
      </c>
      <c r="N2426" s="11" t="n">
        <f aca="false">J2426/(J2426+K2426)</f>
        <v>1</v>
      </c>
      <c r="O2426" s="11" t="n">
        <f aca="false">IF(J2426+L2426=0,"",J2426/(J2426+L2426))</f>
        <v>1</v>
      </c>
      <c r="P2426" s="11" t="n">
        <f aca="false">2*J2426/(2*J2426+L2426+K2426)</f>
        <v>1</v>
      </c>
      <c r="Q2426" s="11" t="n">
        <f aca="false">L2426/(L2426+M2426)</f>
        <v>0</v>
      </c>
      <c r="R2426" s="6" t="n">
        <v>20</v>
      </c>
      <c r="S2426" s="11" t="n">
        <v>1</v>
      </c>
      <c r="T2426" s="11"/>
      <c r="U2426" s="11" t="n">
        <v>0.9</v>
      </c>
      <c r="V2426" s="11" t="n">
        <v>0</v>
      </c>
    </row>
    <row r="2427" customFormat="false" ht="15" hidden="false" customHeight="false" outlineLevel="0" collapsed="false">
      <c r="A2427" s="6" t="s">
        <v>48</v>
      </c>
      <c r="B2427" s="6" t="s">
        <v>43</v>
      </c>
      <c r="C2427" s="6" t="s">
        <v>49</v>
      </c>
      <c r="D2427" s="6" t="s">
        <v>115</v>
      </c>
      <c r="E2427" s="6" t="n">
        <v>4</v>
      </c>
      <c r="F2427" s="6" t="n">
        <v>1</v>
      </c>
      <c r="G2427" s="6" t="s">
        <v>73</v>
      </c>
      <c r="H2427" s="11" t="n">
        <v>0.001</v>
      </c>
      <c r="I2427" s="6" t="n">
        <v>20</v>
      </c>
      <c r="J2427" s="6" t="n">
        <v>20</v>
      </c>
      <c r="K2427" s="6" t="n">
        <v>0</v>
      </c>
      <c r="L2427" s="6" t="n">
        <v>0</v>
      </c>
      <c r="M2427" s="6" t="n">
        <v>20</v>
      </c>
      <c r="N2427" s="11" t="n">
        <f aca="false">J2427/(J2427+K2427)</f>
        <v>1</v>
      </c>
      <c r="O2427" s="11" t="n">
        <f aca="false">IF(J2427+L2427=0,"",J2427/(J2427+L2427))</f>
        <v>1</v>
      </c>
      <c r="P2427" s="11" t="n">
        <f aca="false">2*J2427/(2*J2427+L2427+K2427)</f>
        <v>1</v>
      </c>
      <c r="Q2427" s="11" t="n">
        <f aca="false">L2427/(L2427+M2427)</f>
        <v>0</v>
      </c>
      <c r="R2427" s="6" t="n">
        <v>17</v>
      </c>
      <c r="S2427" s="11" t="n">
        <v>1</v>
      </c>
      <c r="T2427" s="11" t="n">
        <v>1</v>
      </c>
      <c r="U2427" s="11" t="n">
        <v>0.65</v>
      </c>
      <c r="V2427" s="11" t="n">
        <v>0</v>
      </c>
    </row>
    <row r="2428" customFormat="false" ht="15" hidden="false" customHeight="false" outlineLevel="0" collapsed="false">
      <c r="A2428" s="6" t="s">
        <v>48</v>
      </c>
      <c r="B2428" s="6" t="s">
        <v>43</v>
      </c>
      <c r="C2428" s="6" t="s">
        <v>49</v>
      </c>
      <c r="D2428" s="6" t="s">
        <v>115</v>
      </c>
      <c r="E2428" s="6" t="n">
        <v>4</v>
      </c>
      <c r="F2428" s="6" t="n">
        <v>1</v>
      </c>
      <c r="G2428" s="6" t="s">
        <v>74</v>
      </c>
      <c r="H2428" s="11" t="n">
        <v>0.001</v>
      </c>
      <c r="I2428" s="6" t="n">
        <v>20</v>
      </c>
      <c r="J2428" s="6" t="n">
        <v>20</v>
      </c>
      <c r="K2428" s="6" t="n">
        <v>0</v>
      </c>
      <c r="L2428" s="6" t="n">
        <v>0</v>
      </c>
      <c r="M2428" s="6" t="n">
        <v>20</v>
      </c>
      <c r="N2428" s="11" t="n">
        <f aca="false">J2428/(J2428+K2428)</f>
        <v>1</v>
      </c>
      <c r="O2428" s="11" t="n">
        <f aca="false">IF(J2428+L2428=0,"",J2428/(J2428+L2428))</f>
        <v>1</v>
      </c>
      <c r="P2428" s="11" t="n">
        <f aca="false">2*J2428/(2*J2428+L2428+K2428)</f>
        <v>1</v>
      </c>
      <c r="Q2428" s="11" t="n">
        <f aca="false">L2428/(L2428+M2428)</f>
        <v>0</v>
      </c>
      <c r="R2428" s="6" t="n">
        <v>20</v>
      </c>
      <c r="S2428" s="11" t="n">
        <v>1</v>
      </c>
      <c r="T2428" s="11"/>
      <c r="U2428" s="11" t="n">
        <v>0.85</v>
      </c>
      <c r="V2428" s="11" t="n">
        <v>0</v>
      </c>
    </row>
    <row r="2429" customFormat="false" ht="15" hidden="false" customHeight="false" outlineLevel="0" collapsed="false">
      <c r="A2429" s="6" t="s">
        <v>48</v>
      </c>
      <c r="B2429" s="6" t="s">
        <v>43</v>
      </c>
      <c r="C2429" s="6" t="s">
        <v>49</v>
      </c>
      <c r="D2429" s="6" t="s">
        <v>115</v>
      </c>
      <c r="E2429" s="6" t="n">
        <v>4</v>
      </c>
      <c r="F2429" s="6" t="n">
        <v>1</v>
      </c>
      <c r="G2429" s="6" t="s">
        <v>75</v>
      </c>
      <c r="H2429" s="11" t="n">
        <v>0.001</v>
      </c>
      <c r="I2429" s="6" t="n">
        <v>20</v>
      </c>
      <c r="J2429" s="6" t="n">
        <v>20</v>
      </c>
      <c r="K2429" s="6" t="n">
        <v>0</v>
      </c>
      <c r="L2429" s="6" t="n">
        <v>0</v>
      </c>
      <c r="M2429" s="6" t="n">
        <v>20</v>
      </c>
      <c r="N2429" s="11" t="n">
        <f aca="false">J2429/(J2429+K2429)</f>
        <v>1</v>
      </c>
      <c r="O2429" s="11" t="n">
        <f aca="false">IF(J2429+L2429=0,"",J2429/(J2429+L2429))</f>
        <v>1</v>
      </c>
      <c r="P2429" s="11" t="n">
        <f aca="false">2*J2429/(2*J2429+L2429+K2429)</f>
        <v>1</v>
      </c>
      <c r="Q2429" s="11" t="n">
        <f aca="false">L2429/(L2429+M2429)</f>
        <v>0</v>
      </c>
      <c r="R2429" s="6" t="n">
        <v>20</v>
      </c>
      <c r="S2429" s="11" t="n">
        <v>1</v>
      </c>
      <c r="T2429" s="11"/>
      <c r="U2429" s="11" t="n">
        <v>0.9</v>
      </c>
      <c r="V2429" s="11" t="n">
        <v>0</v>
      </c>
    </row>
    <row r="2430" customFormat="false" ht="15" hidden="false" customHeight="false" outlineLevel="0" collapsed="false">
      <c r="A2430" s="6" t="s">
        <v>48</v>
      </c>
      <c r="B2430" s="6" t="s">
        <v>43</v>
      </c>
      <c r="C2430" s="6" t="s">
        <v>49</v>
      </c>
      <c r="D2430" s="6" t="s">
        <v>115</v>
      </c>
      <c r="E2430" s="6" t="n">
        <v>4</v>
      </c>
      <c r="F2430" s="6" t="n">
        <v>1</v>
      </c>
      <c r="G2430" s="6" t="s">
        <v>76</v>
      </c>
      <c r="H2430" s="11" t="n">
        <v>0.001</v>
      </c>
      <c r="I2430" s="6" t="n">
        <v>20</v>
      </c>
      <c r="J2430" s="6" t="n">
        <v>20</v>
      </c>
      <c r="K2430" s="6" t="n">
        <v>0</v>
      </c>
      <c r="L2430" s="6" t="n">
        <v>0</v>
      </c>
      <c r="M2430" s="6" t="n">
        <v>20</v>
      </c>
      <c r="N2430" s="11" t="n">
        <f aca="false">J2430/(J2430+K2430)</f>
        <v>1</v>
      </c>
      <c r="O2430" s="11" t="n">
        <f aca="false">IF(J2430+L2430=0,"",J2430/(J2430+L2430))</f>
        <v>1</v>
      </c>
      <c r="P2430" s="11" t="n">
        <f aca="false">2*J2430/(2*J2430+L2430+K2430)</f>
        <v>1</v>
      </c>
      <c r="Q2430" s="11" t="n">
        <f aca="false">L2430/(L2430+M2430)</f>
        <v>0</v>
      </c>
      <c r="R2430" s="6" t="n">
        <v>20</v>
      </c>
      <c r="S2430" s="11" t="n">
        <v>1</v>
      </c>
      <c r="T2430" s="11"/>
      <c r="U2430" s="11" t="n">
        <v>0.95</v>
      </c>
      <c r="V2430" s="11" t="n">
        <v>0</v>
      </c>
    </row>
    <row r="2431" customFormat="false" ht="15" hidden="false" customHeight="false" outlineLevel="0" collapsed="false">
      <c r="A2431" s="6" t="s">
        <v>48</v>
      </c>
      <c r="B2431" s="6" t="s">
        <v>43</v>
      </c>
      <c r="C2431" s="6" t="s">
        <v>49</v>
      </c>
      <c r="D2431" s="6" t="s">
        <v>115</v>
      </c>
      <c r="E2431" s="6" t="n">
        <v>4</v>
      </c>
      <c r="F2431" s="6" t="n">
        <v>1</v>
      </c>
      <c r="G2431" s="6" t="s">
        <v>77</v>
      </c>
      <c r="H2431" s="11" t="n">
        <v>0.001</v>
      </c>
      <c r="I2431" s="6" t="n">
        <v>20</v>
      </c>
      <c r="J2431" s="6" t="n">
        <v>20</v>
      </c>
      <c r="K2431" s="6" t="n">
        <v>0</v>
      </c>
      <c r="L2431" s="6" t="n">
        <v>0</v>
      </c>
      <c r="M2431" s="6" t="n">
        <v>20</v>
      </c>
      <c r="N2431" s="11" t="n">
        <f aca="false">J2431/(J2431+K2431)</f>
        <v>1</v>
      </c>
      <c r="O2431" s="11" t="n">
        <f aca="false">IF(J2431+L2431=0,"",J2431/(J2431+L2431))</f>
        <v>1</v>
      </c>
      <c r="P2431" s="11" t="n">
        <f aca="false">2*J2431/(2*J2431+L2431+K2431)</f>
        <v>1</v>
      </c>
      <c r="Q2431" s="11" t="n">
        <f aca="false">L2431/(L2431+M2431)</f>
        <v>0</v>
      </c>
      <c r="R2431" s="6" t="n">
        <v>20</v>
      </c>
      <c r="S2431" s="11" t="n">
        <v>1</v>
      </c>
      <c r="T2431" s="11"/>
      <c r="U2431" s="11" t="n">
        <v>1</v>
      </c>
      <c r="V2431" s="11" t="n">
        <v>0</v>
      </c>
    </row>
    <row r="2432" customFormat="false" ht="15" hidden="false" customHeight="false" outlineLevel="0" collapsed="false">
      <c r="A2432" s="6" t="s">
        <v>48</v>
      </c>
      <c r="B2432" s="6" t="s">
        <v>43</v>
      </c>
      <c r="C2432" s="6" t="s">
        <v>49</v>
      </c>
      <c r="D2432" s="6" t="s">
        <v>115</v>
      </c>
      <c r="E2432" s="6" t="n">
        <v>4</v>
      </c>
      <c r="F2432" s="6" t="n">
        <v>1</v>
      </c>
      <c r="G2432" s="6" t="s">
        <v>78</v>
      </c>
      <c r="H2432" s="11" t="n">
        <v>0.001</v>
      </c>
      <c r="I2432" s="6" t="n">
        <v>200</v>
      </c>
      <c r="J2432" s="6" t="n">
        <v>200</v>
      </c>
      <c r="K2432" s="6" t="n">
        <v>0</v>
      </c>
      <c r="L2432" s="6" t="n">
        <v>0</v>
      </c>
      <c r="M2432" s="6" t="n">
        <v>200</v>
      </c>
      <c r="N2432" s="11" t="n">
        <f aca="false">J2432/(J2432+K2432)</f>
        <v>1</v>
      </c>
      <c r="O2432" s="11" t="n">
        <f aca="false">IF(J2432+L2432=0,"",J2432/(J2432+L2432))</f>
        <v>1</v>
      </c>
      <c r="P2432" s="11" t="n">
        <f aca="false">2*J2432/(2*J2432+L2432+K2432)</f>
        <v>1</v>
      </c>
      <c r="Q2432" s="11" t="n">
        <f aca="false">L2432/(L2432+M2432)</f>
        <v>0</v>
      </c>
      <c r="R2432" s="6" t="n">
        <v>181</v>
      </c>
      <c r="S2432" s="11" t="n">
        <v>1</v>
      </c>
      <c r="T2432" s="11" t="n">
        <v>1</v>
      </c>
      <c r="U2432" s="11" t="n">
        <v>0.88</v>
      </c>
      <c r="V2432" s="11" t="n">
        <v>0.1</v>
      </c>
    </row>
    <row r="2433" customFormat="false" ht="15" hidden="false" customHeight="false" outlineLevel="0" collapsed="false">
      <c r="A2433" s="6" t="s">
        <v>48</v>
      </c>
      <c r="B2433" s="6" t="s">
        <v>43</v>
      </c>
      <c r="C2433" s="6" t="s">
        <v>49</v>
      </c>
      <c r="D2433" s="6" t="s">
        <v>115</v>
      </c>
      <c r="E2433" s="6" t="n">
        <v>4</v>
      </c>
      <c r="F2433" s="6" t="n">
        <v>2</v>
      </c>
      <c r="G2433" s="6" t="s">
        <v>68</v>
      </c>
      <c r="H2433" s="11" t="n">
        <v>0.001</v>
      </c>
      <c r="I2433" s="6" t="n">
        <v>20</v>
      </c>
      <c r="J2433" s="6" t="n">
        <v>0</v>
      </c>
      <c r="K2433" s="6" t="n">
        <v>20</v>
      </c>
      <c r="L2433" s="6" t="n">
        <v>0</v>
      </c>
      <c r="M2433" s="6" t="n">
        <v>20</v>
      </c>
      <c r="N2433" s="11" t="n">
        <f aca="false">J2433/(J2433+K2433)</f>
        <v>0</v>
      </c>
      <c r="O2433" s="11" t="str">
        <f aca="false">IF(J2433+L2433=0,"",J2433/(J2433+L2433))</f>
        <v/>
      </c>
      <c r="P2433" s="11" t="n">
        <f aca="false">2*J2433/(2*J2433+L2433+K2433)</f>
        <v>0</v>
      </c>
      <c r="Q2433" s="11" t="n">
        <f aca="false">L2433/(L2433+M2433)</f>
        <v>0</v>
      </c>
      <c r="R2433" s="6" t="n">
        <v>0</v>
      </c>
      <c r="S2433" s="11"/>
      <c r="T2433" s="11" t="n">
        <v>0</v>
      </c>
      <c r="U2433" s="11" t="n">
        <v>0.85</v>
      </c>
      <c r="V2433" s="11" t="n">
        <v>0.85</v>
      </c>
    </row>
    <row r="2434" customFormat="false" ht="15" hidden="false" customHeight="false" outlineLevel="0" collapsed="false">
      <c r="A2434" s="6" t="s">
        <v>48</v>
      </c>
      <c r="B2434" s="6" t="s">
        <v>43</v>
      </c>
      <c r="C2434" s="6" t="s">
        <v>49</v>
      </c>
      <c r="D2434" s="6" t="s">
        <v>115</v>
      </c>
      <c r="E2434" s="6" t="n">
        <v>4</v>
      </c>
      <c r="F2434" s="6" t="n">
        <v>2</v>
      </c>
      <c r="G2434" s="6" t="s">
        <v>69</v>
      </c>
      <c r="H2434" s="11" t="n">
        <v>0.001</v>
      </c>
      <c r="I2434" s="6" t="n">
        <v>20</v>
      </c>
      <c r="J2434" s="6" t="n">
        <v>0</v>
      </c>
      <c r="K2434" s="6" t="n">
        <v>20</v>
      </c>
      <c r="L2434" s="6" t="n">
        <v>0</v>
      </c>
      <c r="M2434" s="6" t="n">
        <v>20</v>
      </c>
      <c r="N2434" s="11" t="n">
        <f aca="false">J2434/(J2434+K2434)</f>
        <v>0</v>
      </c>
      <c r="O2434" s="11" t="str">
        <f aca="false">IF(J2434+L2434=0,"",J2434/(J2434+L2434))</f>
        <v/>
      </c>
      <c r="P2434" s="11" t="n">
        <f aca="false">2*J2434/(2*J2434+L2434+K2434)</f>
        <v>0</v>
      </c>
      <c r="Q2434" s="11" t="n">
        <f aca="false">L2434/(L2434+M2434)</f>
        <v>0</v>
      </c>
      <c r="R2434" s="6" t="n">
        <v>0</v>
      </c>
      <c r="S2434" s="11"/>
      <c r="T2434" s="11" t="n">
        <v>0</v>
      </c>
      <c r="U2434" s="11" t="n">
        <v>1</v>
      </c>
      <c r="V2434" s="11" t="n">
        <v>1</v>
      </c>
    </row>
    <row r="2435" customFormat="false" ht="15" hidden="false" customHeight="false" outlineLevel="0" collapsed="false">
      <c r="A2435" s="6" t="s">
        <v>48</v>
      </c>
      <c r="B2435" s="6" t="s">
        <v>43</v>
      </c>
      <c r="C2435" s="6" t="s">
        <v>49</v>
      </c>
      <c r="D2435" s="6" t="s">
        <v>115</v>
      </c>
      <c r="E2435" s="6" t="n">
        <v>4</v>
      </c>
      <c r="F2435" s="6" t="n">
        <v>2</v>
      </c>
      <c r="G2435" s="6" t="s">
        <v>70</v>
      </c>
      <c r="H2435" s="11" t="n">
        <v>0.001</v>
      </c>
      <c r="I2435" s="6" t="n">
        <v>20</v>
      </c>
      <c r="J2435" s="6" t="n">
        <v>0</v>
      </c>
      <c r="K2435" s="6" t="n">
        <v>20</v>
      </c>
      <c r="L2435" s="6" t="n">
        <v>0</v>
      </c>
      <c r="M2435" s="6" t="n">
        <v>20</v>
      </c>
      <c r="N2435" s="11" t="n">
        <f aca="false">J2435/(J2435+K2435)</f>
        <v>0</v>
      </c>
      <c r="O2435" s="11" t="str">
        <f aca="false">IF(J2435+L2435=0,"",J2435/(J2435+L2435))</f>
        <v/>
      </c>
      <c r="P2435" s="11" t="n">
        <f aca="false">2*J2435/(2*J2435+L2435+K2435)</f>
        <v>0</v>
      </c>
      <c r="Q2435" s="11" t="n">
        <f aca="false">L2435/(L2435+M2435)</f>
        <v>0</v>
      </c>
      <c r="R2435" s="6" t="n">
        <v>0</v>
      </c>
      <c r="S2435" s="11"/>
      <c r="T2435" s="11" t="n">
        <v>0</v>
      </c>
      <c r="U2435" s="11" t="n">
        <v>0.9</v>
      </c>
      <c r="V2435" s="11" t="n">
        <v>0.9</v>
      </c>
    </row>
    <row r="2436" customFormat="false" ht="15" hidden="false" customHeight="false" outlineLevel="0" collapsed="false">
      <c r="A2436" s="6" t="s">
        <v>48</v>
      </c>
      <c r="B2436" s="6" t="s">
        <v>43</v>
      </c>
      <c r="C2436" s="6" t="s">
        <v>49</v>
      </c>
      <c r="D2436" s="6" t="s">
        <v>115</v>
      </c>
      <c r="E2436" s="6" t="n">
        <v>4</v>
      </c>
      <c r="F2436" s="6" t="n">
        <v>2</v>
      </c>
      <c r="G2436" s="6" t="s">
        <v>71</v>
      </c>
      <c r="H2436" s="11" t="n">
        <v>0.001</v>
      </c>
      <c r="I2436" s="6" t="n">
        <v>20</v>
      </c>
      <c r="J2436" s="6" t="n">
        <v>0</v>
      </c>
      <c r="K2436" s="6" t="n">
        <v>20</v>
      </c>
      <c r="L2436" s="6" t="n">
        <v>0</v>
      </c>
      <c r="M2436" s="6" t="n">
        <v>20</v>
      </c>
      <c r="N2436" s="11" t="n">
        <f aca="false">J2436/(J2436+K2436)</f>
        <v>0</v>
      </c>
      <c r="O2436" s="11" t="str">
        <f aca="false">IF(J2436+L2436=0,"",J2436/(J2436+L2436))</f>
        <v/>
      </c>
      <c r="P2436" s="11" t="n">
        <f aca="false">2*J2436/(2*J2436+L2436+K2436)</f>
        <v>0</v>
      </c>
      <c r="Q2436" s="11" t="n">
        <f aca="false">L2436/(L2436+M2436)</f>
        <v>0</v>
      </c>
      <c r="R2436" s="6" t="n">
        <v>0</v>
      </c>
      <c r="S2436" s="11"/>
      <c r="T2436" s="11" t="n">
        <v>0</v>
      </c>
      <c r="U2436" s="11" t="n">
        <v>0.8</v>
      </c>
      <c r="V2436" s="11" t="n">
        <v>0.8</v>
      </c>
    </row>
    <row r="2437" customFormat="false" ht="15" hidden="false" customHeight="false" outlineLevel="0" collapsed="false">
      <c r="A2437" s="6" t="s">
        <v>48</v>
      </c>
      <c r="B2437" s="6" t="s">
        <v>43</v>
      </c>
      <c r="C2437" s="6" t="s">
        <v>49</v>
      </c>
      <c r="D2437" s="6" t="s">
        <v>115</v>
      </c>
      <c r="E2437" s="6" t="n">
        <v>4</v>
      </c>
      <c r="F2437" s="6" t="n">
        <v>2</v>
      </c>
      <c r="G2437" s="6" t="s">
        <v>72</v>
      </c>
      <c r="H2437" s="11" t="n">
        <v>0.001</v>
      </c>
      <c r="I2437" s="6" t="n">
        <v>20</v>
      </c>
      <c r="J2437" s="6" t="n">
        <v>0</v>
      </c>
      <c r="K2437" s="6" t="n">
        <v>20</v>
      </c>
      <c r="L2437" s="6" t="n">
        <v>0</v>
      </c>
      <c r="M2437" s="6" t="n">
        <v>20</v>
      </c>
      <c r="N2437" s="11" t="n">
        <f aca="false">J2437/(J2437+K2437)</f>
        <v>0</v>
      </c>
      <c r="O2437" s="11" t="str">
        <f aca="false">IF(J2437+L2437=0,"",J2437/(J2437+L2437))</f>
        <v/>
      </c>
      <c r="P2437" s="11" t="n">
        <f aca="false">2*J2437/(2*J2437+L2437+K2437)</f>
        <v>0</v>
      </c>
      <c r="Q2437" s="11" t="n">
        <f aca="false">L2437/(L2437+M2437)</f>
        <v>0</v>
      </c>
      <c r="R2437" s="6" t="n">
        <v>0</v>
      </c>
      <c r="S2437" s="11"/>
      <c r="T2437" s="11" t="n">
        <v>0</v>
      </c>
      <c r="U2437" s="11" t="n">
        <v>0.9</v>
      </c>
      <c r="V2437" s="11" t="n">
        <v>0.9</v>
      </c>
    </row>
    <row r="2438" customFormat="false" ht="15" hidden="false" customHeight="false" outlineLevel="0" collapsed="false">
      <c r="A2438" s="6" t="s">
        <v>48</v>
      </c>
      <c r="B2438" s="6" t="s">
        <v>43</v>
      </c>
      <c r="C2438" s="6" t="s">
        <v>49</v>
      </c>
      <c r="D2438" s="6" t="s">
        <v>115</v>
      </c>
      <c r="E2438" s="6" t="n">
        <v>4</v>
      </c>
      <c r="F2438" s="6" t="n">
        <v>2</v>
      </c>
      <c r="G2438" s="6" t="s">
        <v>73</v>
      </c>
      <c r="H2438" s="11" t="n">
        <v>0.001</v>
      </c>
      <c r="I2438" s="6" t="n">
        <v>20</v>
      </c>
      <c r="J2438" s="6" t="n">
        <v>0</v>
      </c>
      <c r="K2438" s="6" t="n">
        <v>20</v>
      </c>
      <c r="L2438" s="6" t="n">
        <v>0</v>
      </c>
      <c r="M2438" s="6" t="n">
        <v>20</v>
      </c>
      <c r="N2438" s="11" t="n">
        <f aca="false">J2438/(J2438+K2438)</f>
        <v>0</v>
      </c>
      <c r="O2438" s="11" t="str">
        <f aca="false">IF(J2438+L2438=0,"",J2438/(J2438+L2438))</f>
        <v/>
      </c>
      <c r="P2438" s="11" t="n">
        <f aca="false">2*J2438/(2*J2438+L2438+K2438)</f>
        <v>0</v>
      </c>
      <c r="Q2438" s="11" t="n">
        <f aca="false">L2438/(L2438+M2438)</f>
        <v>0</v>
      </c>
      <c r="R2438" s="6" t="n">
        <v>0</v>
      </c>
      <c r="S2438" s="11"/>
      <c r="T2438" s="11" t="n">
        <v>0</v>
      </c>
      <c r="U2438" s="11" t="n">
        <v>0.65</v>
      </c>
      <c r="V2438" s="11" t="n">
        <v>0.65</v>
      </c>
    </row>
    <row r="2439" customFormat="false" ht="15" hidden="false" customHeight="false" outlineLevel="0" collapsed="false">
      <c r="A2439" s="6" t="s">
        <v>48</v>
      </c>
      <c r="B2439" s="6" t="s">
        <v>43</v>
      </c>
      <c r="C2439" s="6" t="s">
        <v>49</v>
      </c>
      <c r="D2439" s="6" t="s">
        <v>115</v>
      </c>
      <c r="E2439" s="6" t="n">
        <v>4</v>
      </c>
      <c r="F2439" s="6" t="n">
        <v>2</v>
      </c>
      <c r="G2439" s="6" t="s">
        <v>74</v>
      </c>
      <c r="H2439" s="11" t="n">
        <v>0.001</v>
      </c>
      <c r="I2439" s="6" t="n">
        <v>20</v>
      </c>
      <c r="J2439" s="6" t="n">
        <v>0</v>
      </c>
      <c r="K2439" s="6" t="n">
        <v>20</v>
      </c>
      <c r="L2439" s="6" t="n">
        <v>0</v>
      </c>
      <c r="M2439" s="6" t="n">
        <v>20</v>
      </c>
      <c r="N2439" s="11" t="n">
        <f aca="false">J2439/(J2439+K2439)</f>
        <v>0</v>
      </c>
      <c r="O2439" s="11" t="str">
        <f aca="false">IF(J2439+L2439=0,"",J2439/(J2439+L2439))</f>
        <v/>
      </c>
      <c r="P2439" s="11" t="n">
        <f aca="false">2*J2439/(2*J2439+L2439+K2439)</f>
        <v>0</v>
      </c>
      <c r="Q2439" s="11" t="n">
        <f aca="false">L2439/(L2439+M2439)</f>
        <v>0</v>
      </c>
      <c r="R2439" s="6" t="n">
        <v>0</v>
      </c>
      <c r="S2439" s="11"/>
      <c r="T2439" s="11" t="n">
        <v>0</v>
      </c>
      <c r="U2439" s="11" t="n">
        <v>0.85</v>
      </c>
      <c r="V2439" s="11" t="n">
        <v>0.85</v>
      </c>
    </row>
    <row r="2440" customFormat="false" ht="15" hidden="false" customHeight="false" outlineLevel="0" collapsed="false">
      <c r="A2440" s="6" t="s">
        <v>48</v>
      </c>
      <c r="B2440" s="6" t="s">
        <v>43</v>
      </c>
      <c r="C2440" s="6" t="s">
        <v>49</v>
      </c>
      <c r="D2440" s="6" t="s">
        <v>115</v>
      </c>
      <c r="E2440" s="6" t="n">
        <v>4</v>
      </c>
      <c r="F2440" s="6" t="n">
        <v>2</v>
      </c>
      <c r="G2440" s="6" t="s">
        <v>75</v>
      </c>
      <c r="H2440" s="11" t="n">
        <v>0.001</v>
      </c>
      <c r="I2440" s="6" t="n">
        <v>20</v>
      </c>
      <c r="J2440" s="6" t="n">
        <v>0</v>
      </c>
      <c r="K2440" s="6" t="n">
        <v>20</v>
      </c>
      <c r="L2440" s="6" t="n">
        <v>0</v>
      </c>
      <c r="M2440" s="6" t="n">
        <v>20</v>
      </c>
      <c r="N2440" s="11" t="n">
        <f aca="false">J2440/(J2440+K2440)</f>
        <v>0</v>
      </c>
      <c r="O2440" s="11" t="str">
        <f aca="false">IF(J2440+L2440=0,"",J2440/(J2440+L2440))</f>
        <v/>
      </c>
      <c r="P2440" s="11" t="n">
        <f aca="false">2*J2440/(2*J2440+L2440+K2440)</f>
        <v>0</v>
      </c>
      <c r="Q2440" s="11" t="n">
        <f aca="false">L2440/(L2440+M2440)</f>
        <v>0</v>
      </c>
      <c r="R2440" s="6" t="n">
        <v>0</v>
      </c>
      <c r="S2440" s="11"/>
      <c r="T2440" s="11" t="n">
        <v>0</v>
      </c>
      <c r="U2440" s="11" t="n">
        <v>0.9</v>
      </c>
      <c r="V2440" s="11" t="n">
        <v>0.9</v>
      </c>
    </row>
    <row r="2441" customFormat="false" ht="15" hidden="false" customHeight="false" outlineLevel="0" collapsed="false">
      <c r="A2441" s="6" t="s">
        <v>48</v>
      </c>
      <c r="B2441" s="6" t="s">
        <v>43</v>
      </c>
      <c r="C2441" s="6" t="s">
        <v>49</v>
      </c>
      <c r="D2441" s="6" t="s">
        <v>115</v>
      </c>
      <c r="E2441" s="6" t="n">
        <v>4</v>
      </c>
      <c r="F2441" s="6" t="n">
        <v>2</v>
      </c>
      <c r="G2441" s="6" t="s">
        <v>76</v>
      </c>
      <c r="H2441" s="11" t="n">
        <v>0.001</v>
      </c>
      <c r="I2441" s="6" t="n">
        <v>20</v>
      </c>
      <c r="J2441" s="6" t="n">
        <v>0</v>
      </c>
      <c r="K2441" s="6" t="n">
        <v>20</v>
      </c>
      <c r="L2441" s="6" t="n">
        <v>0</v>
      </c>
      <c r="M2441" s="6" t="n">
        <v>20</v>
      </c>
      <c r="N2441" s="11" t="n">
        <f aca="false">J2441/(J2441+K2441)</f>
        <v>0</v>
      </c>
      <c r="O2441" s="11" t="str">
        <f aca="false">IF(J2441+L2441=0,"",J2441/(J2441+L2441))</f>
        <v/>
      </c>
      <c r="P2441" s="11" t="n">
        <f aca="false">2*J2441/(2*J2441+L2441+K2441)</f>
        <v>0</v>
      </c>
      <c r="Q2441" s="11" t="n">
        <f aca="false">L2441/(L2441+M2441)</f>
        <v>0</v>
      </c>
      <c r="R2441" s="6" t="n">
        <v>0</v>
      </c>
      <c r="S2441" s="11"/>
      <c r="T2441" s="11" t="n">
        <v>0</v>
      </c>
      <c r="U2441" s="11" t="n">
        <v>0.95</v>
      </c>
      <c r="V2441" s="11" t="n">
        <v>0.95</v>
      </c>
    </row>
    <row r="2442" customFormat="false" ht="15" hidden="false" customHeight="false" outlineLevel="0" collapsed="false">
      <c r="A2442" s="6" t="s">
        <v>48</v>
      </c>
      <c r="B2442" s="6" t="s">
        <v>43</v>
      </c>
      <c r="C2442" s="6" t="s">
        <v>49</v>
      </c>
      <c r="D2442" s="6" t="s">
        <v>115</v>
      </c>
      <c r="E2442" s="6" t="n">
        <v>4</v>
      </c>
      <c r="F2442" s="6" t="n">
        <v>2</v>
      </c>
      <c r="G2442" s="6" t="s">
        <v>77</v>
      </c>
      <c r="H2442" s="11" t="n">
        <v>0.001</v>
      </c>
      <c r="I2442" s="6" t="n">
        <v>20</v>
      </c>
      <c r="J2442" s="6" t="n">
        <v>0</v>
      </c>
      <c r="K2442" s="6" t="n">
        <v>20</v>
      </c>
      <c r="L2442" s="6" t="n">
        <v>0</v>
      </c>
      <c r="M2442" s="6" t="n">
        <v>20</v>
      </c>
      <c r="N2442" s="11" t="n">
        <f aca="false">J2442/(J2442+K2442)</f>
        <v>0</v>
      </c>
      <c r="O2442" s="11" t="str">
        <f aca="false">IF(J2442+L2442=0,"",J2442/(J2442+L2442))</f>
        <v/>
      </c>
      <c r="P2442" s="11" t="n">
        <f aca="false">2*J2442/(2*J2442+L2442+K2442)</f>
        <v>0</v>
      </c>
      <c r="Q2442" s="11" t="n">
        <f aca="false">L2442/(L2442+M2442)</f>
        <v>0</v>
      </c>
      <c r="R2442" s="6" t="n">
        <v>0</v>
      </c>
      <c r="S2442" s="11"/>
      <c r="T2442" s="11" t="n">
        <v>0</v>
      </c>
      <c r="U2442" s="11" t="n">
        <v>1</v>
      </c>
      <c r="V2442" s="11" t="n">
        <v>1</v>
      </c>
    </row>
    <row r="2443" customFormat="false" ht="15" hidden="false" customHeight="false" outlineLevel="0" collapsed="false">
      <c r="A2443" s="6" t="s">
        <v>48</v>
      </c>
      <c r="B2443" s="6" t="s">
        <v>43</v>
      </c>
      <c r="C2443" s="6" t="s">
        <v>49</v>
      </c>
      <c r="D2443" s="6" t="s">
        <v>115</v>
      </c>
      <c r="E2443" s="6" t="n">
        <v>4</v>
      </c>
      <c r="F2443" s="6" t="n">
        <v>2</v>
      </c>
      <c r="G2443" s="6" t="s">
        <v>78</v>
      </c>
      <c r="H2443" s="11" t="n">
        <v>0.001</v>
      </c>
      <c r="I2443" s="6" t="n">
        <v>200</v>
      </c>
      <c r="J2443" s="6" t="n">
        <v>0</v>
      </c>
      <c r="K2443" s="6" t="n">
        <v>200</v>
      </c>
      <c r="L2443" s="6" t="n">
        <v>0</v>
      </c>
      <c r="M2443" s="6" t="n">
        <v>200</v>
      </c>
      <c r="N2443" s="11" t="n">
        <f aca="false">J2443/(J2443+K2443)</f>
        <v>0</v>
      </c>
      <c r="O2443" s="11" t="str">
        <f aca="false">IF(J2443+L2443=0,"",J2443/(J2443+L2443))</f>
        <v/>
      </c>
      <c r="P2443" s="11" t="n">
        <f aca="false">2*J2443/(2*J2443+L2443+K2443)</f>
        <v>0</v>
      </c>
      <c r="Q2443" s="11" t="n">
        <f aca="false">L2443/(L2443+M2443)</f>
        <v>0</v>
      </c>
      <c r="R2443" s="6" t="n">
        <v>0</v>
      </c>
      <c r="S2443" s="11"/>
      <c r="T2443" s="11" t="n">
        <v>0</v>
      </c>
      <c r="U2443" s="11" t="n">
        <v>0.88</v>
      </c>
      <c r="V2443" s="11" t="n">
        <v>0.88</v>
      </c>
    </row>
    <row r="2444" customFormat="false" ht="15" hidden="false" customHeight="false" outlineLevel="0" collapsed="false">
      <c r="A2444" s="6" t="s">
        <v>48</v>
      </c>
      <c r="B2444" s="6" t="s">
        <v>43</v>
      </c>
      <c r="C2444" s="6" t="s">
        <v>49</v>
      </c>
      <c r="D2444" s="6" t="s">
        <v>115</v>
      </c>
      <c r="E2444" s="6" t="n">
        <v>4</v>
      </c>
      <c r="F2444" s="6" t="n">
        <v>3</v>
      </c>
      <c r="G2444" s="6" t="s">
        <v>68</v>
      </c>
      <c r="H2444" s="11" t="n">
        <v>0.001</v>
      </c>
      <c r="I2444" s="6" t="n">
        <v>20</v>
      </c>
      <c r="J2444" s="6" t="n">
        <v>20</v>
      </c>
      <c r="K2444" s="6" t="n">
        <v>0</v>
      </c>
      <c r="L2444" s="6" t="n">
        <v>0</v>
      </c>
      <c r="M2444" s="6" t="n">
        <v>20</v>
      </c>
      <c r="N2444" s="11" t="n">
        <f aca="false">J2444/(J2444+K2444)</f>
        <v>1</v>
      </c>
      <c r="O2444" s="11" t="n">
        <f aca="false">IF(J2444+L2444=0,"",J2444/(J2444+L2444))</f>
        <v>1</v>
      </c>
      <c r="P2444" s="11" t="n">
        <f aca="false">2*J2444/(2*J2444+L2444+K2444)</f>
        <v>1</v>
      </c>
      <c r="Q2444" s="11" t="n">
        <f aca="false">L2444/(L2444+M2444)</f>
        <v>0</v>
      </c>
      <c r="R2444" s="6" t="n">
        <v>17</v>
      </c>
      <c r="S2444" s="11" t="n">
        <v>1</v>
      </c>
      <c r="T2444" s="11" t="n">
        <v>1</v>
      </c>
      <c r="U2444" s="11" t="n">
        <v>0.85</v>
      </c>
      <c r="V2444" s="11" t="n">
        <v>0.1</v>
      </c>
    </row>
    <row r="2445" customFormat="false" ht="15" hidden="false" customHeight="false" outlineLevel="0" collapsed="false">
      <c r="A2445" s="6" t="s">
        <v>48</v>
      </c>
      <c r="B2445" s="6" t="s">
        <v>43</v>
      </c>
      <c r="C2445" s="6" t="s">
        <v>49</v>
      </c>
      <c r="D2445" s="6" t="s">
        <v>115</v>
      </c>
      <c r="E2445" s="6" t="n">
        <v>4</v>
      </c>
      <c r="F2445" s="6" t="n">
        <v>3</v>
      </c>
      <c r="G2445" s="6" t="s">
        <v>69</v>
      </c>
      <c r="H2445" s="11" t="n">
        <v>0.001</v>
      </c>
      <c r="I2445" s="6" t="n">
        <v>20</v>
      </c>
      <c r="J2445" s="6" t="n">
        <v>20</v>
      </c>
      <c r="K2445" s="6" t="n">
        <v>0</v>
      </c>
      <c r="L2445" s="6" t="n">
        <v>0</v>
      </c>
      <c r="M2445" s="6" t="n">
        <v>20</v>
      </c>
      <c r="N2445" s="11" t="n">
        <f aca="false">J2445/(J2445+K2445)</f>
        <v>1</v>
      </c>
      <c r="O2445" s="11" t="n">
        <f aca="false">IF(J2445+L2445=0,"",J2445/(J2445+L2445))</f>
        <v>1</v>
      </c>
      <c r="P2445" s="11" t="n">
        <f aca="false">2*J2445/(2*J2445+L2445+K2445)</f>
        <v>1</v>
      </c>
      <c r="Q2445" s="11" t="n">
        <f aca="false">L2445/(L2445+M2445)</f>
        <v>0</v>
      </c>
      <c r="R2445" s="6" t="n">
        <v>20</v>
      </c>
      <c r="S2445" s="11" t="n">
        <v>1</v>
      </c>
      <c r="T2445" s="11"/>
      <c r="U2445" s="11" t="n">
        <v>1</v>
      </c>
      <c r="V2445" s="11" t="n">
        <v>0</v>
      </c>
    </row>
    <row r="2446" customFormat="false" ht="15" hidden="false" customHeight="false" outlineLevel="0" collapsed="false">
      <c r="A2446" s="6" t="s">
        <v>48</v>
      </c>
      <c r="B2446" s="6" t="s">
        <v>43</v>
      </c>
      <c r="C2446" s="6" t="s">
        <v>49</v>
      </c>
      <c r="D2446" s="6" t="s">
        <v>115</v>
      </c>
      <c r="E2446" s="6" t="n">
        <v>4</v>
      </c>
      <c r="F2446" s="6" t="n">
        <v>3</v>
      </c>
      <c r="G2446" s="6" t="s">
        <v>70</v>
      </c>
      <c r="H2446" s="11" t="n">
        <v>0.001</v>
      </c>
      <c r="I2446" s="6" t="n">
        <v>20</v>
      </c>
      <c r="J2446" s="6" t="n">
        <v>20</v>
      </c>
      <c r="K2446" s="6" t="n">
        <v>0</v>
      </c>
      <c r="L2446" s="6" t="n">
        <v>0</v>
      </c>
      <c r="M2446" s="6" t="n">
        <v>20</v>
      </c>
      <c r="N2446" s="11" t="n">
        <f aca="false">J2446/(J2446+K2446)</f>
        <v>1</v>
      </c>
      <c r="O2446" s="11" t="n">
        <f aca="false">IF(J2446+L2446=0,"",J2446/(J2446+L2446))</f>
        <v>1</v>
      </c>
      <c r="P2446" s="11" t="n">
        <f aca="false">2*J2446/(2*J2446+L2446+K2446)</f>
        <v>1</v>
      </c>
      <c r="Q2446" s="11" t="n">
        <f aca="false">L2446/(L2446+M2446)</f>
        <v>0</v>
      </c>
      <c r="R2446" s="6" t="n">
        <v>11</v>
      </c>
      <c r="S2446" s="11" t="n">
        <v>1</v>
      </c>
      <c r="T2446" s="11" t="n">
        <v>1</v>
      </c>
      <c r="U2446" s="11" t="n">
        <v>0.9</v>
      </c>
      <c r="V2446" s="11" t="n">
        <v>0.55</v>
      </c>
    </row>
    <row r="2447" customFormat="false" ht="15" hidden="false" customHeight="false" outlineLevel="0" collapsed="false">
      <c r="A2447" s="6" t="s">
        <v>48</v>
      </c>
      <c r="B2447" s="6" t="s">
        <v>43</v>
      </c>
      <c r="C2447" s="6" t="s">
        <v>49</v>
      </c>
      <c r="D2447" s="6" t="s">
        <v>115</v>
      </c>
      <c r="E2447" s="6" t="n">
        <v>4</v>
      </c>
      <c r="F2447" s="6" t="n">
        <v>3</v>
      </c>
      <c r="G2447" s="6" t="s">
        <v>71</v>
      </c>
      <c r="H2447" s="11" t="n">
        <v>0.001</v>
      </c>
      <c r="I2447" s="6" t="n">
        <v>20</v>
      </c>
      <c r="J2447" s="6" t="n">
        <v>20</v>
      </c>
      <c r="K2447" s="6" t="n">
        <v>0</v>
      </c>
      <c r="L2447" s="6" t="n">
        <v>0</v>
      </c>
      <c r="M2447" s="6" t="n">
        <v>20</v>
      </c>
      <c r="N2447" s="11" t="n">
        <f aca="false">J2447/(J2447+K2447)</f>
        <v>1</v>
      </c>
      <c r="O2447" s="11" t="n">
        <f aca="false">IF(J2447+L2447=0,"",J2447/(J2447+L2447))</f>
        <v>1</v>
      </c>
      <c r="P2447" s="11" t="n">
        <f aca="false">2*J2447/(2*J2447+L2447+K2447)</f>
        <v>1</v>
      </c>
      <c r="Q2447" s="11" t="n">
        <f aca="false">L2447/(L2447+M2447)</f>
        <v>0</v>
      </c>
      <c r="R2447" s="6" t="n">
        <v>18</v>
      </c>
      <c r="S2447" s="11" t="n">
        <v>1</v>
      </c>
      <c r="T2447" s="11" t="n">
        <v>1</v>
      </c>
      <c r="U2447" s="11" t="n">
        <v>0.8</v>
      </c>
      <c r="V2447" s="11" t="n">
        <v>0</v>
      </c>
    </row>
    <row r="2448" customFormat="false" ht="15" hidden="false" customHeight="false" outlineLevel="0" collapsed="false">
      <c r="A2448" s="6" t="s">
        <v>48</v>
      </c>
      <c r="B2448" s="6" t="s">
        <v>43</v>
      </c>
      <c r="C2448" s="6" t="s">
        <v>49</v>
      </c>
      <c r="D2448" s="6" t="s">
        <v>115</v>
      </c>
      <c r="E2448" s="6" t="n">
        <v>4</v>
      </c>
      <c r="F2448" s="6" t="n">
        <v>3</v>
      </c>
      <c r="G2448" s="6" t="s">
        <v>72</v>
      </c>
      <c r="H2448" s="11" t="n">
        <v>0.001</v>
      </c>
      <c r="I2448" s="6" t="n">
        <v>20</v>
      </c>
      <c r="J2448" s="6" t="n">
        <v>20</v>
      </c>
      <c r="K2448" s="6" t="n">
        <v>0</v>
      </c>
      <c r="L2448" s="6" t="n">
        <v>0</v>
      </c>
      <c r="M2448" s="6" t="n">
        <v>20</v>
      </c>
      <c r="N2448" s="11" t="n">
        <f aca="false">J2448/(J2448+K2448)</f>
        <v>1</v>
      </c>
      <c r="O2448" s="11" t="n">
        <f aca="false">IF(J2448+L2448=0,"",J2448/(J2448+L2448))</f>
        <v>1</v>
      </c>
      <c r="P2448" s="11" t="n">
        <f aca="false">2*J2448/(2*J2448+L2448+K2448)</f>
        <v>1</v>
      </c>
      <c r="Q2448" s="11" t="n">
        <f aca="false">L2448/(L2448+M2448)</f>
        <v>0</v>
      </c>
      <c r="R2448" s="6" t="n">
        <v>19</v>
      </c>
      <c r="S2448" s="11" t="n">
        <v>1</v>
      </c>
      <c r="T2448" s="11" t="n">
        <v>1</v>
      </c>
      <c r="U2448" s="11" t="n">
        <v>0.9</v>
      </c>
      <c r="V2448" s="11" t="n">
        <v>0</v>
      </c>
    </row>
    <row r="2449" customFormat="false" ht="15" hidden="false" customHeight="false" outlineLevel="0" collapsed="false">
      <c r="A2449" s="6" t="s">
        <v>48</v>
      </c>
      <c r="B2449" s="6" t="s">
        <v>43</v>
      </c>
      <c r="C2449" s="6" t="s">
        <v>49</v>
      </c>
      <c r="D2449" s="6" t="s">
        <v>115</v>
      </c>
      <c r="E2449" s="6" t="n">
        <v>4</v>
      </c>
      <c r="F2449" s="6" t="n">
        <v>3</v>
      </c>
      <c r="G2449" s="6" t="s">
        <v>73</v>
      </c>
      <c r="H2449" s="11" t="n">
        <v>0.001</v>
      </c>
      <c r="I2449" s="6" t="n">
        <v>20</v>
      </c>
      <c r="J2449" s="6" t="n">
        <v>20</v>
      </c>
      <c r="K2449" s="6" t="n">
        <v>0</v>
      </c>
      <c r="L2449" s="6" t="n">
        <v>0</v>
      </c>
      <c r="M2449" s="6" t="n">
        <v>20</v>
      </c>
      <c r="N2449" s="11" t="n">
        <f aca="false">J2449/(J2449+K2449)</f>
        <v>1</v>
      </c>
      <c r="O2449" s="11" t="n">
        <f aca="false">IF(J2449+L2449=0,"",J2449/(J2449+L2449))</f>
        <v>1</v>
      </c>
      <c r="P2449" s="11" t="n">
        <f aca="false">2*J2449/(2*J2449+L2449+K2449)</f>
        <v>1</v>
      </c>
      <c r="Q2449" s="11" t="n">
        <f aca="false">L2449/(L2449+M2449)</f>
        <v>0</v>
      </c>
      <c r="R2449" s="6" t="n">
        <v>19</v>
      </c>
      <c r="S2449" s="11" t="n">
        <v>1</v>
      </c>
      <c r="T2449" s="11" t="n">
        <v>1</v>
      </c>
      <c r="U2449" s="11" t="n">
        <v>0.65</v>
      </c>
      <c r="V2449" s="11" t="n">
        <v>0</v>
      </c>
    </row>
    <row r="2450" customFormat="false" ht="15" hidden="false" customHeight="false" outlineLevel="0" collapsed="false">
      <c r="A2450" s="6" t="s">
        <v>48</v>
      </c>
      <c r="B2450" s="6" t="s">
        <v>43</v>
      </c>
      <c r="C2450" s="6" t="s">
        <v>49</v>
      </c>
      <c r="D2450" s="6" t="s">
        <v>115</v>
      </c>
      <c r="E2450" s="6" t="n">
        <v>4</v>
      </c>
      <c r="F2450" s="6" t="n">
        <v>3</v>
      </c>
      <c r="G2450" s="6" t="s">
        <v>74</v>
      </c>
      <c r="H2450" s="11" t="n">
        <v>0.001</v>
      </c>
      <c r="I2450" s="6" t="n">
        <v>20</v>
      </c>
      <c r="J2450" s="6" t="n">
        <v>20</v>
      </c>
      <c r="K2450" s="6" t="n">
        <v>0</v>
      </c>
      <c r="L2450" s="6" t="n">
        <v>0</v>
      </c>
      <c r="M2450" s="6" t="n">
        <v>20</v>
      </c>
      <c r="N2450" s="11" t="n">
        <f aca="false">J2450/(J2450+K2450)</f>
        <v>1</v>
      </c>
      <c r="O2450" s="11" t="n">
        <f aca="false">IF(J2450+L2450=0,"",J2450/(J2450+L2450))</f>
        <v>1</v>
      </c>
      <c r="P2450" s="11" t="n">
        <f aca="false">2*J2450/(2*J2450+L2450+K2450)</f>
        <v>1</v>
      </c>
      <c r="Q2450" s="11" t="n">
        <f aca="false">L2450/(L2450+M2450)</f>
        <v>0</v>
      </c>
      <c r="R2450" s="6" t="n">
        <v>19</v>
      </c>
      <c r="S2450" s="11" t="n">
        <v>1</v>
      </c>
      <c r="T2450" s="11" t="n">
        <v>1</v>
      </c>
      <c r="U2450" s="11" t="n">
        <v>0.85</v>
      </c>
      <c r="V2450" s="11" t="n">
        <v>0</v>
      </c>
    </row>
    <row r="2451" customFormat="false" ht="15" hidden="false" customHeight="false" outlineLevel="0" collapsed="false">
      <c r="A2451" s="6" t="s">
        <v>48</v>
      </c>
      <c r="B2451" s="6" t="s">
        <v>43</v>
      </c>
      <c r="C2451" s="6" t="s">
        <v>49</v>
      </c>
      <c r="D2451" s="6" t="s">
        <v>115</v>
      </c>
      <c r="E2451" s="6" t="n">
        <v>4</v>
      </c>
      <c r="F2451" s="6" t="n">
        <v>3</v>
      </c>
      <c r="G2451" s="6" t="s">
        <v>75</v>
      </c>
      <c r="H2451" s="11" t="n">
        <v>0.001</v>
      </c>
      <c r="I2451" s="6" t="n">
        <v>20</v>
      </c>
      <c r="J2451" s="6" t="n">
        <v>20</v>
      </c>
      <c r="K2451" s="6" t="n">
        <v>0</v>
      </c>
      <c r="L2451" s="6" t="n">
        <v>0</v>
      </c>
      <c r="M2451" s="6" t="n">
        <v>20</v>
      </c>
      <c r="N2451" s="11" t="n">
        <f aca="false">J2451/(J2451+K2451)</f>
        <v>1</v>
      </c>
      <c r="O2451" s="11" t="n">
        <f aca="false">IF(J2451+L2451=0,"",J2451/(J2451+L2451))</f>
        <v>1</v>
      </c>
      <c r="P2451" s="11" t="n">
        <f aca="false">2*J2451/(2*J2451+L2451+K2451)</f>
        <v>1</v>
      </c>
      <c r="Q2451" s="11" t="n">
        <f aca="false">L2451/(L2451+M2451)</f>
        <v>0</v>
      </c>
      <c r="R2451" s="6" t="n">
        <v>19</v>
      </c>
      <c r="S2451" s="11" t="n">
        <v>1</v>
      </c>
      <c r="T2451" s="11" t="n">
        <v>1</v>
      </c>
      <c r="U2451" s="11" t="n">
        <v>0.9</v>
      </c>
      <c r="V2451" s="11" t="n">
        <v>0</v>
      </c>
    </row>
    <row r="2452" customFormat="false" ht="15" hidden="false" customHeight="false" outlineLevel="0" collapsed="false">
      <c r="A2452" s="6" t="s">
        <v>48</v>
      </c>
      <c r="B2452" s="6" t="s">
        <v>43</v>
      </c>
      <c r="C2452" s="6" t="s">
        <v>49</v>
      </c>
      <c r="D2452" s="6" t="s">
        <v>115</v>
      </c>
      <c r="E2452" s="6" t="n">
        <v>4</v>
      </c>
      <c r="F2452" s="6" t="n">
        <v>3</v>
      </c>
      <c r="G2452" s="6" t="s">
        <v>76</v>
      </c>
      <c r="H2452" s="11" t="n">
        <v>0.001</v>
      </c>
      <c r="I2452" s="6" t="n">
        <v>20</v>
      </c>
      <c r="J2452" s="6" t="n">
        <v>20</v>
      </c>
      <c r="K2452" s="6" t="n">
        <v>0</v>
      </c>
      <c r="L2452" s="6" t="n">
        <v>0</v>
      </c>
      <c r="M2452" s="6" t="n">
        <v>20</v>
      </c>
      <c r="N2452" s="11" t="n">
        <f aca="false">J2452/(J2452+K2452)</f>
        <v>1</v>
      </c>
      <c r="O2452" s="11" t="n">
        <f aca="false">IF(J2452+L2452=0,"",J2452/(J2452+L2452))</f>
        <v>1</v>
      </c>
      <c r="P2452" s="11" t="n">
        <f aca="false">2*J2452/(2*J2452+L2452+K2452)</f>
        <v>1</v>
      </c>
      <c r="Q2452" s="11" t="n">
        <f aca="false">L2452/(L2452+M2452)</f>
        <v>0</v>
      </c>
      <c r="R2452" s="6" t="n">
        <v>19</v>
      </c>
      <c r="S2452" s="11" t="n">
        <v>1</v>
      </c>
      <c r="T2452" s="11" t="n">
        <v>1</v>
      </c>
      <c r="U2452" s="11" t="n">
        <v>0.95</v>
      </c>
      <c r="V2452" s="11" t="n">
        <v>0</v>
      </c>
    </row>
    <row r="2453" customFormat="false" ht="15" hidden="false" customHeight="false" outlineLevel="0" collapsed="false">
      <c r="A2453" s="6" t="s">
        <v>48</v>
      </c>
      <c r="B2453" s="6" t="s">
        <v>43</v>
      </c>
      <c r="C2453" s="6" t="s">
        <v>49</v>
      </c>
      <c r="D2453" s="6" t="s">
        <v>115</v>
      </c>
      <c r="E2453" s="6" t="n">
        <v>4</v>
      </c>
      <c r="F2453" s="6" t="n">
        <v>3</v>
      </c>
      <c r="G2453" s="6" t="s">
        <v>77</v>
      </c>
      <c r="H2453" s="11" t="n">
        <v>0.001</v>
      </c>
      <c r="I2453" s="6" t="n">
        <v>20</v>
      </c>
      <c r="J2453" s="6" t="n">
        <v>20</v>
      </c>
      <c r="K2453" s="6" t="n">
        <v>0</v>
      </c>
      <c r="L2453" s="6" t="n">
        <v>0</v>
      </c>
      <c r="M2453" s="6" t="n">
        <v>20</v>
      </c>
      <c r="N2453" s="11" t="n">
        <f aca="false">J2453/(J2453+K2453)</f>
        <v>1</v>
      </c>
      <c r="O2453" s="11" t="n">
        <f aca="false">IF(J2453+L2453=0,"",J2453/(J2453+L2453))</f>
        <v>1</v>
      </c>
      <c r="P2453" s="11" t="n">
        <f aca="false">2*J2453/(2*J2453+L2453+K2453)</f>
        <v>1</v>
      </c>
      <c r="Q2453" s="11" t="n">
        <f aca="false">L2453/(L2453+M2453)</f>
        <v>0</v>
      </c>
      <c r="R2453" s="6" t="n">
        <v>20</v>
      </c>
      <c r="S2453" s="11" t="n">
        <v>1</v>
      </c>
      <c r="T2453" s="11"/>
      <c r="U2453" s="11" t="n">
        <v>1</v>
      </c>
      <c r="V2453" s="11" t="n">
        <v>0</v>
      </c>
    </row>
    <row r="2454" customFormat="false" ht="15" hidden="false" customHeight="false" outlineLevel="0" collapsed="false">
      <c r="A2454" s="6" t="s">
        <v>48</v>
      </c>
      <c r="B2454" s="6" t="s">
        <v>43</v>
      </c>
      <c r="C2454" s="6" t="s">
        <v>49</v>
      </c>
      <c r="D2454" s="6" t="s">
        <v>115</v>
      </c>
      <c r="E2454" s="6" t="n">
        <v>4</v>
      </c>
      <c r="F2454" s="6" t="n">
        <v>3</v>
      </c>
      <c r="G2454" s="6" t="s">
        <v>78</v>
      </c>
      <c r="H2454" s="11" t="n">
        <v>0.001</v>
      </c>
      <c r="I2454" s="6" t="n">
        <v>200</v>
      </c>
      <c r="J2454" s="6" t="n">
        <v>200</v>
      </c>
      <c r="K2454" s="6" t="n">
        <v>0</v>
      </c>
      <c r="L2454" s="6" t="n">
        <v>0</v>
      </c>
      <c r="M2454" s="6" t="n">
        <v>200</v>
      </c>
      <c r="N2454" s="11" t="n">
        <f aca="false">J2454/(J2454+K2454)</f>
        <v>1</v>
      </c>
      <c r="O2454" s="11" t="n">
        <f aca="false">IF(J2454+L2454=0,"",J2454/(J2454+L2454))</f>
        <v>1</v>
      </c>
      <c r="P2454" s="11" t="n">
        <f aca="false">2*J2454/(2*J2454+L2454+K2454)</f>
        <v>1</v>
      </c>
      <c r="Q2454" s="11" t="n">
        <f aca="false">L2454/(L2454+M2454)</f>
        <v>0</v>
      </c>
      <c r="R2454" s="6" t="n">
        <v>181</v>
      </c>
      <c r="S2454" s="11" t="n">
        <v>1</v>
      </c>
      <c r="T2454" s="11" t="n">
        <v>1</v>
      </c>
      <c r="U2454" s="11" t="n">
        <v>0.88</v>
      </c>
      <c r="V2454" s="11" t="n">
        <v>0.065</v>
      </c>
    </row>
    <row r="2455" customFormat="false" ht="15" hidden="false" customHeight="false" outlineLevel="0" collapsed="false">
      <c r="A2455" s="6" t="s">
        <v>48</v>
      </c>
      <c r="B2455" s="6" t="s">
        <v>43</v>
      </c>
      <c r="C2455" s="6" t="s">
        <v>49</v>
      </c>
      <c r="D2455" s="6" t="s">
        <v>115</v>
      </c>
      <c r="E2455" s="6" t="n">
        <v>4</v>
      </c>
      <c r="F2455" s="6" t="n">
        <v>4</v>
      </c>
      <c r="G2455" s="6" t="s">
        <v>68</v>
      </c>
      <c r="H2455" s="11" t="n">
        <v>0.001</v>
      </c>
      <c r="I2455" s="6" t="n">
        <v>20</v>
      </c>
      <c r="J2455" s="6" t="n">
        <v>0</v>
      </c>
      <c r="K2455" s="6" t="n">
        <v>20</v>
      </c>
      <c r="L2455" s="6" t="n">
        <v>0</v>
      </c>
      <c r="M2455" s="6" t="n">
        <v>20</v>
      </c>
      <c r="N2455" s="11" t="n">
        <f aca="false">J2455/(J2455+K2455)</f>
        <v>0</v>
      </c>
      <c r="O2455" s="11" t="str">
        <f aca="false">IF(J2455+L2455=0,"",J2455/(J2455+L2455))</f>
        <v/>
      </c>
      <c r="P2455" s="11" t="n">
        <f aca="false">2*J2455/(2*J2455+L2455+K2455)</f>
        <v>0</v>
      </c>
      <c r="Q2455" s="11" t="n">
        <f aca="false">L2455/(L2455+M2455)</f>
        <v>0</v>
      </c>
      <c r="R2455" s="6" t="n">
        <v>0</v>
      </c>
      <c r="S2455" s="11"/>
      <c r="T2455" s="11" t="n">
        <v>0</v>
      </c>
      <c r="U2455" s="11" t="n">
        <v>0.85</v>
      </c>
      <c r="V2455" s="11" t="n">
        <v>0.85</v>
      </c>
    </row>
    <row r="2456" customFormat="false" ht="15" hidden="false" customHeight="false" outlineLevel="0" collapsed="false">
      <c r="A2456" s="6" t="s">
        <v>48</v>
      </c>
      <c r="B2456" s="6" t="s">
        <v>43</v>
      </c>
      <c r="C2456" s="6" t="s">
        <v>49</v>
      </c>
      <c r="D2456" s="6" t="s">
        <v>115</v>
      </c>
      <c r="E2456" s="6" t="n">
        <v>4</v>
      </c>
      <c r="F2456" s="6" t="n">
        <v>4</v>
      </c>
      <c r="G2456" s="6" t="s">
        <v>69</v>
      </c>
      <c r="H2456" s="11" t="n">
        <v>0.001</v>
      </c>
      <c r="I2456" s="6" t="n">
        <v>20</v>
      </c>
      <c r="J2456" s="6" t="n">
        <v>0</v>
      </c>
      <c r="K2456" s="6" t="n">
        <v>20</v>
      </c>
      <c r="L2456" s="6" t="n">
        <v>0</v>
      </c>
      <c r="M2456" s="6" t="n">
        <v>20</v>
      </c>
      <c r="N2456" s="11" t="n">
        <f aca="false">J2456/(J2456+K2456)</f>
        <v>0</v>
      </c>
      <c r="O2456" s="11" t="str">
        <f aca="false">IF(J2456+L2456=0,"",J2456/(J2456+L2456))</f>
        <v/>
      </c>
      <c r="P2456" s="11" t="n">
        <f aca="false">2*J2456/(2*J2456+L2456+K2456)</f>
        <v>0</v>
      </c>
      <c r="Q2456" s="11" t="n">
        <f aca="false">L2456/(L2456+M2456)</f>
        <v>0</v>
      </c>
      <c r="R2456" s="6" t="n">
        <v>0</v>
      </c>
      <c r="S2456" s="11"/>
      <c r="T2456" s="11" t="n">
        <v>0</v>
      </c>
      <c r="U2456" s="11" t="n">
        <v>1</v>
      </c>
      <c r="V2456" s="11" t="n">
        <v>1</v>
      </c>
    </row>
    <row r="2457" customFormat="false" ht="15" hidden="false" customHeight="false" outlineLevel="0" collapsed="false">
      <c r="A2457" s="6" t="s">
        <v>48</v>
      </c>
      <c r="B2457" s="6" t="s">
        <v>43</v>
      </c>
      <c r="C2457" s="6" t="s">
        <v>49</v>
      </c>
      <c r="D2457" s="6" t="s">
        <v>115</v>
      </c>
      <c r="E2457" s="6" t="n">
        <v>4</v>
      </c>
      <c r="F2457" s="6" t="n">
        <v>4</v>
      </c>
      <c r="G2457" s="6" t="s">
        <v>70</v>
      </c>
      <c r="H2457" s="11" t="n">
        <v>0.001</v>
      </c>
      <c r="I2457" s="6" t="n">
        <v>20</v>
      </c>
      <c r="J2457" s="6" t="n">
        <v>0</v>
      </c>
      <c r="K2457" s="6" t="n">
        <v>20</v>
      </c>
      <c r="L2457" s="6" t="n">
        <v>0</v>
      </c>
      <c r="M2457" s="6" t="n">
        <v>20</v>
      </c>
      <c r="N2457" s="11" t="n">
        <f aca="false">J2457/(J2457+K2457)</f>
        <v>0</v>
      </c>
      <c r="O2457" s="11" t="str">
        <f aca="false">IF(J2457+L2457=0,"",J2457/(J2457+L2457))</f>
        <v/>
      </c>
      <c r="P2457" s="11" t="n">
        <f aca="false">2*J2457/(2*J2457+L2457+K2457)</f>
        <v>0</v>
      </c>
      <c r="Q2457" s="11" t="n">
        <f aca="false">L2457/(L2457+M2457)</f>
        <v>0</v>
      </c>
      <c r="R2457" s="6" t="n">
        <v>0</v>
      </c>
      <c r="S2457" s="11"/>
      <c r="T2457" s="11" t="n">
        <v>0</v>
      </c>
      <c r="U2457" s="11" t="n">
        <v>0.9</v>
      </c>
      <c r="V2457" s="11" t="n">
        <v>0.9</v>
      </c>
    </row>
    <row r="2458" customFormat="false" ht="15" hidden="false" customHeight="false" outlineLevel="0" collapsed="false">
      <c r="A2458" s="6" t="s">
        <v>48</v>
      </c>
      <c r="B2458" s="6" t="s">
        <v>43</v>
      </c>
      <c r="C2458" s="6" t="s">
        <v>49</v>
      </c>
      <c r="D2458" s="6" t="s">
        <v>115</v>
      </c>
      <c r="E2458" s="6" t="n">
        <v>4</v>
      </c>
      <c r="F2458" s="6" t="n">
        <v>4</v>
      </c>
      <c r="G2458" s="6" t="s">
        <v>71</v>
      </c>
      <c r="H2458" s="11" t="n">
        <v>0.001</v>
      </c>
      <c r="I2458" s="6" t="n">
        <v>20</v>
      </c>
      <c r="J2458" s="6" t="n">
        <v>0</v>
      </c>
      <c r="K2458" s="6" t="n">
        <v>20</v>
      </c>
      <c r="L2458" s="6" t="n">
        <v>0</v>
      </c>
      <c r="M2458" s="6" t="n">
        <v>20</v>
      </c>
      <c r="N2458" s="11" t="n">
        <f aca="false">J2458/(J2458+K2458)</f>
        <v>0</v>
      </c>
      <c r="O2458" s="11" t="str">
        <f aca="false">IF(J2458+L2458=0,"",J2458/(J2458+L2458))</f>
        <v/>
      </c>
      <c r="P2458" s="11" t="n">
        <f aca="false">2*J2458/(2*J2458+L2458+K2458)</f>
        <v>0</v>
      </c>
      <c r="Q2458" s="11" t="n">
        <f aca="false">L2458/(L2458+M2458)</f>
        <v>0</v>
      </c>
      <c r="R2458" s="6" t="n">
        <v>0</v>
      </c>
      <c r="S2458" s="11"/>
      <c r="T2458" s="11" t="n">
        <v>0</v>
      </c>
      <c r="U2458" s="11" t="n">
        <v>0.8</v>
      </c>
      <c r="V2458" s="11" t="n">
        <v>0.8</v>
      </c>
    </row>
    <row r="2459" customFormat="false" ht="15" hidden="false" customHeight="false" outlineLevel="0" collapsed="false">
      <c r="A2459" s="6" t="s">
        <v>48</v>
      </c>
      <c r="B2459" s="6" t="s">
        <v>43</v>
      </c>
      <c r="C2459" s="6" t="s">
        <v>49</v>
      </c>
      <c r="D2459" s="6" t="s">
        <v>115</v>
      </c>
      <c r="E2459" s="6" t="n">
        <v>4</v>
      </c>
      <c r="F2459" s="6" t="n">
        <v>4</v>
      </c>
      <c r="G2459" s="6" t="s">
        <v>72</v>
      </c>
      <c r="H2459" s="11" t="n">
        <v>0.001</v>
      </c>
      <c r="I2459" s="6" t="n">
        <v>20</v>
      </c>
      <c r="J2459" s="6" t="n">
        <v>0</v>
      </c>
      <c r="K2459" s="6" t="n">
        <v>20</v>
      </c>
      <c r="L2459" s="6" t="n">
        <v>0</v>
      </c>
      <c r="M2459" s="6" t="n">
        <v>20</v>
      </c>
      <c r="N2459" s="11" t="n">
        <f aca="false">J2459/(J2459+K2459)</f>
        <v>0</v>
      </c>
      <c r="O2459" s="11" t="str">
        <f aca="false">IF(J2459+L2459=0,"",J2459/(J2459+L2459))</f>
        <v/>
      </c>
      <c r="P2459" s="11" t="n">
        <f aca="false">2*J2459/(2*J2459+L2459+K2459)</f>
        <v>0</v>
      </c>
      <c r="Q2459" s="11" t="n">
        <f aca="false">L2459/(L2459+M2459)</f>
        <v>0</v>
      </c>
      <c r="R2459" s="6" t="n">
        <v>1</v>
      </c>
      <c r="S2459" s="11" t="n">
        <v>0</v>
      </c>
      <c r="T2459" s="11" t="n">
        <v>0</v>
      </c>
      <c r="U2459" s="11" t="n">
        <v>0.9</v>
      </c>
      <c r="V2459" s="11" t="n">
        <v>0.9</v>
      </c>
    </row>
    <row r="2460" customFormat="false" ht="15" hidden="false" customHeight="false" outlineLevel="0" collapsed="false">
      <c r="A2460" s="6" t="s">
        <v>48</v>
      </c>
      <c r="B2460" s="6" t="s">
        <v>43</v>
      </c>
      <c r="C2460" s="6" t="s">
        <v>49</v>
      </c>
      <c r="D2460" s="6" t="s">
        <v>115</v>
      </c>
      <c r="E2460" s="6" t="n">
        <v>4</v>
      </c>
      <c r="F2460" s="6" t="n">
        <v>4</v>
      </c>
      <c r="G2460" s="6" t="s">
        <v>73</v>
      </c>
      <c r="H2460" s="11" t="n">
        <v>0.001</v>
      </c>
      <c r="I2460" s="6" t="n">
        <v>20</v>
      </c>
      <c r="J2460" s="6" t="n">
        <v>0</v>
      </c>
      <c r="K2460" s="6" t="n">
        <v>20</v>
      </c>
      <c r="L2460" s="6" t="n">
        <v>0</v>
      </c>
      <c r="M2460" s="6" t="n">
        <v>20</v>
      </c>
      <c r="N2460" s="11" t="n">
        <f aca="false">J2460/(J2460+K2460)</f>
        <v>0</v>
      </c>
      <c r="O2460" s="11" t="str">
        <f aca="false">IF(J2460+L2460=0,"",J2460/(J2460+L2460))</f>
        <v/>
      </c>
      <c r="P2460" s="11" t="n">
        <f aca="false">2*J2460/(2*J2460+L2460+K2460)</f>
        <v>0</v>
      </c>
      <c r="Q2460" s="11" t="n">
        <f aca="false">L2460/(L2460+M2460)</f>
        <v>0</v>
      </c>
      <c r="R2460" s="6" t="n">
        <v>1</v>
      </c>
      <c r="S2460" s="11" t="n">
        <v>0</v>
      </c>
      <c r="T2460" s="11" t="n">
        <v>0</v>
      </c>
      <c r="U2460" s="11" t="n">
        <v>0.65</v>
      </c>
      <c r="V2460" s="11" t="n">
        <v>0.65</v>
      </c>
    </row>
    <row r="2461" customFormat="false" ht="15" hidden="false" customHeight="false" outlineLevel="0" collapsed="false">
      <c r="A2461" s="6" t="s">
        <v>48</v>
      </c>
      <c r="B2461" s="6" t="s">
        <v>43</v>
      </c>
      <c r="C2461" s="6" t="s">
        <v>49</v>
      </c>
      <c r="D2461" s="6" t="s">
        <v>115</v>
      </c>
      <c r="E2461" s="6" t="n">
        <v>4</v>
      </c>
      <c r="F2461" s="6" t="n">
        <v>4</v>
      </c>
      <c r="G2461" s="6" t="s">
        <v>74</v>
      </c>
      <c r="H2461" s="11" t="n">
        <v>0.001</v>
      </c>
      <c r="I2461" s="6" t="n">
        <v>20</v>
      </c>
      <c r="J2461" s="6" t="n">
        <v>0</v>
      </c>
      <c r="K2461" s="6" t="n">
        <v>20</v>
      </c>
      <c r="L2461" s="6" t="n">
        <v>0</v>
      </c>
      <c r="M2461" s="6" t="n">
        <v>20</v>
      </c>
      <c r="N2461" s="11" t="n">
        <f aca="false">J2461/(J2461+K2461)</f>
        <v>0</v>
      </c>
      <c r="O2461" s="11" t="str">
        <f aca="false">IF(J2461+L2461=0,"",J2461/(J2461+L2461))</f>
        <v/>
      </c>
      <c r="P2461" s="11" t="n">
        <f aca="false">2*J2461/(2*J2461+L2461+K2461)</f>
        <v>0</v>
      </c>
      <c r="Q2461" s="11" t="n">
        <f aca="false">L2461/(L2461+M2461)</f>
        <v>0</v>
      </c>
      <c r="R2461" s="6" t="n">
        <v>1</v>
      </c>
      <c r="S2461" s="11" t="n">
        <v>0</v>
      </c>
      <c r="T2461" s="11" t="n">
        <v>0</v>
      </c>
      <c r="U2461" s="11" t="n">
        <v>0.85</v>
      </c>
      <c r="V2461" s="11" t="n">
        <v>0.9</v>
      </c>
    </row>
    <row r="2462" customFormat="false" ht="15" hidden="false" customHeight="false" outlineLevel="0" collapsed="false">
      <c r="A2462" s="6" t="s">
        <v>48</v>
      </c>
      <c r="B2462" s="6" t="s">
        <v>43</v>
      </c>
      <c r="C2462" s="6" t="s">
        <v>49</v>
      </c>
      <c r="D2462" s="6" t="s">
        <v>115</v>
      </c>
      <c r="E2462" s="6" t="n">
        <v>4</v>
      </c>
      <c r="F2462" s="6" t="n">
        <v>4</v>
      </c>
      <c r="G2462" s="6" t="s">
        <v>75</v>
      </c>
      <c r="H2462" s="11" t="n">
        <v>0.001</v>
      </c>
      <c r="I2462" s="6" t="n">
        <v>20</v>
      </c>
      <c r="J2462" s="6" t="n">
        <v>0</v>
      </c>
      <c r="K2462" s="6" t="n">
        <v>20</v>
      </c>
      <c r="L2462" s="6" t="n">
        <v>0</v>
      </c>
      <c r="M2462" s="6" t="n">
        <v>20</v>
      </c>
      <c r="N2462" s="11" t="n">
        <f aca="false">J2462/(J2462+K2462)</f>
        <v>0</v>
      </c>
      <c r="O2462" s="11" t="str">
        <f aca="false">IF(J2462+L2462=0,"",J2462/(J2462+L2462))</f>
        <v/>
      </c>
      <c r="P2462" s="11" t="n">
        <f aca="false">2*J2462/(2*J2462+L2462+K2462)</f>
        <v>0</v>
      </c>
      <c r="Q2462" s="11" t="n">
        <f aca="false">L2462/(L2462+M2462)</f>
        <v>0</v>
      </c>
      <c r="R2462" s="6" t="n">
        <v>1</v>
      </c>
      <c r="S2462" s="11" t="n">
        <v>0</v>
      </c>
      <c r="T2462" s="11" t="n">
        <v>0</v>
      </c>
      <c r="U2462" s="11" t="n">
        <v>0.9</v>
      </c>
      <c r="V2462" s="11" t="n">
        <v>0.85</v>
      </c>
    </row>
    <row r="2463" customFormat="false" ht="15" hidden="false" customHeight="false" outlineLevel="0" collapsed="false">
      <c r="A2463" s="6" t="s">
        <v>48</v>
      </c>
      <c r="B2463" s="6" t="s">
        <v>43</v>
      </c>
      <c r="C2463" s="6" t="s">
        <v>49</v>
      </c>
      <c r="D2463" s="6" t="s">
        <v>115</v>
      </c>
      <c r="E2463" s="6" t="n">
        <v>4</v>
      </c>
      <c r="F2463" s="6" t="n">
        <v>4</v>
      </c>
      <c r="G2463" s="6" t="s">
        <v>76</v>
      </c>
      <c r="H2463" s="11" t="n">
        <v>0.001</v>
      </c>
      <c r="I2463" s="6" t="n">
        <v>20</v>
      </c>
      <c r="J2463" s="6" t="n">
        <v>0</v>
      </c>
      <c r="K2463" s="6" t="n">
        <v>20</v>
      </c>
      <c r="L2463" s="6" t="n">
        <v>0</v>
      </c>
      <c r="M2463" s="6" t="n">
        <v>20</v>
      </c>
      <c r="N2463" s="11" t="n">
        <f aca="false">J2463/(J2463+K2463)</f>
        <v>0</v>
      </c>
      <c r="O2463" s="11" t="str">
        <f aca="false">IF(J2463+L2463=0,"",J2463/(J2463+L2463))</f>
        <v/>
      </c>
      <c r="P2463" s="11" t="n">
        <f aca="false">2*J2463/(2*J2463+L2463+K2463)</f>
        <v>0</v>
      </c>
      <c r="Q2463" s="11" t="n">
        <f aca="false">L2463/(L2463+M2463)</f>
        <v>0</v>
      </c>
      <c r="R2463" s="6" t="n">
        <v>0</v>
      </c>
      <c r="S2463" s="11"/>
      <c r="T2463" s="11" t="n">
        <v>0</v>
      </c>
      <c r="U2463" s="11" t="n">
        <v>0.95</v>
      </c>
      <c r="V2463" s="11" t="n">
        <v>0.95</v>
      </c>
    </row>
    <row r="2464" customFormat="false" ht="15" hidden="false" customHeight="false" outlineLevel="0" collapsed="false">
      <c r="A2464" s="6" t="s">
        <v>48</v>
      </c>
      <c r="B2464" s="6" t="s">
        <v>43</v>
      </c>
      <c r="C2464" s="6" t="s">
        <v>49</v>
      </c>
      <c r="D2464" s="6" t="s">
        <v>115</v>
      </c>
      <c r="E2464" s="6" t="n">
        <v>4</v>
      </c>
      <c r="F2464" s="6" t="n">
        <v>4</v>
      </c>
      <c r="G2464" s="6" t="s">
        <v>77</v>
      </c>
      <c r="H2464" s="11" t="n">
        <v>0.001</v>
      </c>
      <c r="I2464" s="6" t="n">
        <v>20</v>
      </c>
      <c r="J2464" s="6" t="n">
        <v>0</v>
      </c>
      <c r="K2464" s="6" t="n">
        <v>20</v>
      </c>
      <c r="L2464" s="6" t="n">
        <v>0</v>
      </c>
      <c r="M2464" s="6" t="n">
        <v>20</v>
      </c>
      <c r="N2464" s="11" t="n">
        <f aca="false">J2464/(J2464+K2464)</f>
        <v>0</v>
      </c>
      <c r="O2464" s="11" t="str">
        <f aca="false">IF(J2464+L2464=0,"",J2464/(J2464+L2464))</f>
        <v/>
      </c>
      <c r="P2464" s="11" t="n">
        <f aca="false">2*J2464/(2*J2464+L2464+K2464)</f>
        <v>0</v>
      </c>
      <c r="Q2464" s="11" t="n">
        <f aca="false">L2464/(L2464+M2464)</f>
        <v>0</v>
      </c>
      <c r="R2464" s="6" t="n">
        <v>0</v>
      </c>
      <c r="S2464" s="11"/>
      <c r="T2464" s="11" t="n">
        <v>0</v>
      </c>
      <c r="U2464" s="11" t="n">
        <v>1</v>
      </c>
      <c r="V2464" s="11" t="n">
        <v>1</v>
      </c>
    </row>
    <row r="2465" customFormat="false" ht="15" hidden="false" customHeight="false" outlineLevel="0" collapsed="false">
      <c r="A2465" s="6" t="s">
        <v>48</v>
      </c>
      <c r="B2465" s="6" t="s">
        <v>43</v>
      </c>
      <c r="C2465" s="6" t="s">
        <v>49</v>
      </c>
      <c r="D2465" s="6" t="s">
        <v>115</v>
      </c>
      <c r="E2465" s="6" t="n">
        <v>4</v>
      </c>
      <c r="F2465" s="6" t="n">
        <v>4</v>
      </c>
      <c r="G2465" s="6" t="s">
        <v>78</v>
      </c>
      <c r="H2465" s="11" t="n">
        <v>0.001</v>
      </c>
      <c r="I2465" s="6" t="n">
        <v>200</v>
      </c>
      <c r="J2465" s="6" t="n">
        <v>0</v>
      </c>
      <c r="K2465" s="6" t="n">
        <v>200</v>
      </c>
      <c r="L2465" s="6" t="n">
        <v>0</v>
      </c>
      <c r="M2465" s="6" t="n">
        <v>200</v>
      </c>
      <c r="N2465" s="11" t="n">
        <f aca="false">J2465/(J2465+K2465)</f>
        <v>0</v>
      </c>
      <c r="O2465" s="11" t="str">
        <f aca="false">IF(J2465+L2465=0,"",J2465/(J2465+L2465))</f>
        <v/>
      </c>
      <c r="P2465" s="11" t="n">
        <f aca="false">2*J2465/(2*J2465+L2465+K2465)</f>
        <v>0</v>
      </c>
      <c r="Q2465" s="11" t="n">
        <f aca="false">L2465/(L2465+M2465)</f>
        <v>0</v>
      </c>
      <c r="R2465" s="6" t="n">
        <v>4</v>
      </c>
      <c r="S2465" s="11" t="n">
        <v>0</v>
      </c>
      <c r="T2465" s="11" t="n">
        <v>0</v>
      </c>
      <c r="U2465" s="11" t="n">
        <v>0.88</v>
      </c>
      <c r="V2465" s="11" t="n">
        <v>0.88</v>
      </c>
    </row>
    <row r="2466" customFormat="false" ht="15" hidden="false" customHeight="false" outlineLevel="0" collapsed="false">
      <c r="A2466" s="6" t="s">
        <v>48</v>
      </c>
      <c r="B2466" s="6" t="s">
        <v>43</v>
      </c>
      <c r="C2466" s="6" t="s">
        <v>49</v>
      </c>
      <c r="D2466" s="6" t="s">
        <v>115</v>
      </c>
      <c r="E2466" s="6" t="n">
        <v>4</v>
      </c>
      <c r="F2466" s="6" t="n">
        <v>5</v>
      </c>
      <c r="G2466" s="6" t="s">
        <v>68</v>
      </c>
      <c r="H2466" s="11" t="n">
        <v>0.001</v>
      </c>
      <c r="I2466" s="6" t="n">
        <v>20</v>
      </c>
      <c r="J2466" s="6" t="n">
        <v>0</v>
      </c>
      <c r="K2466" s="6" t="n">
        <v>20</v>
      </c>
      <c r="L2466" s="6" t="n">
        <v>0</v>
      </c>
      <c r="M2466" s="6" t="n">
        <v>20</v>
      </c>
      <c r="N2466" s="11" t="n">
        <f aca="false">J2466/(J2466+K2466)</f>
        <v>0</v>
      </c>
      <c r="O2466" s="11" t="str">
        <f aca="false">IF(J2466+L2466=0,"",J2466/(J2466+L2466))</f>
        <v/>
      </c>
      <c r="P2466" s="11" t="n">
        <f aca="false">2*J2466/(2*J2466+L2466+K2466)</f>
        <v>0</v>
      </c>
      <c r="Q2466" s="11" t="n">
        <f aca="false">L2466/(L2466+M2466)</f>
        <v>0</v>
      </c>
      <c r="R2466" s="6" t="n">
        <v>0</v>
      </c>
      <c r="S2466" s="11"/>
      <c r="T2466" s="11" t="n">
        <v>0</v>
      </c>
      <c r="U2466" s="11" t="n">
        <v>0.85</v>
      </c>
      <c r="V2466" s="11" t="n">
        <v>0.85</v>
      </c>
    </row>
    <row r="2467" customFormat="false" ht="15" hidden="false" customHeight="false" outlineLevel="0" collapsed="false">
      <c r="A2467" s="6" t="s">
        <v>48</v>
      </c>
      <c r="B2467" s="6" t="s">
        <v>43</v>
      </c>
      <c r="C2467" s="6" t="s">
        <v>49</v>
      </c>
      <c r="D2467" s="6" t="s">
        <v>115</v>
      </c>
      <c r="E2467" s="6" t="n">
        <v>4</v>
      </c>
      <c r="F2467" s="6" t="n">
        <v>5</v>
      </c>
      <c r="G2467" s="6" t="s">
        <v>69</v>
      </c>
      <c r="H2467" s="11" t="n">
        <v>0.001</v>
      </c>
      <c r="I2467" s="6" t="n">
        <v>20</v>
      </c>
      <c r="J2467" s="6" t="n">
        <v>0</v>
      </c>
      <c r="K2467" s="6" t="n">
        <v>20</v>
      </c>
      <c r="L2467" s="6" t="n">
        <v>0</v>
      </c>
      <c r="M2467" s="6" t="n">
        <v>20</v>
      </c>
      <c r="N2467" s="11" t="n">
        <f aca="false">J2467/(J2467+K2467)</f>
        <v>0</v>
      </c>
      <c r="O2467" s="11" t="str">
        <f aca="false">IF(J2467+L2467=0,"",J2467/(J2467+L2467))</f>
        <v/>
      </c>
      <c r="P2467" s="11" t="n">
        <f aca="false">2*J2467/(2*J2467+L2467+K2467)</f>
        <v>0</v>
      </c>
      <c r="Q2467" s="11" t="n">
        <f aca="false">L2467/(L2467+M2467)</f>
        <v>0</v>
      </c>
      <c r="R2467" s="6" t="n">
        <v>0</v>
      </c>
      <c r="S2467" s="11"/>
      <c r="T2467" s="11" t="n">
        <v>0</v>
      </c>
      <c r="U2467" s="11" t="n">
        <v>1</v>
      </c>
      <c r="V2467" s="11" t="n">
        <v>1</v>
      </c>
    </row>
    <row r="2468" customFormat="false" ht="15" hidden="false" customHeight="false" outlineLevel="0" collapsed="false">
      <c r="A2468" s="6" t="s">
        <v>48</v>
      </c>
      <c r="B2468" s="6" t="s">
        <v>43</v>
      </c>
      <c r="C2468" s="6" t="s">
        <v>49</v>
      </c>
      <c r="D2468" s="6" t="s">
        <v>115</v>
      </c>
      <c r="E2468" s="6" t="n">
        <v>4</v>
      </c>
      <c r="F2468" s="6" t="n">
        <v>5</v>
      </c>
      <c r="G2468" s="6" t="s">
        <v>70</v>
      </c>
      <c r="H2468" s="11" t="n">
        <v>0.001</v>
      </c>
      <c r="I2468" s="6" t="n">
        <v>20</v>
      </c>
      <c r="J2468" s="6" t="n">
        <v>0</v>
      </c>
      <c r="K2468" s="6" t="n">
        <v>20</v>
      </c>
      <c r="L2468" s="6" t="n">
        <v>0</v>
      </c>
      <c r="M2468" s="6" t="n">
        <v>20</v>
      </c>
      <c r="N2468" s="11" t="n">
        <f aca="false">J2468/(J2468+K2468)</f>
        <v>0</v>
      </c>
      <c r="O2468" s="11" t="str">
        <f aca="false">IF(J2468+L2468=0,"",J2468/(J2468+L2468))</f>
        <v/>
      </c>
      <c r="P2468" s="11" t="n">
        <f aca="false">2*J2468/(2*J2468+L2468+K2468)</f>
        <v>0</v>
      </c>
      <c r="Q2468" s="11" t="n">
        <f aca="false">L2468/(L2468+M2468)</f>
        <v>0</v>
      </c>
      <c r="R2468" s="6" t="n">
        <v>0</v>
      </c>
      <c r="S2468" s="11"/>
      <c r="T2468" s="11" t="n">
        <v>0</v>
      </c>
      <c r="U2468" s="11" t="n">
        <v>0.9</v>
      </c>
      <c r="V2468" s="11" t="n">
        <v>0.9</v>
      </c>
    </row>
    <row r="2469" customFormat="false" ht="15" hidden="false" customHeight="false" outlineLevel="0" collapsed="false">
      <c r="A2469" s="6" t="s">
        <v>48</v>
      </c>
      <c r="B2469" s="6" t="s">
        <v>43</v>
      </c>
      <c r="C2469" s="6" t="s">
        <v>49</v>
      </c>
      <c r="D2469" s="6" t="s">
        <v>115</v>
      </c>
      <c r="E2469" s="6" t="n">
        <v>4</v>
      </c>
      <c r="F2469" s="6" t="n">
        <v>5</v>
      </c>
      <c r="G2469" s="6" t="s">
        <v>71</v>
      </c>
      <c r="H2469" s="11" t="n">
        <v>0.001</v>
      </c>
      <c r="I2469" s="6" t="n">
        <v>20</v>
      </c>
      <c r="J2469" s="6" t="n">
        <v>0</v>
      </c>
      <c r="K2469" s="6" t="n">
        <v>20</v>
      </c>
      <c r="L2469" s="6" t="n">
        <v>0</v>
      </c>
      <c r="M2469" s="6" t="n">
        <v>20</v>
      </c>
      <c r="N2469" s="11" t="n">
        <f aca="false">J2469/(J2469+K2469)</f>
        <v>0</v>
      </c>
      <c r="O2469" s="11" t="str">
        <f aca="false">IF(J2469+L2469=0,"",J2469/(J2469+L2469))</f>
        <v/>
      </c>
      <c r="P2469" s="11" t="n">
        <f aca="false">2*J2469/(2*J2469+L2469+K2469)</f>
        <v>0</v>
      </c>
      <c r="Q2469" s="11" t="n">
        <f aca="false">L2469/(L2469+M2469)</f>
        <v>0</v>
      </c>
      <c r="R2469" s="6" t="n">
        <v>0</v>
      </c>
      <c r="S2469" s="11"/>
      <c r="T2469" s="11" t="n">
        <v>0</v>
      </c>
      <c r="U2469" s="11" t="n">
        <v>0.8</v>
      </c>
      <c r="V2469" s="11" t="n">
        <v>0.8</v>
      </c>
    </row>
    <row r="2470" customFormat="false" ht="15" hidden="false" customHeight="false" outlineLevel="0" collapsed="false">
      <c r="A2470" s="6" t="s">
        <v>48</v>
      </c>
      <c r="B2470" s="6" t="s">
        <v>43</v>
      </c>
      <c r="C2470" s="6" t="s">
        <v>49</v>
      </c>
      <c r="D2470" s="6" t="s">
        <v>115</v>
      </c>
      <c r="E2470" s="6" t="n">
        <v>4</v>
      </c>
      <c r="F2470" s="6" t="n">
        <v>5</v>
      </c>
      <c r="G2470" s="6" t="s">
        <v>72</v>
      </c>
      <c r="H2470" s="11" t="n">
        <v>0.001</v>
      </c>
      <c r="I2470" s="6" t="n">
        <v>20</v>
      </c>
      <c r="J2470" s="6" t="n">
        <v>0</v>
      </c>
      <c r="K2470" s="6" t="n">
        <v>20</v>
      </c>
      <c r="L2470" s="6" t="n">
        <v>0</v>
      </c>
      <c r="M2470" s="6" t="n">
        <v>20</v>
      </c>
      <c r="N2470" s="11" t="n">
        <f aca="false">J2470/(J2470+K2470)</f>
        <v>0</v>
      </c>
      <c r="O2470" s="11" t="str">
        <f aca="false">IF(J2470+L2470=0,"",J2470/(J2470+L2470))</f>
        <v/>
      </c>
      <c r="P2470" s="11" t="n">
        <f aca="false">2*J2470/(2*J2470+L2470+K2470)</f>
        <v>0</v>
      </c>
      <c r="Q2470" s="11" t="n">
        <f aca="false">L2470/(L2470+M2470)</f>
        <v>0</v>
      </c>
      <c r="R2470" s="6" t="n">
        <v>1</v>
      </c>
      <c r="S2470" s="11" t="n">
        <v>0</v>
      </c>
      <c r="T2470" s="11" t="n">
        <v>0</v>
      </c>
      <c r="U2470" s="11" t="n">
        <v>0.9</v>
      </c>
      <c r="V2470" s="11" t="n">
        <v>0.9</v>
      </c>
    </row>
    <row r="2471" customFormat="false" ht="15" hidden="false" customHeight="false" outlineLevel="0" collapsed="false">
      <c r="A2471" s="6" t="s">
        <v>48</v>
      </c>
      <c r="B2471" s="6" t="s">
        <v>43</v>
      </c>
      <c r="C2471" s="6" t="s">
        <v>49</v>
      </c>
      <c r="D2471" s="6" t="s">
        <v>115</v>
      </c>
      <c r="E2471" s="6" t="n">
        <v>4</v>
      </c>
      <c r="F2471" s="6" t="n">
        <v>5</v>
      </c>
      <c r="G2471" s="6" t="s">
        <v>73</v>
      </c>
      <c r="H2471" s="11" t="n">
        <v>0.001</v>
      </c>
      <c r="I2471" s="6" t="n">
        <v>20</v>
      </c>
      <c r="J2471" s="6" t="n">
        <v>0</v>
      </c>
      <c r="K2471" s="6" t="n">
        <v>20</v>
      </c>
      <c r="L2471" s="6" t="n">
        <v>0</v>
      </c>
      <c r="M2471" s="6" t="n">
        <v>20</v>
      </c>
      <c r="N2471" s="11" t="n">
        <f aca="false">J2471/(J2471+K2471)</f>
        <v>0</v>
      </c>
      <c r="O2471" s="11" t="str">
        <f aca="false">IF(J2471+L2471=0,"",J2471/(J2471+L2471))</f>
        <v/>
      </c>
      <c r="P2471" s="11" t="n">
        <f aca="false">2*J2471/(2*J2471+L2471+K2471)</f>
        <v>0</v>
      </c>
      <c r="Q2471" s="11" t="n">
        <f aca="false">L2471/(L2471+M2471)</f>
        <v>0</v>
      </c>
      <c r="R2471" s="6" t="n">
        <v>1</v>
      </c>
      <c r="S2471" s="11" t="n">
        <v>0</v>
      </c>
      <c r="T2471" s="11" t="n">
        <v>0</v>
      </c>
      <c r="U2471" s="11" t="n">
        <v>0.65</v>
      </c>
      <c r="V2471" s="11" t="n">
        <v>0.65</v>
      </c>
    </row>
    <row r="2472" customFormat="false" ht="15" hidden="false" customHeight="false" outlineLevel="0" collapsed="false">
      <c r="A2472" s="6" t="s">
        <v>48</v>
      </c>
      <c r="B2472" s="6" t="s">
        <v>43</v>
      </c>
      <c r="C2472" s="6" t="s">
        <v>49</v>
      </c>
      <c r="D2472" s="6" t="s">
        <v>115</v>
      </c>
      <c r="E2472" s="6" t="n">
        <v>4</v>
      </c>
      <c r="F2472" s="6" t="n">
        <v>5</v>
      </c>
      <c r="G2472" s="6" t="s">
        <v>74</v>
      </c>
      <c r="H2472" s="11" t="n">
        <v>0.001</v>
      </c>
      <c r="I2472" s="6" t="n">
        <v>20</v>
      </c>
      <c r="J2472" s="6" t="n">
        <v>0</v>
      </c>
      <c r="K2472" s="6" t="n">
        <v>20</v>
      </c>
      <c r="L2472" s="6" t="n">
        <v>0</v>
      </c>
      <c r="M2472" s="6" t="n">
        <v>20</v>
      </c>
      <c r="N2472" s="11" t="n">
        <f aca="false">J2472/(J2472+K2472)</f>
        <v>0</v>
      </c>
      <c r="O2472" s="11" t="str">
        <f aca="false">IF(J2472+L2472=0,"",J2472/(J2472+L2472))</f>
        <v/>
      </c>
      <c r="P2472" s="11" t="n">
        <f aca="false">2*J2472/(2*J2472+L2472+K2472)</f>
        <v>0</v>
      </c>
      <c r="Q2472" s="11" t="n">
        <f aca="false">L2472/(L2472+M2472)</f>
        <v>0</v>
      </c>
      <c r="R2472" s="6" t="n">
        <v>1</v>
      </c>
      <c r="S2472" s="11" t="n">
        <v>0</v>
      </c>
      <c r="T2472" s="11" t="n">
        <v>0</v>
      </c>
      <c r="U2472" s="11" t="n">
        <v>0.85</v>
      </c>
      <c r="V2472" s="11" t="n">
        <v>0.8</v>
      </c>
    </row>
    <row r="2473" customFormat="false" ht="15" hidden="false" customHeight="false" outlineLevel="0" collapsed="false">
      <c r="A2473" s="6" t="s">
        <v>48</v>
      </c>
      <c r="B2473" s="6" t="s">
        <v>43</v>
      </c>
      <c r="C2473" s="6" t="s">
        <v>49</v>
      </c>
      <c r="D2473" s="6" t="s">
        <v>115</v>
      </c>
      <c r="E2473" s="6" t="n">
        <v>4</v>
      </c>
      <c r="F2473" s="6" t="n">
        <v>5</v>
      </c>
      <c r="G2473" s="6" t="s">
        <v>75</v>
      </c>
      <c r="H2473" s="11" t="n">
        <v>0.001</v>
      </c>
      <c r="I2473" s="6" t="n">
        <v>20</v>
      </c>
      <c r="J2473" s="6" t="n">
        <v>0</v>
      </c>
      <c r="K2473" s="6" t="n">
        <v>20</v>
      </c>
      <c r="L2473" s="6" t="n">
        <v>0</v>
      </c>
      <c r="M2473" s="6" t="n">
        <v>20</v>
      </c>
      <c r="N2473" s="11" t="n">
        <f aca="false">J2473/(J2473+K2473)</f>
        <v>0</v>
      </c>
      <c r="O2473" s="11" t="str">
        <f aca="false">IF(J2473+L2473=0,"",J2473/(J2473+L2473))</f>
        <v/>
      </c>
      <c r="P2473" s="11" t="n">
        <f aca="false">2*J2473/(2*J2473+L2473+K2473)</f>
        <v>0</v>
      </c>
      <c r="Q2473" s="11" t="n">
        <f aca="false">L2473/(L2473+M2473)</f>
        <v>0</v>
      </c>
      <c r="R2473" s="6" t="n">
        <v>0</v>
      </c>
      <c r="S2473" s="11"/>
      <c r="T2473" s="11" t="n">
        <v>0</v>
      </c>
      <c r="U2473" s="11" t="n">
        <v>0.9</v>
      </c>
      <c r="V2473" s="11" t="n">
        <v>0.9</v>
      </c>
    </row>
    <row r="2474" customFormat="false" ht="15" hidden="false" customHeight="false" outlineLevel="0" collapsed="false">
      <c r="A2474" s="6" t="s">
        <v>48</v>
      </c>
      <c r="B2474" s="6" t="s">
        <v>43</v>
      </c>
      <c r="C2474" s="6" t="s">
        <v>49</v>
      </c>
      <c r="D2474" s="6" t="s">
        <v>115</v>
      </c>
      <c r="E2474" s="6" t="n">
        <v>4</v>
      </c>
      <c r="F2474" s="6" t="n">
        <v>5</v>
      </c>
      <c r="G2474" s="6" t="s">
        <v>76</v>
      </c>
      <c r="H2474" s="11" t="n">
        <v>0.001</v>
      </c>
      <c r="I2474" s="6" t="n">
        <v>20</v>
      </c>
      <c r="J2474" s="6" t="n">
        <v>0</v>
      </c>
      <c r="K2474" s="6" t="n">
        <v>20</v>
      </c>
      <c r="L2474" s="6" t="n">
        <v>0</v>
      </c>
      <c r="M2474" s="6" t="n">
        <v>20</v>
      </c>
      <c r="N2474" s="11" t="n">
        <f aca="false">J2474/(J2474+K2474)</f>
        <v>0</v>
      </c>
      <c r="O2474" s="11" t="str">
        <f aca="false">IF(J2474+L2474=0,"",J2474/(J2474+L2474))</f>
        <v/>
      </c>
      <c r="P2474" s="11" t="n">
        <f aca="false">2*J2474/(2*J2474+L2474+K2474)</f>
        <v>0</v>
      </c>
      <c r="Q2474" s="11" t="n">
        <f aca="false">L2474/(L2474+M2474)</f>
        <v>0</v>
      </c>
      <c r="R2474" s="6" t="n">
        <v>0</v>
      </c>
      <c r="S2474" s="11"/>
      <c r="T2474" s="11" t="n">
        <v>0</v>
      </c>
      <c r="U2474" s="11" t="n">
        <v>0.95</v>
      </c>
      <c r="V2474" s="11" t="n">
        <v>0.95</v>
      </c>
    </row>
    <row r="2475" customFormat="false" ht="15" hidden="false" customHeight="false" outlineLevel="0" collapsed="false">
      <c r="A2475" s="6" t="s">
        <v>48</v>
      </c>
      <c r="B2475" s="6" t="s">
        <v>43</v>
      </c>
      <c r="C2475" s="6" t="s">
        <v>49</v>
      </c>
      <c r="D2475" s="6" t="s">
        <v>115</v>
      </c>
      <c r="E2475" s="6" t="n">
        <v>4</v>
      </c>
      <c r="F2475" s="6" t="n">
        <v>5</v>
      </c>
      <c r="G2475" s="6" t="s">
        <v>77</v>
      </c>
      <c r="H2475" s="11" t="n">
        <v>0.001</v>
      </c>
      <c r="I2475" s="6" t="n">
        <v>20</v>
      </c>
      <c r="J2475" s="6" t="n">
        <v>0</v>
      </c>
      <c r="K2475" s="6" t="n">
        <v>20</v>
      </c>
      <c r="L2475" s="6" t="n">
        <v>0</v>
      </c>
      <c r="M2475" s="6" t="n">
        <v>20</v>
      </c>
      <c r="N2475" s="11" t="n">
        <f aca="false">J2475/(J2475+K2475)</f>
        <v>0</v>
      </c>
      <c r="O2475" s="11" t="str">
        <f aca="false">IF(J2475+L2475=0,"",J2475/(J2475+L2475))</f>
        <v/>
      </c>
      <c r="P2475" s="11" t="n">
        <f aca="false">2*J2475/(2*J2475+L2475+K2475)</f>
        <v>0</v>
      </c>
      <c r="Q2475" s="11" t="n">
        <f aca="false">L2475/(L2475+M2475)</f>
        <v>0</v>
      </c>
      <c r="R2475" s="6" t="n">
        <v>0</v>
      </c>
      <c r="S2475" s="11"/>
      <c r="T2475" s="11" t="n">
        <v>0</v>
      </c>
      <c r="U2475" s="11" t="n">
        <v>1</v>
      </c>
      <c r="V2475" s="11" t="n">
        <v>1</v>
      </c>
    </row>
    <row r="2476" customFormat="false" ht="15" hidden="false" customHeight="false" outlineLevel="0" collapsed="false">
      <c r="A2476" s="6" t="s">
        <v>48</v>
      </c>
      <c r="B2476" s="6" t="s">
        <v>43</v>
      </c>
      <c r="C2476" s="6" t="s">
        <v>49</v>
      </c>
      <c r="D2476" s="6" t="s">
        <v>115</v>
      </c>
      <c r="E2476" s="6" t="n">
        <v>4</v>
      </c>
      <c r="F2476" s="6" t="n">
        <v>5</v>
      </c>
      <c r="G2476" s="6" t="s">
        <v>78</v>
      </c>
      <c r="H2476" s="11" t="n">
        <v>0.001</v>
      </c>
      <c r="I2476" s="6" t="n">
        <v>200</v>
      </c>
      <c r="J2476" s="6" t="n">
        <v>0</v>
      </c>
      <c r="K2476" s="6" t="n">
        <v>200</v>
      </c>
      <c r="L2476" s="6" t="n">
        <v>0</v>
      </c>
      <c r="M2476" s="6" t="n">
        <v>200</v>
      </c>
      <c r="N2476" s="11" t="n">
        <f aca="false">J2476/(J2476+K2476)</f>
        <v>0</v>
      </c>
      <c r="O2476" s="11" t="str">
        <f aca="false">IF(J2476+L2476=0,"",J2476/(J2476+L2476))</f>
        <v/>
      </c>
      <c r="P2476" s="11" t="n">
        <f aca="false">2*J2476/(2*J2476+L2476+K2476)</f>
        <v>0</v>
      </c>
      <c r="Q2476" s="11" t="n">
        <f aca="false">L2476/(L2476+M2476)</f>
        <v>0</v>
      </c>
      <c r="R2476" s="6" t="n">
        <v>3</v>
      </c>
      <c r="S2476" s="11" t="n">
        <v>0</v>
      </c>
      <c r="T2476" s="11" t="n">
        <v>0</v>
      </c>
      <c r="U2476" s="11" t="n">
        <v>0.88</v>
      </c>
      <c r="V2476" s="11" t="n">
        <v>0.875</v>
      </c>
    </row>
    <row r="2477" customFormat="false" ht="15" hidden="false" customHeight="false" outlineLevel="0" collapsed="false">
      <c r="A2477" s="6" t="s">
        <v>48</v>
      </c>
      <c r="B2477" s="6" t="s">
        <v>43</v>
      </c>
      <c r="C2477" s="6" t="s">
        <v>49</v>
      </c>
      <c r="D2477" s="6" t="s">
        <v>115</v>
      </c>
      <c r="E2477" s="6" t="n">
        <v>4</v>
      </c>
      <c r="F2477" s="6" t="n">
        <v>6</v>
      </c>
      <c r="G2477" s="6" t="s">
        <v>68</v>
      </c>
      <c r="H2477" s="11" t="n">
        <v>0.001</v>
      </c>
      <c r="I2477" s="6" t="n">
        <v>20</v>
      </c>
      <c r="J2477" s="6" t="n">
        <v>0</v>
      </c>
      <c r="K2477" s="6" t="n">
        <v>20</v>
      </c>
      <c r="L2477" s="6" t="n">
        <v>0</v>
      </c>
      <c r="M2477" s="6" t="n">
        <v>20</v>
      </c>
      <c r="N2477" s="11" t="n">
        <f aca="false">J2477/(J2477+K2477)</f>
        <v>0</v>
      </c>
      <c r="O2477" s="11" t="str">
        <f aca="false">IF(J2477+L2477=0,"",J2477/(J2477+L2477))</f>
        <v/>
      </c>
      <c r="P2477" s="11" t="n">
        <f aca="false">2*J2477/(2*J2477+L2477+K2477)</f>
        <v>0</v>
      </c>
      <c r="Q2477" s="11" t="n">
        <f aca="false">L2477/(L2477+M2477)</f>
        <v>0</v>
      </c>
      <c r="R2477" s="6" t="n">
        <v>1</v>
      </c>
      <c r="S2477" s="11" t="n">
        <v>0</v>
      </c>
      <c r="T2477" s="11" t="n">
        <v>0</v>
      </c>
      <c r="U2477" s="11" t="n">
        <v>0.85</v>
      </c>
      <c r="V2477" s="11" t="n">
        <v>0.85</v>
      </c>
    </row>
    <row r="2478" customFormat="false" ht="15" hidden="false" customHeight="false" outlineLevel="0" collapsed="false">
      <c r="A2478" s="6" t="s">
        <v>48</v>
      </c>
      <c r="B2478" s="6" t="s">
        <v>43</v>
      </c>
      <c r="C2478" s="6" t="s">
        <v>49</v>
      </c>
      <c r="D2478" s="6" t="s">
        <v>115</v>
      </c>
      <c r="E2478" s="6" t="n">
        <v>4</v>
      </c>
      <c r="F2478" s="6" t="n">
        <v>6</v>
      </c>
      <c r="G2478" s="6" t="s">
        <v>69</v>
      </c>
      <c r="H2478" s="11" t="n">
        <v>0.001</v>
      </c>
      <c r="I2478" s="6" t="n">
        <v>20</v>
      </c>
      <c r="J2478" s="6" t="n">
        <v>0</v>
      </c>
      <c r="K2478" s="6" t="n">
        <v>20</v>
      </c>
      <c r="L2478" s="6" t="n">
        <v>0</v>
      </c>
      <c r="M2478" s="6" t="n">
        <v>20</v>
      </c>
      <c r="N2478" s="11" t="n">
        <f aca="false">J2478/(J2478+K2478)</f>
        <v>0</v>
      </c>
      <c r="O2478" s="11" t="str">
        <f aca="false">IF(J2478+L2478=0,"",J2478/(J2478+L2478))</f>
        <v/>
      </c>
      <c r="P2478" s="11" t="n">
        <f aca="false">2*J2478/(2*J2478+L2478+K2478)</f>
        <v>0</v>
      </c>
      <c r="Q2478" s="11" t="n">
        <f aca="false">L2478/(L2478+M2478)</f>
        <v>0</v>
      </c>
      <c r="R2478" s="6" t="n">
        <v>0</v>
      </c>
      <c r="S2478" s="11"/>
      <c r="T2478" s="11" t="n">
        <v>0</v>
      </c>
      <c r="U2478" s="11" t="n">
        <v>1</v>
      </c>
      <c r="V2478" s="11" t="n">
        <v>1</v>
      </c>
    </row>
    <row r="2479" customFormat="false" ht="15" hidden="false" customHeight="false" outlineLevel="0" collapsed="false">
      <c r="A2479" s="6" t="s">
        <v>48</v>
      </c>
      <c r="B2479" s="6" t="s">
        <v>43</v>
      </c>
      <c r="C2479" s="6" t="s">
        <v>49</v>
      </c>
      <c r="D2479" s="6" t="s">
        <v>115</v>
      </c>
      <c r="E2479" s="6" t="n">
        <v>4</v>
      </c>
      <c r="F2479" s="6" t="n">
        <v>6</v>
      </c>
      <c r="G2479" s="6" t="s">
        <v>70</v>
      </c>
      <c r="H2479" s="11" t="n">
        <v>0.001</v>
      </c>
      <c r="I2479" s="6" t="n">
        <v>20</v>
      </c>
      <c r="J2479" s="6" t="n">
        <v>0</v>
      </c>
      <c r="K2479" s="6" t="n">
        <v>20</v>
      </c>
      <c r="L2479" s="6" t="n">
        <v>0</v>
      </c>
      <c r="M2479" s="6" t="n">
        <v>20</v>
      </c>
      <c r="N2479" s="11" t="n">
        <f aca="false">J2479/(J2479+K2479)</f>
        <v>0</v>
      </c>
      <c r="O2479" s="11" t="str">
        <f aca="false">IF(J2479+L2479=0,"",J2479/(J2479+L2479))</f>
        <v/>
      </c>
      <c r="P2479" s="11" t="n">
        <f aca="false">2*J2479/(2*J2479+L2479+K2479)</f>
        <v>0</v>
      </c>
      <c r="Q2479" s="11" t="n">
        <f aca="false">L2479/(L2479+M2479)</f>
        <v>0</v>
      </c>
      <c r="R2479" s="6" t="n">
        <v>0</v>
      </c>
      <c r="S2479" s="11"/>
      <c r="T2479" s="11" t="n">
        <v>0</v>
      </c>
      <c r="U2479" s="11" t="n">
        <v>0.9</v>
      </c>
      <c r="V2479" s="11" t="n">
        <v>0.9</v>
      </c>
    </row>
    <row r="2480" customFormat="false" ht="15" hidden="false" customHeight="false" outlineLevel="0" collapsed="false">
      <c r="A2480" s="6" t="s">
        <v>48</v>
      </c>
      <c r="B2480" s="6" t="s">
        <v>43</v>
      </c>
      <c r="C2480" s="6" t="s">
        <v>49</v>
      </c>
      <c r="D2480" s="6" t="s">
        <v>115</v>
      </c>
      <c r="E2480" s="6" t="n">
        <v>4</v>
      </c>
      <c r="F2480" s="6" t="n">
        <v>6</v>
      </c>
      <c r="G2480" s="6" t="s">
        <v>71</v>
      </c>
      <c r="H2480" s="11" t="n">
        <v>0.001</v>
      </c>
      <c r="I2480" s="6" t="n">
        <v>20</v>
      </c>
      <c r="J2480" s="6" t="n">
        <v>0</v>
      </c>
      <c r="K2480" s="6" t="n">
        <v>20</v>
      </c>
      <c r="L2480" s="6" t="n">
        <v>0</v>
      </c>
      <c r="M2480" s="6" t="n">
        <v>20</v>
      </c>
      <c r="N2480" s="11" t="n">
        <f aca="false">J2480/(J2480+K2480)</f>
        <v>0</v>
      </c>
      <c r="O2480" s="11" t="str">
        <f aca="false">IF(J2480+L2480=0,"",J2480/(J2480+L2480))</f>
        <v/>
      </c>
      <c r="P2480" s="11" t="n">
        <f aca="false">2*J2480/(2*J2480+L2480+K2480)</f>
        <v>0</v>
      </c>
      <c r="Q2480" s="11" t="n">
        <f aca="false">L2480/(L2480+M2480)</f>
        <v>0</v>
      </c>
      <c r="R2480" s="6" t="n">
        <v>0</v>
      </c>
      <c r="S2480" s="11"/>
      <c r="T2480" s="11" t="n">
        <v>0</v>
      </c>
      <c r="U2480" s="11" t="n">
        <v>0.8</v>
      </c>
      <c r="V2480" s="11" t="n">
        <v>0.8</v>
      </c>
    </row>
    <row r="2481" customFormat="false" ht="15" hidden="false" customHeight="false" outlineLevel="0" collapsed="false">
      <c r="A2481" s="6" t="s">
        <v>48</v>
      </c>
      <c r="B2481" s="6" t="s">
        <v>43</v>
      </c>
      <c r="C2481" s="6" t="s">
        <v>49</v>
      </c>
      <c r="D2481" s="6" t="s">
        <v>115</v>
      </c>
      <c r="E2481" s="6" t="n">
        <v>4</v>
      </c>
      <c r="F2481" s="6" t="n">
        <v>6</v>
      </c>
      <c r="G2481" s="6" t="s">
        <v>72</v>
      </c>
      <c r="H2481" s="11" t="n">
        <v>0.001</v>
      </c>
      <c r="I2481" s="6" t="n">
        <v>20</v>
      </c>
      <c r="J2481" s="6" t="n">
        <v>0</v>
      </c>
      <c r="K2481" s="6" t="n">
        <v>20</v>
      </c>
      <c r="L2481" s="6" t="n">
        <v>0</v>
      </c>
      <c r="M2481" s="6" t="n">
        <v>20</v>
      </c>
      <c r="N2481" s="11" t="n">
        <f aca="false">J2481/(J2481+K2481)</f>
        <v>0</v>
      </c>
      <c r="O2481" s="11" t="str">
        <f aca="false">IF(J2481+L2481=0,"",J2481/(J2481+L2481))</f>
        <v/>
      </c>
      <c r="P2481" s="11" t="n">
        <f aca="false">2*J2481/(2*J2481+L2481+K2481)</f>
        <v>0</v>
      </c>
      <c r="Q2481" s="11" t="n">
        <f aca="false">L2481/(L2481+M2481)</f>
        <v>0</v>
      </c>
      <c r="R2481" s="6" t="n">
        <v>0</v>
      </c>
      <c r="S2481" s="11"/>
      <c r="T2481" s="11" t="n">
        <v>0</v>
      </c>
      <c r="U2481" s="11" t="n">
        <v>0.9</v>
      </c>
      <c r="V2481" s="11" t="n">
        <v>0.9</v>
      </c>
    </row>
    <row r="2482" customFormat="false" ht="15" hidden="false" customHeight="false" outlineLevel="0" collapsed="false">
      <c r="A2482" s="6" t="s">
        <v>48</v>
      </c>
      <c r="B2482" s="6" t="s">
        <v>43</v>
      </c>
      <c r="C2482" s="6" t="s">
        <v>49</v>
      </c>
      <c r="D2482" s="6" t="s">
        <v>115</v>
      </c>
      <c r="E2482" s="6" t="n">
        <v>4</v>
      </c>
      <c r="F2482" s="6" t="n">
        <v>6</v>
      </c>
      <c r="G2482" s="6" t="s">
        <v>73</v>
      </c>
      <c r="H2482" s="11" t="n">
        <v>0.001</v>
      </c>
      <c r="I2482" s="6" t="n">
        <v>20</v>
      </c>
      <c r="J2482" s="6" t="n">
        <v>0</v>
      </c>
      <c r="K2482" s="6" t="n">
        <v>20</v>
      </c>
      <c r="L2482" s="6" t="n">
        <v>0</v>
      </c>
      <c r="M2482" s="6" t="n">
        <v>20</v>
      </c>
      <c r="N2482" s="11" t="n">
        <f aca="false">J2482/(J2482+K2482)</f>
        <v>0</v>
      </c>
      <c r="O2482" s="11" t="str">
        <f aca="false">IF(J2482+L2482=0,"",J2482/(J2482+L2482))</f>
        <v/>
      </c>
      <c r="P2482" s="11" t="n">
        <f aca="false">2*J2482/(2*J2482+L2482+K2482)</f>
        <v>0</v>
      </c>
      <c r="Q2482" s="11" t="n">
        <f aca="false">L2482/(L2482+M2482)</f>
        <v>0</v>
      </c>
      <c r="R2482" s="6" t="n">
        <v>1</v>
      </c>
      <c r="S2482" s="11" t="n">
        <v>0</v>
      </c>
      <c r="T2482" s="11" t="n">
        <v>0</v>
      </c>
      <c r="U2482" s="11" t="n">
        <v>0.65</v>
      </c>
      <c r="V2482" s="11" t="n">
        <v>0.65</v>
      </c>
    </row>
    <row r="2483" customFormat="false" ht="15" hidden="false" customHeight="false" outlineLevel="0" collapsed="false">
      <c r="A2483" s="6" t="s">
        <v>48</v>
      </c>
      <c r="B2483" s="6" t="s">
        <v>43</v>
      </c>
      <c r="C2483" s="6" t="s">
        <v>49</v>
      </c>
      <c r="D2483" s="6" t="s">
        <v>115</v>
      </c>
      <c r="E2483" s="6" t="n">
        <v>4</v>
      </c>
      <c r="F2483" s="6" t="n">
        <v>6</v>
      </c>
      <c r="G2483" s="6" t="s">
        <v>74</v>
      </c>
      <c r="H2483" s="11" t="n">
        <v>0.001</v>
      </c>
      <c r="I2483" s="6" t="n">
        <v>20</v>
      </c>
      <c r="J2483" s="6" t="n">
        <v>0</v>
      </c>
      <c r="K2483" s="6" t="n">
        <v>20</v>
      </c>
      <c r="L2483" s="6" t="n">
        <v>0</v>
      </c>
      <c r="M2483" s="6" t="n">
        <v>20</v>
      </c>
      <c r="N2483" s="11" t="n">
        <f aca="false">J2483/(J2483+K2483)</f>
        <v>0</v>
      </c>
      <c r="O2483" s="11" t="str">
        <f aca="false">IF(J2483+L2483=0,"",J2483/(J2483+L2483))</f>
        <v/>
      </c>
      <c r="P2483" s="11" t="n">
        <f aca="false">2*J2483/(2*J2483+L2483+K2483)</f>
        <v>0</v>
      </c>
      <c r="Q2483" s="11" t="n">
        <f aca="false">L2483/(L2483+M2483)</f>
        <v>0</v>
      </c>
      <c r="R2483" s="6" t="n">
        <v>1</v>
      </c>
      <c r="S2483" s="11" t="n">
        <v>0</v>
      </c>
      <c r="T2483" s="11" t="n">
        <v>0</v>
      </c>
      <c r="U2483" s="11" t="n">
        <v>0.85</v>
      </c>
      <c r="V2483" s="11" t="n">
        <v>0.85</v>
      </c>
    </row>
    <row r="2484" customFormat="false" ht="15" hidden="false" customHeight="false" outlineLevel="0" collapsed="false">
      <c r="A2484" s="6" t="s">
        <v>48</v>
      </c>
      <c r="B2484" s="6" t="s">
        <v>43</v>
      </c>
      <c r="C2484" s="6" t="s">
        <v>49</v>
      </c>
      <c r="D2484" s="6" t="s">
        <v>115</v>
      </c>
      <c r="E2484" s="6" t="n">
        <v>4</v>
      </c>
      <c r="F2484" s="6" t="n">
        <v>6</v>
      </c>
      <c r="G2484" s="6" t="s">
        <v>75</v>
      </c>
      <c r="H2484" s="11" t="n">
        <v>0.001</v>
      </c>
      <c r="I2484" s="6" t="n">
        <v>20</v>
      </c>
      <c r="J2484" s="6" t="n">
        <v>0</v>
      </c>
      <c r="K2484" s="6" t="n">
        <v>20</v>
      </c>
      <c r="L2484" s="6" t="n">
        <v>0</v>
      </c>
      <c r="M2484" s="6" t="n">
        <v>20</v>
      </c>
      <c r="N2484" s="11" t="n">
        <f aca="false">J2484/(J2484+K2484)</f>
        <v>0</v>
      </c>
      <c r="O2484" s="11" t="str">
        <f aca="false">IF(J2484+L2484=0,"",J2484/(J2484+L2484))</f>
        <v/>
      </c>
      <c r="P2484" s="11" t="n">
        <f aca="false">2*J2484/(2*J2484+L2484+K2484)</f>
        <v>0</v>
      </c>
      <c r="Q2484" s="11" t="n">
        <f aca="false">L2484/(L2484+M2484)</f>
        <v>0</v>
      </c>
      <c r="R2484" s="6" t="n">
        <v>1</v>
      </c>
      <c r="S2484" s="11" t="n">
        <v>0</v>
      </c>
      <c r="T2484" s="11" t="n">
        <v>0</v>
      </c>
      <c r="U2484" s="11" t="n">
        <v>0.9</v>
      </c>
      <c r="V2484" s="11" t="n">
        <v>0.95</v>
      </c>
    </row>
    <row r="2485" customFormat="false" ht="15" hidden="false" customHeight="false" outlineLevel="0" collapsed="false">
      <c r="A2485" s="6" t="s">
        <v>48</v>
      </c>
      <c r="B2485" s="6" t="s">
        <v>43</v>
      </c>
      <c r="C2485" s="6" t="s">
        <v>49</v>
      </c>
      <c r="D2485" s="6" t="s">
        <v>115</v>
      </c>
      <c r="E2485" s="6" t="n">
        <v>4</v>
      </c>
      <c r="F2485" s="6" t="n">
        <v>6</v>
      </c>
      <c r="G2485" s="6" t="s">
        <v>76</v>
      </c>
      <c r="H2485" s="11" t="n">
        <v>0.001</v>
      </c>
      <c r="I2485" s="6" t="n">
        <v>20</v>
      </c>
      <c r="J2485" s="6" t="n">
        <v>0</v>
      </c>
      <c r="K2485" s="6" t="n">
        <v>20</v>
      </c>
      <c r="L2485" s="6" t="n">
        <v>0</v>
      </c>
      <c r="M2485" s="6" t="n">
        <v>20</v>
      </c>
      <c r="N2485" s="11" t="n">
        <f aca="false">J2485/(J2485+K2485)</f>
        <v>0</v>
      </c>
      <c r="O2485" s="11" t="str">
        <f aca="false">IF(J2485+L2485=0,"",J2485/(J2485+L2485))</f>
        <v/>
      </c>
      <c r="P2485" s="11" t="n">
        <f aca="false">2*J2485/(2*J2485+L2485+K2485)</f>
        <v>0</v>
      </c>
      <c r="Q2485" s="11" t="n">
        <f aca="false">L2485/(L2485+M2485)</f>
        <v>0</v>
      </c>
      <c r="R2485" s="6" t="n">
        <v>0</v>
      </c>
      <c r="S2485" s="11"/>
      <c r="T2485" s="11" t="n">
        <v>0</v>
      </c>
      <c r="U2485" s="11" t="n">
        <v>0.95</v>
      </c>
      <c r="V2485" s="11" t="n">
        <v>0.95</v>
      </c>
    </row>
    <row r="2486" customFormat="false" ht="15" hidden="false" customHeight="false" outlineLevel="0" collapsed="false">
      <c r="A2486" s="6" t="s">
        <v>48</v>
      </c>
      <c r="B2486" s="6" t="s">
        <v>43</v>
      </c>
      <c r="C2486" s="6" t="s">
        <v>49</v>
      </c>
      <c r="D2486" s="6" t="s">
        <v>115</v>
      </c>
      <c r="E2486" s="6" t="n">
        <v>4</v>
      </c>
      <c r="F2486" s="6" t="n">
        <v>6</v>
      </c>
      <c r="G2486" s="6" t="s">
        <v>77</v>
      </c>
      <c r="H2486" s="11" t="n">
        <v>0.001</v>
      </c>
      <c r="I2486" s="6" t="n">
        <v>20</v>
      </c>
      <c r="J2486" s="6" t="n">
        <v>0</v>
      </c>
      <c r="K2486" s="6" t="n">
        <v>20</v>
      </c>
      <c r="L2486" s="6" t="n">
        <v>0</v>
      </c>
      <c r="M2486" s="6" t="n">
        <v>20</v>
      </c>
      <c r="N2486" s="11" t="n">
        <f aca="false">J2486/(J2486+K2486)</f>
        <v>0</v>
      </c>
      <c r="O2486" s="11" t="str">
        <f aca="false">IF(J2486+L2486=0,"",J2486/(J2486+L2486))</f>
        <v/>
      </c>
      <c r="P2486" s="11" t="n">
        <f aca="false">2*J2486/(2*J2486+L2486+K2486)</f>
        <v>0</v>
      </c>
      <c r="Q2486" s="11" t="n">
        <f aca="false">L2486/(L2486+M2486)</f>
        <v>0</v>
      </c>
      <c r="R2486" s="6" t="n">
        <v>0</v>
      </c>
      <c r="S2486" s="11"/>
      <c r="T2486" s="11" t="n">
        <v>0</v>
      </c>
      <c r="U2486" s="11" t="n">
        <v>1</v>
      </c>
      <c r="V2486" s="11" t="n">
        <v>1</v>
      </c>
    </row>
    <row r="2487" customFormat="false" ht="15" hidden="false" customHeight="false" outlineLevel="0" collapsed="false">
      <c r="A2487" s="6" t="s">
        <v>48</v>
      </c>
      <c r="B2487" s="6" t="s">
        <v>43</v>
      </c>
      <c r="C2487" s="6" t="s">
        <v>49</v>
      </c>
      <c r="D2487" s="6" t="s">
        <v>115</v>
      </c>
      <c r="E2487" s="6" t="n">
        <v>4</v>
      </c>
      <c r="F2487" s="6" t="n">
        <v>6</v>
      </c>
      <c r="G2487" s="6" t="s">
        <v>78</v>
      </c>
      <c r="H2487" s="11" t="n">
        <v>0.001</v>
      </c>
      <c r="I2487" s="6" t="n">
        <v>200</v>
      </c>
      <c r="J2487" s="6" t="n">
        <v>0</v>
      </c>
      <c r="K2487" s="6" t="n">
        <v>200</v>
      </c>
      <c r="L2487" s="6" t="n">
        <v>0</v>
      </c>
      <c r="M2487" s="6" t="n">
        <v>200</v>
      </c>
      <c r="N2487" s="11" t="n">
        <f aca="false">J2487/(J2487+K2487)</f>
        <v>0</v>
      </c>
      <c r="O2487" s="11" t="str">
        <f aca="false">IF(J2487+L2487=0,"",J2487/(J2487+L2487))</f>
        <v/>
      </c>
      <c r="P2487" s="11" t="n">
        <f aca="false">2*J2487/(2*J2487+L2487+K2487)</f>
        <v>0</v>
      </c>
      <c r="Q2487" s="11" t="n">
        <f aca="false">L2487/(L2487+M2487)</f>
        <v>0</v>
      </c>
      <c r="R2487" s="6" t="n">
        <v>4</v>
      </c>
      <c r="S2487" s="11" t="n">
        <v>0</v>
      </c>
      <c r="T2487" s="11" t="n">
        <v>0</v>
      </c>
      <c r="U2487" s="11" t="n">
        <v>0.88</v>
      </c>
      <c r="V2487" s="11" t="n">
        <v>0.885</v>
      </c>
    </row>
    <row r="2488" customFormat="false" ht="15" hidden="false" customHeight="false" outlineLevel="0" collapsed="false">
      <c r="A2488" s="6" t="s">
        <v>48</v>
      </c>
      <c r="B2488" s="6" t="s">
        <v>43</v>
      </c>
      <c r="C2488" s="6" t="s">
        <v>49</v>
      </c>
      <c r="D2488" s="6" t="s">
        <v>115</v>
      </c>
      <c r="E2488" s="6" t="n">
        <v>4</v>
      </c>
      <c r="F2488" s="6" t="n">
        <v>7</v>
      </c>
      <c r="G2488" s="6" t="s">
        <v>68</v>
      </c>
      <c r="H2488" s="11" t="n">
        <v>0.001</v>
      </c>
      <c r="I2488" s="6" t="n">
        <v>20</v>
      </c>
      <c r="J2488" s="6" t="n">
        <v>20</v>
      </c>
      <c r="K2488" s="6" t="n">
        <v>0</v>
      </c>
      <c r="L2488" s="6" t="n">
        <v>0</v>
      </c>
      <c r="M2488" s="6" t="n">
        <v>20</v>
      </c>
      <c r="N2488" s="11" t="n">
        <f aca="false">J2488/(J2488+K2488)</f>
        <v>1</v>
      </c>
      <c r="O2488" s="11" t="n">
        <f aca="false">IF(J2488+L2488=0,"",J2488/(J2488+L2488))</f>
        <v>1</v>
      </c>
      <c r="P2488" s="11" t="n">
        <f aca="false">2*J2488/(2*J2488+L2488+K2488)</f>
        <v>1</v>
      </c>
      <c r="Q2488" s="11" t="n">
        <f aca="false">L2488/(L2488+M2488)</f>
        <v>0</v>
      </c>
      <c r="R2488" s="6" t="n">
        <v>13</v>
      </c>
      <c r="S2488" s="11" t="n">
        <v>1</v>
      </c>
      <c r="T2488" s="11" t="n">
        <v>1</v>
      </c>
      <c r="U2488" s="11" t="n">
        <v>0.85</v>
      </c>
      <c r="V2488" s="11" t="n">
        <v>0.4</v>
      </c>
    </row>
    <row r="2489" customFormat="false" ht="15" hidden="false" customHeight="false" outlineLevel="0" collapsed="false">
      <c r="A2489" s="6" t="s">
        <v>48</v>
      </c>
      <c r="B2489" s="6" t="s">
        <v>43</v>
      </c>
      <c r="C2489" s="6" t="s">
        <v>49</v>
      </c>
      <c r="D2489" s="6" t="s">
        <v>115</v>
      </c>
      <c r="E2489" s="6" t="n">
        <v>4</v>
      </c>
      <c r="F2489" s="6" t="n">
        <v>7</v>
      </c>
      <c r="G2489" s="6" t="s">
        <v>69</v>
      </c>
      <c r="H2489" s="11" t="n">
        <v>0.001</v>
      </c>
      <c r="I2489" s="6" t="n">
        <v>20</v>
      </c>
      <c r="J2489" s="6" t="n">
        <v>20</v>
      </c>
      <c r="K2489" s="6" t="n">
        <v>0</v>
      </c>
      <c r="L2489" s="6" t="n">
        <v>0</v>
      </c>
      <c r="M2489" s="6" t="n">
        <v>20</v>
      </c>
      <c r="N2489" s="11" t="n">
        <f aca="false">J2489/(J2489+K2489)</f>
        <v>1</v>
      </c>
      <c r="O2489" s="11" t="n">
        <f aca="false">IF(J2489+L2489=0,"",J2489/(J2489+L2489))</f>
        <v>1</v>
      </c>
      <c r="P2489" s="11" t="n">
        <f aca="false">2*J2489/(2*J2489+L2489+K2489)</f>
        <v>1</v>
      </c>
      <c r="Q2489" s="11" t="n">
        <f aca="false">L2489/(L2489+M2489)</f>
        <v>0</v>
      </c>
      <c r="R2489" s="6" t="n">
        <v>20</v>
      </c>
      <c r="S2489" s="11" t="n">
        <v>1</v>
      </c>
      <c r="T2489" s="11"/>
      <c r="U2489" s="11" t="n">
        <v>1</v>
      </c>
      <c r="V2489" s="11" t="n">
        <v>0</v>
      </c>
    </row>
    <row r="2490" customFormat="false" ht="15" hidden="false" customHeight="false" outlineLevel="0" collapsed="false">
      <c r="A2490" s="6" t="s">
        <v>48</v>
      </c>
      <c r="B2490" s="6" t="s">
        <v>43</v>
      </c>
      <c r="C2490" s="6" t="s">
        <v>49</v>
      </c>
      <c r="D2490" s="6" t="s">
        <v>115</v>
      </c>
      <c r="E2490" s="6" t="n">
        <v>4</v>
      </c>
      <c r="F2490" s="6" t="n">
        <v>7</v>
      </c>
      <c r="G2490" s="6" t="s">
        <v>70</v>
      </c>
      <c r="H2490" s="11" t="n">
        <v>0.001</v>
      </c>
      <c r="I2490" s="6" t="n">
        <v>20</v>
      </c>
      <c r="J2490" s="6" t="n">
        <v>20</v>
      </c>
      <c r="K2490" s="6" t="n">
        <v>0</v>
      </c>
      <c r="L2490" s="6" t="n">
        <v>0</v>
      </c>
      <c r="M2490" s="6" t="n">
        <v>20</v>
      </c>
      <c r="N2490" s="11" t="n">
        <f aca="false">J2490/(J2490+K2490)</f>
        <v>1</v>
      </c>
      <c r="O2490" s="11" t="n">
        <f aca="false">IF(J2490+L2490=0,"",J2490/(J2490+L2490))</f>
        <v>1</v>
      </c>
      <c r="P2490" s="11" t="n">
        <f aca="false">2*J2490/(2*J2490+L2490+K2490)</f>
        <v>1</v>
      </c>
      <c r="Q2490" s="11" t="n">
        <f aca="false">L2490/(L2490+M2490)</f>
        <v>0</v>
      </c>
      <c r="R2490" s="6" t="n">
        <v>7</v>
      </c>
      <c r="S2490" s="11" t="n">
        <v>1</v>
      </c>
      <c r="T2490" s="11" t="n">
        <v>1</v>
      </c>
      <c r="U2490" s="11" t="n">
        <v>0.9</v>
      </c>
      <c r="V2490" s="11" t="n">
        <v>0.75</v>
      </c>
    </row>
    <row r="2491" customFormat="false" ht="15" hidden="false" customHeight="false" outlineLevel="0" collapsed="false">
      <c r="A2491" s="6" t="s">
        <v>48</v>
      </c>
      <c r="B2491" s="6" t="s">
        <v>43</v>
      </c>
      <c r="C2491" s="6" t="s">
        <v>49</v>
      </c>
      <c r="D2491" s="6" t="s">
        <v>115</v>
      </c>
      <c r="E2491" s="6" t="n">
        <v>4</v>
      </c>
      <c r="F2491" s="6" t="n">
        <v>7</v>
      </c>
      <c r="G2491" s="6" t="s">
        <v>71</v>
      </c>
      <c r="H2491" s="11" t="n">
        <v>0.001</v>
      </c>
      <c r="I2491" s="6" t="n">
        <v>20</v>
      </c>
      <c r="J2491" s="6" t="n">
        <v>20</v>
      </c>
      <c r="K2491" s="6" t="n">
        <v>0</v>
      </c>
      <c r="L2491" s="6" t="n">
        <v>0</v>
      </c>
      <c r="M2491" s="6" t="n">
        <v>20</v>
      </c>
      <c r="N2491" s="11" t="n">
        <f aca="false">J2491/(J2491+K2491)</f>
        <v>1</v>
      </c>
      <c r="O2491" s="11" t="n">
        <f aca="false">IF(J2491+L2491=0,"",J2491/(J2491+L2491))</f>
        <v>1</v>
      </c>
      <c r="P2491" s="11" t="n">
        <f aca="false">2*J2491/(2*J2491+L2491+K2491)</f>
        <v>1</v>
      </c>
      <c r="Q2491" s="11" t="n">
        <f aca="false">L2491/(L2491+M2491)</f>
        <v>0</v>
      </c>
      <c r="R2491" s="6" t="n">
        <v>18</v>
      </c>
      <c r="S2491" s="11" t="n">
        <v>1</v>
      </c>
      <c r="T2491" s="11" t="n">
        <v>1</v>
      </c>
      <c r="U2491" s="11" t="n">
        <v>0.8</v>
      </c>
      <c r="V2491" s="11" t="n">
        <v>0</v>
      </c>
    </row>
    <row r="2492" customFormat="false" ht="15" hidden="false" customHeight="false" outlineLevel="0" collapsed="false">
      <c r="A2492" s="6" t="s">
        <v>48</v>
      </c>
      <c r="B2492" s="6" t="s">
        <v>43</v>
      </c>
      <c r="C2492" s="6" t="s">
        <v>49</v>
      </c>
      <c r="D2492" s="6" t="s">
        <v>115</v>
      </c>
      <c r="E2492" s="6" t="n">
        <v>4</v>
      </c>
      <c r="F2492" s="6" t="n">
        <v>7</v>
      </c>
      <c r="G2492" s="6" t="s">
        <v>72</v>
      </c>
      <c r="H2492" s="11" t="n">
        <v>0.001</v>
      </c>
      <c r="I2492" s="6" t="n">
        <v>20</v>
      </c>
      <c r="J2492" s="6" t="n">
        <v>20</v>
      </c>
      <c r="K2492" s="6" t="n">
        <v>0</v>
      </c>
      <c r="L2492" s="6" t="n">
        <v>0</v>
      </c>
      <c r="M2492" s="6" t="n">
        <v>20</v>
      </c>
      <c r="N2492" s="11" t="n">
        <f aca="false">J2492/(J2492+K2492)</f>
        <v>1</v>
      </c>
      <c r="O2492" s="11" t="n">
        <f aca="false">IF(J2492+L2492=0,"",J2492/(J2492+L2492))</f>
        <v>1</v>
      </c>
      <c r="P2492" s="11" t="n">
        <f aca="false">2*J2492/(2*J2492+L2492+K2492)</f>
        <v>1</v>
      </c>
      <c r="Q2492" s="11" t="n">
        <f aca="false">L2492/(L2492+M2492)</f>
        <v>0</v>
      </c>
      <c r="R2492" s="6" t="n">
        <v>19</v>
      </c>
      <c r="S2492" s="11" t="n">
        <v>1</v>
      </c>
      <c r="T2492" s="11" t="n">
        <v>1</v>
      </c>
      <c r="U2492" s="11" t="n">
        <v>0.9</v>
      </c>
      <c r="V2492" s="11" t="n">
        <v>0</v>
      </c>
    </row>
    <row r="2493" customFormat="false" ht="15" hidden="false" customHeight="false" outlineLevel="0" collapsed="false">
      <c r="A2493" s="6" t="s">
        <v>48</v>
      </c>
      <c r="B2493" s="6" t="s">
        <v>43</v>
      </c>
      <c r="C2493" s="6" t="s">
        <v>49</v>
      </c>
      <c r="D2493" s="6" t="s">
        <v>115</v>
      </c>
      <c r="E2493" s="6" t="n">
        <v>4</v>
      </c>
      <c r="F2493" s="6" t="n">
        <v>7</v>
      </c>
      <c r="G2493" s="6" t="s">
        <v>73</v>
      </c>
      <c r="H2493" s="11" t="n">
        <v>0.001</v>
      </c>
      <c r="I2493" s="6" t="n">
        <v>20</v>
      </c>
      <c r="J2493" s="6" t="n">
        <v>20</v>
      </c>
      <c r="K2493" s="6" t="n">
        <v>0</v>
      </c>
      <c r="L2493" s="6" t="n">
        <v>0</v>
      </c>
      <c r="M2493" s="6" t="n">
        <v>20</v>
      </c>
      <c r="N2493" s="11" t="n">
        <f aca="false">J2493/(J2493+K2493)</f>
        <v>1</v>
      </c>
      <c r="O2493" s="11" t="n">
        <f aca="false">IF(J2493+L2493=0,"",J2493/(J2493+L2493))</f>
        <v>1</v>
      </c>
      <c r="P2493" s="11" t="n">
        <f aca="false">2*J2493/(2*J2493+L2493+K2493)</f>
        <v>1</v>
      </c>
      <c r="Q2493" s="11" t="n">
        <f aca="false">L2493/(L2493+M2493)</f>
        <v>0</v>
      </c>
      <c r="R2493" s="6" t="n">
        <v>19</v>
      </c>
      <c r="S2493" s="11" t="n">
        <v>1</v>
      </c>
      <c r="T2493" s="11" t="n">
        <v>1</v>
      </c>
      <c r="U2493" s="11" t="n">
        <v>0.65</v>
      </c>
      <c r="V2493" s="11" t="n">
        <v>0</v>
      </c>
    </row>
    <row r="2494" customFormat="false" ht="15" hidden="false" customHeight="false" outlineLevel="0" collapsed="false">
      <c r="A2494" s="6" t="s">
        <v>48</v>
      </c>
      <c r="B2494" s="6" t="s">
        <v>43</v>
      </c>
      <c r="C2494" s="6" t="s">
        <v>49</v>
      </c>
      <c r="D2494" s="6" t="s">
        <v>115</v>
      </c>
      <c r="E2494" s="6" t="n">
        <v>4</v>
      </c>
      <c r="F2494" s="6" t="n">
        <v>7</v>
      </c>
      <c r="G2494" s="6" t="s">
        <v>74</v>
      </c>
      <c r="H2494" s="11" t="n">
        <v>0.001</v>
      </c>
      <c r="I2494" s="6" t="n">
        <v>20</v>
      </c>
      <c r="J2494" s="6" t="n">
        <v>20</v>
      </c>
      <c r="K2494" s="6" t="n">
        <v>0</v>
      </c>
      <c r="L2494" s="6" t="n">
        <v>0</v>
      </c>
      <c r="M2494" s="6" t="n">
        <v>20</v>
      </c>
      <c r="N2494" s="11" t="n">
        <f aca="false">J2494/(J2494+K2494)</f>
        <v>1</v>
      </c>
      <c r="O2494" s="11" t="n">
        <f aca="false">IF(J2494+L2494=0,"",J2494/(J2494+L2494))</f>
        <v>1</v>
      </c>
      <c r="P2494" s="11" t="n">
        <f aca="false">2*J2494/(2*J2494+L2494+K2494)</f>
        <v>1</v>
      </c>
      <c r="Q2494" s="11" t="n">
        <f aca="false">L2494/(L2494+M2494)</f>
        <v>0</v>
      </c>
      <c r="R2494" s="6" t="n">
        <v>17</v>
      </c>
      <c r="S2494" s="11" t="n">
        <v>1</v>
      </c>
      <c r="T2494" s="11" t="n">
        <v>1</v>
      </c>
      <c r="U2494" s="11" t="n">
        <v>0.85</v>
      </c>
      <c r="V2494" s="11" t="n">
        <v>0</v>
      </c>
    </row>
    <row r="2495" customFormat="false" ht="15" hidden="false" customHeight="false" outlineLevel="0" collapsed="false">
      <c r="A2495" s="6" t="s">
        <v>48</v>
      </c>
      <c r="B2495" s="6" t="s">
        <v>43</v>
      </c>
      <c r="C2495" s="6" t="s">
        <v>49</v>
      </c>
      <c r="D2495" s="6" t="s">
        <v>115</v>
      </c>
      <c r="E2495" s="6" t="n">
        <v>4</v>
      </c>
      <c r="F2495" s="6" t="n">
        <v>7</v>
      </c>
      <c r="G2495" s="6" t="s">
        <v>75</v>
      </c>
      <c r="H2495" s="11" t="n">
        <v>0.001</v>
      </c>
      <c r="I2495" s="6" t="n">
        <v>20</v>
      </c>
      <c r="J2495" s="6" t="n">
        <v>20</v>
      </c>
      <c r="K2495" s="6" t="n">
        <v>0</v>
      </c>
      <c r="L2495" s="6" t="n">
        <v>0</v>
      </c>
      <c r="M2495" s="6" t="n">
        <v>20</v>
      </c>
      <c r="N2495" s="11" t="n">
        <f aca="false">J2495/(J2495+K2495)</f>
        <v>1</v>
      </c>
      <c r="O2495" s="11" t="n">
        <f aca="false">IF(J2495+L2495=0,"",J2495/(J2495+L2495))</f>
        <v>1</v>
      </c>
      <c r="P2495" s="11" t="n">
        <f aca="false">2*J2495/(2*J2495+L2495+K2495)</f>
        <v>1</v>
      </c>
      <c r="Q2495" s="11" t="n">
        <f aca="false">L2495/(L2495+M2495)</f>
        <v>0</v>
      </c>
      <c r="R2495" s="6" t="n">
        <v>20</v>
      </c>
      <c r="S2495" s="11" t="n">
        <v>1</v>
      </c>
      <c r="T2495" s="11"/>
      <c r="U2495" s="11" t="n">
        <v>0.9</v>
      </c>
      <c r="V2495" s="11" t="n">
        <v>0</v>
      </c>
    </row>
    <row r="2496" customFormat="false" ht="15" hidden="false" customHeight="false" outlineLevel="0" collapsed="false">
      <c r="A2496" s="6" t="s">
        <v>48</v>
      </c>
      <c r="B2496" s="6" t="s">
        <v>43</v>
      </c>
      <c r="C2496" s="6" t="s">
        <v>49</v>
      </c>
      <c r="D2496" s="6" t="s">
        <v>115</v>
      </c>
      <c r="E2496" s="6" t="n">
        <v>4</v>
      </c>
      <c r="F2496" s="6" t="n">
        <v>7</v>
      </c>
      <c r="G2496" s="6" t="s">
        <v>76</v>
      </c>
      <c r="H2496" s="11" t="n">
        <v>0.001</v>
      </c>
      <c r="I2496" s="6" t="n">
        <v>20</v>
      </c>
      <c r="J2496" s="6" t="n">
        <v>20</v>
      </c>
      <c r="K2496" s="6" t="n">
        <v>0</v>
      </c>
      <c r="L2496" s="6" t="n">
        <v>0</v>
      </c>
      <c r="M2496" s="6" t="n">
        <v>20</v>
      </c>
      <c r="N2496" s="11" t="n">
        <f aca="false">J2496/(J2496+K2496)</f>
        <v>1</v>
      </c>
      <c r="O2496" s="11" t="n">
        <f aca="false">IF(J2496+L2496=0,"",J2496/(J2496+L2496))</f>
        <v>1</v>
      </c>
      <c r="P2496" s="11" t="n">
        <f aca="false">2*J2496/(2*J2496+L2496+K2496)</f>
        <v>1</v>
      </c>
      <c r="Q2496" s="11" t="n">
        <f aca="false">L2496/(L2496+M2496)</f>
        <v>0</v>
      </c>
      <c r="R2496" s="6" t="n">
        <v>20</v>
      </c>
      <c r="S2496" s="11" t="n">
        <v>1</v>
      </c>
      <c r="T2496" s="11"/>
      <c r="U2496" s="11" t="n">
        <v>0.95</v>
      </c>
      <c r="V2496" s="11" t="n">
        <v>0</v>
      </c>
    </row>
    <row r="2497" customFormat="false" ht="15" hidden="false" customHeight="false" outlineLevel="0" collapsed="false">
      <c r="A2497" s="6" t="s">
        <v>48</v>
      </c>
      <c r="B2497" s="6" t="s">
        <v>43</v>
      </c>
      <c r="C2497" s="6" t="s">
        <v>49</v>
      </c>
      <c r="D2497" s="6" t="s">
        <v>115</v>
      </c>
      <c r="E2497" s="6" t="n">
        <v>4</v>
      </c>
      <c r="F2497" s="6" t="n">
        <v>7</v>
      </c>
      <c r="G2497" s="6" t="s">
        <v>77</v>
      </c>
      <c r="H2497" s="11" t="n">
        <v>0.001</v>
      </c>
      <c r="I2497" s="6" t="n">
        <v>20</v>
      </c>
      <c r="J2497" s="6" t="n">
        <v>20</v>
      </c>
      <c r="K2497" s="6" t="n">
        <v>0</v>
      </c>
      <c r="L2497" s="6" t="n">
        <v>0</v>
      </c>
      <c r="M2497" s="6" t="n">
        <v>20</v>
      </c>
      <c r="N2497" s="11" t="n">
        <f aca="false">J2497/(J2497+K2497)</f>
        <v>1</v>
      </c>
      <c r="O2497" s="11" t="n">
        <f aca="false">IF(J2497+L2497=0,"",J2497/(J2497+L2497))</f>
        <v>1</v>
      </c>
      <c r="P2497" s="11" t="n">
        <f aca="false">2*J2497/(2*J2497+L2497+K2497)</f>
        <v>1</v>
      </c>
      <c r="Q2497" s="11" t="n">
        <f aca="false">L2497/(L2497+M2497)</f>
        <v>0</v>
      </c>
      <c r="R2497" s="6" t="n">
        <v>20</v>
      </c>
      <c r="S2497" s="11" t="n">
        <v>1</v>
      </c>
      <c r="T2497" s="11"/>
      <c r="U2497" s="11" t="n">
        <v>1</v>
      </c>
      <c r="V2497" s="11" t="n">
        <v>0</v>
      </c>
    </row>
    <row r="2498" customFormat="false" ht="15" hidden="false" customHeight="false" outlineLevel="0" collapsed="false">
      <c r="A2498" s="6" t="s">
        <v>48</v>
      </c>
      <c r="B2498" s="6" t="s">
        <v>43</v>
      </c>
      <c r="C2498" s="6" t="s">
        <v>49</v>
      </c>
      <c r="D2498" s="6" t="s">
        <v>115</v>
      </c>
      <c r="E2498" s="6" t="n">
        <v>4</v>
      </c>
      <c r="F2498" s="6" t="n">
        <v>7</v>
      </c>
      <c r="G2498" s="6" t="s">
        <v>78</v>
      </c>
      <c r="H2498" s="11" t="n">
        <v>0.001</v>
      </c>
      <c r="I2498" s="6" t="n">
        <v>200</v>
      </c>
      <c r="J2498" s="6" t="n">
        <v>200</v>
      </c>
      <c r="K2498" s="6" t="n">
        <v>0</v>
      </c>
      <c r="L2498" s="6" t="n">
        <v>0</v>
      </c>
      <c r="M2498" s="6" t="n">
        <v>200</v>
      </c>
      <c r="N2498" s="11" t="n">
        <f aca="false">J2498/(J2498+K2498)</f>
        <v>1</v>
      </c>
      <c r="O2498" s="11" t="n">
        <f aca="false">IF(J2498+L2498=0,"",J2498/(J2498+L2498))</f>
        <v>1</v>
      </c>
      <c r="P2498" s="11" t="n">
        <f aca="false">2*J2498/(2*J2498+L2498+K2498)</f>
        <v>1</v>
      </c>
      <c r="Q2498" s="11" t="n">
        <f aca="false">L2498/(L2498+M2498)</f>
        <v>0</v>
      </c>
      <c r="R2498" s="6" t="n">
        <v>173</v>
      </c>
      <c r="S2498" s="11" t="n">
        <v>1</v>
      </c>
      <c r="T2498" s="11" t="n">
        <v>1</v>
      </c>
      <c r="U2498" s="11" t="n">
        <v>0.88</v>
      </c>
      <c r="V2498" s="11" t="n">
        <v>0.115</v>
      </c>
    </row>
    <row r="2499" customFormat="false" ht="15" hidden="false" customHeight="false" outlineLevel="0" collapsed="false">
      <c r="A2499" s="6" t="s">
        <v>48</v>
      </c>
      <c r="B2499" s="6" t="s">
        <v>43</v>
      </c>
      <c r="C2499" s="6" t="s">
        <v>49</v>
      </c>
      <c r="D2499" s="6" t="s">
        <v>115</v>
      </c>
      <c r="E2499" s="6" t="n">
        <v>4</v>
      </c>
      <c r="F2499" s="6" t="n">
        <v>8</v>
      </c>
      <c r="G2499" s="6" t="s">
        <v>68</v>
      </c>
      <c r="H2499" s="11" t="n">
        <v>0.001</v>
      </c>
      <c r="I2499" s="6" t="n">
        <v>20</v>
      </c>
      <c r="J2499" s="6" t="n">
        <v>20</v>
      </c>
      <c r="K2499" s="6" t="n">
        <v>0</v>
      </c>
      <c r="L2499" s="6" t="n">
        <v>0</v>
      </c>
      <c r="M2499" s="6" t="n">
        <v>20</v>
      </c>
      <c r="N2499" s="11" t="n">
        <f aca="false">J2499/(J2499+K2499)</f>
        <v>1</v>
      </c>
      <c r="O2499" s="11" t="n">
        <f aca="false">IF(J2499+L2499=0,"",J2499/(J2499+L2499))</f>
        <v>1</v>
      </c>
      <c r="P2499" s="11" t="n">
        <f aca="false">2*J2499/(2*J2499+L2499+K2499)</f>
        <v>1</v>
      </c>
      <c r="Q2499" s="11" t="n">
        <f aca="false">L2499/(L2499+M2499)</f>
        <v>0</v>
      </c>
      <c r="R2499" s="6" t="n">
        <v>19</v>
      </c>
      <c r="S2499" s="11" t="n">
        <v>1</v>
      </c>
      <c r="T2499" s="11" t="n">
        <v>1</v>
      </c>
      <c r="U2499" s="11" t="n">
        <v>0.85</v>
      </c>
      <c r="V2499" s="11" t="n">
        <v>0</v>
      </c>
    </row>
    <row r="2500" customFormat="false" ht="15" hidden="false" customHeight="false" outlineLevel="0" collapsed="false">
      <c r="A2500" s="6" t="s">
        <v>48</v>
      </c>
      <c r="B2500" s="6" t="s">
        <v>43</v>
      </c>
      <c r="C2500" s="6" t="s">
        <v>49</v>
      </c>
      <c r="D2500" s="6" t="s">
        <v>115</v>
      </c>
      <c r="E2500" s="6" t="n">
        <v>4</v>
      </c>
      <c r="F2500" s="6" t="n">
        <v>8</v>
      </c>
      <c r="G2500" s="6" t="s">
        <v>69</v>
      </c>
      <c r="H2500" s="11" t="n">
        <v>0.001</v>
      </c>
      <c r="I2500" s="6" t="n">
        <v>20</v>
      </c>
      <c r="J2500" s="6" t="n">
        <v>20</v>
      </c>
      <c r="K2500" s="6" t="n">
        <v>0</v>
      </c>
      <c r="L2500" s="6" t="n">
        <v>0</v>
      </c>
      <c r="M2500" s="6" t="n">
        <v>20</v>
      </c>
      <c r="N2500" s="11" t="n">
        <f aca="false">J2500/(J2500+K2500)</f>
        <v>1</v>
      </c>
      <c r="O2500" s="11" t="n">
        <f aca="false">IF(J2500+L2500=0,"",J2500/(J2500+L2500))</f>
        <v>1</v>
      </c>
      <c r="P2500" s="11" t="n">
        <f aca="false">2*J2500/(2*J2500+L2500+K2500)</f>
        <v>1</v>
      </c>
      <c r="Q2500" s="11" t="n">
        <f aca="false">L2500/(L2500+M2500)</f>
        <v>0</v>
      </c>
      <c r="R2500" s="6" t="n">
        <v>18</v>
      </c>
      <c r="S2500" s="11" t="n">
        <v>1</v>
      </c>
      <c r="T2500" s="11" t="n">
        <v>1</v>
      </c>
      <c r="U2500" s="11" t="n">
        <v>1</v>
      </c>
      <c r="V2500" s="11" t="n">
        <v>0.1</v>
      </c>
    </row>
    <row r="2501" customFormat="false" ht="15" hidden="false" customHeight="false" outlineLevel="0" collapsed="false">
      <c r="A2501" s="6" t="s">
        <v>48</v>
      </c>
      <c r="B2501" s="6" t="s">
        <v>43</v>
      </c>
      <c r="C2501" s="6" t="s">
        <v>49</v>
      </c>
      <c r="D2501" s="6" t="s">
        <v>115</v>
      </c>
      <c r="E2501" s="6" t="n">
        <v>4</v>
      </c>
      <c r="F2501" s="6" t="n">
        <v>8</v>
      </c>
      <c r="G2501" s="6" t="s">
        <v>70</v>
      </c>
      <c r="H2501" s="11" t="n">
        <v>0.001</v>
      </c>
      <c r="I2501" s="6" t="n">
        <v>20</v>
      </c>
      <c r="J2501" s="6" t="n">
        <v>20</v>
      </c>
      <c r="K2501" s="6" t="n">
        <v>0</v>
      </c>
      <c r="L2501" s="6" t="n">
        <v>0</v>
      </c>
      <c r="M2501" s="6" t="n">
        <v>20</v>
      </c>
      <c r="N2501" s="11" t="n">
        <f aca="false">J2501/(J2501+K2501)</f>
        <v>1</v>
      </c>
      <c r="O2501" s="11" t="n">
        <f aca="false">IF(J2501+L2501=0,"",J2501/(J2501+L2501))</f>
        <v>1</v>
      </c>
      <c r="P2501" s="11" t="n">
        <f aca="false">2*J2501/(2*J2501+L2501+K2501)</f>
        <v>1</v>
      </c>
      <c r="Q2501" s="11" t="n">
        <f aca="false">L2501/(L2501+M2501)</f>
        <v>0</v>
      </c>
      <c r="R2501" s="6" t="n">
        <v>12</v>
      </c>
      <c r="S2501" s="11" t="n">
        <v>1</v>
      </c>
      <c r="T2501" s="11" t="n">
        <v>1</v>
      </c>
      <c r="U2501" s="11" t="n">
        <v>0.9</v>
      </c>
      <c r="V2501" s="11" t="n">
        <v>0.5</v>
      </c>
    </row>
    <row r="2502" customFormat="false" ht="15" hidden="false" customHeight="false" outlineLevel="0" collapsed="false">
      <c r="A2502" s="6" t="s">
        <v>48</v>
      </c>
      <c r="B2502" s="6" t="s">
        <v>43</v>
      </c>
      <c r="C2502" s="6" t="s">
        <v>49</v>
      </c>
      <c r="D2502" s="6" t="s">
        <v>115</v>
      </c>
      <c r="E2502" s="6" t="n">
        <v>4</v>
      </c>
      <c r="F2502" s="6" t="n">
        <v>8</v>
      </c>
      <c r="G2502" s="6" t="s">
        <v>71</v>
      </c>
      <c r="H2502" s="11" t="n">
        <v>0.001</v>
      </c>
      <c r="I2502" s="6" t="n">
        <v>20</v>
      </c>
      <c r="J2502" s="6" t="n">
        <v>20</v>
      </c>
      <c r="K2502" s="6" t="n">
        <v>0</v>
      </c>
      <c r="L2502" s="6" t="n">
        <v>0</v>
      </c>
      <c r="M2502" s="6" t="n">
        <v>20</v>
      </c>
      <c r="N2502" s="11" t="n">
        <f aca="false">J2502/(J2502+K2502)</f>
        <v>1</v>
      </c>
      <c r="O2502" s="11" t="n">
        <f aca="false">IF(J2502+L2502=0,"",J2502/(J2502+L2502))</f>
        <v>1</v>
      </c>
      <c r="P2502" s="11" t="n">
        <f aca="false">2*J2502/(2*J2502+L2502+K2502)</f>
        <v>1</v>
      </c>
      <c r="Q2502" s="11" t="n">
        <f aca="false">L2502/(L2502+M2502)</f>
        <v>0</v>
      </c>
      <c r="R2502" s="6" t="n">
        <v>18</v>
      </c>
      <c r="S2502" s="11" t="n">
        <v>1</v>
      </c>
      <c r="T2502" s="11" t="n">
        <v>1</v>
      </c>
      <c r="U2502" s="11" t="n">
        <v>0.8</v>
      </c>
      <c r="V2502" s="11" t="n">
        <v>0</v>
      </c>
    </row>
    <row r="2503" customFormat="false" ht="15" hidden="false" customHeight="false" outlineLevel="0" collapsed="false">
      <c r="A2503" s="6" t="s">
        <v>48</v>
      </c>
      <c r="B2503" s="6" t="s">
        <v>43</v>
      </c>
      <c r="C2503" s="6" t="s">
        <v>49</v>
      </c>
      <c r="D2503" s="6" t="s">
        <v>115</v>
      </c>
      <c r="E2503" s="6" t="n">
        <v>4</v>
      </c>
      <c r="F2503" s="6" t="n">
        <v>8</v>
      </c>
      <c r="G2503" s="6" t="s">
        <v>72</v>
      </c>
      <c r="H2503" s="11" t="n">
        <v>0.001</v>
      </c>
      <c r="I2503" s="6" t="n">
        <v>20</v>
      </c>
      <c r="J2503" s="6" t="n">
        <v>20</v>
      </c>
      <c r="K2503" s="6" t="n">
        <v>0</v>
      </c>
      <c r="L2503" s="6" t="n">
        <v>0</v>
      </c>
      <c r="M2503" s="6" t="n">
        <v>20</v>
      </c>
      <c r="N2503" s="11" t="n">
        <f aca="false">J2503/(J2503+K2503)</f>
        <v>1</v>
      </c>
      <c r="O2503" s="11" t="n">
        <f aca="false">IF(J2503+L2503=0,"",J2503/(J2503+L2503))</f>
        <v>1</v>
      </c>
      <c r="P2503" s="11" t="n">
        <f aca="false">2*J2503/(2*J2503+L2503+K2503)</f>
        <v>1</v>
      </c>
      <c r="Q2503" s="11" t="n">
        <f aca="false">L2503/(L2503+M2503)</f>
        <v>0</v>
      </c>
      <c r="R2503" s="6" t="n">
        <v>19</v>
      </c>
      <c r="S2503" s="11" t="n">
        <v>1</v>
      </c>
      <c r="T2503" s="11" t="n">
        <v>1</v>
      </c>
      <c r="U2503" s="11" t="n">
        <v>0.9</v>
      </c>
      <c r="V2503" s="11" t="n">
        <v>0</v>
      </c>
    </row>
    <row r="2504" customFormat="false" ht="15" hidden="false" customHeight="false" outlineLevel="0" collapsed="false">
      <c r="A2504" s="6" t="s">
        <v>48</v>
      </c>
      <c r="B2504" s="6" t="s">
        <v>43</v>
      </c>
      <c r="C2504" s="6" t="s">
        <v>49</v>
      </c>
      <c r="D2504" s="6" t="s">
        <v>115</v>
      </c>
      <c r="E2504" s="6" t="n">
        <v>4</v>
      </c>
      <c r="F2504" s="6" t="n">
        <v>8</v>
      </c>
      <c r="G2504" s="6" t="s">
        <v>73</v>
      </c>
      <c r="H2504" s="11" t="n">
        <v>0.001</v>
      </c>
      <c r="I2504" s="6" t="n">
        <v>20</v>
      </c>
      <c r="J2504" s="6" t="n">
        <v>20</v>
      </c>
      <c r="K2504" s="6" t="n">
        <v>0</v>
      </c>
      <c r="L2504" s="6" t="n">
        <v>0</v>
      </c>
      <c r="M2504" s="6" t="n">
        <v>20</v>
      </c>
      <c r="N2504" s="11" t="n">
        <f aca="false">J2504/(J2504+K2504)</f>
        <v>1</v>
      </c>
      <c r="O2504" s="11" t="n">
        <f aca="false">IF(J2504+L2504=0,"",J2504/(J2504+L2504))</f>
        <v>1</v>
      </c>
      <c r="P2504" s="11" t="n">
        <f aca="false">2*J2504/(2*J2504+L2504+K2504)</f>
        <v>1</v>
      </c>
      <c r="Q2504" s="11" t="n">
        <f aca="false">L2504/(L2504+M2504)</f>
        <v>0</v>
      </c>
      <c r="R2504" s="6" t="n">
        <v>19</v>
      </c>
      <c r="S2504" s="11" t="n">
        <v>1</v>
      </c>
      <c r="T2504" s="11" t="n">
        <v>1</v>
      </c>
      <c r="U2504" s="11" t="n">
        <v>0.65</v>
      </c>
      <c r="V2504" s="11" t="n">
        <v>0</v>
      </c>
    </row>
    <row r="2505" customFormat="false" ht="15" hidden="false" customHeight="false" outlineLevel="0" collapsed="false">
      <c r="A2505" s="6" t="s">
        <v>48</v>
      </c>
      <c r="B2505" s="6" t="s">
        <v>43</v>
      </c>
      <c r="C2505" s="6" t="s">
        <v>49</v>
      </c>
      <c r="D2505" s="6" t="s">
        <v>115</v>
      </c>
      <c r="E2505" s="6" t="n">
        <v>4</v>
      </c>
      <c r="F2505" s="6" t="n">
        <v>8</v>
      </c>
      <c r="G2505" s="6" t="s">
        <v>74</v>
      </c>
      <c r="H2505" s="11" t="n">
        <v>0.001</v>
      </c>
      <c r="I2505" s="6" t="n">
        <v>20</v>
      </c>
      <c r="J2505" s="6" t="n">
        <v>20</v>
      </c>
      <c r="K2505" s="6" t="n">
        <v>0</v>
      </c>
      <c r="L2505" s="6" t="n">
        <v>0</v>
      </c>
      <c r="M2505" s="6" t="n">
        <v>20</v>
      </c>
      <c r="N2505" s="11" t="n">
        <f aca="false">J2505/(J2505+K2505)</f>
        <v>1</v>
      </c>
      <c r="O2505" s="11" t="n">
        <f aca="false">IF(J2505+L2505=0,"",J2505/(J2505+L2505))</f>
        <v>1</v>
      </c>
      <c r="P2505" s="11" t="n">
        <f aca="false">2*J2505/(2*J2505+L2505+K2505)</f>
        <v>1</v>
      </c>
      <c r="Q2505" s="11" t="n">
        <f aca="false">L2505/(L2505+M2505)</f>
        <v>0</v>
      </c>
      <c r="R2505" s="6" t="n">
        <v>19</v>
      </c>
      <c r="S2505" s="11" t="n">
        <v>1</v>
      </c>
      <c r="T2505" s="11" t="n">
        <v>1</v>
      </c>
      <c r="U2505" s="11" t="n">
        <v>0.85</v>
      </c>
      <c r="V2505" s="11" t="n">
        <v>0</v>
      </c>
    </row>
    <row r="2506" customFormat="false" ht="15" hidden="false" customHeight="false" outlineLevel="0" collapsed="false">
      <c r="A2506" s="6" t="s">
        <v>48</v>
      </c>
      <c r="B2506" s="6" t="s">
        <v>43</v>
      </c>
      <c r="C2506" s="6" t="s">
        <v>49</v>
      </c>
      <c r="D2506" s="6" t="s">
        <v>115</v>
      </c>
      <c r="E2506" s="6" t="n">
        <v>4</v>
      </c>
      <c r="F2506" s="6" t="n">
        <v>8</v>
      </c>
      <c r="G2506" s="6" t="s">
        <v>75</v>
      </c>
      <c r="H2506" s="11" t="n">
        <v>0.001</v>
      </c>
      <c r="I2506" s="6" t="n">
        <v>20</v>
      </c>
      <c r="J2506" s="6" t="n">
        <v>20</v>
      </c>
      <c r="K2506" s="6" t="n">
        <v>0</v>
      </c>
      <c r="L2506" s="6" t="n">
        <v>0</v>
      </c>
      <c r="M2506" s="6" t="n">
        <v>20</v>
      </c>
      <c r="N2506" s="11" t="n">
        <f aca="false">J2506/(J2506+K2506)</f>
        <v>1</v>
      </c>
      <c r="O2506" s="11" t="n">
        <f aca="false">IF(J2506+L2506=0,"",J2506/(J2506+L2506))</f>
        <v>1</v>
      </c>
      <c r="P2506" s="11" t="n">
        <f aca="false">2*J2506/(2*J2506+L2506+K2506)</f>
        <v>1</v>
      </c>
      <c r="Q2506" s="11" t="n">
        <f aca="false">L2506/(L2506+M2506)</f>
        <v>0</v>
      </c>
      <c r="R2506" s="6" t="n">
        <v>20</v>
      </c>
      <c r="S2506" s="11" t="n">
        <v>1</v>
      </c>
      <c r="T2506" s="11"/>
      <c r="U2506" s="11" t="n">
        <v>0.9</v>
      </c>
      <c r="V2506" s="11" t="n">
        <v>0</v>
      </c>
    </row>
    <row r="2507" customFormat="false" ht="15" hidden="false" customHeight="false" outlineLevel="0" collapsed="false">
      <c r="A2507" s="6" t="s">
        <v>48</v>
      </c>
      <c r="B2507" s="6" t="s">
        <v>43</v>
      </c>
      <c r="C2507" s="6" t="s">
        <v>49</v>
      </c>
      <c r="D2507" s="6" t="s">
        <v>115</v>
      </c>
      <c r="E2507" s="6" t="n">
        <v>4</v>
      </c>
      <c r="F2507" s="6" t="n">
        <v>8</v>
      </c>
      <c r="G2507" s="6" t="s">
        <v>76</v>
      </c>
      <c r="H2507" s="11" t="n">
        <v>0.001</v>
      </c>
      <c r="I2507" s="6" t="n">
        <v>20</v>
      </c>
      <c r="J2507" s="6" t="n">
        <v>20</v>
      </c>
      <c r="K2507" s="6" t="n">
        <v>0</v>
      </c>
      <c r="L2507" s="6" t="n">
        <v>0</v>
      </c>
      <c r="M2507" s="6" t="n">
        <v>20</v>
      </c>
      <c r="N2507" s="11" t="n">
        <f aca="false">J2507/(J2507+K2507)</f>
        <v>1</v>
      </c>
      <c r="O2507" s="11" t="n">
        <f aca="false">IF(J2507+L2507=0,"",J2507/(J2507+L2507))</f>
        <v>1</v>
      </c>
      <c r="P2507" s="11" t="n">
        <f aca="false">2*J2507/(2*J2507+L2507+K2507)</f>
        <v>1</v>
      </c>
      <c r="Q2507" s="11" t="n">
        <f aca="false">L2507/(L2507+M2507)</f>
        <v>0</v>
      </c>
      <c r="R2507" s="6" t="n">
        <v>13</v>
      </c>
      <c r="S2507" s="11" t="n">
        <v>1</v>
      </c>
      <c r="T2507" s="11" t="n">
        <v>1</v>
      </c>
      <c r="U2507" s="11" t="n">
        <v>0.95</v>
      </c>
      <c r="V2507" s="11" t="n">
        <v>0.35</v>
      </c>
    </row>
    <row r="2508" customFormat="false" ht="15" hidden="false" customHeight="false" outlineLevel="0" collapsed="false">
      <c r="A2508" s="6" t="s">
        <v>48</v>
      </c>
      <c r="B2508" s="6" t="s">
        <v>43</v>
      </c>
      <c r="C2508" s="6" t="s">
        <v>49</v>
      </c>
      <c r="D2508" s="6" t="s">
        <v>115</v>
      </c>
      <c r="E2508" s="6" t="n">
        <v>4</v>
      </c>
      <c r="F2508" s="6" t="n">
        <v>8</v>
      </c>
      <c r="G2508" s="6" t="s">
        <v>77</v>
      </c>
      <c r="H2508" s="11" t="n">
        <v>0.001</v>
      </c>
      <c r="I2508" s="6" t="n">
        <v>20</v>
      </c>
      <c r="J2508" s="6" t="n">
        <v>20</v>
      </c>
      <c r="K2508" s="6" t="n">
        <v>0</v>
      </c>
      <c r="L2508" s="6" t="n">
        <v>0</v>
      </c>
      <c r="M2508" s="6" t="n">
        <v>20</v>
      </c>
      <c r="N2508" s="11" t="n">
        <f aca="false">J2508/(J2508+K2508)</f>
        <v>1</v>
      </c>
      <c r="O2508" s="11" t="n">
        <f aca="false">IF(J2508+L2508=0,"",J2508/(J2508+L2508))</f>
        <v>1</v>
      </c>
      <c r="P2508" s="11" t="n">
        <f aca="false">2*J2508/(2*J2508+L2508+K2508)</f>
        <v>1</v>
      </c>
      <c r="Q2508" s="11" t="n">
        <f aca="false">L2508/(L2508+M2508)</f>
        <v>0</v>
      </c>
      <c r="R2508" s="6" t="n">
        <v>13</v>
      </c>
      <c r="S2508" s="11" t="n">
        <v>1</v>
      </c>
      <c r="T2508" s="11" t="n">
        <v>1</v>
      </c>
      <c r="U2508" s="11" t="n">
        <v>1</v>
      </c>
      <c r="V2508" s="11" t="n">
        <v>0.35</v>
      </c>
    </row>
    <row r="2509" customFormat="false" ht="15" hidden="false" customHeight="false" outlineLevel="0" collapsed="false">
      <c r="A2509" s="6" t="s">
        <v>48</v>
      </c>
      <c r="B2509" s="6" t="s">
        <v>43</v>
      </c>
      <c r="C2509" s="6" t="s">
        <v>49</v>
      </c>
      <c r="D2509" s="6" t="s">
        <v>115</v>
      </c>
      <c r="E2509" s="6" t="n">
        <v>4</v>
      </c>
      <c r="F2509" s="6" t="n">
        <v>8</v>
      </c>
      <c r="G2509" s="6" t="s">
        <v>78</v>
      </c>
      <c r="H2509" s="11" t="n">
        <v>0.001</v>
      </c>
      <c r="I2509" s="6" t="n">
        <v>200</v>
      </c>
      <c r="J2509" s="6" t="n">
        <v>200</v>
      </c>
      <c r="K2509" s="6" t="n">
        <v>0</v>
      </c>
      <c r="L2509" s="6" t="n">
        <v>0</v>
      </c>
      <c r="M2509" s="6" t="n">
        <v>200</v>
      </c>
      <c r="N2509" s="11" t="n">
        <f aca="false">J2509/(J2509+K2509)</f>
        <v>1</v>
      </c>
      <c r="O2509" s="11" t="n">
        <f aca="false">IF(J2509+L2509=0,"",J2509/(J2509+L2509))</f>
        <v>1</v>
      </c>
      <c r="P2509" s="11" t="n">
        <f aca="false">2*J2509/(2*J2509+L2509+K2509)</f>
        <v>1</v>
      </c>
      <c r="Q2509" s="11" t="n">
        <f aca="false">L2509/(L2509+M2509)</f>
        <v>0</v>
      </c>
      <c r="R2509" s="6" t="n">
        <v>170</v>
      </c>
      <c r="S2509" s="11" t="n">
        <v>1</v>
      </c>
      <c r="T2509" s="11" t="n">
        <v>1</v>
      </c>
      <c r="U2509" s="11" t="n">
        <v>0.88</v>
      </c>
      <c r="V2509" s="11" t="n">
        <v>0.13</v>
      </c>
    </row>
    <row r="2510" customFormat="false" ht="15" hidden="false" customHeight="false" outlineLevel="0" collapsed="false">
      <c r="A2510" s="6" t="s">
        <v>48</v>
      </c>
      <c r="B2510" s="6" t="s">
        <v>43</v>
      </c>
      <c r="C2510" s="6" t="s">
        <v>49</v>
      </c>
      <c r="D2510" s="6" t="s">
        <v>115</v>
      </c>
      <c r="E2510" s="6" t="n">
        <v>4</v>
      </c>
      <c r="F2510" s="6" t="n">
        <v>9</v>
      </c>
      <c r="G2510" s="6" t="s">
        <v>68</v>
      </c>
      <c r="H2510" s="11" t="n">
        <v>0.001</v>
      </c>
      <c r="I2510" s="6" t="n">
        <v>20</v>
      </c>
      <c r="J2510" s="6" t="n">
        <v>20</v>
      </c>
      <c r="K2510" s="6" t="n">
        <v>0</v>
      </c>
      <c r="L2510" s="6" t="n">
        <v>0</v>
      </c>
      <c r="M2510" s="6" t="n">
        <v>20</v>
      </c>
      <c r="N2510" s="11" t="n">
        <f aca="false">J2510/(J2510+K2510)</f>
        <v>1</v>
      </c>
      <c r="O2510" s="11" t="n">
        <f aca="false">IF(J2510+L2510=0,"",J2510/(J2510+L2510))</f>
        <v>1</v>
      </c>
      <c r="P2510" s="11" t="n">
        <f aca="false">2*J2510/(2*J2510+L2510+K2510)</f>
        <v>1</v>
      </c>
      <c r="Q2510" s="11" t="n">
        <f aca="false">L2510/(L2510+M2510)</f>
        <v>0</v>
      </c>
      <c r="R2510" s="6" t="n">
        <v>19</v>
      </c>
      <c r="S2510" s="11" t="n">
        <v>1</v>
      </c>
      <c r="T2510" s="11" t="n">
        <v>1</v>
      </c>
      <c r="U2510" s="11" t="n">
        <v>0.85</v>
      </c>
      <c r="V2510" s="11" t="n">
        <v>0.05</v>
      </c>
    </row>
    <row r="2511" customFormat="false" ht="15" hidden="false" customHeight="false" outlineLevel="0" collapsed="false">
      <c r="A2511" s="6" t="s">
        <v>48</v>
      </c>
      <c r="B2511" s="6" t="s">
        <v>43</v>
      </c>
      <c r="C2511" s="6" t="s">
        <v>49</v>
      </c>
      <c r="D2511" s="6" t="s">
        <v>115</v>
      </c>
      <c r="E2511" s="6" t="n">
        <v>4</v>
      </c>
      <c r="F2511" s="6" t="n">
        <v>9</v>
      </c>
      <c r="G2511" s="6" t="s">
        <v>69</v>
      </c>
      <c r="H2511" s="11" t="n">
        <v>0.001</v>
      </c>
      <c r="I2511" s="6" t="n">
        <v>20</v>
      </c>
      <c r="J2511" s="6" t="n">
        <v>20</v>
      </c>
      <c r="K2511" s="6" t="n">
        <v>0</v>
      </c>
      <c r="L2511" s="6" t="n">
        <v>0</v>
      </c>
      <c r="M2511" s="6" t="n">
        <v>20</v>
      </c>
      <c r="N2511" s="11" t="n">
        <f aca="false">J2511/(J2511+K2511)</f>
        <v>1</v>
      </c>
      <c r="O2511" s="11" t="n">
        <f aca="false">IF(J2511+L2511=0,"",J2511/(J2511+L2511))</f>
        <v>1</v>
      </c>
      <c r="P2511" s="11" t="n">
        <f aca="false">2*J2511/(2*J2511+L2511+K2511)</f>
        <v>1</v>
      </c>
      <c r="Q2511" s="11" t="n">
        <f aca="false">L2511/(L2511+M2511)</f>
        <v>0</v>
      </c>
      <c r="R2511" s="6" t="n">
        <v>20</v>
      </c>
      <c r="S2511" s="11" t="n">
        <v>1</v>
      </c>
      <c r="T2511" s="11"/>
      <c r="U2511" s="11" t="n">
        <v>1</v>
      </c>
      <c r="V2511" s="11" t="n">
        <v>0</v>
      </c>
    </row>
    <row r="2512" customFormat="false" ht="15" hidden="false" customHeight="false" outlineLevel="0" collapsed="false">
      <c r="A2512" s="6" t="s">
        <v>48</v>
      </c>
      <c r="B2512" s="6" t="s">
        <v>43</v>
      </c>
      <c r="C2512" s="6" t="s">
        <v>49</v>
      </c>
      <c r="D2512" s="6" t="s">
        <v>115</v>
      </c>
      <c r="E2512" s="6" t="n">
        <v>4</v>
      </c>
      <c r="F2512" s="6" t="n">
        <v>9</v>
      </c>
      <c r="G2512" s="6" t="s">
        <v>70</v>
      </c>
      <c r="H2512" s="11" t="n">
        <v>0.001</v>
      </c>
      <c r="I2512" s="6" t="n">
        <v>20</v>
      </c>
      <c r="J2512" s="6" t="n">
        <v>20</v>
      </c>
      <c r="K2512" s="6" t="n">
        <v>0</v>
      </c>
      <c r="L2512" s="6" t="n">
        <v>0</v>
      </c>
      <c r="M2512" s="6" t="n">
        <v>20</v>
      </c>
      <c r="N2512" s="11" t="n">
        <f aca="false">J2512/(J2512+K2512)</f>
        <v>1</v>
      </c>
      <c r="O2512" s="11" t="n">
        <f aca="false">IF(J2512+L2512=0,"",J2512/(J2512+L2512))</f>
        <v>1</v>
      </c>
      <c r="P2512" s="11" t="n">
        <f aca="false">2*J2512/(2*J2512+L2512+K2512)</f>
        <v>1</v>
      </c>
      <c r="Q2512" s="11" t="n">
        <f aca="false">L2512/(L2512+M2512)</f>
        <v>0</v>
      </c>
      <c r="R2512" s="6" t="n">
        <v>19</v>
      </c>
      <c r="S2512" s="11" t="n">
        <v>1</v>
      </c>
      <c r="T2512" s="11" t="n">
        <v>1</v>
      </c>
      <c r="U2512" s="11" t="n">
        <v>0.9</v>
      </c>
      <c r="V2512" s="11" t="n">
        <v>0.05</v>
      </c>
    </row>
    <row r="2513" customFormat="false" ht="15" hidden="false" customHeight="false" outlineLevel="0" collapsed="false">
      <c r="A2513" s="6" t="s">
        <v>48</v>
      </c>
      <c r="B2513" s="6" t="s">
        <v>43</v>
      </c>
      <c r="C2513" s="6" t="s">
        <v>49</v>
      </c>
      <c r="D2513" s="6" t="s">
        <v>115</v>
      </c>
      <c r="E2513" s="6" t="n">
        <v>4</v>
      </c>
      <c r="F2513" s="6" t="n">
        <v>9</v>
      </c>
      <c r="G2513" s="6" t="s">
        <v>71</v>
      </c>
      <c r="H2513" s="11" t="n">
        <v>0.001</v>
      </c>
      <c r="I2513" s="6" t="n">
        <v>20</v>
      </c>
      <c r="J2513" s="6" t="n">
        <v>20</v>
      </c>
      <c r="K2513" s="6" t="n">
        <v>0</v>
      </c>
      <c r="L2513" s="6" t="n">
        <v>0</v>
      </c>
      <c r="M2513" s="6" t="n">
        <v>20</v>
      </c>
      <c r="N2513" s="11" t="n">
        <f aca="false">J2513/(J2513+K2513)</f>
        <v>1</v>
      </c>
      <c r="O2513" s="11" t="n">
        <f aca="false">IF(J2513+L2513=0,"",J2513/(J2513+L2513))</f>
        <v>1</v>
      </c>
      <c r="P2513" s="11" t="n">
        <f aca="false">2*J2513/(2*J2513+L2513+K2513)</f>
        <v>1</v>
      </c>
      <c r="Q2513" s="11" t="n">
        <f aca="false">L2513/(L2513+M2513)</f>
        <v>0</v>
      </c>
      <c r="R2513" s="6" t="n">
        <v>9</v>
      </c>
      <c r="S2513" s="11" t="n">
        <v>1</v>
      </c>
      <c r="T2513" s="11" t="n">
        <v>1</v>
      </c>
      <c r="U2513" s="11" t="n">
        <v>0.8</v>
      </c>
      <c r="V2513" s="11" t="n">
        <v>0.7</v>
      </c>
    </row>
    <row r="2514" customFormat="false" ht="15" hidden="false" customHeight="false" outlineLevel="0" collapsed="false">
      <c r="A2514" s="6" t="s">
        <v>48</v>
      </c>
      <c r="B2514" s="6" t="s">
        <v>43</v>
      </c>
      <c r="C2514" s="6" t="s">
        <v>49</v>
      </c>
      <c r="D2514" s="6" t="s">
        <v>115</v>
      </c>
      <c r="E2514" s="6" t="n">
        <v>4</v>
      </c>
      <c r="F2514" s="6" t="n">
        <v>9</v>
      </c>
      <c r="G2514" s="6" t="s">
        <v>72</v>
      </c>
      <c r="H2514" s="11" t="n">
        <v>0.001</v>
      </c>
      <c r="I2514" s="6" t="n">
        <v>20</v>
      </c>
      <c r="J2514" s="6" t="n">
        <v>20</v>
      </c>
      <c r="K2514" s="6" t="n">
        <v>0</v>
      </c>
      <c r="L2514" s="6" t="n">
        <v>0</v>
      </c>
      <c r="M2514" s="6" t="n">
        <v>20</v>
      </c>
      <c r="N2514" s="11" t="n">
        <f aca="false">J2514/(J2514+K2514)</f>
        <v>1</v>
      </c>
      <c r="O2514" s="11" t="n">
        <f aca="false">IF(J2514+L2514=0,"",J2514/(J2514+L2514))</f>
        <v>1</v>
      </c>
      <c r="P2514" s="11" t="n">
        <f aca="false">2*J2514/(2*J2514+L2514+K2514)</f>
        <v>1</v>
      </c>
      <c r="Q2514" s="11" t="n">
        <f aca="false">L2514/(L2514+M2514)</f>
        <v>0</v>
      </c>
      <c r="R2514" s="6" t="n">
        <v>18</v>
      </c>
      <c r="S2514" s="11" t="n">
        <v>1</v>
      </c>
      <c r="T2514" s="11" t="n">
        <v>1</v>
      </c>
      <c r="U2514" s="11" t="n">
        <v>0.9</v>
      </c>
      <c r="V2514" s="11" t="n">
        <v>0.15</v>
      </c>
    </row>
    <row r="2515" customFormat="false" ht="15" hidden="false" customHeight="false" outlineLevel="0" collapsed="false">
      <c r="A2515" s="6" t="s">
        <v>48</v>
      </c>
      <c r="B2515" s="6" t="s">
        <v>43</v>
      </c>
      <c r="C2515" s="6" t="s">
        <v>49</v>
      </c>
      <c r="D2515" s="6" t="s">
        <v>115</v>
      </c>
      <c r="E2515" s="6" t="n">
        <v>4</v>
      </c>
      <c r="F2515" s="6" t="n">
        <v>9</v>
      </c>
      <c r="G2515" s="6" t="s">
        <v>73</v>
      </c>
      <c r="H2515" s="11" t="n">
        <v>0.001</v>
      </c>
      <c r="I2515" s="6" t="n">
        <v>20</v>
      </c>
      <c r="J2515" s="6" t="n">
        <v>20</v>
      </c>
      <c r="K2515" s="6" t="n">
        <v>0</v>
      </c>
      <c r="L2515" s="6" t="n">
        <v>0</v>
      </c>
      <c r="M2515" s="6" t="n">
        <v>20</v>
      </c>
      <c r="N2515" s="11" t="n">
        <f aca="false">J2515/(J2515+K2515)</f>
        <v>1</v>
      </c>
      <c r="O2515" s="11" t="n">
        <f aca="false">IF(J2515+L2515=0,"",J2515/(J2515+L2515))</f>
        <v>1</v>
      </c>
      <c r="P2515" s="11" t="n">
        <f aca="false">2*J2515/(2*J2515+L2515+K2515)</f>
        <v>1</v>
      </c>
      <c r="Q2515" s="11" t="n">
        <f aca="false">L2515/(L2515+M2515)</f>
        <v>0</v>
      </c>
      <c r="R2515" s="6" t="n">
        <v>20</v>
      </c>
      <c r="S2515" s="11" t="n">
        <v>1</v>
      </c>
      <c r="T2515" s="11"/>
      <c r="U2515" s="11" t="n">
        <v>0.65</v>
      </c>
      <c r="V2515" s="11" t="n">
        <v>0</v>
      </c>
    </row>
    <row r="2516" customFormat="false" ht="15" hidden="false" customHeight="false" outlineLevel="0" collapsed="false">
      <c r="A2516" s="6" t="s">
        <v>48</v>
      </c>
      <c r="B2516" s="6" t="s">
        <v>43</v>
      </c>
      <c r="C2516" s="6" t="s">
        <v>49</v>
      </c>
      <c r="D2516" s="6" t="s">
        <v>115</v>
      </c>
      <c r="E2516" s="6" t="n">
        <v>4</v>
      </c>
      <c r="F2516" s="6" t="n">
        <v>9</v>
      </c>
      <c r="G2516" s="6" t="s">
        <v>74</v>
      </c>
      <c r="H2516" s="11" t="n">
        <v>0.001</v>
      </c>
      <c r="I2516" s="6" t="n">
        <v>20</v>
      </c>
      <c r="J2516" s="6" t="n">
        <v>20</v>
      </c>
      <c r="K2516" s="6" t="n">
        <v>0</v>
      </c>
      <c r="L2516" s="6" t="n">
        <v>0</v>
      </c>
      <c r="M2516" s="6" t="n">
        <v>20</v>
      </c>
      <c r="N2516" s="11" t="n">
        <f aca="false">J2516/(J2516+K2516)</f>
        <v>1</v>
      </c>
      <c r="O2516" s="11" t="n">
        <f aca="false">IF(J2516+L2516=0,"",J2516/(J2516+L2516))</f>
        <v>1</v>
      </c>
      <c r="P2516" s="11" t="n">
        <f aca="false">2*J2516/(2*J2516+L2516+K2516)</f>
        <v>1</v>
      </c>
      <c r="Q2516" s="11" t="n">
        <f aca="false">L2516/(L2516+M2516)</f>
        <v>0</v>
      </c>
      <c r="R2516" s="6" t="n">
        <v>20</v>
      </c>
      <c r="S2516" s="11" t="n">
        <v>1</v>
      </c>
      <c r="T2516" s="11"/>
      <c r="U2516" s="11" t="n">
        <v>0.85</v>
      </c>
      <c r="V2516" s="11" t="n">
        <v>0</v>
      </c>
    </row>
    <row r="2517" customFormat="false" ht="15" hidden="false" customHeight="false" outlineLevel="0" collapsed="false">
      <c r="A2517" s="6" t="s">
        <v>48</v>
      </c>
      <c r="B2517" s="6" t="s">
        <v>43</v>
      </c>
      <c r="C2517" s="6" t="s">
        <v>49</v>
      </c>
      <c r="D2517" s="6" t="s">
        <v>115</v>
      </c>
      <c r="E2517" s="6" t="n">
        <v>4</v>
      </c>
      <c r="F2517" s="6" t="n">
        <v>9</v>
      </c>
      <c r="G2517" s="6" t="s">
        <v>75</v>
      </c>
      <c r="H2517" s="11" t="n">
        <v>0.001</v>
      </c>
      <c r="I2517" s="6" t="n">
        <v>20</v>
      </c>
      <c r="J2517" s="6" t="n">
        <v>20</v>
      </c>
      <c r="K2517" s="6" t="n">
        <v>0</v>
      </c>
      <c r="L2517" s="6" t="n">
        <v>0</v>
      </c>
      <c r="M2517" s="6" t="n">
        <v>20</v>
      </c>
      <c r="N2517" s="11" t="n">
        <f aca="false">J2517/(J2517+K2517)</f>
        <v>1</v>
      </c>
      <c r="O2517" s="11" t="n">
        <f aca="false">IF(J2517+L2517=0,"",J2517/(J2517+L2517))</f>
        <v>1</v>
      </c>
      <c r="P2517" s="11" t="n">
        <f aca="false">2*J2517/(2*J2517+L2517+K2517)</f>
        <v>1</v>
      </c>
      <c r="Q2517" s="11" t="n">
        <f aca="false">L2517/(L2517+M2517)</f>
        <v>0</v>
      </c>
      <c r="R2517" s="6" t="n">
        <v>20</v>
      </c>
      <c r="S2517" s="11" t="n">
        <v>1</v>
      </c>
      <c r="T2517" s="11"/>
      <c r="U2517" s="11" t="n">
        <v>0.9</v>
      </c>
      <c r="V2517" s="11" t="n">
        <v>0</v>
      </c>
    </row>
    <row r="2518" customFormat="false" ht="15" hidden="false" customHeight="false" outlineLevel="0" collapsed="false">
      <c r="A2518" s="6" t="s">
        <v>48</v>
      </c>
      <c r="B2518" s="6" t="s">
        <v>43</v>
      </c>
      <c r="C2518" s="6" t="s">
        <v>49</v>
      </c>
      <c r="D2518" s="6" t="s">
        <v>115</v>
      </c>
      <c r="E2518" s="6" t="n">
        <v>4</v>
      </c>
      <c r="F2518" s="6" t="n">
        <v>9</v>
      </c>
      <c r="G2518" s="6" t="s">
        <v>76</v>
      </c>
      <c r="H2518" s="11" t="n">
        <v>0.001</v>
      </c>
      <c r="I2518" s="6" t="n">
        <v>20</v>
      </c>
      <c r="J2518" s="6" t="n">
        <v>20</v>
      </c>
      <c r="K2518" s="6" t="n">
        <v>0</v>
      </c>
      <c r="L2518" s="6" t="n">
        <v>0</v>
      </c>
      <c r="M2518" s="6" t="n">
        <v>20</v>
      </c>
      <c r="N2518" s="11" t="n">
        <f aca="false">J2518/(J2518+K2518)</f>
        <v>1</v>
      </c>
      <c r="O2518" s="11" t="n">
        <f aca="false">IF(J2518+L2518=0,"",J2518/(J2518+L2518))</f>
        <v>1</v>
      </c>
      <c r="P2518" s="11" t="n">
        <f aca="false">2*J2518/(2*J2518+L2518+K2518)</f>
        <v>1</v>
      </c>
      <c r="Q2518" s="11" t="n">
        <f aca="false">L2518/(L2518+M2518)</f>
        <v>0</v>
      </c>
      <c r="R2518" s="6" t="n">
        <v>14</v>
      </c>
      <c r="S2518" s="11" t="n">
        <v>1</v>
      </c>
      <c r="T2518" s="11" t="n">
        <v>1</v>
      </c>
      <c r="U2518" s="11" t="n">
        <v>0.95</v>
      </c>
      <c r="V2518" s="11" t="n">
        <v>0.3</v>
      </c>
    </row>
    <row r="2519" customFormat="false" ht="15" hidden="false" customHeight="false" outlineLevel="0" collapsed="false">
      <c r="A2519" s="6" t="s">
        <v>48</v>
      </c>
      <c r="B2519" s="6" t="s">
        <v>43</v>
      </c>
      <c r="C2519" s="6" t="s">
        <v>49</v>
      </c>
      <c r="D2519" s="6" t="s">
        <v>115</v>
      </c>
      <c r="E2519" s="6" t="n">
        <v>4</v>
      </c>
      <c r="F2519" s="6" t="n">
        <v>9</v>
      </c>
      <c r="G2519" s="6" t="s">
        <v>77</v>
      </c>
      <c r="H2519" s="11" t="n">
        <v>0.001</v>
      </c>
      <c r="I2519" s="6" t="n">
        <v>20</v>
      </c>
      <c r="J2519" s="6" t="n">
        <v>20</v>
      </c>
      <c r="K2519" s="6" t="n">
        <v>0</v>
      </c>
      <c r="L2519" s="6" t="n">
        <v>0</v>
      </c>
      <c r="M2519" s="6" t="n">
        <v>20</v>
      </c>
      <c r="N2519" s="11" t="n">
        <f aca="false">J2519/(J2519+K2519)</f>
        <v>1</v>
      </c>
      <c r="O2519" s="11" t="n">
        <f aca="false">IF(J2519+L2519=0,"",J2519/(J2519+L2519))</f>
        <v>1</v>
      </c>
      <c r="P2519" s="11" t="n">
        <f aca="false">2*J2519/(2*J2519+L2519+K2519)</f>
        <v>1</v>
      </c>
      <c r="Q2519" s="11" t="n">
        <f aca="false">L2519/(L2519+M2519)</f>
        <v>0</v>
      </c>
      <c r="R2519" s="6" t="n">
        <v>20</v>
      </c>
      <c r="S2519" s="11" t="n">
        <v>1</v>
      </c>
      <c r="T2519" s="11"/>
      <c r="U2519" s="11" t="n">
        <v>1</v>
      </c>
      <c r="V2519" s="11" t="n">
        <v>0</v>
      </c>
    </row>
    <row r="2520" customFormat="false" ht="15" hidden="false" customHeight="false" outlineLevel="0" collapsed="false">
      <c r="A2520" s="6" t="s">
        <v>48</v>
      </c>
      <c r="B2520" s="6" t="s">
        <v>43</v>
      </c>
      <c r="C2520" s="6" t="s">
        <v>49</v>
      </c>
      <c r="D2520" s="6" t="s">
        <v>115</v>
      </c>
      <c r="E2520" s="6" t="n">
        <v>4</v>
      </c>
      <c r="F2520" s="6" t="n">
        <v>9</v>
      </c>
      <c r="G2520" s="6" t="s">
        <v>78</v>
      </c>
      <c r="H2520" s="11" t="n">
        <v>0.001</v>
      </c>
      <c r="I2520" s="6" t="n">
        <v>200</v>
      </c>
      <c r="J2520" s="6" t="n">
        <v>200</v>
      </c>
      <c r="K2520" s="6" t="n">
        <v>0</v>
      </c>
      <c r="L2520" s="6" t="n">
        <v>0</v>
      </c>
      <c r="M2520" s="6" t="n">
        <v>200</v>
      </c>
      <c r="N2520" s="11" t="n">
        <f aca="false">J2520/(J2520+K2520)</f>
        <v>1</v>
      </c>
      <c r="O2520" s="11" t="n">
        <f aca="false">IF(J2520+L2520=0,"",J2520/(J2520+L2520))</f>
        <v>1</v>
      </c>
      <c r="P2520" s="11" t="n">
        <f aca="false">2*J2520/(2*J2520+L2520+K2520)</f>
        <v>1</v>
      </c>
      <c r="Q2520" s="11" t="n">
        <f aca="false">L2520/(L2520+M2520)</f>
        <v>0</v>
      </c>
      <c r="R2520" s="6" t="n">
        <v>179</v>
      </c>
      <c r="S2520" s="11" t="n">
        <v>1</v>
      </c>
      <c r="T2520" s="11" t="n">
        <v>1</v>
      </c>
      <c r="U2520" s="11" t="n">
        <v>0.88</v>
      </c>
      <c r="V2520" s="11" t="n">
        <v>0.125</v>
      </c>
    </row>
    <row r="2521" customFormat="false" ht="15" hidden="false" customHeight="false" outlineLevel="0" collapsed="false">
      <c r="A2521" s="6" t="s">
        <v>48</v>
      </c>
      <c r="B2521" s="6" t="s">
        <v>43</v>
      </c>
      <c r="C2521" s="6" t="s">
        <v>49</v>
      </c>
      <c r="D2521" s="6" t="s">
        <v>115</v>
      </c>
      <c r="E2521" s="6" t="n">
        <v>4</v>
      </c>
      <c r="F2521" s="6" t="n">
        <v>10</v>
      </c>
      <c r="G2521" s="6" t="s">
        <v>68</v>
      </c>
      <c r="H2521" s="11" t="n">
        <v>0.001</v>
      </c>
      <c r="I2521" s="6" t="n">
        <v>20</v>
      </c>
      <c r="J2521" s="6" t="n">
        <v>0</v>
      </c>
      <c r="K2521" s="6" t="n">
        <v>20</v>
      </c>
      <c r="L2521" s="6" t="n">
        <v>0</v>
      </c>
      <c r="M2521" s="6" t="n">
        <v>20</v>
      </c>
      <c r="N2521" s="11" t="n">
        <f aca="false">J2521/(J2521+K2521)</f>
        <v>0</v>
      </c>
      <c r="O2521" s="11" t="str">
        <f aca="false">IF(J2521+L2521=0,"",J2521/(J2521+L2521))</f>
        <v/>
      </c>
      <c r="P2521" s="11" t="n">
        <f aca="false">2*J2521/(2*J2521+L2521+K2521)</f>
        <v>0</v>
      </c>
      <c r="Q2521" s="11" t="n">
        <f aca="false">L2521/(L2521+M2521)</f>
        <v>0</v>
      </c>
      <c r="R2521" s="6" t="n">
        <v>0</v>
      </c>
      <c r="S2521" s="11"/>
      <c r="T2521" s="11" t="n">
        <v>0</v>
      </c>
      <c r="U2521" s="11" t="n">
        <v>0.85</v>
      </c>
      <c r="V2521" s="11" t="n">
        <v>0.85</v>
      </c>
    </row>
    <row r="2522" customFormat="false" ht="15" hidden="false" customHeight="false" outlineLevel="0" collapsed="false">
      <c r="A2522" s="6" t="s">
        <v>48</v>
      </c>
      <c r="B2522" s="6" t="s">
        <v>43</v>
      </c>
      <c r="C2522" s="6" t="s">
        <v>49</v>
      </c>
      <c r="D2522" s="6" t="s">
        <v>115</v>
      </c>
      <c r="E2522" s="6" t="n">
        <v>4</v>
      </c>
      <c r="F2522" s="6" t="n">
        <v>10</v>
      </c>
      <c r="G2522" s="6" t="s">
        <v>69</v>
      </c>
      <c r="H2522" s="11" t="n">
        <v>0.001</v>
      </c>
      <c r="I2522" s="6" t="n">
        <v>20</v>
      </c>
      <c r="J2522" s="6" t="n">
        <v>0</v>
      </c>
      <c r="K2522" s="6" t="n">
        <v>20</v>
      </c>
      <c r="L2522" s="6" t="n">
        <v>0</v>
      </c>
      <c r="M2522" s="6" t="n">
        <v>20</v>
      </c>
      <c r="N2522" s="11" t="n">
        <f aca="false">J2522/(J2522+K2522)</f>
        <v>0</v>
      </c>
      <c r="O2522" s="11" t="str">
        <f aca="false">IF(J2522+L2522=0,"",J2522/(J2522+L2522))</f>
        <v/>
      </c>
      <c r="P2522" s="11" t="n">
        <f aca="false">2*J2522/(2*J2522+L2522+K2522)</f>
        <v>0</v>
      </c>
      <c r="Q2522" s="11" t="n">
        <f aca="false">L2522/(L2522+M2522)</f>
        <v>0</v>
      </c>
      <c r="R2522" s="6" t="n">
        <v>0</v>
      </c>
      <c r="S2522" s="11"/>
      <c r="T2522" s="11" t="n">
        <v>0</v>
      </c>
      <c r="U2522" s="11" t="n">
        <v>1</v>
      </c>
      <c r="V2522" s="11" t="n">
        <v>1</v>
      </c>
    </row>
    <row r="2523" customFormat="false" ht="15" hidden="false" customHeight="false" outlineLevel="0" collapsed="false">
      <c r="A2523" s="6" t="s">
        <v>48</v>
      </c>
      <c r="B2523" s="6" t="s">
        <v>43</v>
      </c>
      <c r="C2523" s="6" t="s">
        <v>49</v>
      </c>
      <c r="D2523" s="6" t="s">
        <v>115</v>
      </c>
      <c r="E2523" s="6" t="n">
        <v>4</v>
      </c>
      <c r="F2523" s="6" t="n">
        <v>10</v>
      </c>
      <c r="G2523" s="6" t="s">
        <v>70</v>
      </c>
      <c r="H2523" s="11" t="n">
        <v>0.001</v>
      </c>
      <c r="I2523" s="6" t="n">
        <v>20</v>
      </c>
      <c r="J2523" s="6" t="n">
        <v>0</v>
      </c>
      <c r="K2523" s="6" t="n">
        <v>20</v>
      </c>
      <c r="L2523" s="6" t="n">
        <v>0</v>
      </c>
      <c r="M2523" s="6" t="n">
        <v>20</v>
      </c>
      <c r="N2523" s="11" t="n">
        <f aca="false">J2523/(J2523+K2523)</f>
        <v>0</v>
      </c>
      <c r="O2523" s="11" t="str">
        <f aca="false">IF(J2523+L2523=0,"",J2523/(J2523+L2523))</f>
        <v/>
      </c>
      <c r="P2523" s="11" t="n">
        <f aca="false">2*J2523/(2*J2523+L2523+K2523)</f>
        <v>0</v>
      </c>
      <c r="Q2523" s="11" t="n">
        <f aca="false">L2523/(L2523+M2523)</f>
        <v>0</v>
      </c>
      <c r="R2523" s="6" t="n">
        <v>0</v>
      </c>
      <c r="S2523" s="11"/>
      <c r="T2523" s="11" t="n">
        <v>0</v>
      </c>
      <c r="U2523" s="11" t="n">
        <v>0.9</v>
      </c>
      <c r="V2523" s="11" t="n">
        <v>0.9</v>
      </c>
    </row>
    <row r="2524" customFormat="false" ht="15" hidden="false" customHeight="false" outlineLevel="0" collapsed="false">
      <c r="A2524" s="6" t="s">
        <v>48</v>
      </c>
      <c r="B2524" s="6" t="s">
        <v>43</v>
      </c>
      <c r="C2524" s="6" t="s">
        <v>49</v>
      </c>
      <c r="D2524" s="6" t="s">
        <v>115</v>
      </c>
      <c r="E2524" s="6" t="n">
        <v>4</v>
      </c>
      <c r="F2524" s="6" t="n">
        <v>10</v>
      </c>
      <c r="G2524" s="6" t="s">
        <v>71</v>
      </c>
      <c r="H2524" s="11" t="n">
        <v>0.001</v>
      </c>
      <c r="I2524" s="6" t="n">
        <v>20</v>
      </c>
      <c r="J2524" s="6" t="n">
        <v>0</v>
      </c>
      <c r="K2524" s="6" t="n">
        <v>20</v>
      </c>
      <c r="L2524" s="6" t="n">
        <v>0</v>
      </c>
      <c r="M2524" s="6" t="n">
        <v>20</v>
      </c>
      <c r="N2524" s="11" t="n">
        <f aca="false">J2524/(J2524+K2524)</f>
        <v>0</v>
      </c>
      <c r="O2524" s="11" t="str">
        <f aca="false">IF(J2524+L2524=0,"",J2524/(J2524+L2524))</f>
        <v/>
      </c>
      <c r="P2524" s="11" t="n">
        <f aca="false">2*J2524/(2*J2524+L2524+K2524)</f>
        <v>0</v>
      </c>
      <c r="Q2524" s="11" t="n">
        <f aca="false">L2524/(L2524+M2524)</f>
        <v>0</v>
      </c>
      <c r="R2524" s="6" t="n">
        <v>0</v>
      </c>
      <c r="S2524" s="11"/>
      <c r="T2524" s="11" t="n">
        <v>0</v>
      </c>
      <c r="U2524" s="11" t="n">
        <v>0.8</v>
      </c>
      <c r="V2524" s="11" t="n">
        <v>0.8</v>
      </c>
    </row>
    <row r="2525" customFormat="false" ht="15" hidden="false" customHeight="false" outlineLevel="0" collapsed="false">
      <c r="A2525" s="6" t="s">
        <v>48</v>
      </c>
      <c r="B2525" s="6" t="s">
        <v>43</v>
      </c>
      <c r="C2525" s="6" t="s">
        <v>49</v>
      </c>
      <c r="D2525" s="6" t="s">
        <v>115</v>
      </c>
      <c r="E2525" s="6" t="n">
        <v>4</v>
      </c>
      <c r="F2525" s="6" t="n">
        <v>10</v>
      </c>
      <c r="G2525" s="6" t="s">
        <v>72</v>
      </c>
      <c r="H2525" s="11" t="n">
        <v>0.001</v>
      </c>
      <c r="I2525" s="6" t="n">
        <v>20</v>
      </c>
      <c r="J2525" s="6" t="n">
        <v>0</v>
      </c>
      <c r="K2525" s="6" t="n">
        <v>20</v>
      </c>
      <c r="L2525" s="6" t="n">
        <v>0</v>
      </c>
      <c r="M2525" s="6" t="n">
        <v>20</v>
      </c>
      <c r="N2525" s="11" t="n">
        <f aca="false">J2525/(J2525+K2525)</f>
        <v>0</v>
      </c>
      <c r="O2525" s="11" t="str">
        <f aca="false">IF(J2525+L2525=0,"",J2525/(J2525+L2525))</f>
        <v/>
      </c>
      <c r="P2525" s="11" t="n">
        <f aca="false">2*J2525/(2*J2525+L2525+K2525)</f>
        <v>0</v>
      </c>
      <c r="Q2525" s="11" t="n">
        <f aca="false">L2525/(L2525+M2525)</f>
        <v>0</v>
      </c>
      <c r="R2525" s="6" t="n">
        <v>0</v>
      </c>
      <c r="S2525" s="11"/>
      <c r="T2525" s="11" t="n">
        <v>0</v>
      </c>
      <c r="U2525" s="11" t="n">
        <v>0.9</v>
      </c>
      <c r="V2525" s="11" t="n">
        <v>0.9</v>
      </c>
    </row>
    <row r="2526" customFormat="false" ht="15" hidden="false" customHeight="false" outlineLevel="0" collapsed="false">
      <c r="A2526" s="6" t="s">
        <v>48</v>
      </c>
      <c r="B2526" s="6" t="s">
        <v>43</v>
      </c>
      <c r="C2526" s="6" t="s">
        <v>49</v>
      </c>
      <c r="D2526" s="6" t="s">
        <v>115</v>
      </c>
      <c r="E2526" s="6" t="n">
        <v>4</v>
      </c>
      <c r="F2526" s="6" t="n">
        <v>10</v>
      </c>
      <c r="G2526" s="6" t="s">
        <v>73</v>
      </c>
      <c r="H2526" s="11" t="n">
        <v>0.001</v>
      </c>
      <c r="I2526" s="6" t="n">
        <v>20</v>
      </c>
      <c r="J2526" s="6" t="n">
        <v>0</v>
      </c>
      <c r="K2526" s="6" t="n">
        <v>20</v>
      </c>
      <c r="L2526" s="6" t="n">
        <v>0</v>
      </c>
      <c r="M2526" s="6" t="n">
        <v>20</v>
      </c>
      <c r="N2526" s="11" t="n">
        <f aca="false">J2526/(J2526+K2526)</f>
        <v>0</v>
      </c>
      <c r="O2526" s="11" t="str">
        <f aca="false">IF(J2526+L2526=0,"",J2526/(J2526+L2526))</f>
        <v/>
      </c>
      <c r="P2526" s="11" t="n">
        <f aca="false">2*J2526/(2*J2526+L2526+K2526)</f>
        <v>0</v>
      </c>
      <c r="Q2526" s="11" t="n">
        <f aca="false">L2526/(L2526+M2526)</f>
        <v>0</v>
      </c>
      <c r="R2526" s="6" t="n">
        <v>0</v>
      </c>
      <c r="S2526" s="11"/>
      <c r="T2526" s="11" t="n">
        <v>0</v>
      </c>
      <c r="U2526" s="11" t="n">
        <v>0.65</v>
      </c>
      <c r="V2526" s="11" t="n">
        <v>0.65</v>
      </c>
    </row>
    <row r="2527" customFormat="false" ht="15" hidden="false" customHeight="false" outlineLevel="0" collapsed="false">
      <c r="A2527" s="6" t="s">
        <v>48</v>
      </c>
      <c r="B2527" s="6" t="s">
        <v>43</v>
      </c>
      <c r="C2527" s="6" t="s">
        <v>49</v>
      </c>
      <c r="D2527" s="6" t="s">
        <v>115</v>
      </c>
      <c r="E2527" s="6" t="n">
        <v>4</v>
      </c>
      <c r="F2527" s="6" t="n">
        <v>10</v>
      </c>
      <c r="G2527" s="6" t="s">
        <v>74</v>
      </c>
      <c r="H2527" s="11" t="n">
        <v>0.001</v>
      </c>
      <c r="I2527" s="6" t="n">
        <v>20</v>
      </c>
      <c r="J2527" s="6" t="n">
        <v>0</v>
      </c>
      <c r="K2527" s="6" t="n">
        <v>20</v>
      </c>
      <c r="L2527" s="6" t="n">
        <v>0</v>
      </c>
      <c r="M2527" s="6" t="n">
        <v>20</v>
      </c>
      <c r="N2527" s="11" t="n">
        <f aca="false">J2527/(J2527+K2527)</f>
        <v>0</v>
      </c>
      <c r="O2527" s="11" t="str">
        <f aca="false">IF(J2527+L2527=0,"",J2527/(J2527+L2527))</f>
        <v/>
      </c>
      <c r="P2527" s="11" t="n">
        <f aca="false">2*J2527/(2*J2527+L2527+K2527)</f>
        <v>0</v>
      </c>
      <c r="Q2527" s="11" t="n">
        <f aca="false">L2527/(L2527+M2527)</f>
        <v>0</v>
      </c>
      <c r="R2527" s="6" t="n">
        <v>0</v>
      </c>
      <c r="S2527" s="11"/>
      <c r="T2527" s="11" t="n">
        <v>0</v>
      </c>
      <c r="U2527" s="11" t="n">
        <v>0.85</v>
      </c>
      <c r="V2527" s="11" t="n">
        <v>0.85</v>
      </c>
    </row>
    <row r="2528" customFormat="false" ht="15" hidden="false" customHeight="false" outlineLevel="0" collapsed="false">
      <c r="A2528" s="6" t="s">
        <v>48</v>
      </c>
      <c r="B2528" s="6" t="s">
        <v>43</v>
      </c>
      <c r="C2528" s="6" t="s">
        <v>49</v>
      </c>
      <c r="D2528" s="6" t="s">
        <v>115</v>
      </c>
      <c r="E2528" s="6" t="n">
        <v>4</v>
      </c>
      <c r="F2528" s="6" t="n">
        <v>10</v>
      </c>
      <c r="G2528" s="6" t="s">
        <v>75</v>
      </c>
      <c r="H2528" s="11" t="n">
        <v>0.001</v>
      </c>
      <c r="I2528" s="6" t="n">
        <v>20</v>
      </c>
      <c r="J2528" s="6" t="n">
        <v>0</v>
      </c>
      <c r="K2528" s="6" t="n">
        <v>20</v>
      </c>
      <c r="L2528" s="6" t="n">
        <v>0</v>
      </c>
      <c r="M2528" s="6" t="n">
        <v>20</v>
      </c>
      <c r="N2528" s="11" t="n">
        <f aca="false">J2528/(J2528+K2528)</f>
        <v>0</v>
      </c>
      <c r="O2528" s="11" t="str">
        <f aca="false">IF(J2528+L2528=0,"",J2528/(J2528+L2528))</f>
        <v/>
      </c>
      <c r="P2528" s="11" t="n">
        <f aca="false">2*J2528/(2*J2528+L2528+K2528)</f>
        <v>0</v>
      </c>
      <c r="Q2528" s="11" t="n">
        <f aca="false">L2528/(L2528+M2528)</f>
        <v>0</v>
      </c>
      <c r="R2528" s="6" t="n">
        <v>0</v>
      </c>
      <c r="S2528" s="11"/>
      <c r="T2528" s="11" t="n">
        <v>0</v>
      </c>
      <c r="U2528" s="11" t="n">
        <v>0.9</v>
      </c>
      <c r="V2528" s="11" t="n">
        <v>0.9</v>
      </c>
    </row>
    <row r="2529" customFormat="false" ht="15" hidden="false" customHeight="false" outlineLevel="0" collapsed="false">
      <c r="A2529" s="6" t="s">
        <v>48</v>
      </c>
      <c r="B2529" s="6" t="s">
        <v>43</v>
      </c>
      <c r="C2529" s="6" t="s">
        <v>49</v>
      </c>
      <c r="D2529" s="6" t="s">
        <v>115</v>
      </c>
      <c r="E2529" s="6" t="n">
        <v>4</v>
      </c>
      <c r="F2529" s="6" t="n">
        <v>10</v>
      </c>
      <c r="G2529" s="6" t="s">
        <v>76</v>
      </c>
      <c r="H2529" s="11" t="n">
        <v>0.001</v>
      </c>
      <c r="I2529" s="6" t="n">
        <v>20</v>
      </c>
      <c r="J2529" s="6" t="n">
        <v>0</v>
      </c>
      <c r="K2529" s="6" t="n">
        <v>20</v>
      </c>
      <c r="L2529" s="6" t="n">
        <v>0</v>
      </c>
      <c r="M2529" s="6" t="n">
        <v>20</v>
      </c>
      <c r="N2529" s="11" t="n">
        <f aca="false">J2529/(J2529+K2529)</f>
        <v>0</v>
      </c>
      <c r="O2529" s="11" t="str">
        <f aca="false">IF(J2529+L2529=0,"",J2529/(J2529+L2529))</f>
        <v/>
      </c>
      <c r="P2529" s="11" t="n">
        <f aca="false">2*J2529/(2*J2529+L2529+K2529)</f>
        <v>0</v>
      </c>
      <c r="Q2529" s="11" t="n">
        <f aca="false">L2529/(L2529+M2529)</f>
        <v>0</v>
      </c>
      <c r="R2529" s="6" t="n">
        <v>0</v>
      </c>
      <c r="S2529" s="11"/>
      <c r="T2529" s="11" t="n">
        <v>0</v>
      </c>
      <c r="U2529" s="11" t="n">
        <v>0.95</v>
      </c>
      <c r="V2529" s="11" t="n">
        <v>0.95</v>
      </c>
    </row>
    <row r="2530" customFormat="false" ht="15" hidden="false" customHeight="false" outlineLevel="0" collapsed="false">
      <c r="A2530" s="6" t="s">
        <v>48</v>
      </c>
      <c r="B2530" s="6" t="s">
        <v>43</v>
      </c>
      <c r="C2530" s="6" t="s">
        <v>49</v>
      </c>
      <c r="D2530" s="6" t="s">
        <v>115</v>
      </c>
      <c r="E2530" s="6" t="n">
        <v>4</v>
      </c>
      <c r="F2530" s="6" t="n">
        <v>10</v>
      </c>
      <c r="G2530" s="6" t="s">
        <v>77</v>
      </c>
      <c r="H2530" s="11" t="n">
        <v>0.001</v>
      </c>
      <c r="I2530" s="6" t="n">
        <v>20</v>
      </c>
      <c r="J2530" s="6" t="n">
        <v>0</v>
      </c>
      <c r="K2530" s="6" t="n">
        <v>20</v>
      </c>
      <c r="L2530" s="6" t="n">
        <v>0</v>
      </c>
      <c r="M2530" s="6" t="n">
        <v>20</v>
      </c>
      <c r="N2530" s="11" t="n">
        <f aca="false">J2530/(J2530+K2530)</f>
        <v>0</v>
      </c>
      <c r="O2530" s="11" t="str">
        <f aca="false">IF(J2530+L2530=0,"",J2530/(J2530+L2530))</f>
        <v/>
      </c>
      <c r="P2530" s="11" t="n">
        <f aca="false">2*J2530/(2*J2530+L2530+K2530)</f>
        <v>0</v>
      </c>
      <c r="Q2530" s="11" t="n">
        <f aca="false">L2530/(L2530+M2530)</f>
        <v>0</v>
      </c>
      <c r="R2530" s="6" t="n">
        <v>0</v>
      </c>
      <c r="S2530" s="11"/>
      <c r="T2530" s="11" t="n">
        <v>0</v>
      </c>
      <c r="U2530" s="11" t="n">
        <v>1</v>
      </c>
      <c r="V2530" s="11" t="n">
        <v>1</v>
      </c>
    </row>
    <row r="2531" customFormat="false" ht="15" hidden="false" customHeight="false" outlineLevel="0" collapsed="false">
      <c r="A2531" s="6" t="s">
        <v>48</v>
      </c>
      <c r="B2531" s="6" t="s">
        <v>43</v>
      </c>
      <c r="C2531" s="6" t="s">
        <v>49</v>
      </c>
      <c r="D2531" s="6" t="s">
        <v>115</v>
      </c>
      <c r="E2531" s="6" t="n">
        <v>4</v>
      </c>
      <c r="F2531" s="6" t="n">
        <v>10</v>
      </c>
      <c r="G2531" s="6" t="s">
        <v>78</v>
      </c>
      <c r="H2531" s="11" t="n">
        <v>0.001</v>
      </c>
      <c r="I2531" s="6" t="n">
        <v>200</v>
      </c>
      <c r="J2531" s="6" t="n">
        <v>0</v>
      </c>
      <c r="K2531" s="6" t="n">
        <v>200</v>
      </c>
      <c r="L2531" s="6" t="n">
        <v>0</v>
      </c>
      <c r="M2531" s="6" t="n">
        <v>200</v>
      </c>
      <c r="N2531" s="11" t="n">
        <f aca="false">J2531/(J2531+K2531)</f>
        <v>0</v>
      </c>
      <c r="O2531" s="11" t="str">
        <f aca="false">IF(J2531+L2531=0,"",J2531/(J2531+L2531))</f>
        <v/>
      </c>
      <c r="P2531" s="11" t="n">
        <f aca="false">2*J2531/(2*J2531+L2531+K2531)</f>
        <v>0</v>
      </c>
      <c r="Q2531" s="11" t="n">
        <f aca="false">L2531/(L2531+M2531)</f>
        <v>0</v>
      </c>
      <c r="R2531" s="6" t="n">
        <v>0</v>
      </c>
      <c r="S2531" s="11"/>
      <c r="T2531" s="11" t="n">
        <v>0</v>
      </c>
      <c r="U2531" s="11" t="n">
        <v>0.88</v>
      </c>
      <c r="V2531" s="11" t="n">
        <v>0.88</v>
      </c>
    </row>
    <row r="2532" customFormat="false" ht="15" hidden="false" customHeight="false" outlineLevel="0" collapsed="false">
      <c r="A2532" s="6" t="s">
        <v>50</v>
      </c>
      <c r="B2532" s="6" t="s">
        <v>43</v>
      </c>
      <c r="C2532" s="6" t="s">
        <v>51</v>
      </c>
      <c r="D2532" s="6" t="s">
        <v>115</v>
      </c>
      <c r="E2532" s="6" t="n">
        <v>1</v>
      </c>
      <c r="F2532" s="6" t="n">
        <v>1</v>
      </c>
      <c r="G2532" s="6" t="s">
        <v>68</v>
      </c>
      <c r="H2532" s="11" t="n">
        <v>0.001</v>
      </c>
      <c r="I2532" s="6" t="n">
        <v>20</v>
      </c>
      <c r="J2532" s="6" t="n">
        <v>0</v>
      </c>
      <c r="K2532" s="6" t="n">
        <v>20</v>
      </c>
      <c r="L2532" s="6" t="n">
        <v>0</v>
      </c>
      <c r="M2532" s="6" t="n">
        <v>20</v>
      </c>
      <c r="N2532" s="11" t="n">
        <f aca="false">J2532/(J2532+K2532)</f>
        <v>0</v>
      </c>
      <c r="O2532" s="11" t="str">
        <f aca="false">IF(J2532+L2532=0,"",J2532/(J2532+L2532))</f>
        <v/>
      </c>
      <c r="P2532" s="11" t="n">
        <f aca="false">2*J2532/(2*J2532+L2532+K2532)</f>
        <v>0</v>
      </c>
      <c r="Q2532" s="11" t="n">
        <f aca="false">L2532/(L2532+M2532)</f>
        <v>0</v>
      </c>
      <c r="R2532" s="6" t="n">
        <v>0</v>
      </c>
      <c r="S2532" s="11"/>
      <c r="T2532" s="11" t="n">
        <v>0</v>
      </c>
      <c r="U2532" s="11" t="n">
        <v>0.85</v>
      </c>
      <c r="V2532" s="11" t="n">
        <v>0.85</v>
      </c>
    </row>
    <row r="2533" customFormat="false" ht="15" hidden="false" customHeight="false" outlineLevel="0" collapsed="false">
      <c r="A2533" s="6" t="s">
        <v>50</v>
      </c>
      <c r="B2533" s="6" t="s">
        <v>43</v>
      </c>
      <c r="C2533" s="6" t="s">
        <v>51</v>
      </c>
      <c r="D2533" s="6" t="s">
        <v>115</v>
      </c>
      <c r="E2533" s="6" t="n">
        <v>1</v>
      </c>
      <c r="F2533" s="6" t="n">
        <v>1</v>
      </c>
      <c r="G2533" s="6" t="s">
        <v>69</v>
      </c>
      <c r="H2533" s="11" t="n">
        <v>0.001</v>
      </c>
      <c r="I2533" s="6" t="n">
        <v>20</v>
      </c>
      <c r="J2533" s="6" t="n">
        <v>0</v>
      </c>
      <c r="K2533" s="6" t="n">
        <v>20</v>
      </c>
      <c r="L2533" s="6" t="n">
        <v>0</v>
      </c>
      <c r="M2533" s="6" t="n">
        <v>20</v>
      </c>
      <c r="N2533" s="11" t="n">
        <f aca="false">J2533/(J2533+K2533)</f>
        <v>0</v>
      </c>
      <c r="O2533" s="11" t="str">
        <f aca="false">IF(J2533+L2533=0,"",J2533/(J2533+L2533))</f>
        <v/>
      </c>
      <c r="P2533" s="11" t="n">
        <f aca="false">2*J2533/(2*J2533+L2533+K2533)</f>
        <v>0</v>
      </c>
      <c r="Q2533" s="11" t="n">
        <f aca="false">L2533/(L2533+M2533)</f>
        <v>0</v>
      </c>
      <c r="R2533" s="6" t="n">
        <v>0</v>
      </c>
      <c r="S2533" s="11"/>
      <c r="T2533" s="11" t="n">
        <v>0</v>
      </c>
      <c r="U2533" s="11" t="n">
        <v>1</v>
      </c>
      <c r="V2533" s="11" t="n">
        <v>1</v>
      </c>
    </row>
    <row r="2534" customFormat="false" ht="15" hidden="false" customHeight="false" outlineLevel="0" collapsed="false">
      <c r="A2534" s="6" t="s">
        <v>50</v>
      </c>
      <c r="B2534" s="6" t="s">
        <v>43</v>
      </c>
      <c r="C2534" s="6" t="s">
        <v>51</v>
      </c>
      <c r="D2534" s="6" t="s">
        <v>115</v>
      </c>
      <c r="E2534" s="6" t="n">
        <v>1</v>
      </c>
      <c r="F2534" s="6" t="n">
        <v>1</v>
      </c>
      <c r="G2534" s="6" t="s">
        <v>70</v>
      </c>
      <c r="H2534" s="11" t="n">
        <v>0.001</v>
      </c>
      <c r="I2534" s="6" t="n">
        <v>20</v>
      </c>
      <c r="J2534" s="6" t="n">
        <v>0</v>
      </c>
      <c r="K2534" s="6" t="n">
        <v>20</v>
      </c>
      <c r="L2534" s="6" t="n">
        <v>0</v>
      </c>
      <c r="M2534" s="6" t="n">
        <v>20</v>
      </c>
      <c r="N2534" s="11" t="n">
        <f aca="false">J2534/(J2534+K2534)</f>
        <v>0</v>
      </c>
      <c r="O2534" s="11" t="str">
        <f aca="false">IF(J2534+L2534=0,"",J2534/(J2534+L2534))</f>
        <v/>
      </c>
      <c r="P2534" s="11" t="n">
        <f aca="false">2*J2534/(2*J2534+L2534+K2534)</f>
        <v>0</v>
      </c>
      <c r="Q2534" s="11" t="n">
        <f aca="false">L2534/(L2534+M2534)</f>
        <v>0</v>
      </c>
      <c r="R2534" s="6" t="n">
        <v>0</v>
      </c>
      <c r="S2534" s="11"/>
      <c r="T2534" s="11" t="n">
        <v>0</v>
      </c>
      <c r="U2534" s="11" t="n">
        <v>0.9</v>
      </c>
      <c r="V2534" s="11" t="n">
        <v>0.9</v>
      </c>
    </row>
    <row r="2535" customFormat="false" ht="15" hidden="false" customHeight="false" outlineLevel="0" collapsed="false">
      <c r="A2535" s="6" t="s">
        <v>50</v>
      </c>
      <c r="B2535" s="6" t="s">
        <v>43</v>
      </c>
      <c r="C2535" s="6" t="s">
        <v>51</v>
      </c>
      <c r="D2535" s="6" t="s">
        <v>115</v>
      </c>
      <c r="E2535" s="6" t="n">
        <v>1</v>
      </c>
      <c r="F2535" s="6" t="n">
        <v>1</v>
      </c>
      <c r="G2535" s="6" t="s">
        <v>71</v>
      </c>
      <c r="H2535" s="11" t="n">
        <v>0.001</v>
      </c>
      <c r="I2535" s="6" t="n">
        <v>20</v>
      </c>
      <c r="J2535" s="6" t="n">
        <v>0</v>
      </c>
      <c r="K2535" s="6" t="n">
        <v>20</v>
      </c>
      <c r="L2535" s="6" t="n">
        <v>0</v>
      </c>
      <c r="M2535" s="6" t="n">
        <v>20</v>
      </c>
      <c r="N2535" s="11" t="n">
        <f aca="false">J2535/(J2535+K2535)</f>
        <v>0</v>
      </c>
      <c r="O2535" s="11" t="str">
        <f aca="false">IF(J2535+L2535=0,"",J2535/(J2535+L2535))</f>
        <v/>
      </c>
      <c r="P2535" s="11" t="n">
        <f aca="false">2*J2535/(2*J2535+L2535+K2535)</f>
        <v>0</v>
      </c>
      <c r="Q2535" s="11" t="n">
        <f aca="false">L2535/(L2535+M2535)</f>
        <v>0</v>
      </c>
      <c r="R2535" s="6" t="n">
        <v>0</v>
      </c>
      <c r="S2535" s="11"/>
      <c r="T2535" s="11" t="n">
        <v>0</v>
      </c>
      <c r="U2535" s="11" t="n">
        <v>0.8</v>
      </c>
      <c r="V2535" s="11" t="n">
        <v>0.8</v>
      </c>
    </row>
    <row r="2536" customFormat="false" ht="15" hidden="false" customHeight="false" outlineLevel="0" collapsed="false">
      <c r="A2536" s="6" t="s">
        <v>50</v>
      </c>
      <c r="B2536" s="6" t="s">
        <v>43</v>
      </c>
      <c r="C2536" s="6" t="s">
        <v>51</v>
      </c>
      <c r="D2536" s="6" t="s">
        <v>115</v>
      </c>
      <c r="E2536" s="6" t="n">
        <v>1</v>
      </c>
      <c r="F2536" s="6" t="n">
        <v>1</v>
      </c>
      <c r="G2536" s="6" t="s">
        <v>72</v>
      </c>
      <c r="H2536" s="11" t="n">
        <v>0.001</v>
      </c>
      <c r="I2536" s="6" t="n">
        <v>20</v>
      </c>
      <c r="J2536" s="6" t="n">
        <v>0</v>
      </c>
      <c r="K2536" s="6" t="n">
        <v>20</v>
      </c>
      <c r="L2536" s="6" t="n">
        <v>0</v>
      </c>
      <c r="M2536" s="6" t="n">
        <v>20</v>
      </c>
      <c r="N2536" s="11" t="n">
        <f aca="false">J2536/(J2536+K2536)</f>
        <v>0</v>
      </c>
      <c r="O2536" s="11" t="str">
        <f aca="false">IF(J2536+L2536=0,"",J2536/(J2536+L2536))</f>
        <v/>
      </c>
      <c r="P2536" s="11" t="n">
        <f aca="false">2*J2536/(2*J2536+L2536+K2536)</f>
        <v>0</v>
      </c>
      <c r="Q2536" s="11" t="n">
        <f aca="false">L2536/(L2536+M2536)</f>
        <v>0</v>
      </c>
      <c r="R2536" s="6" t="n">
        <v>0</v>
      </c>
      <c r="S2536" s="11"/>
      <c r="T2536" s="11" t="n">
        <v>0</v>
      </c>
      <c r="U2536" s="11" t="n">
        <v>0.9</v>
      </c>
      <c r="V2536" s="11" t="n">
        <v>0.9</v>
      </c>
    </row>
    <row r="2537" customFormat="false" ht="15" hidden="false" customHeight="false" outlineLevel="0" collapsed="false">
      <c r="A2537" s="6" t="s">
        <v>50</v>
      </c>
      <c r="B2537" s="6" t="s">
        <v>43</v>
      </c>
      <c r="C2537" s="6" t="s">
        <v>51</v>
      </c>
      <c r="D2537" s="6" t="s">
        <v>115</v>
      </c>
      <c r="E2537" s="6" t="n">
        <v>1</v>
      </c>
      <c r="F2537" s="6" t="n">
        <v>1</v>
      </c>
      <c r="G2537" s="6" t="s">
        <v>73</v>
      </c>
      <c r="H2537" s="11" t="n">
        <v>0.001</v>
      </c>
      <c r="I2537" s="6" t="n">
        <v>20</v>
      </c>
      <c r="J2537" s="6" t="n">
        <v>0</v>
      </c>
      <c r="K2537" s="6" t="n">
        <v>20</v>
      </c>
      <c r="L2537" s="6" t="n">
        <v>0</v>
      </c>
      <c r="M2537" s="6" t="n">
        <v>20</v>
      </c>
      <c r="N2537" s="11" t="n">
        <f aca="false">J2537/(J2537+K2537)</f>
        <v>0</v>
      </c>
      <c r="O2537" s="11" t="str">
        <f aca="false">IF(J2537+L2537=0,"",J2537/(J2537+L2537))</f>
        <v/>
      </c>
      <c r="P2537" s="11" t="n">
        <f aca="false">2*J2537/(2*J2537+L2537+K2537)</f>
        <v>0</v>
      </c>
      <c r="Q2537" s="11" t="n">
        <f aca="false">L2537/(L2537+M2537)</f>
        <v>0</v>
      </c>
      <c r="R2537" s="6" t="n">
        <v>0</v>
      </c>
      <c r="S2537" s="11"/>
      <c r="T2537" s="11" t="n">
        <v>0</v>
      </c>
      <c r="U2537" s="11" t="n">
        <v>0.65</v>
      </c>
      <c r="V2537" s="11" t="n">
        <v>0.65</v>
      </c>
    </row>
    <row r="2538" customFormat="false" ht="15" hidden="false" customHeight="false" outlineLevel="0" collapsed="false">
      <c r="A2538" s="6" t="s">
        <v>50</v>
      </c>
      <c r="B2538" s="6" t="s">
        <v>43</v>
      </c>
      <c r="C2538" s="6" t="s">
        <v>51</v>
      </c>
      <c r="D2538" s="6" t="s">
        <v>115</v>
      </c>
      <c r="E2538" s="6" t="n">
        <v>1</v>
      </c>
      <c r="F2538" s="6" t="n">
        <v>1</v>
      </c>
      <c r="G2538" s="6" t="s">
        <v>74</v>
      </c>
      <c r="H2538" s="11" t="n">
        <v>0.001</v>
      </c>
      <c r="I2538" s="6" t="n">
        <v>20</v>
      </c>
      <c r="J2538" s="6" t="n">
        <v>0</v>
      </c>
      <c r="K2538" s="6" t="n">
        <v>20</v>
      </c>
      <c r="L2538" s="6" t="n">
        <v>0</v>
      </c>
      <c r="M2538" s="6" t="n">
        <v>20</v>
      </c>
      <c r="N2538" s="11" t="n">
        <f aca="false">J2538/(J2538+K2538)</f>
        <v>0</v>
      </c>
      <c r="O2538" s="11" t="str">
        <f aca="false">IF(J2538+L2538=0,"",J2538/(J2538+L2538))</f>
        <v/>
      </c>
      <c r="P2538" s="11" t="n">
        <f aca="false">2*J2538/(2*J2538+L2538+K2538)</f>
        <v>0</v>
      </c>
      <c r="Q2538" s="11" t="n">
        <f aca="false">L2538/(L2538+M2538)</f>
        <v>0</v>
      </c>
      <c r="R2538" s="6" t="n">
        <v>0</v>
      </c>
      <c r="S2538" s="11"/>
      <c r="T2538" s="11" t="n">
        <v>0</v>
      </c>
      <c r="U2538" s="11" t="n">
        <v>0.85</v>
      </c>
      <c r="V2538" s="11" t="n">
        <v>0.85</v>
      </c>
    </row>
    <row r="2539" customFormat="false" ht="15" hidden="false" customHeight="false" outlineLevel="0" collapsed="false">
      <c r="A2539" s="6" t="s">
        <v>50</v>
      </c>
      <c r="B2539" s="6" t="s">
        <v>43</v>
      </c>
      <c r="C2539" s="6" t="s">
        <v>51</v>
      </c>
      <c r="D2539" s="6" t="s">
        <v>115</v>
      </c>
      <c r="E2539" s="6" t="n">
        <v>1</v>
      </c>
      <c r="F2539" s="6" t="n">
        <v>1</v>
      </c>
      <c r="G2539" s="6" t="s">
        <v>75</v>
      </c>
      <c r="H2539" s="11" t="n">
        <v>0.001</v>
      </c>
      <c r="I2539" s="6" t="n">
        <v>20</v>
      </c>
      <c r="J2539" s="6" t="n">
        <v>0</v>
      </c>
      <c r="K2539" s="6" t="n">
        <v>20</v>
      </c>
      <c r="L2539" s="6" t="n">
        <v>0</v>
      </c>
      <c r="M2539" s="6" t="n">
        <v>20</v>
      </c>
      <c r="N2539" s="11" t="n">
        <f aca="false">J2539/(J2539+K2539)</f>
        <v>0</v>
      </c>
      <c r="O2539" s="11" t="str">
        <f aca="false">IF(J2539+L2539=0,"",J2539/(J2539+L2539))</f>
        <v/>
      </c>
      <c r="P2539" s="11" t="n">
        <f aca="false">2*J2539/(2*J2539+L2539+K2539)</f>
        <v>0</v>
      </c>
      <c r="Q2539" s="11" t="n">
        <f aca="false">L2539/(L2539+M2539)</f>
        <v>0</v>
      </c>
      <c r="R2539" s="6" t="n">
        <v>0</v>
      </c>
      <c r="S2539" s="11"/>
      <c r="T2539" s="11" t="n">
        <v>0</v>
      </c>
      <c r="U2539" s="11" t="n">
        <v>0.9</v>
      </c>
      <c r="V2539" s="11" t="n">
        <v>0.9</v>
      </c>
    </row>
    <row r="2540" customFormat="false" ht="15" hidden="false" customHeight="false" outlineLevel="0" collapsed="false">
      <c r="A2540" s="6" t="s">
        <v>50</v>
      </c>
      <c r="B2540" s="6" t="s">
        <v>43</v>
      </c>
      <c r="C2540" s="6" t="s">
        <v>51</v>
      </c>
      <c r="D2540" s="6" t="s">
        <v>115</v>
      </c>
      <c r="E2540" s="6" t="n">
        <v>1</v>
      </c>
      <c r="F2540" s="6" t="n">
        <v>1</v>
      </c>
      <c r="G2540" s="6" t="s">
        <v>76</v>
      </c>
      <c r="H2540" s="11" t="n">
        <v>0.001</v>
      </c>
      <c r="I2540" s="6" t="n">
        <v>20</v>
      </c>
      <c r="J2540" s="6" t="n">
        <v>0</v>
      </c>
      <c r="K2540" s="6" t="n">
        <v>20</v>
      </c>
      <c r="L2540" s="6" t="n">
        <v>0</v>
      </c>
      <c r="M2540" s="6" t="n">
        <v>20</v>
      </c>
      <c r="N2540" s="11" t="n">
        <f aca="false">J2540/(J2540+K2540)</f>
        <v>0</v>
      </c>
      <c r="O2540" s="11" t="str">
        <f aca="false">IF(J2540+L2540=0,"",J2540/(J2540+L2540))</f>
        <v/>
      </c>
      <c r="P2540" s="11" t="n">
        <f aca="false">2*J2540/(2*J2540+L2540+K2540)</f>
        <v>0</v>
      </c>
      <c r="Q2540" s="11" t="n">
        <f aca="false">L2540/(L2540+M2540)</f>
        <v>0</v>
      </c>
      <c r="R2540" s="6" t="n">
        <v>0</v>
      </c>
      <c r="S2540" s="11"/>
      <c r="T2540" s="11" t="n">
        <v>0</v>
      </c>
      <c r="U2540" s="11" t="n">
        <v>0.95</v>
      </c>
      <c r="V2540" s="11" t="n">
        <v>0.95</v>
      </c>
    </row>
    <row r="2541" customFormat="false" ht="15" hidden="false" customHeight="false" outlineLevel="0" collapsed="false">
      <c r="A2541" s="6" t="s">
        <v>50</v>
      </c>
      <c r="B2541" s="6" t="s">
        <v>43</v>
      </c>
      <c r="C2541" s="6" t="s">
        <v>51</v>
      </c>
      <c r="D2541" s="6" t="s">
        <v>115</v>
      </c>
      <c r="E2541" s="6" t="n">
        <v>1</v>
      </c>
      <c r="F2541" s="6" t="n">
        <v>1</v>
      </c>
      <c r="G2541" s="6" t="s">
        <v>77</v>
      </c>
      <c r="H2541" s="11" t="n">
        <v>0.001</v>
      </c>
      <c r="I2541" s="6" t="n">
        <v>20</v>
      </c>
      <c r="J2541" s="6" t="n">
        <v>0</v>
      </c>
      <c r="K2541" s="6" t="n">
        <v>20</v>
      </c>
      <c r="L2541" s="6" t="n">
        <v>0</v>
      </c>
      <c r="M2541" s="6" t="n">
        <v>20</v>
      </c>
      <c r="N2541" s="11" t="n">
        <f aca="false">J2541/(J2541+K2541)</f>
        <v>0</v>
      </c>
      <c r="O2541" s="11" t="str">
        <f aca="false">IF(J2541+L2541=0,"",J2541/(J2541+L2541))</f>
        <v/>
      </c>
      <c r="P2541" s="11" t="n">
        <f aca="false">2*J2541/(2*J2541+L2541+K2541)</f>
        <v>0</v>
      </c>
      <c r="Q2541" s="11" t="n">
        <f aca="false">L2541/(L2541+M2541)</f>
        <v>0</v>
      </c>
      <c r="R2541" s="6" t="n">
        <v>0</v>
      </c>
      <c r="S2541" s="11"/>
      <c r="T2541" s="11" t="n">
        <v>0</v>
      </c>
      <c r="U2541" s="11" t="n">
        <v>1</v>
      </c>
      <c r="V2541" s="11" t="n">
        <v>1</v>
      </c>
    </row>
    <row r="2542" customFormat="false" ht="15" hidden="false" customHeight="false" outlineLevel="0" collapsed="false">
      <c r="A2542" s="6" t="s">
        <v>50</v>
      </c>
      <c r="B2542" s="6" t="s">
        <v>43</v>
      </c>
      <c r="C2542" s="6" t="s">
        <v>51</v>
      </c>
      <c r="D2542" s="6" t="s">
        <v>115</v>
      </c>
      <c r="E2542" s="6" t="n">
        <v>1</v>
      </c>
      <c r="F2542" s="6" t="n">
        <v>1</v>
      </c>
      <c r="G2542" s="6" t="s">
        <v>78</v>
      </c>
      <c r="H2542" s="11" t="n">
        <v>0.001</v>
      </c>
      <c r="I2542" s="6" t="n">
        <v>200</v>
      </c>
      <c r="J2542" s="6" t="n">
        <v>0</v>
      </c>
      <c r="K2542" s="6" t="n">
        <v>200</v>
      </c>
      <c r="L2542" s="6" t="n">
        <v>0</v>
      </c>
      <c r="M2542" s="6" t="n">
        <v>200</v>
      </c>
      <c r="N2542" s="11" t="n">
        <f aca="false">J2542/(J2542+K2542)</f>
        <v>0</v>
      </c>
      <c r="O2542" s="11" t="str">
        <f aca="false">IF(J2542+L2542=0,"",J2542/(J2542+L2542))</f>
        <v/>
      </c>
      <c r="P2542" s="11" t="n">
        <f aca="false">2*J2542/(2*J2542+L2542+K2542)</f>
        <v>0</v>
      </c>
      <c r="Q2542" s="11" t="n">
        <f aca="false">L2542/(L2542+M2542)</f>
        <v>0</v>
      </c>
      <c r="R2542" s="6" t="n">
        <v>0</v>
      </c>
      <c r="S2542" s="11"/>
      <c r="T2542" s="11" t="n">
        <v>0</v>
      </c>
      <c r="U2542" s="11" t="n">
        <v>0.88</v>
      </c>
      <c r="V2542" s="11" t="n">
        <v>0.88</v>
      </c>
    </row>
    <row r="2543" customFormat="false" ht="15" hidden="false" customHeight="false" outlineLevel="0" collapsed="false">
      <c r="A2543" s="6" t="s">
        <v>50</v>
      </c>
      <c r="B2543" s="6" t="s">
        <v>43</v>
      </c>
      <c r="C2543" s="6" t="s">
        <v>51</v>
      </c>
      <c r="D2543" s="6" t="s">
        <v>115</v>
      </c>
      <c r="E2543" s="6" t="n">
        <v>1</v>
      </c>
      <c r="F2543" s="6" t="n">
        <v>2</v>
      </c>
      <c r="G2543" s="6" t="s">
        <v>68</v>
      </c>
      <c r="H2543" s="11" t="n">
        <v>0.001</v>
      </c>
      <c r="I2543" s="6" t="n">
        <v>20</v>
      </c>
      <c r="J2543" s="6" t="n">
        <v>0</v>
      </c>
      <c r="K2543" s="6" t="n">
        <v>20</v>
      </c>
      <c r="L2543" s="6" t="n">
        <v>0</v>
      </c>
      <c r="M2543" s="6" t="n">
        <v>20</v>
      </c>
      <c r="N2543" s="11" t="n">
        <f aca="false">J2543/(J2543+K2543)</f>
        <v>0</v>
      </c>
      <c r="O2543" s="11" t="str">
        <f aca="false">IF(J2543+L2543=0,"",J2543/(J2543+L2543))</f>
        <v/>
      </c>
      <c r="P2543" s="11" t="n">
        <f aca="false">2*J2543/(2*J2543+L2543+K2543)</f>
        <v>0</v>
      </c>
      <c r="Q2543" s="11" t="n">
        <f aca="false">L2543/(L2543+M2543)</f>
        <v>0</v>
      </c>
      <c r="R2543" s="6" t="n">
        <v>0</v>
      </c>
      <c r="S2543" s="11"/>
      <c r="T2543" s="11" t="n">
        <v>0</v>
      </c>
      <c r="U2543" s="11" t="n">
        <v>0.85</v>
      </c>
      <c r="V2543" s="11" t="n">
        <v>0.85</v>
      </c>
    </row>
    <row r="2544" customFormat="false" ht="15" hidden="false" customHeight="false" outlineLevel="0" collapsed="false">
      <c r="A2544" s="6" t="s">
        <v>50</v>
      </c>
      <c r="B2544" s="6" t="s">
        <v>43</v>
      </c>
      <c r="C2544" s="6" t="s">
        <v>51</v>
      </c>
      <c r="D2544" s="6" t="s">
        <v>115</v>
      </c>
      <c r="E2544" s="6" t="n">
        <v>1</v>
      </c>
      <c r="F2544" s="6" t="n">
        <v>2</v>
      </c>
      <c r="G2544" s="6" t="s">
        <v>69</v>
      </c>
      <c r="H2544" s="11" t="n">
        <v>0.001</v>
      </c>
      <c r="I2544" s="6" t="n">
        <v>20</v>
      </c>
      <c r="J2544" s="6" t="n">
        <v>0</v>
      </c>
      <c r="K2544" s="6" t="n">
        <v>20</v>
      </c>
      <c r="L2544" s="6" t="n">
        <v>0</v>
      </c>
      <c r="M2544" s="6" t="n">
        <v>20</v>
      </c>
      <c r="N2544" s="11" t="n">
        <f aca="false">J2544/(J2544+K2544)</f>
        <v>0</v>
      </c>
      <c r="O2544" s="11" t="str">
        <f aca="false">IF(J2544+L2544=0,"",J2544/(J2544+L2544))</f>
        <v/>
      </c>
      <c r="P2544" s="11" t="n">
        <f aca="false">2*J2544/(2*J2544+L2544+K2544)</f>
        <v>0</v>
      </c>
      <c r="Q2544" s="11" t="n">
        <f aca="false">L2544/(L2544+M2544)</f>
        <v>0</v>
      </c>
      <c r="R2544" s="6" t="n">
        <v>0</v>
      </c>
      <c r="S2544" s="11"/>
      <c r="T2544" s="11" t="n">
        <v>0</v>
      </c>
      <c r="U2544" s="11" t="n">
        <v>1</v>
      </c>
      <c r="V2544" s="11" t="n">
        <v>1</v>
      </c>
    </row>
    <row r="2545" customFormat="false" ht="15" hidden="false" customHeight="false" outlineLevel="0" collapsed="false">
      <c r="A2545" s="6" t="s">
        <v>50</v>
      </c>
      <c r="B2545" s="6" t="s">
        <v>43</v>
      </c>
      <c r="C2545" s="6" t="s">
        <v>51</v>
      </c>
      <c r="D2545" s="6" t="s">
        <v>115</v>
      </c>
      <c r="E2545" s="6" t="n">
        <v>1</v>
      </c>
      <c r="F2545" s="6" t="n">
        <v>2</v>
      </c>
      <c r="G2545" s="6" t="s">
        <v>70</v>
      </c>
      <c r="H2545" s="11" t="n">
        <v>0.001</v>
      </c>
      <c r="I2545" s="6" t="n">
        <v>20</v>
      </c>
      <c r="J2545" s="6" t="n">
        <v>0</v>
      </c>
      <c r="K2545" s="6" t="n">
        <v>20</v>
      </c>
      <c r="L2545" s="6" t="n">
        <v>0</v>
      </c>
      <c r="M2545" s="6" t="n">
        <v>20</v>
      </c>
      <c r="N2545" s="11" t="n">
        <f aca="false">J2545/(J2545+K2545)</f>
        <v>0</v>
      </c>
      <c r="O2545" s="11" t="str">
        <f aca="false">IF(J2545+L2545=0,"",J2545/(J2545+L2545))</f>
        <v/>
      </c>
      <c r="P2545" s="11" t="n">
        <f aca="false">2*J2545/(2*J2545+L2545+K2545)</f>
        <v>0</v>
      </c>
      <c r="Q2545" s="11" t="n">
        <f aca="false">L2545/(L2545+M2545)</f>
        <v>0</v>
      </c>
      <c r="R2545" s="6" t="n">
        <v>0</v>
      </c>
      <c r="S2545" s="11"/>
      <c r="T2545" s="11" t="n">
        <v>0</v>
      </c>
      <c r="U2545" s="11" t="n">
        <v>0.9</v>
      </c>
      <c r="V2545" s="11" t="n">
        <v>0.9</v>
      </c>
    </row>
    <row r="2546" customFormat="false" ht="15" hidden="false" customHeight="false" outlineLevel="0" collapsed="false">
      <c r="A2546" s="6" t="s">
        <v>50</v>
      </c>
      <c r="B2546" s="6" t="s">
        <v>43</v>
      </c>
      <c r="C2546" s="6" t="s">
        <v>51</v>
      </c>
      <c r="D2546" s="6" t="s">
        <v>115</v>
      </c>
      <c r="E2546" s="6" t="n">
        <v>1</v>
      </c>
      <c r="F2546" s="6" t="n">
        <v>2</v>
      </c>
      <c r="G2546" s="6" t="s">
        <v>71</v>
      </c>
      <c r="H2546" s="11" t="n">
        <v>0.001</v>
      </c>
      <c r="I2546" s="6" t="n">
        <v>20</v>
      </c>
      <c r="J2546" s="6" t="n">
        <v>0</v>
      </c>
      <c r="K2546" s="6" t="n">
        <v>20</v>
      </c>
      <c r="L2546" s="6" t="n">
        <v>0</v>
      </c>
      <c r="M2546" s="6" t="n">
        <v>20</v>
      </c>
      <c r="N2546" s="11" t="n">
        <f aca="false">J2546/(J2546+K2546)</f>
        <v>0</v>
      </c>
      <c r="O2546" s="11" t="str">
        <f aca="false">IF(J2546+L2546=0,"",J2546/(J2546+L2546))</f>
        <v/>
      </c>
      <c r="P2546" s="11" t="n">
        <f aca="false">2*J2546/(2*J2546+L2546+K2546)</f>
        <v>0</v>
      </c>
      <c r="Q2546" s="11" t="n">
        <f aca="false">L2546/(L2546+M2546)</f>
        <v>0</v>
      </c>
      <c r="R2546" s="6" t="n">
        <v>0</v>
      </c>
      <c r="S2546" s="11"/>
      <c r="T2546" s="11" t="n">
        <v>0</v>
      </c>
      <c r="U2546" s="11" t="n">
        <v>0.8</v>
      </c>
      <c r="V2546" s="11" t="n">
        <v>0.8</v>
      </c>
    </row>
    <row r="2547" customFormat="false" ht="15" hidden="false" customHeight="false" outlineLevel="0" collapsed="false">
      <c r="A2547" s="6" t="s">
        <v>50</v>
      </c>
      <c r="B2547" s="6" t="s">
        <v>43</v>
      </c>
      <c r="C2547" s="6" t="s">
        <v>51</v>
      </c>
      <c r="D2547" s="6" t="s">
        <v>115</v>
      </c>
      <c r="E2547" s="6" t="n">
        <v>1</v>
      </c>
      <c r="F2547" s="6" t="n">
        <v>2</v>
      </c>
      <c r="G2547" s="6" t="s">
        <v>72</v>
      </c>
      <c r="H2547" s="11" t="n">
        <v>0.001</v>
      </c>
      <c r="I2547" s="6" t="n">
        <v>20</v>
      </c>
      <c r="J2547" s="6" t="n">
        <v>0</v>
      </c>
      <c r="K2547" s="6" t="n">
        <v>20</v>
      </c>
      <c r="L2547" s="6" t="n">
        <v>0</v>
      </c>
      <c r="M2547" s="6" t="n">
        <v>20</v>
      </c>
      <c r="N2547" s="11" t="n">
        <f aca="false">J2547/(J2547+K2547)</f>
        <v>0</v>
      </c>
      <c r="O2547" s="11" t="str">
        <f aca="false">IF(J2547+L2547=0,"",J2547/(J2547+L2547))</f>
        <v/>
      </c>
      <c r="P2547" s="11" t="n">
        <f aca="false">2*J2547/(2*J2547+L2547+K2547)</f>
        <v>0</v>
      </c>
      <c r="Q2547" s="11" t="n">
        <f aca="false">L2547/(L2547+M2547)</f>
        <v>0</v>
      </c>
      <c r="R2547" s="6" t="n">
        <v>0</v>
      </c>
      <c r="S2547" s="11"/>
      <c r="T2547" s="11" t="n">
        <v>0</v>
      </c>
      <c r="U2547" s="11" t="n">
        <v>0.9</v>
      </c>
      <c r="V2547" s="11" t="n">
        <v>0.9</v>
      </c>
    </row>
    <row r="2548" customFormat="false" ht="15" hidden="false" customHeight="false" outlineLevel="0" collapsed="false">
      <c r="A2548" s="6" t="s">
        <v>50</v>
      </c>
      <c r="B2548" s="6" t="s">
        <v>43</v>
      </c>
      <c r="C2548" s="6" t="s">
        <v>51</v>
      </c>
      <c r="D2548" s="6" t="s">
        <v>115</v>
      </c>
      <c r="E2548" s="6" t="n">
        <v>1</v>
      </c>
      <c r="F2548" s="6" t="n">
        <v>2</v>
      </c>
      <c r="G2548" s="6" t="s">
        <v>73</v>
      </c>
      <c r="H2548" s="11" t="n">
        <v>0.001</v>
      </c>
      <c r="I2548" s="6" t="n">
        <v>20</v>
      </c>
      <c r="J2548" s="6" t="n">
        <v>0</v>
      </c>
      <c r="K2548" s="6" t="n">
        <v>20</v>
      </c>
      <c r="L2548" s="6" t="n">
        <v>0</v>
      </c>
      <c r="M2548" s="6" t="n">
        <v>20</v>
      </c>
      <c r="N2548" s="11" t="n">
        <f aca="false">J2548/(J2548+K2548)</f>
        <v>0</v>
      </c>
      <c r="O2548" s="11" t="str">
        <f aca="false">IF(J2548+L2548=0,"",J2548/(J2548+L2548))</f>
        <v/>
      </c>
      <c r="P2548" s="11" t="n">
        <f aca="false">2*J2548/(2*J2548+L2548+K2548)</f>
        <v>0</v>
      </c>
      <c r="Q2548" s="11" t="n">
        <f aca="false">L2548/(L2548+M2548)</f>
        <v>0</v>
      </c>
      <c r="R2548" s="6" t="n">
        <v>0</v>
      </c>
      <c r="S2548" s="11"/>
      <c r="T2548" s="11" t="n">
        <v>0</v>
      </c>
      <c r="U2548" s="11" t="n">
        <v>0.65</v>
      </c>
      <c r="V2548" s="11" t="n">
        <v>0.65</v>
      </c>
    </row>
    <row r="2549" customFormat="false" ht="15" hidden="false" customHeight="false" outlineLevel="0" collapsed="false">
      <c r="A2549" s="6" t="s">
        <v>50</v>
      </c>
      <c r="B2549" s="6" t="s">
        <v>43</v>
      </c>
      <c r="C2549" s="6" t="s">
        <v>51</v>
      </c>
      <c r="D2549" s="6" t="s">
        <v>115</v>
      </c>
      <c r="E2549" s="6" t="n">
        <v>1</v>
      </c>
      <c r="F2549" s="6" t="n">
        <v>2</v>
      </c>
      <c r="G2549" s="6" t="s">
        <v>74</v>
      </c>
      <c r="H2549" s="11" t="n">
        <v>0.001</v>
      </c>
      <c r="I2549" s="6" t="n">
        <v>20</v>
      </c>
      <c r="J2549" s="6" t="n">
        <v>0</v>
      </c>
      <c r="K2549" s="6" t="n">
        <v>20</v>
      </c>
      <c r="L2549" s="6" t="n">
        <v>0</v>
      </c>
      <c r="M2549" s="6" t="n">
        <v>20</v>
      </c>
      <c r="N2549" s="11" t="n">
        <f aca="false">J2549/(J2549+K2549)</f>
        <v>0</v>
      </c>
      <c r="O2549" s="11" t="str">
        <f aca="false">IF(J2549+L2549=0,"",J2549/(J2549+L2549))</f>
        <v/>
      </c>
      <c r="P2549" s="11" t="n">
        <f aca="false">2*J2549/(2*J2549+L2549+K2549)</f>
        <v>0</v>
      </c>
      <c r="Q2549" s="11" t="n">
        <f aca="false">L2549/(L2549+M2549)</f>
        <v>0</v>
      </c>
      <c r="R2549" s="6" t="n">
        <v>0</v>
      </c>
      <c r="S2549" s="11"/>
      <c r="T2549" s="11" t="n">
        <v>0</v>
      </c>
      <c r="U2549" s="11" t="n">
        <v>0.85</v>
      </c>
      <c r="V2549" s="11" t="n">
        <v>0.85</v>
      </c>
    </row>
    <row r="2550" customFormat="false" ht="15" hidden="false" customHeight="false" outlineLevel="0" collapsed="false">
      <c r="A2550" s="6" t="s">
        <v>50</v>
      </c>
      <c r="B2550" s="6" t="s">
        <v>43</v>
      </c>
      <c r="C2550" s="6" t="s">
        <v>51</v>
      </c>
      <c r="D2550" s="6" t="s">
        <v>115</v>
      </c>
      <c r="E2550" s="6" t="n">
        <v>1</v>
      </c>
      <c r="F2550" s="6" t="n">
        <v>2</v>
      </c>
      <c r="G2550" s="6" t="s">
        <v>75</v>
      </c>
      <c r="H2550" s="11" t="n">
        <v>0.001</v>
      </c>
      <c r="I2550" s="6" t="n">
        <v>20</v>
      </c>
      <c r="J2550" s="6" t="n">
        <v>0</v>
      </c>
      <c r="K2550" s="6" t="n">
        <v>20</v>
      </c>
      <c r="L2550" s="6" t="n">
        <v>0</v>
      </c>
      <c r="M2550" s="6" t="n">
        <v>20</v>
      </c>
      <c r="N2550" s="11" t="n">
        <f aca="false">J2550/(J2550+K2550)</f>
        <v>0</v>
      </c>
      <c r="O2550" s="11" t="str">
        <f aca="false">IF(J2550+L2550=0,"",J2550/(J2550+L2550))</f>
        <v/>
      </c>
      <c r="P2550" s="11" t="n">
        <f aca="false">2*J2550/(2*J2550+L2550+K2550)</f>
        <v>0</v>
      </c>
      <c r="Q2550" s="11" t="n">
        <f aca="false">L2550/(L2550+M2550)</f>
        <v>0</v>
      </c>
      <c r="R2550" s="6" t="n">
        <v>0</v>
      </c>
      <c r="S2550" s="11"/>
      <c r="T2550" s="11" t="n">
        <v>0</v>
      </c>
      <c r="U2550" s="11" t="n">
        <v>0.9</v>
      </c>
      <c r="V2550" s="11" t="n">
        <v>0.9</v>
      </c>
    </row>
    <row r="2551" customFormat="false" ht="15" hidden="false" customHeight="false" outlineLevel="0" collapsed="false">
      <c r="A2551" s="6" t="s">
        <v>50</v>
      </c>
      <c r="B2551" s="6" t="s">
        <v>43</v>
      </c>
      <c r="C2551" s="6" t="s">
        <v>51</v>
      </c>
      <c r="D2551" s="6" t="s">
        <v>115</v>
      </c>
      <c r="E2551" s="6" t="n">
        <v>1</v>
      </c>
      <c r="F2551" s="6" t="n">
        <v>2</v>
      </c>
      <c r="G2551" s="6" t="s">
        <v>76</v>
      </c>
      <c r="H2551" s="11" t="n">
        <v>0.001</v>
      </c>
      <c r="I2551" s="6" t="n">
        <v>20</v>
      </c>
      <c r="J2551" s="6" t="n">
        <v>0</v>
      </c>
      <c r="K2551" s="6" t="n">
        <v>20</v>
      </c>
      <c r="L2551" s="6" t="n">
        <v>0</v>
      </c>
      <c r="M2551" s="6" t="n">
        <v>20</v>
      </c>
      <c r="N2551" s="11" t="n">
        <f aca="false">J2551/(J2551+K2551)</f>
        <v>0</v>
      </c>
      <c r="O2551" s="11" t="str">
        <f aca="false">IF(J2551+L2551=0,"",J2551/(J2551+L2551))</f>
        <v/>
      </c>
      <c r="P2551" s="11" t="n">
        <f aca="false">2*J2551/(2*J2551+L2551+K2551)</f>
        <v>0</v>
      </c>
      <c r="Q2551" s="11" t="n">
        <f aca="false">L2551/(L2551+M2551)</f>
        <v>0</v>
      </c>
      <c r="R2551" s="6" t="n">
        <v>0</v>
      </c>
      <c r="S2551" s="11"/>
      <c r="T2551" s="11" t="n">
        <v>0</v>
      </c>
      <c r="U2551" s="11" t="n">
        <v>0.95</v>
      </c>
      <c r="V2551" s="11" t="n">
        <v>0.95</v>
      </c>
    </row>
    <row r="2552" customFormat="false" ht="15" hidden="false" customHeight="false" outlineLevel="0" collapsed="false">
      <c r="A2552" s="6" t="s">
        <v>50</v>
      </c>
      <c r="B2552" s="6" t="s">
        <v>43</v>
      </c>
      <c r="C2552" s="6" t="s">
        <v>51</v>
      </c>
      <c r="D2552" s="6" t="s">
        <v>115</v>
      </c>
      <c r="E2552" s="6" t="n">
        <v>1</v>
      </c>
      <c r="F2552" s="6" t="n">
        <v>2</v>
      </c>
      <c r="G2552" s="6" t="s">
        <v>77</v>
      </c>
      <c r="H2552" s="11" t="n">
        <v>0.001</v>
      </c>
      <c r="I2552" s="6" t="n">
        <v>20</v>
      </c>
      <c r="J2552" s="6" t="n">
        <v>0</v>
      </c>
      <c r="K2552" s="6" t="n">
        <v>20</v>
      </c>
      <c r="L2552" s="6" t="n">
        <v>0</v>
      </c>
      <c r="M2552" s="6" t="n">
        <v>20</v>
      </c>
      <c r="N2552" s="11" t="n">
        <f aca="false">J2552/(J2552+K2552)</f>
        <v>0</v>
      </c>
      <c r="O2552" s="11" t="str">
        <f aca="false">IF(J2552+L2552=0,"",J2552/(J2552+L2552))</f>
        <v/>
      </c>
      <c r="P2552" s="11" t="n">
        <f aca="false">2*J2552/(2*J2552+L2552+K2552)</f>
        <v>0</v>
      </c>
      <c r="Q2552" s="11" t="n">
        <f aca="false">L2552/(L2552+M2552)</f>
        <v>0</v>
      </c>
      <c r="R2552" s="6" t="n">
        <v>0</v>
      </c>
      <c r="S2552" s="11"/>
      <c r="T2552" s="11" t="n">
        <v>0</v>
      </c>
      <c r="U2552" s="11" t="n">
        <v>1</v>
      </c>
      <c r="V2552" s="11" t="n">
        <v>1</v>
      </c>
    </row>
    <row r="2553" customFormat="false" ht="15" hidden="false" customHeight="false" outlineLevel="0" collapsed="false">
      <c r="A2553" s="6" t="s">
        <v>50</v>
      </c>
      <c r="B2553" s="6" t="s">
        <v>43</v>
      </c>
      <c r="C2553" s="6" t="s">
        <v>51</v>
      </c>
      <c r="D2553" s="6" t="s">
        <v>115</v>
      </c>
      <c r="E2553" s="6" t="n">
        <v>1</v>
      </c>
      <c r="F2553" s="6" t="n">
        <v>2</v>
      </c>
      <c r="G2553" s="6" t="s">
        <v>78</v>
      </c>
      <c r="H2553" s="11" t="n">
        <v>0.001</v>
      </c>
      <c r="I2553" s="6" t="n">
        <v>200</v>
      </c>
      <c r="J2553" s="6" t="n">
        <v>0</v>
      </c>
      <c r="K2553" s="6" t="n">
        <v>200</v>
      </c>
      <c r="L2553" s="6" t="n">
        <v>0</v>
      </c>
      <c r="M2553" s="6" t="n">
        <v>200</v>
      </c>
      <c r="N2553" s="11" t="n">
        <f aca="false">J2553/(J2553+K2553)</f>
        <v>0</v>
      </c>
      <c r="O2553" s="11" t="str">
        <f aca="false">IF(J2553+L2553=0,"",J2553/(J2553+L2553))</f>
        <v/>
      </c>
      <c r="P2553" s="11" t="n">
        <f aca="false">2*J2553/(2*J2553+L2553+K2553)</f>
        <v>0</v>
      </c>
      <c r="Q2553" s="11" t="n">
        <f aca="false">L2553/(L2553+M2553)</f>
        <v>0</v>
      </c>
      <c r="R2553" s="6" t="n">
        <v>0</v>
      </c>
      <c r="S2553" s="11"/>
      <c r="T2553" s="11" t="n">
        <v>0</v>
      </c>
      <c r="U2553" s="11" t="n">
        <v>0.88</v>
      </c>
      <c r="V2553" s="11" t="n">
        <v>0.88</v>
      </c>
    </row>
    <row r="2554" customFormat="false" ht="15" hidden="false" customHeight="false" outlineLevel="0" collapsed="false">
      <c r="A2554" s="6" t="s">
        <v>50</v>
      </c>
      <c r="B2554" s="6" t="s">
        <v>43</v>
      </c>
      <c r="C2554" s="6" t="s">
        <v>51</v>
      </c>
      <c r="D2554" s="6" t="s">
        <v>115</v>
      </c>
      <c r="E2554" s="6" t="n">
        <v>1</v>
      </c>
      <c r="F2554" s="6" t="n">
        <v>3</v>
      </c>
      <c r="G2554" s="6" t="s">
        <v>68</v>
      </c>
      <c r="H2554" s="11" t="n">
        <v>0.001</v>
      </c>
      <c r="I2554" s="6" t="n">
        <v>20</v>
      </c>
      <c r="J2554" s="6" t="n">
        <v>0</v>
      </c>
      <c r="K2554" s="6" t="n">
        <v>20</v>
      </c>
      <c r="L2554" s="6" t="n">
        <v>0</v>
      </c>
      <c r="M2554" s="6" t="n">
        <v>20</v>
      </c>
      <c r="N2554" s="11" t="n">
        <f aca="false">J2554/(J2554+K2554)</f>
        <v>0</v>
      </c>
      <c r="O2554" s="11" t="str">
        <f aca="false">IF(J2554+L2554=0,"",J2554/(J2554+L2554))</f>
        <v/>
      </c>
      <c r="P2554" s="11" t="n">
        <f aca="false">2*J2554/(2*J2554+L2554+K2554)</f>
        <v>0</v>
      </c>
      <c r="Q2554" s="11" t="n">
        <f aca="false">L2554/(L2554+M2554)</f>
        <v>0</v>
      </c>
      <c r="R2554" s="6" t="n">
        <v>0</v>
      </c>
      <c r="S2554" s="11"/>
      <c r="T2554" s="11" t="n">
        <v>0</v>
      </c>
      <c r="U2554" s="11" t="n">
        <v>0.85</v>
      </c>
      <c r="V2554" s="11" t="n">
        <v>0.85</v>
      </c>
    </row>
    <row r="2555" customFormat="false" ht="15" hidden="false" customHeight="false" outlineLevel="0" collapsed="false">
      <c r="A2555" s="6" t="s">
        <v>50</v>
      </c>
      <c r="B2555" s="6" t="s">
        <v>43</v>
      </c>
      <c r="C2555" s="6" t="s">
        <v>51</v>
      </c>
      <c r="D2555" s="6" t="s">
        <v>115</v>
      </c>
      <c r="E2555" s="6" t="n">
        <v>1</v>
      </c>
      <c r="F2555" s="6" t="n">
        <v>3</v>
      </c>
      <c r="G2555" s="6" t="s">
        <v>69</v>
      </c>
      <c r="H2555" s="11" t="n">
        <v>0.001</v>
      </c>
      <c r="I2555" s="6" t="n">
        <v>20</v>
      </c>
      <c r="J2555" s="6" t="n">
        <v>0</v>
      </c>
      <c r="K2555" s="6" t="n">
        <v>20</v>
      </c>
      <c r="L2555" s="6" t="n">
        <v>0</v>
      </c>
      <c r="M2555" s="6" t="n">
        <v>20</v>
      </c>
      <c r="N2555" s="11" t="n">
        <f aca="false">J2555/(J2555+K2555)</f>
        <v>0</v>
      </c>
      <c r="O2555" s="11" t="str">
        <f aca="false">IF(J2555+L2555=0,"",J2555/(J2555+L2555))</f>
        <v/>
      </c>
      <c r="P2555" s="11" t="n">
        <f aca="false">2*J2555/(2*J2555+L2555+K2555)</f>
        <v>0</v>
      </c>
      <c r="Q2555" s="11" t="n">
        <f aca="false">L2555/(L2555+M2555)</f>
        <v>0</v>
      </c>
      <c r="R2555" s="6" t="n">
        <v>0</v>
      </c>
      <c r="S2555" s="11"/>
      <c r="T2555" s="11" t="n">
        <v>0</v>
      </c>
      <c r="U2555" s="11" t="n">
        <v>1</v>
      </c>
      <c r="V2555" s="11" t="n">
        <v>1</v>
      </c>
    </row>
    <row r="2556" customFormat="false" ht="15" hidden="false" customHeight="false" outlineLevel="0" collapsed="false">
      <c r="A2556" s="6" t="s">
        <v>50</v>
      </c>
      <c r="B2556" s="6" t="s">
        <v>43</v>
      </c>
      <c r="C2556" s="6" t="s">
        <v>51</v>
      </c>
      <c r="D2556" s="6" t="s">
        <v>115</v>
      </c>
      <c r="E2556" s="6" t="n">
        <v>1</v>
      </c>
      <c r="F2556" s="6" t="n">
        <v>3</v>
      </c>
      <c r="G2556" s="6" t="s">
        <v>70</v>
      </c>
      <c r="H2556" s="11" t="n">
        <v>0.001</v>
      </c>
      <c r="I2556" s="6" t="n">
        <v>20</v>
      </c>
      <c r="J2556" s="6" t="n">
        <v>0</v>
      </c>
      <c r="K2556" s="6" t="n">
        <v>20</v>
      </c>
      <c r="L2556" s="6" t="n">
        <v>0</v>
      </c>
      <c r="M2556" s="6" t="n">
        <v>20</v>
      </c>
      <c r="N2556" s="11" t="n">
        <f aca="false">J2556/(J2556+K2556)</f>
        <v>0</v>
      </c>
      <c r="O2556" s="11" t="str">
        <f aca="false">IF(J2556+L2556=0,"",J2556/(J2556+L2556))</f>
        <v/>
      </c>
      <c r="P2556" s="11" t="n">
        <f aca="false">2*J2556/(2*J2556+L2556+K2556)</f>
        <v>0</v>
      </c>
      <c r="Q2556" s="11" t="n">
        <f aca="false">L2556/(L2556+M2556)</f>
        <v>0</v>
      </c>
      <c r="R2556" s="6" t="n">
        <v>0</v>
      </c>
      <c r="S2556" s="11"/>
      <c r="T2556" s="11" t="n">
        <v>0</v>
      </c>
      <c r="U2556" s="11" t="n">
        <v>0.9</v>
      </c>
      <c r="V2556" s="11" t="n">
        <v>0.9</v>
      </c>
    </row>
    <row r="2557" customFormat="false" ht="15" hidden="false" customHeight="false" outlineLevel="0" collapsed="false">
      <c r="A2557" s="6" t="s">
        <v>50</v>
      </c>
      <c r="B2557" s="6" t="s">
        <v>43</v>
      </c>
      <c r="C2557" s="6" t="s">
        <v>51</v>
      </c>
      <c r="D2557" s="6" t="s">
        <v>115</v>
      </c>
      <c r="E2557" s="6" t="n">
        <v>1</v>
      </c>
      <c r="F2557" s="6" t="n">
        <v>3</v>
      </c>
      <c r="G2557" s="6" t="s">
        <v>71</v>
      </c>
      <c r="H2557" s="11" t="n">
        <v>0.001</v>
      </c>
      <c r="I2557" s="6" t="n">
        <v>20</v>
      </c>
      <c r="J2557" s="6" t="n">
        <v>0</v>
      </c>
      <c r="K2557" s="6" t="n">
        <v>20</v>
      </c>
      <c r="L2557" s="6" t="n">
        <v>0</v>
      </c>
      <c r="M2557" s="6" t="n">
        <v>20</v>
      </c>
      <c r="N2557" s="11" t="n">
        <f aca="false">J2557/(J2557+K2557)</f>
        <v>0</v>
      </c>
      <c r="O2557" s="11" t="str">
        <f aca="false">IF(J2557+L2557=0,"",J2557/(J2557+L2557))</f>
        <v/>
      </c>
      <c r="P2557" s="11" t="n">
        <f aca="false">2*J2557/(2*J2557+L2557+K2557)</f>
        <v>0</v>
      </c>
      <c r="Q2557" s="11" t="n">
        <f aca="false">L2557/(L2557+M2557)</f>
        <v>0</v>
      </c>
      <c r="R2557" s="6" t="n">
        <v>0</v>
      </c>
      <c r="S2557" s="11"/>
      <c r="T2557" s="11" t="n">
        <v>0</v>
      </c>
      <c r="U2557" s="11" t="n">
        <v>0.8</v>
      </c>
      <c r="V2557" s="11" t="n">
        <v>0.8</v>
      </c>
    </row>
    <row r="2558" customFormat="false" ht="15" hidden="false" customHeight="false" outlineLevel="0" collapsed="false">
      <c r="A2558" s="6" t="s">
        <v>50</v>
      </c>
      <c r="B2558" s="6" t="s">
        <v>43</v>
      </c>
      <c r="C2558" s="6" t="s">
        <v>51</v>
      </c>
      <c r="D2558" s="6" t="s">
        <v>115</v>
      </c>
      <c r="E2558" s="6" t="n">
        <v>1</v>
      </c>
      <c r="F2558" s="6" t="n">
        <v>3</v>
      </c>
      <c r="G2558" s="6" t="s">
        <v>72</v>
      </c>
      <c r="H2558" s="11" t="n">
        <v>0.001</v>
      </c>
      <c r="I2558" s="6" t="n">
        <v>20</v>
      </c>
      <c r="J2558" s="6" t="n">
        <v>0</v>
      </c>
      <c r="K2558" s="6" t="n">
        <v>20</v>
      </c>
      <c r="L2558" s="6" t="n">
        <v>0</v>
      </c>
      <c r="M2558" s="6" t="n">
        <v>20</v>
      </c>
      <c r="N2558" s="11" t="n">
        <f aca="false">J2558/(J2558+K2558)</f>
        <v>0</v>
      </c>
      <c r="O2558" s="11" t="str">
        <f aca="false">IF(J2558+L2558=0,"",J2558/(J2558+L2558))</f>
        <v/>
      </c>
      <c r="P2558" s="11" t="n">
        <f aca="false">2*J2558/(2*J2558+L2558+K2558)</f>
        <v>0</v>
      </c>
      <c r="Q2558" s="11" t="n">
        <f aca="false">L2558/(L2558+M2558)</f>
        <v>0</v>
      </c>
      <c r="R2558" s="6" t="n">
        <v>0</v>
      </c>
      <c r="S2558" s="11"/>
      <c r="T2558" s="11" t="n">
        <v>0</v>
      </c>
      <c r="U2558" s="11" t="n">
        <v>0.9</v>
      </c>
      <c r="V2558" s="11" t="n">
        <v>0.9</v>
      </c>
    </row>
    <row r="2559" customFormat="false" ht="15" hidden="false" customHeight="false" outlineLevel="0" collapsed="false">
      <c r="A2559" s="6" t="s">
        <v>50</v>
      </c>
      <c r="B2559" s="6" t="s">
        <v>43</v>
      </c>
      <c r="C2559" s="6" t="s">
        <v>51</v>
      </c>
      <c r="D2559" s="6" t="s">
        <v>115</v>
      </c>
      <c r="E2559" s="6" t="n">
        <v>1</v>
      </c>
      <c r="F2559" s="6" t="n">
        <v>3</v>
      </c>
      <c r="G2559" s="6" t="s">
        <v>73</v>
      </c>
      <c r="H2559" s="11" t="n">
        <v>0.001</v>
      </c>
      <c r="I2559" s="6" t="n">
        <v>20</v>
      </c>
      <c r="J2559" s="6" t="n">
        <v>0</v>
      </c>
      <c r="K2559" s="6" t="n">
        <v>20</v>
      </c>
      <c r="L2559" s="6" t="n">
        <v>0</v>
      </c>
      <c r="M2559" s="6" t="n">
        <v>20</v>
      </c>
      <c r="N2559" s="11" t="n">
        <f aca="false">J2559/(J2559+K2559)</f>
        <v>0</v>
      </c>
      <c r="O2559" s="11" t="str">
        <f aca="false">IF(J2559+L2559=0,"",J2559/(J2559+L2559))</f>
        <v/>
      </c>
      <c r="P2559" s="11" t="n">
        <f aca="false">2*J2559/(2*J2559+L2559+K2559)</f>
        <v>0</v>
      </c>
      <c r="Q2559" s="11" t="n">
        <f aca="false">L2559/(L2559+M2559)</f>
        <v>0</v>
      </c>
      <c r="R2559" s="6" t="n">
        <v>0</v>
      </c>
      <c r="S2559" s="11"/>
      <c r="T2559" s="11" t="n">
        <v>0</v>
      </c>
      <c r="U2559" s="11" t="n">
        <v>0.65</v>
      </c>
      <c r="V2559" s="11" t="n">
        <v>0.65</v>
      </c>
    </row>
    <row r="2560" customFormat="false" ht="15" hidden="false" customHeight="false" outlineLevel="0" collapsed="false">
      <c r="A2560" s="6" t="s">
        <v>50</v>
      </c>
      <c r="B2560" s="6" t="s">
        <v>43</v>
      </c>
      <c r="C2560" s="6" t="s">
        <v>51</v>
      </c>
      <c r="D2560" s="6" t="s">
        <v>115</v>
      </c>
      <c r="E2560" s="6" t="n">
        <v>1</v>
      </c>
      <c r="F2560" s="6" t="n">
        <v>3</v>
      </c>
      <c r="G2560" s="6" t="s">
        <v>74</v>
      </c>
      <c r="H2560" s="11" t="n">
        <v>0.001</v>
      </c>
      <c r="I2560" s="6" t="n">
        <v>20</v>
      </c>
      <c r="J2560" s="6" t="n">
        <v>0</v>
      </c>
      <c r="K2560" s="6" t="n">
        <v>20</v>
      </c>
      <c r="L2560" s="6" t="n">
        <v>0</v>
      </c>
      <c r="M2560" s="6" t="n">
        <v>20</v>
      </c>
      <c r="N2560" s="11" t="n">
        <f aca="false">J2560/(J2560+K2560)</f>
        <v>0</v>
      </c>
      <c r="O2560" s="11" t="str">
        <f aca="false">IF(J2560+L2560=0,"",J2560/(J2560+L2560))</f>
        <v/>
      </c>
      <c r="P2560" s="11" t="n">
        <f aca="false">2*J2560/(2*J2560+L2560+K2560)</f>
        <v>0</v>
      </c>
      <c r="Q2560" s="11" t="n">
        <f aca="false">L2560/(L2560+M2560)</f>
        <v>0</v>
      </c>
      <c r="R2560" s="6" t="n">
        <v>0</v>
      </c>
      <c r="S2560" s="11"/>
      <c r="T2560" s="11" t="n">
        <v>0</v>
      </c>
      <c r="U2560" s="11" t="n">
        <v>0.85</v>
      </c>
      <c r="V2560" s="11" t="n">
        <v>0.85</v>
      </c>
    </row>
    <row r="2561" customFormat="false" ht="15" hidden="false" customHeight="false" outlineLevel="0" collapsed="false">
      <c r="A2561" s="6" t="s">
        <v>50</v>
      </c>
      <c r="B2561" s="6" t="s">
        <v>43</v>
      </c>
      <c r="C2561" s="6" t="s">
        <v>51</v>
      </c>
      <c r="D2561" s="6" t="s">
        <v>115</v>
      </c>
      <c r="E2561" s="6" t="n">
        <v>1</v>
      </c>
      <c r="F2561" s="6" t="n">
        <v>3</v>
      </c>
      <c r="G2561" s="6" t="s">
        <v>75</v>
      </c>
      <c r="H2561" s="11" t="n">
        <v>0.001</v>
      </c>
      <c r="I2561" s="6" t="n">
        <v>20</v>
      </c>
      <c r="J2561" s="6" t="n">
        <v>0</v>
      </c>
      <c r="K2561" s="6" t="n">
        <v>20</v>
      </c>
      <c r="L2561" s="6" t="n">
        <v>0</v>
      </c>
      <c r="M2561" s="6" t="n">
        <v>20</v>
      </c>
      <c r="N2561" s="11" t="n">
        <f aca="false">J2561/(J2561+K2561)</f>
        <v>0</v>
      </c>
      <c r="O2561" s="11" t="str">
        <f aca="false">IF(J2561+L2561=0,"",J2561/(J2561+L2561))</f>
        <v/>
      </c>
      <c r="P2561" s="11" t="n">
        <f aca="false">2*J2561/(2*J2561+L2561+K2561)</f>
        <v>0</v>
      </c>
      <c r="Q2561" s="11" t="n">
        <f aca="false">L2561/(L2561+M2561)</f>
        <v>0</v>
      </c>
      <c r="R2561" s="6" t="n">
        <v>0</v>
      </c>
      <c r="S2561" s="11"/>
      <c r="T2561" s="11" t="n">
        <v>0</v>
      </c>
      <c r="U2561" s="11" t="n">
        <v>0.9</v>
      </c>
      <c r="V2561" s="11" t="n">
        <v>0.9</v>
      </c>
    </row>
    <row r="2562" customFormat="false" ht="15" hidden="false" customHeight="false" outlineLevel="0" collapsed="false">
      <c r="A2562" s="6" t="s">
        <v>50</v>
      </c>
      <c r="B2562" s="6" t="s">
        <v>43</v>
      </c>
      <c r="C2562" s="6" t="s">
        <v>51</v>
      </c>
      <c r="D2562" s="6" t="s">
        <v>115</v>
      </c>
      <c r="E2562" s="6" t="n">
        <v>1</v>
      </c>
      <c r="F2562" s="6" t="n">
        <v>3</v>
      </c>
      <c r="G2562" s="6" t="s">
        <v>76</v>
      </c>
      <c r="H2562" s="11" t="n">
        <v>0.001</v>
      </c>
      <c r="I2562" s="6" t="n">
        <v>20</v>
      </c>
      <c r="J2562" s="6" t="n">
        <v>0</v>
      </c>
      <c r="K2562" s="6" t="n">
        <v>20</v>
      </c>
      <c r="L2562" s="6" t="n">
        <v>0</v>
      </c>
      <c r="M2562" s="6" t="n">
        <v>20</v>
      </c>
      <c r="N2562" s="11" t="n">
        <f aca="false">J2562/(J2562+K2562)</f>
        <v>0</v>
      </c>
      <c r="O2562" s="11" t="str">
        <f aca="false">IF(J2562+L2562=0,"",J2562/(J2562+L2562))</f>
        <v/>
      </c>
      <c r="P2562" s="11" t="n">
        <f aca="false">2*J2562/(2*J2562+L2562+K2562)</f>
        <v>0</v>
      </c>
      <c r="Q2562" s="11" t="n">
        <f aca="false">L2562/(L2562+M2562)</f>
        <v>0</v>
      </c>
      <c r="R2562" s="6" t="n">
        <v>0</v>
      </c>
      <c r="S2562" s="11"/>
      <c r="T2562" s="11" t="n">
        <v>0</v>
      </c>
      <c r="U2562" s="11" t="n">
        <v>0.95</v>
      </c>
      <c r="V2562" s="11" t="n">
        <v>0.95</v>
      </c>
    </row>
    <row r="2563" customFormat="false" ht="15" hidden="false" customHeight="false" outlineLevel="0" collapsed="false">
      <c r="A2563" s="6" t="s">
        <v>50</v>
      </c>
      <c r="B2563" s="6" t="s">
        <v>43</v>
      </c>
      <c r="C2563" s="6" t="s">
        <v>51</v>
      </c>
      <c r="D2563" s="6" t="s">
        <v>115</v>
      </c>
      <c r="E2563" s="6" t="n">
        <v>1</v>
      </c>
      <c r="F2563" s="6" t="n">
        <v>3</v>
      </c>
      <c r="G2563" s="6" t="s">
        <v>77</v>
      </c>
      <c r="H2563" s="11" t="n">
        <v>0.001</v>
      </c>
      <c r="I2563" s="6" t="n">
        <v>20</v>
      </c>
      <c r="J2563" s="6" t="n">
        <v>0</v>
      </c>
      <c r="K2563" s="6" t="n">
        <v>20</v>
      </c>
      <c r="L2563" s="6" t="n">
        <v>0</v>
      </c>
      <c r="M2563" s="6" t="n">
        <v>20</v>
      </c>
      <c r="N2563" s="11" t="n">
        <f aca="false">J2563/(J2563+K2563)</f>
        <v>0</v>
      </c>
      <c r="O2563" s="11" t="str">
        <f aca="false">IF(J2563+L2563=0,"",J2563/(J2563+L2563))</f>
        <v/>
      </c>
      <c r="P2563" s="11" t="n">
        <f aca="false">2*J2563/(2*J2563+L2563+K2563)</f>
        <v>0</v>
      </c>
      <c r="Q2563" s="11" t="n">
        <f aca="false">L2563/(L2563+M2563)</f>
        <v>0</v>
      </c>
      <c r="R2563" s="6" t="n">
        <v>0</v>
      </c>
      <c r="S2563" s="11"/>
      <c r="T2563" s="11" t="n">
        <v>0</v>
      </c>
      <c r="U2563" s="11" t="n">
        <v>1</v>
      </c>
      <c r="V2563" s="11" t="n">
        <v>1</v>
      </c>
    </row>
    <row r="2564" customFormat="false" ht="15" hidden="false" customHeight="false" outlineLevel="0" collapsed="false">
      <c r="A2564" s="6" t="s">
        <v>50</v>
      </c>
      <c r="B2564" s="6" t="s">
        <v>43</v>
      </c>
      <c r="C2564" s="6" t="s">
        <v>51</v>
      </c>
      <c r="D2564" s="6" t="s">
        <v>115</v>
      </c>
      <c r="E2564" s="6" t="n">
        <v>1</v>
      </c>
      <c r="F2564" s="6" t="n">
        <v>3</v>
      </c>
      <c r="G2564" s="6" t="s">
        <v>78</v>
      </c>
      <c r="H2564" s="11" t="n">
        <v>0.001</v>
      </c>
      <c r="I2564" s="6" t="n">
        <v>200</v>
      </c>
      <c r="J2564" s="6" t="n">
        <v>0</v>
      </c>
      <c r="K2564" s="6" t="n">
        <v>200</v>
      </c>
      <c r="L2564" s="6" t="n">
        <v>0</v>
      </c>
      <c r="M2564" s="6" t="n">
        <v>200</v>
      </c>
      <c r="N2564" s="11" t="n">
        <f aca="false">J2564/(J2564+K2564)</f>
        <v>0</v>
      </c>
      <c r="O2564" s="11" t="str">
        <f aca="false">IF(J2564+L2564=0,"",J2564/(J2564+L2564))</f>
        <v/>
      </c>
      <c r="P2564" s="11" t="n">
        <f aca="false">2*J2564/(2*J2564+L2564+K2564)</f>
        <v>0</v>
      </c>
      <c r="Q2564" s="11" t="n">
        <f aca="false">L2564/(L2564+M2564)</f>
        <v>0</v>
      </c>
      <c r="R2564" s="6" t="n">
        <v>0</v>
      </c>
      <c r="S2564" s="11"/>
      <c r="T2564" s="11" t="n">
        <v>0</v>
      </c>
      <c r="U2564" s="11" t="n">
        <v>0.88</v>
      </c>
      <c r="V2564" s="11" t="n">
        <v>0.88</v>
      </c>
    </row>
    <row r="2565" customFormat="false" ht="15" hidden="false" customHeight="false" outlineLevel="0" collapsed="false">
      <c r="A2565" s="6" t="s">
        <v>50</v>
      </c>
      <c r="B2565" s="6" t="s">
        <v>43</v>
      </c>
      <c r="C2565" s="6" t="s">
        <v>51</v>
      </c>
      <c r="D2565" s="6" t="s">
        <v>115</v>
      </c>
      <c r="E2565" s="6" t="n">
        <v>1</v>
      </c>
      <c r="F2565" s="6" t="n">
        <v>4</v>
      </c>
      <c r="G2565" s="6" t="s">
        <v>68</v>
      </c>
      <c r="H2565" s="11" t="n">
        <v>0.001</v>
      </c>
      <c r="I2565" s="6" t="n">
        <v>20</v>
      </c>
      <c r="J2565" s="6" t="n">
        <v>20</v>
      </c>
      <c r="K2565" s="6" t="n">
        <v>0</v>
      </c>
      <c r="L2565" s="6" t="n">
        <v>0</v>
      </c>
      <c r="M2565" s="6" t="n">
        <v>20</v>
      </c>
      <c r="N2565" s="11" t="n">
        <f aca="false">J2565/(J2565+K2565)</f>
        <v>1</v>
      </c>
      <c r="O2565" s="11" t="n">
        <f aca="false">IF(J2565+L2565=0,"",J2565/(J2565+L2565))</f>
        <v>1</v>
      </c>
      <c r="P2565" s="11" t="n">
        <f aca="false">2*J2565/(2*J2565+L2565+K2565)</f>
        <v>1</v>
      </c>
      <c r="Q2565" s="11" t="n">
        <f aca="false">L2565/(L2565+M2565)</f>
        <v>0</v>
      </c>
      <c r="R2565" s="6" t="n">
        <v>18</v>
      </c>
      <c r="S2565" s="11" t="n">
        <v>1</v>
      </c>
      <c r="T2565" s="11" t="n">
        <v>1</v>
      </c>
      <c r="U2565" s="11" t="n">
        <v>0.85</v>
      </c>
      <c r="V2565" s="11" t="n">
        <v>0</v>
      </c>
    </row>
    <row r="2566" customFormat="false" ht="15" hidden="false" customHeight="false" outlineLevel="0" collapsed="false">
      <c r="A2566" s="6" t="s">
        <v>50</v>
      </c>
      <c r="B2566" s="6" t="s">
        <v>43</v>
      </c>
      <c r="C2566" s="6" t="s">
        <v>51</v>
      </c>
      <c r="D2566" s="6" t="s">
        <v>115</v>
      </c>
      <c r="E2566" s="6" t="n">
        <v>1</v>
      </c>
      <c r="F2566" s="6" t="n">
        <v>4</v>
      </c>
      <c r="G2566" s="6" t="s">
        <v>69</v>
      </c>
      <c r="H2566" s="11" t="n">
        <v>0.001</v>
      </c>
      <c r="I2566" s="6" t="n">
        <v>20</v>
      </c>
      <c r="J2566" s="6" t="n">
        <v>20</v>
      </c>
      <c r="K2566" s="6" t="n">
        <v>0</v>
      </c>
      <c r="L2566" s="6" t="n">
        <v>0</v>
      </c>
      <c r="M2566" s="6" t="n">
        <v>20</v>
      </c>
      <c r="N2566" s="11" t="n">
        <f aca="false">J2566/(J2566+K2566)</f>
        <v>1</v>
      </c>
      <c r="O2566" s="11" t="n">
        <f aca="false">IF(J2566+L2566=0,"",J2566/(J2566+L2566))</f>
        <v>1</v>
      </c>
      <c r="P2566" s="11" t="n">
        <f aca="false">2*J2566/(2*J2566+L2566+K2566)</f>
        <v>1</v>
      </c>
      <c r="Q2566" s="11" t="n">
        <f aca="false">L2566/(L2566+M2566)</f>
        <v>0</v>
      </c>
      <c r="R2566" s="6" t="n">
        <v>20</v>
      </c>
      <c r="S2566" s="11" t="n">
        <v>1</v>
      </c>
      <c r="T2566" s="11"/>
      <c r="U2566" s="11" t="n">
        <v>1</v>
      </c>
      <c r="V2566" s="11" t="n">
        <v>0</v>
      </c>
    </row>
    <row r="2567" customFormat="false" ht="15" hidden="false" customHeight="false" outlineLevel="0" collapsed="false">
      <c r="A2567" s="6" t="s">
        <v>50</v>
      </c>
      <c r="B2567" s="6" t="s">
        <v>43</v>
      </c>
      <c r="C2567" s="6" t="s">
        <v>51</v>
      </c>
      <c r="D2567" s="6" t="s">
        <v>115</v>
      </c>
      <c r="E2567" s="6" t="n">
        <v>1</v>
      </c>
      <c r="F2567" s="6" t="n">
        <v>4</v>
      </c>
      <c r="G2567" s="6" t="s">
        <v>70</v>
      </c>
      <c r="H2567" s="11" t="n">
        <v>0.001</v>
      </c>
      <c r="I2567" s="6" t="n">
        <v>20</v>
      </c>
      <c r="J2567" s="6" t="n">
        <v>20</v>
      </c>
      <c r="K2567" s="6" t="n">
        <v>0</v>
      </c>
      <c r="L2567" s="6" t="n">
        <v>0</v>
      </c>
      <c r="M2567" s="6" t="n">
        <v>20</v>
      </c>
      <c r="N2567" s="11" t="n">
        <f aca="false">J2567/(J2567+K2567)</f>
        <v>1</v>
      </c>
      <c r="O2567" s="11" t="n">
        <f aca="false">IF(J2567+L2567=0,"",J2567/(J2567+L2567))</f>
        <v>1</v>
      </c>
      <c r="P2567" s="11" t="n">
        <f aca="false">2*J2567/(2*J2567+L2567+K2567)</f>
        <v>1</v>
      </c>
      <c r="Q2567" s="11" t="n">
        <f aca="false">L2567/(L2567+M2567)</f>
        <v>0</v>
      </c>
      <c r="R2567" s="6" t="n">
        <v>20</v>
      </c>
      <c r="S2567" s="11" t="n">
        <v>1</v>
      </c>
      <c r="T2567" s="11"/>
      <c r="U2567" s="11" t="n">
        <v>0.9</v>
      </c>
      <c r="V2567" s="11" t="n">
        <v>0</v>
      </c>
    </row>
    <row r="2568" customFormat="false" ht="15" hidden="false" customHeight="false" outlineLevel="0" collapsed="false">
      <c r="A2568" s="6" t="s">
        <v>50</v>
      </c>
      <c r="B2568" s="6" t="s">
        <v>43</v>
      </c>
      <c r="C2568" s="6" t="s">
        <v>51</v>
      </c>
      <c r="D2568" s="6" t="s">
        <v>115</v>
      </c>
      <c r="E2568" s="6" t="n">
        <v>1</v>
      </c>
      <c r="F2568" s="6" t="n">
        <v>4</v>
      </c>
      <c r="G2568" s="6" t="s">
        <v>71</v>
      </c>
      <c r="H2568" s="11" t="n">
        <v>0.001</v>
      </c>
      <c r="I2568" s="6" t="n">
        <v>20</v>
      </c>
      <c r="J2568" s="6" t="n">
        <v>20</v>
      </c>
      <c r="K2568" s="6" t="n">
        <v>0</v>
      </c>
      <c r="L2568" s="6" t="n">
        <v>0</v>
      </c>
      <c r="M2568" s="6" t="n">
        <v>20</v>
      </c>
      <c r="N2568" s="11" t="n">
        <f aca="false">J2568/(J2568+K2568)</f>
        <v>1</v>
      </c>
      <c r="O2568" s="11" t="n">
        <f aca="false">IF(J2568+L2568=0,"",J2568/(J2568+L2568))</f>
        <v>1</v>
      </c>
      <c r="P2568" s="11" t="n">
        <f aca="false">2*J2568/(2*J2568+L2568+K2568)</f>
        <v>1</v>
      </c>
      <c r="Q2568" s="11" t="n">
        <f aca="false">L2568/(L2568+M2568)</f>
        <v>0</v>
      </c>
      <c r="R2568" s="6" t="n">
        <v>20</v>
      </c>
      <c r="S2568" s="11" t="n">
        <v>1</v>
      </c>
      <c r="T2568" s="11"/>
      <c r="U2568" s="11" t="n">
        <v>0.8</v>
      </c>
      <c r="V2568" s="11" t="n">
        <v>0</v>
      </c>
    </row>
    <row r="2569" customFormat="false" ht="15" hidden="false" customHeight="false" outlineLevel="0" collapsed="false">
      <c r="A2569" s="6" t="s">
        <v>50</v>
      </c>
      <c r="B2569" s="6" t="s">
        <v>43</v>
      </c>
      <c r="C2569" s="6" t="s">
        <v>51</v>
      </c>
      <c r="D2569" s="6" t="s">
        <v>115</v>
      </c>
      <c r="E2569" s="6" t="n">
        <v>1</v>
      </c>
      <c r="F2569" s="6" t="n">
        <v>4</v>
      </c>
      <c r="G2569" s="6" t="s">
        <v>72</v>
      </c>
      <c r="H2569" s="11" t="n">
        <v>0.001</v>
      </c>
      <c r="I2569" s="6" t="n">
        <v>20</v>
      </c>
      <c r="J2569" s="6" t="n">
        <v>20</v>
      </c>
      <c r="K2569" s="6" t="n">
        <v>0</v>
      </c>
      <c r="L2569" s="6" t="n">
        <v>0</v>
      </c>
      <c r="M2569" s="6" t="n">
        <v>20</v>
      </c>
      <c r="N2569" s="11" t="n">
        <f aca="false">J2569/(J2569+K2569)</f>
        <v>1</v>
      </c>
      <c r="O2569" s="11" t="n">
        <f aca="false">IF(J2569+L2569=0,"",J2569/(J2569+L2569))</f>
        <v>1</v>
      </c>
      <c r="P2569" s="11" t="n">
        <f aca="false">2*J2569/(2*J2569+L2569+K2569)</f>
        <v>1</v>
      </c>
      <c r="Q2569" s="11" t="n">
        <f aca="false">L2569/(L2569+M2569)</f>
        <v>0</v>
      </c>
      <c r="R2569" s="6" t="n">
        <v>20</v>
      </c>
      <c r="S2569" s="11" t="n">
        <v>1</v>
      </c>
      <c r="T2569" s="11"/>
      <c r="U2569" s="11" t="n">
        <v>0.9</v>
      </c>
      <c r="V2569" s="11" t="n">
        <v>0</v>
      </c>
    </row>
    <row r="2570" customFormat="false" ht="15" hidden="false" customHeight="false" outlineLevel="0" collapsed="false">
      <c r="A2570" s="6" t="s">
        <v>50</v>
      </c>
      <c r="B2570" s="6" t="s">
        <v>43</v>
      </c>
      <c r="C2570" s="6" t="s">
        <v>51</v>
      </c>
      <c r="D2570" s="6" t="s">
        <v>115</v>
      </c>
      <c r="E2570" s="6" t="n">
        <v>1</v>
      </c>
      <c r="F2570" s="6" t="n">
        <v>4</v>
      </c>
      <c r="G2570" s="6" t="s">
        <v>73</v>
      </c>
      <c r="H2570" s="11" t="n">
        <v>0.001</v>
      </c>
      <c r="I2570" s="6" t="n">
        <v>20</v>
      </c>
      <c r="J2570" s="6" t="n">
        <v>20</v>
      </c>
      <c r="K2570" s="6" t="n">
        <v>0</v>
      </c>
      <c r="L2570" s="6" t="n">
        <v>0</v>
      </c>
      <c r="M2570" s="6" t="n">
        <v>20</v>
      </c>
      <c r="N2570" s="11" t="n">
        <f aca="false">J2570/(J2570+K2570)</f>
        <v>1</v>
      </c>
      <c r="O2570" s="11" t="n">
        <f aca="false">IF(J2570+L2570=0,"",J2570/(J2570+L2570))</f>
        <v>1</v>
      </c>
      <c r="P2570" s="11" t="n">
        <f aca="false">2*J2570/(2*J2570+L2570+K2570)</f>
        <v>1</v>
      </c>
      <c r="Q2570" s="11" t="n">
        <f aca="false">L2570/(L2570+M2570)</f>
        <v>0</v>
      </c>
      <c r="R2570" s="6" t="n">
        <v>20</v>
      </c>
      <c r="S2570" s="11" t="n">
        <v>1</v>
      </c>
      <c r="T2570" s="11"/>
      <c r="U2570" s="11" t="n">
        <v>0.65</v>
      </c>
      <c r="V2570" s="11" t="n">
        <v>0</v>
      </c>
    </row>
    <row r="2571" customFormat="false" ht="15" hidden="false" customHeight="false" outlineLevel="0" collapsed="false">
      <c r="A2571" s="6" t="s">
        <v>50</v>
      </c>
      <c r="B2571" s="6" t="s">
        <v>43</v>
      </c>
      <c r="C2571" s="6" t="s">
        <v>51</v>
      </c>
      <c r="D2571" s="6" t="s">
        <v>115</v>
      </c>
      <c r="E2571" s="6" t="n">
        <v>1</v>
      </c>
      <c r="F2571" s="6" t="n">
        <v>4</v>
      </c>
      <c r="G2571" s="6" t="s">
        <v>74</v>
      </c>
      <c r="H2571" s="11" t="n">
        <v>0.001</v>
      </c>
      <c r="I2571" s="6" t="n">
        <v>20</v>
      </c>
      <c r="J2571" s="6" t="n">
        <v>20</v>
      </c>
      <c r="K2571" s="6" t="n">
        <v>0</v>
      </c>
      <c r="L2571" s="6" t="n">
        <v>0</v>
      </c>
      <c r="M2571" s="6" t="n">
        <v>20</v>
      </c>
      <c r="N2571" s="11" t="n">
        <f aca="false">J2571/(J2571+K2571)</f>
        <v>1</v>
      </c>
      <c r="O2571" s="11" t="n">
        <f aca="false">IF(J2571+L2571=0,"",J2571/(J2571+L2571))</f>
        <v>1</v>
      </c>
      <c r="P2571" s="11" t="n">
        <f aca="false">2*J2571/(2*J2571+L2571+K2571)</f>
        <v>1</v>
      </c>
      <c r="Q2571" s="11" t="n">
        <f aca="false">L2571/(L2571+M2571)</f>
        <v>0</v>
      </c>
      <c r="R2571" s="6" t="n">
        <v>20</v>
      </c>
      <c r="S2571" s="11" t="n">
        <v>1</v>
      </c>
      <c r="T2571" s="11"/>
      <c r="U2571" s="11" t="n">
        <v>0.85</v>
      </c>
      <c r="V2571" s="11" t="n">
        <v>0</v>
      </c>
    </row>
    <row r="2572" customFormat="false" ht="15" hidden="false" customHeight="false" outlineLevel="0" collapsed="false">
      <c r="A2572" s="6" t="s">
        <v>50</v>
      </c>
      <c r="B2572" s="6" t="s">
        <v>43</v>
      </c>
      <c r="C2572" s="6" t="s">
        <v>51</v>
      </c>
      <c r="D2572" s="6" t="s">
        <v>115</v>
      </c>
      <c r="E2572" s="6" t="n">
        <v>1</v>
      </c>
      <c r="F2572" s="6" t="n">
        <v>4</v>
      </c>
      <c r="G2572" s="6" t="s">
        <v>75</v>
      </c>
      <c r="H2572" s="11" t="n">
        <v>0.001</v>
      </c>
      <c r="I2572" s="6" t="n">
        <v>20</v>
      </c>
      <c r="J2572" s="6" t="n">
        <v>20</v>
      </c>
      <c r="K2572" s="6" t="n">
        <v>0</v>
      </c>
      <c r="L2572" s="6" t="n">
        <v>0</v>
      </c>
      <c r="M2572" s="6" t="n">
        <v>20</v>
      </c>
      <c r="N2572" s="11" t="n">
        <f aca="false">J2572/(J2572+K2572)</f>
        <v>1</v>
      </c>
      <c r="O2572" s="11" t="n">
        <f aca="false">IF(J2572+L2572=0,"",J2572/(J2572+L2572))</f>
        <v>1</v>
      </c>
      <c r="P2572" s="11" t="n">
        <f aca="false">2*J2572/(2*J2572+L2572+K2572)</f>
        <v>1</v>
      </c>
      <c r="Q2572" s="11" t="n">
        <f aca="false">L2572/(L2572+M2572)</f>
        <v>0</v>
      </c>
      <c r="R2572" s="6" t="n">
        <v>20</v>
      </c>
      <c r="S2572" s="11" t="n">
        <v>1</v>
      </c>
      <c r="T2572" s="11"/>
      <c r="U2572" s="11" t="n">
        <v>0.9</v>
      </c>
      <c r="V2572" s="11" t="n">
        <v>0</v>
      </c>
    </row>
    <row r="2573" customFormat="false" ht="15" hidden="false" customHeight="false" outlineLevel="0" collapsed="false">
      <c r="A2573" s="6" t="s">
        <v>50</v>
      </c>
      <c r="B2573" s="6" t="s">
        <v>43</v>
      </c>
      <c r="C2573" s="6" t="s">
        <v>51</v>
      </c>
      <c r="D2573" s="6" t="s">
        <v>115</v>
      </c>
      <c r="E2573" s="6" t="n">
        <v>1</v>
      </c>
      <c r="F2573" s="6" t="n">
        <v>4</v>
      </c>
      <c r="G2573" s="6" t="s">
        <v>76</v>
      </c>
      <c r="H2573" s="11" t="n">
        <v>0.001</v>
      </c>
      <c r="I2573" s="6" t="n">
        <v>20</v>
      </c>
      <c r="J2573" s="6" t="n">
        <v>20</v>
      </c>
      <c r="K2573" s="6" t="n">
        <v>0</v>
      </c>
      <c r="L2573" s="6" t="n">
        <v>0</v>
      </c>
      <c r="M2573" s="6" t="n">
        <v>20</v>
      </c>
      <c r="N2573" s="11" t="n">
        <f aca="false">J2573/(J2573+K2573)</f>
        <v>1</v>
      </c>
      <c r="O2573" s="11" t="n">
        <f aca="false">IF(J2573+L2573=0,"",J2573/(J2573+L2573))</f>
        <v>1</v>
      </c>
      <c r="P2573" s="11" t="n">
        <f aca="false">2*J2573/(2*J2573+L2573+K2573)</f>
        <v>1</v>
      </c>
      <c r="Q2573" s="11" t="n">
        <f aca="false">L2573/(L2573+M2573)</f>
        <v>0</v>
      </c>
      <c r="R2573" s="6" t="n">
        <v>1</v>
      </c>
      <c r="S2573" s="11" t="n">
        <v>1</v>
      </c>
      <c r="T2573" s="11" t="n">
        <v>1</v>
      </c>
      <c r="U2573" s="11" t="n">
        <v>0.95</v>
      </c>
      <c r="V2573" s="11" t="n">
        <v>1</v>
      </c>
    </row>
    <row r="2574" customFormat="false" ht="15" hidden="false" customHeight="false" outlineLevel="0" collapsed="false">
      <c r="A2574" s="6" t="s">
        <v>50</v>
      </c>
      <c r="B2574" s="6" t="s">
        <v>43</v>
      </c>
      <c r="C2574" s="6" t="s">
        <v>51</v>
      </c>
      <c r="D2574" s="6" t="s">
        <v>115</v>
      </c>
      <c r="E2574" s="6" t="n">
        <v>1</v>
      </c>
      <c r="F2574" s="6" t="n">
        <v>4</v>
      </c>
      <c r="G2574" s="6" t="s">
        <v>77</v>
      </c>
      <c r="H2574" s="11" t="n">
        <v>0.001</v>
      </c>
      <c r="I2574" s="6" t="n">
        <v>20</v>
      </c>
      <c r="J2574" s="6" t="n">
        <v>20</v>
      </c>
      <c r="K2574" s="6" t="n">
        <v>0</v>
      </c>
      <c r="L2574" s="6" t="n">
        <v>0</v>
      </c>
      <c r="M2574" s="6" t="n">
        <v>20</v>
      </c>
      <c r="N2574" s="11" t="n">
        <f aca="false">J2574/(J2574+K2574)</f>
        <v>1</v>
      </c>
      <c r="O2574" s="11" t="n">
        <f aca="false">IF(J2574+L2574=0,"",J2574/(J2574+L2574))</f>
        <v>1</v>
      </c>
      <c r="P2574" s="11" t="n">
        <f aca="false">2*J2574/(2*J2574+L2574+K2574)</f>
        <v>1</v>
      </c>
      <c r="Q2574" s="11" t="n">
        <f aca="false">L2574/(L2574+M2574)</f>
        <v>0</v>
      </c>
      <c r="R2574" s="6" t="n">
        <v>20</v>
      </c>
      <c r="S2574" s="11" t="n">
        <v>1</v>
      </c>
      <c r="T2574" s="11"/>
      <c r="U2574" s="11" t="n">
        <v>1</v>
      </c>
      <c r="V2574" s="11" t="n">
        <v>0</v>
      </c>
    </row>
    <row r="2575" customFormat="false" ht="15" hidden="false" customHeight="false" outlineLevel="0" collapsed="false">
      <c r="A2575" s="6" t="s">
        <v>50</v>
      </c>
      <c r="B2575" s="6" t="s">
        <v>43</v>
      </c>
      <c r="C2575" s="6" t="s">
        <v>51</v>
      </c>
      <c r="D2575" s="6" t="s">
        <v>115</v>
      </c>
      <c r="E2575" s="6" t="n">
        <v>1</v>
      </c>
      <c r="F2575" s="6" t="n">
        <v>4</v>
      </c>
      <c r="G2575" s="6" t="s">
        <v>78</v>
      </c>
      <c r="H2575" s="11" t="n">
        <v>0.001</v>
      </c>
      <c r="I2575" s="6" t="n">
        <v>200</v>
      </c>
      <c r="J2575" s="6" t="n">
        <v>200</v>
      </c>
      <c r="K2575" s="6" t="n">
        <v>0</v>
      </c>
      <c r="L2575" s="6" t="n">
        <v>0</v>
      </c>
      <c r="M2575" s="6" t="n">
        <v>200</v>
      </c>
      <c r="N2575" s="11" t="n">
        <f aca="false">J2575/(J2575+K2575)</f>
        <v>1</v>
      </c>
      <c r="O2575" s="11" t="n">
        <f aca="false">IF(J2575+L2575=0,"",J2575/(J2575+L2575))</f>
        <v>1</v>
      </c>
      <c r="P2575" s="11" t="n">
        <f aca="false">2*J2575/(2*J2575+L2575+K2575)</f>
        <v>1</v>
      </c>
      <c r="Q2575" s="11" t="n">
        <f aca="false">L2575/(L2575+M2575)</f>
        <v>0</v>
      </c>
      <c r="R2575" s="6" t="n">
        <v>179</v>
      </c>
      <c r="S2575" s="11" t="n">
        <v>1</v>
      </c>
      <c r="T2575" s="11" t="n">
        <v>1</v>
      </c>
      <c r="U2575" s="11" t="n">
        <v>0.88</v>
      </c>
      <c r="V2575" s="11" t="n">
        <v>0.1</v>
      </c>
    </row>
    <row r="2576" customFormat="false" ht="15" hidden="false" customHeight="false" outlineLevel="0" collapsed="false">
      <c r="A2576" s="6" t="s">
        <v>50</v>
      </c>
      <c r="B2576" s="6" t="s">
        <v>43</v>
      </c>
      <c r="C2576" s="6" t="s">
        <v>51</v>
      </c>
      <c r="D2576" s="6" t="s">
        <v>115</v>
      </c>
      <c r="E2576" s="6" t="n">
        <v>1</v>
      </c>
      <c r="F2576" s="6" t="n">
        <v>5</v>
      </c>
      <c r="G2576" s="6" t="s">
        <v>68</v>
      </c>
      <c r="H2576" s="11" t="n">
        <v>0.001</v>
      </c>
      <c r="I2576" s="6" t="n">
        <v>20</v>
      </c>
      <c r="J2576" s="6" t="n">
        <v>0</v>
      </c>
      <c r="K2576" s="6" t="n">
        <v>20</v>
      </c>
      <c r="L2576" s="6" t="n">
        <v>0</v>
      </c>
      <c r="M2576" s="6" t="n">
        <v>20</v>
      </c>
      <c r="N2576" s="11" t="n">
        <f aca="false">J2576/(J2576+K2576)</f>
        <v>0</v>
      </c>
      <c r="O2576" s="11" t="str">
        <f aca="false">IF(J2576+L2576=0,"",J2576/(J2576+L2576))</f>
        <v/>
      </c>
      <c r="P2576" s="11" t="n">
        <f aca="false">2*J2576/(2*J2576+L2576+K2576)</f>
        <v>0</v>
      </c>
      <c r="Q2576" s="11" t="n">
        <f aca="false">L2576/(L2576+M2576)</f>
        <v>0</v>
      </c>
      <c r="R2576" s="6" t="n">
        <v>0</v>
      </c>
      <c r="S2576" s="11"/>
      <c r="T2576" s="11" t="n">
        <v>0</v>
      </c>
      <c r="U2576" s="11" t="n">
        <v>0.85</v>
      </c>
      <c r="V2576" s="11" t="n">
        <v>0.85</v>
      </c>
    </row>
    <row r="2577" customFormat="false" ht="15" hidden="false" customHeight="false" outlineLevel="0" collapsed="false">
      <c r="A2577" s="6" t="s">
        <v>50</v>
      </c>
      <c r="B2577" s="6" t="s">
        <v>43</v>
      </c>
      <c r="C2577" s="6" t="s">
        <v>51</v>
      </c>
      <c r="D2577" s="6" t="s">
        <v>115</v>
      </c>
      <c r="E2577" s="6" t="n">
        <v>1</v>
      </c>
      <c r="F2577" s="6" t="n">
        <v>5</v>
      </c>
      <c r="G2577" s="6" t="s">
        <v>69</v>
      </c>
      <c r="H2577" s="11" t="n">
        <v>0.001</v>
      </c>
      <c r="I2577" s="6" t="n">
        <v>20</v>
      </c>
      <c r="J2577" s="6" t="n">
        <v>0</v>
      </c>
      <c r="K2577" s="6" t="n">
        <v>20</v>
      </c>
      <c r="L2577" s="6" t="n">
        <v>0</v>
      </c>
      <c r="M2577" s="6" t="n">
        <v>20</v>
      </c>
      <c r="N2577" s="11" t="n">
        <f aca="false">J2577/(J2577+K2577)</f>
        <v>0</v>
      </c>
      <c r="O2577" s="11" t="str">
        <f aca="false">IF(J2577+L2577=0,"",J2577/(J2577+L2577))</f>
        <v/>
      </c>
      <c r="P2577" s="11" t="n">
        <f aca="false">2*J2577/(2*J2577+L2577+K2577)</f>
        <v>0</v>
      </c>
      <c r="Q2577" s="11" t="n">
        <f aca="false">L2577/(L2577+M2577)</f>
        <v>0</v>
      </c>
      <c r="R2577" s="6" t="n">
        <v>0</v>
      </c>
      <c r="S2577" s="11"/>
      <c r="T2577" s="11" t="n">
        <v>0</v>
      </c>
      <c r="U2577" s="11" t="n">
        <v>1</v>
      </c>
      <c r="V2577" s="11" t="n">
        <v>1</v>
      </c>
    </row>
    <row r="2578" customFormat="false" ht="15" hidden="false" customHeight="false" outlineLevel="0" collapsed="false">
      <c r="A2578" s="6" t="s">
        <v>50</v>
      </c>
      <c r="B2578" s="6" t="s">
        <v>43</v>
      </c>
      <c r="C2578" s="6" t="s">
        <v>51</v>
      </c>
      <c r="D2578" s="6" t="s">
        <v>115</v>
      </c>
      <c r="E2578" s="6" t="n">
        <v>1</v>
      </c>
      <c r="F2578" s="6" t="n">
        <v>5</v>
      </c>
      <c r="G2578" s="6" t="s">
        <v>70</v>
      </c>
      <c r="H2578" s="11" t="n">
        <v>0.001</v>
      </c>
      <c r="I2578" s="6" t="n">
        <v>20</v>
      </c>
      <c r="J2578" s="6" t="n">
        <v>0</v>
      </c>
      <c r="K2578" s="6" t="n">
        <v>20</v>
      </c>
      <c r="L2578" s="6" t="n">
        <v>0</v>
      </c>
      <c r="M2578" s="6" t="n">
        <v>20</v>
      </c>
      <c r="N2578" s="11" t="n">
        <f aca="false">J2578/(J2578+K2578)</f>
        <v>0</v>
      </c>
      <c r="O2578" s="11" t="str">
        <f aca="false">IF(J2578+L2578=0,"",J2578/(J2578+L2578))</f>
        <v/>
      </c>
      <c r="P2578" s="11" t="n">
        <f aca="false">2*J2578/(2*J2578+L2578+K2578)</f>
        <v>0</v>
      </c>
      <c r="Q2578" s="11" t="n">
        <f aca="false">L2578/(L2578+M2578)</f>
        <v>0</v>
      </c>
      <c r="R2578" s="6" t="n">
        <v>0</v>
      </c>
      <c r="S2578" s="11"/>
      <c r="T2578" s="11" t="n">
        <v>0</v>
      </c>
      <c r="U2578" s="11" t="n">
        <v>0.9</v>
      </c>
      <c r="V2578" s="11" t="n">
        <v>0.9</v>
      </c>
    </row>
    <row r="2579" customFormat="false" ht="15" hidden="false" customHeight="false" outlineLevel="0" collapsed="false">
      <c r="A2579" s="6" t="s">
        <v>50</v>
      </c>
      <c r="B2579" s="6" t="s">
        <v>43</v>
      </c>
      <c r="C2579" s="6" t="s">
        <v>51</v>
      </c>
      <c r="D2579" s="6" t="s">
        <v>115</v>
      </c>
      <c r="E2579" s="6" t="n">
        <v>1</v>
      </c>
      <c r="F2579" s="6" t="n">
        <v>5</v>
      </c>
      <c r="G2579" s="6" t="s">
        <v>71</v>
      </c>
      <c r="H2579" s="11" t="n">
        <v>0.001</v>
      </c>
      <c r="I2579" s="6" t="n">
        <v>20</v>
      </c>
      <c r="J2579" s="6" t="n">
        <v>0</v>
      </c>
      <c r="K2579" s="6" t="n">
        <v>20</v>
      </c>
      <c r="L2579" s="6" t="n">
        <v>0</v>
      </c>
      <c r="M2579" s="6" t="n">
        <v>20</v>
      </c>
      <c r="N2579" s="11" t="n">
        <f aca="false">J2579/(J2579+K2579)</f>
        <v>0</v>
      </c>
      <c r="O2579" s="11" t="str">
        <f aca="false">IF(J2579+L2579=0,"",J2579/(J2579+L2579))</f>
        <v/>
      </c>
      <c r="P2579" s="11" t="n">
        <f aca="false">2*J2579/(2*J2579+L2579+K2579)</f>
        <v>0</v>
      </c>
      <c r="Q2579" s="11" t="n">
        <f aca="false">L2579/(L2579+M2579)</f>
        <v>0</v>
      </c>
      <c r="R2579" s="6" t="n">
        <v>0</v>
      </c>
      <c r="S2579" s="11"/>
      <c r="T2579" s="11" t="n">
        <v>0</v>
      </c>
      <c r="U2579" s="11" t="n">
        <v>0.8</v>
      </c>
      <c r="V2579" s="11" t="n">
        <v>0.8</v>
      </c>
    </row>
    <row r="2580" customFormat="false" ht="15" hidden="false" customHeight="false" outlineLevel="0" collapsed="false">
      <c r="A2580" s="6" t="s">
        <v>50</v>
      </c>
      <c r="B2580" s="6" t="s">
        <v>43</v>
      </c>
      <c r="C2580" s="6" t="s">
        <v>51</v>
      </c>
      <c r="D2580" s="6" t="s">
        <v>115</v>
      </c>
      <c r="E2580" s="6" t="n">
        <v>1</v>
      </c>
      <c r="F2580" s="6" t="n">
        <v>5</v>
      </c>
      <c r="G2580" s="6" t="s">
        <v>72</v>
      </c>
      <c r="H2580" s="11" t="n">
        <v>0.001</v>
      </c>
      <c r="I2580" s="6" t="n">
        <v>20</v>
      </c>
      <c r="J2580" s="6" t="n">
        <v>0</v>
      </c>
      <c r="K2580" s="6" t="n">
        <v>20</v>
      </c>
      <c r="L2580" s="6" t="n">
        <v>0</v>
      </c>
      <c r="M2580" s="6" t="n">
        <v>20</v>
      </c>
      <c r="N2580" s="11" t="n">
        <f aca="false">J2580/(J2580+K2580)</f>
        <v>0</v>
      </c>
      <c r="O2580" s="11" t="str">
        <f aca="false">IF(J2580+L2580=0,"",J2580/(J2580+L2580))</f>
        <v/>
      </c>
      <c r="P2580" s="11" t="n">
        <f aca="false">2*J2580/(2*J2580+L2580+K2580)</f>
        <v>0</v>
      </c>
      <c r="Q2580" s="11" t="n">
        <f aca="false">L2580/(L2580+M2580)</f>
        <v>0</v>
      </c>
      <c r="R2580" s="6" t="n">
        <v>0</v>
      </c>
      <c r="S2580" s="11"/>
      <c r="T2580" s="11" t="n">
        <v>0</v>
      </c>
      <c r="U2580" s="11" t="n">
        <v>0.9</v>
      </c>
      <c r="V2580" s="11" t="n">
        <v>0.9</v>
      </c>
    </row>
    <row r="2581" customFormat="false" ht="15" hidden="false" customHeight="false" outlineLevel="0" collapsed="false">
      <c r="A2581" s="6" t="s">
        <v>50</v>
      </c>
      <c r="B2581" s="6" t="s">
        <v>43</v>
      </c>
      <c r="C2581" s="6" t="s">
        <v>51</v>
      </c>
      <c r="D2581" s="6" t="s">
        <v>115</v>
      </c>
      <c r="E2581" s="6" t="n">
        <v>1</v>
      </c>
      <c r="F2581" s="6" t="n">
        <v>5</v>
      </c>
      <c r="G2581" s="6" t="s">
        <v>73</v>
      </c>
      <c r="H2581" s="11" t="n">
        <v>0.001</v>
      </c>
      <c r="I2581" s="6" t="n">
        <v>20</v>
      </c>
      <c r="J2581" s="6" t="n">
        <v>0</v>
      </c>
      <c r="K2581" s="6" t="n">
        <v>20</v>
      </c>
      <c r="L2581" s="6" t="n">
        <v>0</v>
      </c>
      <c r="M2581" s="6" t="n">
        <v>20</v>
      </c>
      <c r="N2581" s="11" t="n">
        <f aca="false">J2581/(J2581+K2581)</f>
        <v>0</v>
      </c>
      <c r="O2581" s="11" t="str">
        <f aca="false">IF(J2581+L2581=0,"",J2581/(J2581+L2581))</f>
        <v/>
      </c>
      <c r="P2581" s="11" t="n">
        <f aca="false">2*J2581/(2*J2581+L2581+K2581)</f>
        <v>0</v>
      </c>
      <c r="Q2581" s="11" t="n">
        <f aca="false">L2581/(L2581+M2581)</f>
        <v>0</v>
      </c>
      <c r="R2581" s="6" t="n">
        <v>0</v>
      </c>
      <c r="S2581" s="11"/>
      <c r="T2581" s="11" t="n">
        <v>0</v>
      </c>
      <c r="U2581" s="11" t="n">
        <v>0.65</v>
      </c>
      <c r="V2581" s="11" t="n">
        <v>0.65</v>
      </c>
    </row>
    <row r="2582" customFormat="false" ht="15" hidden="false" customHeight="false" outlineLevel="0" collapsed="false">
      <c r="A2582" s="6" t="s">
        <v>50</v>
      </c>
      <c r="B2582" s="6" t="s">
        <v>43</v>
      </c>
      <c r="C2582" s="6" t="s">
        <v>51</v>
      </c>
      <c r="D2582" s="6" t="s">
        <v>115</v>
      </c>
      <c r="E2582" s="6" t="n">
        <v>1</v>
      </c>
      <c r="F2582" s="6" t="n">
        <v>5</v>
      </c>
      <c r="G2582" s="6" t="s">
        <v>74</v>
      </c>
      <c r="H2582" s="11" t="n">
        <v>0.001</v>
      </c>
      <c r="I2582" s="6" t="n">
        <v>20</v>
      </c>
      <c r="J2582" s="6" t="n">
        <v>0</v>
      </c>
      <c r="K2582" s="6" t="n">
        <v>20</v>
      </c>
      <c r="L2582" s="6" t="n">
        <v>0</v>
      </c>
      <c r="M2582" s="6" t="n">
        <v>20</v>
      </c>
      <c r="N2582" s="11" t="n">
        <f aca="false">J2582/(J2582+K2582)</f>
        <v>0</v>
      </c>
      <c r="O2582" s="11" t="str">
        <f aca="false">IF(J2582+L2582=0,"",J2582/(J2582+L2582))</f>
        <v/>
      </c>
      <c r="P2582" s="11" t="n">
        <f aca="false">2*J2582/(2*J2582+L2582+K2582)</f>
        <v>0</v>
      </c>
      <c r="Q2582" s="11" t="n">
        <f aca="false">L2582/(L2582+M2582)</f>
        <v>0</v>
      </c>
      <c r="R2582" s="6" t="n">
        <v>0</v>
      </c>
      <c r="S2582" s="11"/>
      <c r="T2582" s="11" t="n">
        <v>0</v>
      </c>
      <c r="U2582" s="11" t="n">
        <v>0.85</v>
      </c>
      <c r="V2582" s="11" t="n">
        <v>0.85</v>
      </c>
    </row>
    <row r="2583" customFormat="false" ht="15" hidden="false" customHeight="false" outlineLevel="0" collapsed="false">
      <c r="A2583" s="6" t="s">
        <v>50</v>
      </c>
      <c r="B2583" s="6" t="s">
        <v>43</v>
      </c>
      <c r="C2583" s="6" t="s">
        <v>51</v>
      </c>
      <c r="D2583" s="6" t="s">
        <v>115</v>
      </c>
      <c r="E2583" s="6" t="n">
        <v>1</v>
      </c>
      <c r="F2583" s="6" t="n">
        <v>5</v>
      </c>
      <c r="G2583" s="6" t="s">
        <v>75</v>
      </c>
      <c r="H2583" s="11" t="n">
        <v>0.001</v>
      </c>
      <c r="I2583" s="6" t="n">
        <v>20</v>
      </c>
      <c r="J2583" s="6" t="n">
        <v>0</v>
      </c>
      <c r="K2583" s="6" t="n">
        <v>20</v>
      </c>
      <c r="L2583" s="6" t="n">
        <v>0</v>
      </c>
      <c r="M2583" s="6" t="n">
        <v>20</v>
      </c>
      <c r="N2583" s="11" t="n">
        <f aca="false">J2583/(J2583+K2583)</f>
        <v>0</v>
      </c>
      <c r="O2583" s="11" t="str">
        <f aca="false">IF(J2583+L2583=0,"",J2583/(J2583+L2583))</f>
        <v/>
      </c>
      <c r="P2583" s="11" t="n">
        <f aca="false">2*J2583/(2*J2583+L2583+K2583)</f>
        <v>0</v>
      </c>
      <c r="Q2583" s="11" t="n">
        <f aca="false">L2583/(L2583+M2583)</f>
        <v>0</v>
      </c>
      <c r="R2583" s="6" t="n">
        <v>0</v>
      </c>
      <c r="S2583" s="11"/>
      <c r="T2583" s="11" t="n">
        <v>0</v>
      </c>
      <c r="U2583" s="11" t="n">
        <v>0.9</v>
      </c>
      <c r="V2583" s="11" t="n">
        <v>0.9</v>
      </c>
    </row>
    <row r="2584" customFormat="false" ht="15" hidden="false" customHeight="false" outlineLevel="0" collapsed="false">
      <c r="A2584" s="6" t="s">
        <v>50</v>
      </c>
      <c r="B2584" s="6" t="s">
        <v>43</v>
      </c>
      <c r="C2584" s="6" t="s">
        <v>51</v>
      </c>
      <c r="D2584" s="6" t="s">
        <v>115</v>
      </c>
      <c r="E2584" s="6" t="n">
        <v>1</v>
      </c>
      <c r="F2584" s="6" t="n">
        <v>5</v>
      </c>
      <c r="G2584" s="6" t="s">
        <v>76</v>
      </c>
      <c r="H2584" s="11" t="n">
        <v>0.001</v>
      </c>
      <c r="I2584" s="6" t="n">
        <v>20</v>
      </c>
      <c r="J2584" s="6" t="n">
        <v>0</v>
      </c>
      <c r="K2584" s="6" t="n">
        <v>20</v>
      </c>
      <c r="L2584" s="6" t="n">
        <v>0</v>
      </c>
      <c r="M2584" s="6" t="n">
        <v>20</v>
      </c>
      <c r="N2584" s="11" t="n">
        <f aca="false">J2584/(J2584+K2584)</f>
        <v>0</v>
      </c>
      <c r="O2584" s="11" t="str">
        <f aca="false">IF(J2584+L2584=0,"",J2584/(J2584+L2584))</f>
        <v/>
      </c>
      <c r="P2584" s="11" t="n">
        <f aca="false">2*J2584/(2*J2584+L2584+K2584)</f>
        <v>0</v>
      </c>
      <c r="Q2584" s="11" t="n">
        <f aca="false">L2584/(L2584+M2584)</f>
        <v>0</v>
      </c>
      <c r="R2584" s="6" t="n">
        <v>0</v>
      </c>
      <c r="S2584" s="11"/>
      <c r="T2584" s="11" t="n">
        <v>0</v>
      </c>
      <c r="U2584" s="11" t="n">
        <v>0.95</v>
      </c>
      <c r="V2584" s="11" t="n">
        <v>0.95</v>
      </c>
    </row>
    <row r="2585" customFormat="false" ht="15" hidden="false" customHeight="false" outlineLevel="0" collapsed="false">
      <c r="A2585" s="6" t="s">
        <v>50</v>
      </c>
      <c r="B2585" s="6" t="s">
        <v>43</v>
      </c>
      <c r="C2585" s="6" t="s">
        <v>51</v>
      </c>
      <c r="D2585" s="6" t="s">
        <v>115</v>
      </c>
      <c r="E2585" s="6" t="n">
        <v>1</v>
      </c>
      <c r="F2585" s="6" t="n">
        <v>5</v>
      </c>
      <c r="G2585" s="6" t="s">
        <v>77</v>
      </c>
      <c r="H2585" s="11" t="n">
        <v>0.001</v>
      </c>
      <c r="I2585" s="6" t="n">
        <v>20</v>
      </c>
      <c r="J2585" s="6" t="n">
        <v>0</v>
      </c>
      <c r="K2585" s="6" t="n">
        <v>20</v>
      </c>
      <c r="L2585" s="6" t="n">
        <v>0</v>
      </c>
      <c r="M2585" s="6" t="n">
        <v>20</v>
      </c>
      <c r="N2585" s="11" t="n">
        <f aca="false">J2585/(J2585+K2585)</f>
        <v>0</v>
      </c>
      <c r="O2585" s="11" t="str">
        <f aca="false">IF(J2585+L2585=0,"",J2585/(J2585+L2585))</f>
        <v/>
      </c>
      <c r="P2585" s="11" t="n">
        <f aca="false">2*J2585/(2*J2585+L2585+K2585)</f>
        <v>0</v>
      </c>
      <c r="Q2585" s="11" t="n">
        <f aca="false">L2585/(L2585+M2585)</f>
        <v>0</v>
      </c>
      <c r="R2585" s="6" t="n">
        <v>0</v>
      </c>
      <c r="S2585" s="11"/>
      <c r="T2585" s="11" t="n">
        <v>0</v>
      </c>
      <c r="U2585" s="11" t="n">
        <v>1</v>
      </c>
      <c r="V2585" s="11" t="n">
        <v>1</v>
      </c>
    </row>
    <row r="2586" customFormat="false" ht="15" hidden="false" customHeight="false" outlineLevel="0" collapsed="false">
      <c r="A2586" s="6" t="s">
        <v>50</v>
      </c>
      <c r="B2586" s="6" t="s">
        <v>43</v>
      </c>
      <c r="C2586" s="6" t="s">
        <v>51</v>
      </c>
      <c r="D2586" s="6" t="s">
        <v>115</v>
      </c>
      <c r="E2586" s="6" t="n">
        <v>1</v>
      </c>
      <c r="F2586" s="6" t="n">
        <v>5</v>
      </c>
      <c r="G2586" s="6" t="s">
        <v>78</v>
      </c>
      <c r="H2586" s="11" t="n">
        <v>0.001</v>
      </c>
      <c r="I2586" s="6" t="n">
        <v>200</v>
      </c>
      <c r="J2586" s="6" t="n">
        <v>0</v>
      </c>
      <c r="K2586" s="6" t="n">
        <v>200</v>
      </c>
      <c r="L2586" s="6" t="n">
        <v>0</v>
      </c>
      <c r="M2586" s="6" t="n">
        <v>200</v>
      </c>
      <c r="N2586" s="11" t="n">
        <f aca="false">J2586/(J2586+K2586)</f>
        <v>0</v>
      </c>
      <c r="O2586" s="11" t="str">
        <f aca="false">IF(J2586+L2586=0,"",J2586/(J2586+L2586))</f>
        <v/>
      </c>
      <c r="P2586" s="11" t="n">
        <f aca="false">2*J2586/(2*J2586+L2586+K2586)</f>
        <v>0</v>
      </c>
      <c r="Q2586" s="11" t="n">
        <f aca="false">L2586/(L2586+M2586)</f>
        <v>0</v>
      </c>
      <c r="R2586" s="6" t="n">
        <v>0</v>
      </c>
      <c r="S2586" s="11"/>
      <c r="T2586" s="11" t="n">
        <v>0</v>
      </c>
      <c r="U2586" s="11" t="n">
        <v>0.88</v>
      </c>
      <c r="V2586" s="11" t="n">
        <v>0.88</v>
      </c>
    </row>
    <row r="2587" customFormat="false" ht="15" hidden="false" customHeight="false" outlineLevel="0" collapsed="false">
      <c r="A2587" s="6" t="s">
        <v>50</v>
      </c>
      <c r="B2587" s="6" t="s">
        <v>43</v>
      </c>
      <c r="C2587" s="6" t="s">
        <v>51</v>
      </c>
      <c r="D2587" s="6" t="s">
        <v>115</v>
      </c>
      <c r="E2587" s="6" t="n">
        <v>1</v>
      </c>
      <c r="F2587" s="6" t="n">
        <v>6</v>
      </c>
      <c r="G2587" s="6" t="s">
        <v>68</v>
      </c>
      <c r="H2587" s="11" t="n">
        <v>0.001</v>
      </c>
      <c r="I2587" s="6" t="n">
        <v>20</v>
      </c>
      <c r="J2587" s="6" t="n">
        <v>0</v>
      </c>
      <c r="K2587" s="6" t="n">
        <v>20</v>
      </c>
      <c r="L2587" s="6" t="n">
        <v>0</v>
      </c>
      <c r="M2587" s="6" t="n">
        <v>20</v>
      </c>
      <c r="N2587" s="11" t="n">
        <f aca="false">J2587/(J2587+K2587)</f>
        <v>0</v>
      </c>
      <c r="O2587" s="11" t="str">
        <f aca="false">IF(J2587+L2587=0,"",J2587/(J2587+L2587))</f>
        <v/>
      </c>
      <c r="P2587" s="11" t="n">
        <f aca="false">2*J2587/(2*J2587+L2587+K2587)</f>
        <v>0</v>
      </c>
      <c r="Q2587" s="11" t="n">
        <f aca="false">L2587/(L2587+M2587)</f>
        <v>0</v>
      </c>
      <c r="R2587" s="6" t="n">
        <v>0</v>
      </c>
      <c r="S2587" s="11"/>
      <c r="T2587" s="11" t="n">
        <v>0</v>
      </c>
      <c r="U2587" s="11" t="n">
        <v>0.85</v>
      </c>
      <c r="V2587" s="11" t="n">
        <v>0.85</v>
      </c>
    </row>
    <row r="2588" customFormat="false" ht="15" hidden="false" customHeight="false" outlineLevel="0" collapsed="false">
      <c r="A2588" s="6" t="s">
        <v>50</v>
      </c>
      <c r="B2588" s="6" t="s">
        <v>43</v>
      </c>
      <c r="C2588" s="6" t="s">
        <v>51</v>
      </c>
      <c r="D2588" s="6" t="s">
        <v>115</v>
      </c>
      <c r="E2588" s="6" t="n">
        <v>1</v>
      </c>
      <c r="F2588" s="6" t="n">
        <v>6</v>
      </c>
      <c r="G2588" s="6" t="s">
        <v>69</v>
      </c>
      <c r="H2588" s="11" t="n">
        <v>0.001</v>
      </c>
      <c r="I2588" s="6" t="n">
        <v>20</v>
      </c>
      <c r="J2588" s="6" t="n">
        <v>0</v>
      </c>
      <c r="K2588" s="6" t="n">
        <v>20</v>
      </c>
      <c r="L2588" s="6" t="n">
        <v>0</v>
      </c>
      <c r="M2588" s="6" t="n">
        <v>20</v>
      </c>
      <c r="N2588" s="11" t="n">
        <f aca="false">J2588/(J2588+K2588)</f>
        <v>0</v>
      </c>
      <c r="O2588" s="11" t="str">
        <f aca="false">IF(J2588+L2588=0,"",J2588/(J2588+L2588))</f>
        <v/>
      </c>
      <c r="P2588" s="11" t="n">
        <f aca="false">2*J2588/(2*J2588+L2588+K2588)</f>
        <v>0</v>
      </c>
      <c r="Q2588" s="11" t="n">
        <f aca="false">L2588/(L2588+M2588)</f>
        <v>0</v>
      </c>
      <c r="R2588" s="6" t="n">
        <v>0</v>
      </c>
      <c r="S2588" s="11"/>
      <c r="T2588" s="11" t="n">
        <v>0</v>
      </c>
      <c r="U2588" s="11" t="n">
        <v>1</v>
      </c>
      <c r="V2588" s="11" t="n">
        <v>1</v>
      </c>
    </row>
    <row r="2589" customFormat="false" ht="15" hidden="false" customHeight="false" outlineLevel="0" collapsed="false">
      <c r="A2589" s="6" t="s">
        <v>50</v>
      </c>
      <c r="B2589" s="6" t="s">
        <v>43</v>
      </c>
      <c r="C2589" s="6" t="s">
        <v>51</v>
      </c>
      <c r="D2589" s="6" t="s">
        <v>115</v>
      </c>
      <c r="E2589" s="6" t="n">
        <v>1</v>
      </c>
      <c r="F2589" s="6" t="n">
        <v>6</v>
      </c>
      <c r="G2589" s="6" t="s">
        <v>70</v>
      </c>
      <c r="H2589" s="11" t="n">
        <v>0.001</v>
      </c>
      <c r="I2589" s="6" t="n">
        <v>20</v>
      </c>
      <c r="J2589" s="6" t="n">
        <v>0</v>
      </c>
      <c r="K2589" s="6" t="n">
        <v>20</v>
      </c>
      <c r="L2589" s="6" t="n">
        <v>0</v>
      </c>
      <c r="M2589" s="6" t="n">
        <v>20</v>
      </c>
      <c r="N2589" s="11" t="n">
        <f aca="false">J2589/(J2589+K2589)</f>
        <v>0</v>
      </c>
      <c r="O2589" s="11" t="str">
        <f aca="false">IF(J2589+L2589=0,"",J2589/(J2589+L2589))</f>
        <v/>
      </c>
      <c r="P2589" s="11" t="n">
        <f aca="false">2*J2589/(2*J2589+L2589+K2589)</f>
        <v>0</v>
      </c>
      <c r="Q2589" s="11" t="n">
        <f aca="false">L2589/(L2589+M2589)</f>
        <v>0</v>
      </c>
      <c r="R2589" s="6" t="n">
        <v>0</v>
      </c>
      <c r="S2589" s="11"/>
      <c r="T2589" s="11" t="n">
        <v>0</v>
      </c>
      <c r="U2589" s="11" t="n">
        <v>0.9</v>
      </c>
      <c r="V2589" s="11" t="n">
        <v>0.9</v>
      </c>
    </row>
    <row r="2590" customFormat="false" ht="15" hidden="false" customHeight="false" outlineLevel="0" collapsed="false">
      <c r="A2590" s="6" t="s">
        <v>50</v>
      </c>
      <c r="B2590" s="6" t="s">
        <v>43</v>
      </c>
      <c r="C2590" s="6" t="s">
        <v>51</v>
      </c>
      <c r="D2590" s="6" t="s">
        <v>115</v>
      </c>
      <c r="E2590" s="6" t="n">
        <v>1</v>
      </c>
      <c r="F2590" s="6" t="n">
        <v>6</v>
      </c>
      <c r="G2590" s="6" t="s">
        <v>71</v>
      </c>
      <c r="H2590" s="11" t="n">
        <v>0.001</v>
      </c>
      <c r="I2590" s="6" t="n">
        <v>20</v>
      </c>
      <c r="J2590" s="6" t="n">
        <v>0</v>
      </c>
      <c r="K2590" s="6" t="n">
        <v>20</v>
      </c>
      <c r="L2590" s="6" t="n">
        <v>0</v>
      </c>
      <c r="M2590" s="6" t="n">
        <v>20</v>
      </c>
      <c r="N2590" s="11" t="n">
        <f aca="false">J2590/(J2590+K2590)</f>
        <v>0</v>
      </c>
      <c r="O2590" s="11" t="str">
        <f aca="false">IF(J2590+L2590=0,"",J2590/(J2590+L2590))</f>
        <v/>
      </c>
      <c r="P2590" s="11" t="n">
        <f aca="false">2*J2590/(2*J2590+L2590+K2590)</f>
        <v>0</v>
      </c>
      <c r="Q2590" s="11" t="n">
        <f aca="false">L2590/(L2590+M2590)</f>
        <v>0</v>
      </c>
      <c r="R2590" s="6" t="n">
        <v>0</v>
      </c>
      <c r="S2590" s="11"/>
      <c r="T2590" s="11" t="n">
        <v>0</v>
      </c>
      <c r="U2590" s="11" t="n">
        <v>0.8</v>
      </c>
      <c r="V2590" s="11" t="n">
        <v>0.8</v>
      </c>
    </row>
    <row r="2591" customFormat="false" ht="15" hidden="false" customHeight="false" outlineLevel="0" collapsed="false">
      <c r="A2591" s="6" t="s">
        <v>50</v>
      </c>
      <c r="B2591" s="6" t="s">
        <v>43</v>
      </c>
      <c r="C2591" s="6" t="s">
        <v>51</v>
      </c>
      <c r="D2591" s="6" t="s">
        <v>115</v>
      </c>
      <c r="E2591" s="6" t="n">
        <v>1</v>
      </c>
      <c r="F2591" s="6" t="n">
        <v>6</v>
      </c>
      <c r="G2591" s="6" t="s">
        <v>72</v>
      </c>
      <c r="H2591" s="11" t="n">
        <v>0.001</v>
      </c>
      <c r="I2591" s="6" t="n">
        <v>20</v>
      </c>
      <c r="J2591" s="6" t="n">
        <v>0</v>
      </c>
      <c r="K2591" s="6" t="n">
        <v>20</v>
      </c>
      <c r="L2591" s="6" t="n">
        <v>0</v>
      </c>
      <c r="M2591" s="6" t="n">
        <v>20</v>
      </c>
      <c r="N2591" s="11" t="n">
        <f aca="false">J2591/(J2591+K2591)</f>
        <v>0</v>
      </c>
      <c r="O2591" s="11" t="str">
        <f aca="false">IF(J2591+L2591=0,"",J2591/(J2591+L2591))</f>
        <v/>
      </c>
      <c r="P2591" s="11" t="n">
        <f aca="false">2*J2591/(2*J2591+L2591+K2591)</f>
        <v>0</v>
      </c>
      <c r="Q2591" s="11" t="n">
        <f aca="false">L2591/(L2591+M2591)</f>
        <v>0</v>
      </c>
      <c r="R2591" s="6" t="n">
        <v>0</v>
      </c>
      <c r="S2591" s="11"/>
      <c r="T2591" s="11" t="n">
        <v>0</v>
      </c>
      <c r="U2591" s="11" t="n">
        <v>0.9</v>
      </c>
      <c r="V2591" s="11" t="n">
        <v>0.9</v>
      </c>
    </row>
    <row r="2592" customFormat="false" ht="15" hidden="false" customHeight="false" outlineLevel="0" collapsed="false">
      <c r="A2592" s="6" t="s">
        <v>50</v>
      </c>
      <c r="B2592" s="6" t="s">
        <v>43</v>
      </c>
      <c r="C2592" s="6" t="s">
        <v>51</v>
      </c>
      <c r="D2592" s="6" t="s">
        <v>115</v>
      </c>
      <c r="E2592" s="6" t="n">
        <v>1</v>
      </c>
      <c r="F2592" s="6" t="n">
        <v>6</v>
      </c>
      <c r="G2592" s="6" t="s">
        <v>73</v>
      </c>
      <c r="H2592" s="11" t="n">
        <v>0.001</v>
      </c>
      <c r="I2592" s="6" t="n">
        <v>20</v>
      </c>
      <c r="J2592" s="6" t="n">
        <v>0</v>
      </c>
      <c r="K2592" s="6" t="n">
        <v>20</v>
      </c>
      <c r="L2592" s="6" t="n">
        <v>0</v>
      </c>
      <c r="M2592" s="6" t="n">
        <v>20</v>
      </c>
      <c r="N2592" s="11" t="n">
        <f aca="false">J2592/(J2592+K2592)</f>
        <v>0</v>
      </c>
      <c r="O2592" s="11" t="str">
        <f aca="false">IF(J2592+L2592=0,"",J2592/(J2592+L2592))</f>
        <v/>
      </c>
      <c r="P2592" s="11" t="n">
        <f aca="false">2*J2592/(2*J2592+L2592+K2592)</f>
        <v>0</v>
      </c>
      <c r="Q2592" s="11" t="n">
        <f aca="false">L2592/(L2592+M2592)</f>
        <v>0</v>
      </c>
      <c r="R2592" s="6" t="n">
        <v>0</v>
      </c>
      <c r="S2592" s="11"/>
      <c r="T2592" s="11" t="n">
        <v>0</v>
      </c>
      <c r="U2592" s="11" t="n">
        <v>0.65</v>
      </c>
      <c r="V2592" s="11" t="n">
        <v>0.65</v>
      </c>
    </row>
    <row r="2593" customFormat="false" ht="15" hidden="false" customHeight="false" outlineLevel="0" collapsed="false">
      <c r="A2593" s="6" t="s">
        <v>50</v>
      </c>
      <c r="B2593" s="6" t="s">
        <v>43</v>
      </c>
      <c r="C2593" s="6" t="s">
        <v>51</v>
      </c>
      <c r="D2593" s="6" t="s">
        <v>115</v>
      </c>
      <c r="E2593" s="6" t="n">
        <v>1</v>
      </c>
      <c r="F2593" s="6" t="n">
        <v>6</v>
      </c>
      <c r="G2593" s="6" t="s">
        <v>74</v>
      </c>
      <c r="H2593" s="11" t="n">
        <v>0.001</v>
      </c>
      <c r="I2593" s="6" t="n">
        <v>20</v>
      </c>
      <c r="J2593" s="6" t="n">
        <v>0</v>
      </c>
      <c r="K2593" s="6" t="n">
        <v>20</v>
      </c>
      <c r="L2593" s="6" t="n">
        <v>0</v>
      </c>
      <c r="M2593" s="6" t="n">
        <v>20</v>
      </c>
      <c r="N2593" s="11" t="n">
        <f aca="false">J2593/(J2593+K2593)</f>
        <v>0</v>
      </c>
      <c r="O2593" s="11" t="str">
        <f aca="false">IF(J2593+L2593=0,"",J2593/(J2593+L2593))</f>
        <v/>
      </c>
      <c r="P2593" s="11" t="n">
        <f aca="false">2*J2593/(2*J2593+L2593+K2593)</f>
        <v>0</v>
      </c>
      <c r="Q2593" s="11" t="n">
        <f aca="false">L2593/(L2593+M2593)</f>
        <v>0</v>
      </c>
      <c r="R2593" s="6" t="n">
        <v>0</v>
      </c>
      <c r="S2593" s="11"/>
      <c r="T2593" s="11" t="n">
        <v>0</v>
      </c>
      <c r="U2593" s="11" t="n">
        <v>0.85</v>
      </c>
      <c r="V2593" s="11" t="n">
        <v>0.85</v>
      </c>
    </row>
    <row r="2594" customFormat="false" ht="15" hidden="false" customHeight="false" outlineLevel="0" collapsed="false">
      <c r="A2594" s="6" t="s">
        <v>50</v>
      </c>
      <c r="B2594" s="6" t="s">
        <v>43</v>
      </c>
      <c r="C2594" s="6" t="s">
        <v>51</v>
      </c>
      <c r="D2594" s="6" t="s">
        <v>115</v>
      </c>
      <c r="E2594" s="6" t="n">
        <v>1</v>
      </c>
      <c r="F2594" s="6" t="n">
        <v>6</v>
      </c>
      <c r="G2594" s="6" t="s">
        <v>75</v>
      </c>
      <c r="H2594" s="11" t="n">
        <v>0.001</v>
      </c>
      <c r="I2594" s="6" t="n">
        <v>20</v>
      </c>
      <c r="J2594" s="6" t="n">
        <v>0</v>
      </c>
      <c r="K2594" s="6" t="n">
        <v>20</v>
      </c>
      <c r="L2594" s="6" t="n">
        <v>0</v>
      </c>
      <c r="M2594" s="6" t="n">
        <v>20</v>
      </c>
      <c r="N2594" s="11" t="n">
        <f aca="false">J2594/(J2594+K2594)</f>
        <v>0</v>
      </c>
      <c r="O2594" s="11" t="str">
        <f aca="false">IF(J2594+L2594=0,"",J2594/(J2594+L2594))</f>
        <v/>
      </c>
      <c r="P2594" s="11" t="n">
        <f aca="false">2*J2594/(2*J2594+L2594+K2594)</f>
        <v>0</v>
      </c>
      <c r="Q2594" s="11" t="n">
        <f aca="false">L2594/(L2594+M2594)</f>
        <v>0</v>
      </c>
      <c r="R2594" s="6" t="n">
        <v>0</v>
      </c>
      <c r="S2594" s="11"/>
      <c r="T2594" s="11" t="n">
        <v>0</v>
      </c>
      <c r="U2594" s="11" t="n">
        <v>0.9</v>
      </c>
      <c r="V2594" s="11" t="n">
        <v>0.9</v>
      </c>
    </row>
    <row r="2595" customFormat="false" ht="15" hidden="false" customHeight="false" outlineLevel="0" collapsed="false">
      <c r="A2595" s="6" t="s">
        <v>50</v>
      </c>
      <c r="B2595" s="6" t="s">
        <v>43</v>
      </c>
      <c r="C2595" s="6" t="s">
        <v>51</v>
      </c>
      <c r="D2595" s="6" t="s">
        <v>115</v>
      </c>
      <c r="E2595" s="6" t="n">
        <v>1</v>
      </c>
      <c r="F2595" s="6" t="n">
        <v>6</v>
      </c>
      <c r="G2595" s="6" t="s">
        <v>76</v>
      </c>
      <c r="H2595" s="11" t="n">
        <v>0.001</v>
      </c>
      <c r="I2595" s="6" t="n">
        <v>20</v>
      </c>
      <c r="J2595" s="6" t="n">
        <v>0</v>
      </c>
      <c r="K2595" s="6" t="n">
        <v>20</v>
      </c>
      <c r="L2595" s="6" t="n">
        <v>0</v>
      </c>
      <c r="M2595" s="6" t="n">
        <v>20</v>
      </c>
      <c r="N2595" s="11" t="n">
        <f aca="false">J2595/(J2595+K2595)</f>
        <v>0</v>
      </c>
      <c r="O2595" s="11" t="str">
        <f aca="false">IF(J2595+L2595=0,"",J2595/(J2595+L2595))</f>
        <v/>
      </c>
      <c r="P2595" s="11" t="n">
        <f aca="false">2*J2595/(2*J2595+L2595+K2595)</f>
        <v>0</v>
      </c>
      <c r="Q2595" s="11" t="n">
        <f aca="false">L2595/(L2595+M2595)</f>
        <v>0</v>
      </c>
      <c r="R2595" s="6" t="n">
        <v>0</v>
      </c>
      <c r="S2595" s="11"/>
      <c r="T2595" s="11" t="n">
        <v>0</v>
      </c>
      <c r="U2595" s="11" t="n">
        <v>0.95</v>
      </c>
      <c r="V2595" s="11" t="n">
        <v>0.95</v>
      </c>
    </row>
    <row r="2596" customFormat="false" ht="15" hidden="false" customHeight="false" outlineLevel="0" collapsed="false">
      <c r="A2596" s="6" t="s">
        <v>50</v>
      </c>
      <c r="B2596" s="6" t="s">
        <v>43</v>
      </c>
      <c r="C2596" s="6" t="s">
        <v>51</v>
      </c>
      <c r="D2596" s="6" t="s">
        <v>115</v>
      </c>
      <c r="E2596" s="6" t="n">
        <v>1</v>
      </c>
      <c r="F2596" s="6" t="n">
        <v>6</v>
      </c>
      <c r="G2596" s="6" t="s">
        <v>77</v>
      </c>
      <c r="H2596" s="11" t="n">
        <v>0.001</v>
      </c>
      <c r="I2596" s="6" t="n">
        <v>20</v>
      </c>
      <c r="J2596" s="6" t="n">
        <v>0</v>
      </c>
      <c r="K2596" s="6" t="n">
        <v>20</v>
      </c>
      <c r="L2596" s="6" t="n">
        <v>0</v>
      </c>
      <c r="M2596" s="6" t="n">
        <v>20</v>
      </c>
      <c r="N2596" s="11" t="n">
        <f aca="false">J2596/(J2596+K2596)</f>
        <v>0</v>
      </c>
      <c r="O2596" s="11" t="str">
        <f aca="false">IF(J2596+L2596=0,"",J2596/(J2596+L2596))</f>
        <v/>
      </c>
      <c r="P2596" s="11" t="n">
        <f aca="false">2*J2596/(2*J2596+L2596+K2596)</f>
        <v>0</v>
      </c>
      <c r="Q2596" s="11" t="n">
        <f aca="false">L2596/(L2596+M2596)</f>
        <v>0</v>
      </c>
      <c r="R2596" s="6" t="n">
        <v>0</v>
      </c>
      <c r="S2596" s="11"/>
      <c r="T2596" s="11" t="n">
        <v>0</v>
      </c>
      <c r="U2596" s="11" t="n">
        <v>1</v>
      </c>
      <c r="V2596" s="11" t="n">
        <v>1</v>
      </c>
    </row>
    <row r="2597" customFormat="false" ht="15" hidden="false" customHeight="false" outlineLevel="0" collapsed="false">
      <c r="A2597" s="6" t="s">
        <v>50</v>
      </c>
      <c r="B2597" s="6" t="s">
        <v>43</v>
      </c>
      <c r="C2597" s="6" t="s">
        <v>51</v>
      </c>
      <c r="D2597" s="6" t="s">
        <v>115</v>
      </c>
      <c r="E2597" s="6" t="n">
        <v>1</v>
      </c>
      <c r="F2597" s="6" t="n">
        <v>6</v>
      </c>
      <c r="G2597" s="6" t="s">
        <v>78</v>
      </c>
      <c r="H2597" s="11" t="n">
        <v>0.001</v>
      </c>
      <c r="I2597" s="6" t="n">
        <v>200</v>
      </c>
      <c r="J2597" s="6" t="n">
        <v>0</v>
      </c>
      <c r="K2597" s="6" t="n">
        <v>200</v>
      </c>
      <c r="L2597" s="6" t="n">
        <v>0</v>
      </c>
      <c r="M2597" s="6" t="n">
        <v>200</v>
      </c>
      <c r="N2597" s="11" t="n">
        <f aca="false">J2597/(J2597+K2597)</f>
        <v>0</v>
      </c>
      <c r="O2597" s="11" t="str">
        <f aca="false">IF(J2597+L2597=0,"",J2597/(J2597+L2597))</f>
        <v/>
      </c>
      <c r="P2597" s="11" t="n">
        <f aca="false">2*J2597/(2*J2597+L2597+K2597)</f>
        <v>0</v>
      </c>
      <c r="Q2597" s="11" t="n">
        <f aca="false">L2597/(L2597+M2597)</f>
        <v>0</v>
      </c>
      <c r="R2597" s="6" t="n">
        <v>0</v>
      </c>
      <c r="S2597" s="11"/>
      <c r="T2597" s="11" t="n">
        <v>0</v>
      </c>
      <c r="U2597" s="11" t="n">
        <v>0.88</v>
      </c>
      <c r="V2597" s="11" t="n">
        <v>0.88</v>
      </c>
    </row>
    <row r="2598" customFormat="false" ht="15" hidden="false" customHeight="false" outlineLevel="0" collapsed="false">
      <c r="A2598" s="6" t="s">
        <v>50</v>
      </c>
      <c r="B2598" s="6" t="s">
        <v>43</v>
      </c>
      <c r="C2598" s="6" t="s">
        <v>51</v>
      </c>
      <c r="D2598" s="6" t="s">
        <v>115</v>
      </c>
      <c r="E2598" s="6" t="n">
        <v>1</v>
      </c>
      <c r="F2598" s="6" t="n">
        <v>7</v>
      </c>
      <c r="G2598" s="6" t="s">
        <v>68</v>
      </c>
      <c r="H2598" s="11" t="n">
        <v>0.001</v>
      </c>
      <c r="I2598" s="6" t="n">
        <v>20</v>
      </c>
      <c r="J2598" s="6" t="n">
        <v>0</v>
      </c>
      <c r="K2598" s="6" t="n">
        <v>20</v>
      </c>
      <c r="L2598" s="6" t="n">
        <v>0</v>
      </c>
      <c r="M2598" s="6" t="n">
        <v>20</v>
      </c>
      <c r="N2598" s="11" t="n">
        <f aca="false">J2598/(J2598+K2598)</f>
        <v>0</v>
      </c>
      <c r="O2598" s="11" t="str">
        <f aca="false">IF(J2598+L2598=0,"",J2598/(J2598+L2598))</f>
        <v/>
      </c>
      <c r="P2598" s="11" t="n">
        <f aca="false">2*J2598/(2*J2598+L2598+K2598)</f>
        <v>0</v>
      </c>
      <c r="Q2598" s="11" t="n">
        <f aca="false">L2598/(L2598+M2598)</f>
        <v>0</v>
      </c>
      <c r="R2598" s="6" t="n">
        <v>0</v>
      </c>
      <c r="S2598" s="11"/>
      <c r="T2598" s="11" t="n">
        <v>0</v>
      </c>
      <c r="U2598" s="11" t="n">
        <v>0.85</v>
      </c>
      <c r="V2598" s="11" t="n">
        <v>0.85</v>
      </c>
    </row>
    <row r="2599" customFormat="false" ht="15" hidden="false" customHeight="false" outlineLevel="0" collapsed="false">
      <c r="A2599" s="6" t="s">
        <v>50</v>
      </c>
      <c r="B2599" s="6" t="s">
        <v>43</v>
      </c>
      <c r="C2599" s="6" t="s">
        <v>51</v>
      </c>
      <c r="D2599" s="6" t="s">
        <v>115</v>
      </c>
      <c r="E2599" s="6" t="n">
        <v>1</v>
      </c>
      <c r="F2599" s="6" t="n">
        <v>7</v>
      </c>
      <c r="G2599" s="6" t="s">
        <v>69</v>
      </c>
      <c r="H2599" s="11" t="n">
        <v>0.001</v>
      </c>
      <c r="I2599" s="6" t="n">
        <v>20</v>
      </c>
      <c r="J2599" s="6" t="n">
        <v>0</v>
      </c>
      <c r="K2599" s="6" t="n">
        <v>20</v>
      </c>
      <c r="L2599" s="6" t="n">
        <v>0</v>
      </c>
      <c r="M2599" s="6" t="n">
        <v>20</v>
      </c>
      <c r="N2599" s="11" t="n">
        <f aca="false">J2599/(J2599+K2599)</f>
        <v>0</v>
      </c>
      <c r="O2599" s="11" t="str">
        <f aca="false">IF(J2599+L2599=0,"",J2599/(J2599+L2599))</f>
        <v/>
      </c>
      <c r="P2599" s="11" t="n">
        <f aca="false">2*J2599/(2*J2599+L2599+K2599)</f>
        <v>0</v>
      </c>
      <c r="Q2599" s="11" t="n">
        <f aca="false">L2599/(L2599+M2599)</f>
        <v>0</v>
      </c>
      <c r="R2599" s="6" t="n">
        <v>0</v>
      </c>
      <c r="S2599" s="11"/>
      <c r="T2599" s="11" t="n">
        <v>0</v>
      </c>
      <c r="U2599" s="11" t="n">
        <v>1</v>
      </c>
      <c r="V2599" s="11" t="n">
        <v>1</v>
      </c>
    </row>
    <row r="2600" customFormat="false" ht="15" hidden="false" customHeight="false" outlineLevel="0" collapsed="false">
      <c r="A2600" s="6" t="s">
        <v>50</v>
      </c>
      <c r="B2600" s="6" t="s">
        <v>43</v>
      </c>
      <c r="C2600" s="6" t="s">
        <v>51</v>
      </c>
      <c r="D2600" s="6" t="s">
        <v>115</v>
      </c>
      <c r="E2600" s="6" t="n">
        <v>1</v>
      </c>
      <c r="F2600" s="6" t="n">
        <v>7</v>
      </c>
      <c r="G2600" s="6" t="s">
        <v>70</v>
      </c>
      <c r="H2600" s="11" t="n">
        <v>0.001</v>
      </c>
      <c r="I2600" s="6" t="n">
        <v>20</v>
      </c>
      <c r="J2600" s="6" t="n">
        <v>0</v>
      </c>
      <c r="K2600" s="6" t="n">
        <v>20</v>
      </c>
      <c r="L2600" s="6" t="n">
        <v>0</v>
      </c>
      <c r="M2600" s="6" t="n">
        <v>20</v>
      </c>
      <c r="N2600" s="11" t="n">
        <f aca="false">J2600/(J2600+K2600)</f>
        <v>0</v>
      </c>
      <c r="O2600" s="11" t="str">
        <f aca="false">IF(J2600+L2600=0,"",J2600/(J2600+L2600))</f>
        <v/>
      </c>
      <c r="P2600" s="11" t="n">
        <f aca="false">2*J2600/(2*J2600+L2600+K2600)</f>
        <v>0</v>
      </c>
      <c r="Q2600" s="11" t="n">
        <f aca="false">L2600/(L2600+M2600)</f>
        <v>0</v>
      </c>
      <c r="R2600" s="6" t="n">
        <v>0</v>
      </c>
      <c r="S2600" s="11"/>
      <c r="T2600" s="11" t="n">
        <v>0</v>
      </c>
      <c r="U2600" s="11" t="n">
        <v>0.9</v>
      </c>
      <c r="V2600" s="11" t="n">
        <v>0.9</v>
      </c>
    </row>
    <row r="2601" customFormat="false" ht="15" hidden="false" customHeight="false" outlineLevel="0" collapsed="false">
      <c r="A2601" s="6" t="s">
        <v>50</v>
      </c>
      <c r="B2601" s="6" t="s">
        <v>43</v>
      </c>
      <c r="C2601" s="6" t="s">
        <v>51</v>
      </c>
      <c r="D2601" s="6" t="s">
        <v>115</v>
      </c>
      <c r="E2601" s="6" t="n">
        <v>1</v>
      </c>
      <c r="F2601" s="6" t="n">
        <v>7</v>
      </c>
      <c r="G2601" s="6" t="s">
        <v>71</v>
      </c>
      <c r="H2601" s="11" t="n">
        <v>0.001</v>
      </c>
      <c r="I2601" s="6" t="n">
        <v>20</v>
      </c>
      <c r="J2601" s="6" t="n">
        <v>0</v>
      </c>
      <c r="K2601" s="6" t="n">
        <v>20</v>
      </c>
      <c r="L2601" s="6" t="n">
        <v>0</v>
      </c>
      <c r="M2601" s="6" t="n">
        <v>20</v>
      </c>
      <c r="N2601" s="11" t="n">
        <f aca="false">J2601/(J2601+K2601)</f>
        <v>0</v>
      </c>
      <c r="O2601" s="11" t="str">
        <f aca="false">IF(J2601+L2601=0,"",J2601/(J2601+L2601))</f>
        <v/>
      </c>
      <c r="P2601" s="11" t="n">
        <f aca="false">2*J2601/(2*J2601+L2601+K2601)</f>
        <v>0</v>
      </c>
      <c r="Q2601" s="11" t="n">
        <f aca="false">L2601/(L2601+M2601)</f>
        <v>0</v>
      </c>
      <c r="R2601" s="6" t="n">
        <v>0</v>
      </c>
      <c r="S2601" s="11"/>
      <c r="T2601" s="11" t="n">
        <v>0</v>
      </c>
      <c r="U2601" s="11" t="n">
        <v>0.8</v>
      </c>
      <c r="V2601" s="11" t="n">
        <v>0.8</v>
      </c>
    </row>
    <row r="2602" customFormat="false" ht="15" hidden="false" customHeight="false" outlineLevel="0" collapsed="false">
      <c r="A2602" s="6" t="s">
        <v>50</v>
      </c>
      <c r="B2602" s="6" t="s">
        <v>43</v>
      </c>
      <c r="C2602" s="6" t="s">
        <v>51</v>
      </c>
      <c r="D2602" s="6" t="s">
        <v>115</v>
      </c>
      <c r="E2602" s="6" t="n">
        <v>1</v>
      </c>
      <c r="F2602" s="6" t="n">
        <v>7</v>
      </c>
      <c r="G2602" s="6" t="s">
        <v>72</v>
      </c>
      <c r="H2602" s="11" t="n">
        <v>0.001</v>
      </c>
      <c r="I2602" s="6" t="n">
        <v>20</v>
      </c>
      <c r="J2602" s="6" t="n">
        <v>0</v>
      </c>
      <c r="K2602" s="6" t="n">
        <v>20</v>
      </c>
      <c r="L2602" s="6" t="n">
        <v>0</v>
      </c>
      <c r="M2602" s="6" t="n">
        <v>20</v>
      </c>
      <c r="N2602" s="11" t="n">
        <f aca="false">J2602/(J2602+K2602)</f>
        <v>0</v>
      </c>
      <c r="O2602" s="11" t="str">
        <f aca="false">IF(J2602+L2602=0,"",J2602/(J2602+L2602))</f>
        <v/>
      </c>
      <c r="P2602" s="11" t="n">
        <f aca="false">2*J2602/(2*J2602+L2602+K2602)</f>
        <v>0</v>
      </c>
      <c r="Q2602" s="11" t="n">
        <f aca="false">L2602/(L2602+M2602)</f>
        <v>0</v>
      </c>
      <c r="R2602" s="6" t="n">
        <v>0</v>
      </c>
      <c r="S2602" s="11"/>
      <c r="T2602" s="11" t="n">
        <v>0</v>
      </c>
      <c r="U2602" s="11" t="n">
        <v>0.9</v>
      </c>
      <c r="V2602" s="11" t="n">
        <v>0.9</v>
      </c>
    </row>
    <row r="2603" customFormat="false" ht="15" hidden="false" customHeight="false" outlineLevel="0" collapsed="false">
      <c r="A2603" s="6" t="s">
        <v>50</v>
      </c>
      <c r="B2603" s="6" t="s">
        <v>43</v>
      </c>
      <c r="C2603" s="6" t="s">
        <v>51</v>
      </c>
      <c r="D2603" s="6" t="s">
        <v>115</v>
      </c>
      <c r="E2603" s="6" t="n">
        <v>1</v>
      </c>
      <c r="F2603" s="6" t="n">
        <v>7</v>
      </c>
      <c r="G2603" s="6" t="s">
        <v>73</v>
      </c>
      <c r="H2603" s="11" t="n">
        <v>0.001</v>
      </c>
      <c r="I2603" s="6" t="n">
        <v>20</v>
      </c>
      <c r="J2603" s="6" t="n">
        <v>0</v>
      </c>
      <c r="K2603" s="6" t="n">
        <v>20</v>
      </c>
      <c r="L2603" s="6" t="n">
        <v>0</v>
      </c>
      <c r="M2603" s="6" t="n">
        <v>20</v>
      </c>
      <c r="N2603" s="11" t="n">
        <f aca="false">J2603/(J2603+K2603)</f>
        <v>0</v>
      </c>
      <c r="O2603" s="11" t="str">
        <f aca="false">IF(J2603+L2603=0,"",J2603/(J2603+L2603))</f>
        <v/>
      </c>
      <c r="P2603" s="11" t="n">
        <f aca="false">2*J2603/(2*J2603+L2603+K2603)</f>
        <v>0</v>
      </c>
      <c r="Q2603" s="11" t="n">
        <f aca="false">L2603/(L2603+M2603)</f>
        <v>0</v>
      </c>
      <c r="R2603" s="6" t="n">
        <v>0</v>
      </c>
      <c r="S2603" s="11"/>
      <c r="T2603" s="11" t="n">
        <v>0</v>
      </c>
      <c r="U2603" s="11" t="n">
        <v>0.65</v>
      </c>
      <c r="V2603" s="11" t="n">
        <v>0.65</v>
      </c>
    </row>
    <row r="2604" customFormat="false" ht="15" hidden="false" customHeight="false" outlineLevel="0" collapsed="false">
      <c r="A2604" s="6" t="s">
        <v>50</v>
      </c>
      <c r="B2604" s="6" t="s">
        <v>43</v>
      </c>
      <c r="C2604" s="6" t="s">
        <v>51</v>
      </c>
      <c r="D2604" s="6" t="s">
        <v>115</v>
      </c>
      <c r="E2604" s="6" t="n">
        <v>1</v>
      </c>
      <c r="F2604" s="6" t="n">
        <v>7</v>
      </c>
      <c r="G2604" s="6" t="s">
        <v>74</v>
      </c>
      <c r="H2604" s="11" t="n">
        <v>0.001</v>
      </c>
      <c r="I2604" s="6" t="n">
        <v>20</v>
      </c>
      <c r="J2604" s="6" t="n">
        <v>0</v>
      </c>
      <c r="K2604" s="6" t="n">
        <v>20</v>
      </c>
      <c r="L2604" s="6" t="n">
        <v>0</v>
      </c>
      <c r="M2604" s="6" t="n">
        <v>20</v>
      </c>
      <c r="N2604" s="11" t="n">
        <f aca="false">J2604/(J2604+K2604)</f>
        <v>0</v>
      </c>
      <c r="O2604" s="11" t="str">
        <f aca="false">IF(J2604+L2604=0,"",J2604/(J2604+L2604))</f>
        <v/>
      </c>
      <c r="P2604" s="11" t="n">
        <f aca="false">2*J2604/(2*J2604+L2604+K2604)</f>
        <v>0</v>
      </c>
      <c r="Q2604" s="11" t="n">
        <f aca="false">L2604/(L2604+M2604)</f>
        <v>0</v>
      </c>
      <c r="R2604" s="6" t="n">
        <v>0</v>
      </c>
      <c r="S2604" s="11"/>
      <c r="T2604" s="11" t="n">
        <v>0</v>
      </c>
      <c r="U2604" s="11" t="n">
        <v>0.85</v>
      </c>
      <c r="V2604" s="11" t="n">
        <v>0.85</v>
      </c>
    </row>
    <row r="2605" customFormat="false" ht="15" hidden="false" customHeight="false" outlineLevel="0" collapsed="false">
      <c r="A2605" s="6" t="s">
        <v>50</v>
      </c>
      <c r="B2605" s="6" t="s">
        <v>43</v>
      </c>
      <c r="C2605" s="6" t="s">
        <v>51</v>
      </c>
      <c r="D2605" s="6" t="s">
        <v>115</v>
      </c>
      <c r="E2605" s="6" t="n">
        <v>1</v>
      </c>
      <c r="F2605" s="6" t="n">
        <v>7</v>
      </c>
      <c r="G2605" s="6" t="s">
        <v>75</v>
      </c>
      <c r="H2605" s="11" t="n">
        <v>0.001</v>
      </c>
      <c r="I2605" s="6" t="n">
        <v>20</v>
      </c>
      <c r="J2605" s="6" t="n">
        <v>0</v>
      </c>
      <c r="K2605" s="6" t="n">
        <v>20</v>
      </c>
      <c r="L2605" s="6" t="n">
        <v>0</v>
      </c>
      <c r="M2605" s="6" t="n">
        <v>20</v>
      </c>
      <c r="N2605" s="11" t="n">
        <f aca="false">J2605/(J2605+K2605)</f>
        <v>0</v>
      </c>
      <c r="O2605" s="11" t="str">
        <f aca="false">IF(J2605+L2605=0,"",J2605/(J2605+L2605))</f>
        <v/>
      </c>
      <c r="P2605" s="11" t="n">
        <f aca="false">2*J2605/(2*J2605+L2605+K2605)</f>
        <v>0</v>
      </c>
      <c r="Q2605" s="11" t="n">
        <f aca="false">L2605/(L2605+M2605)</f>
        <v>0</v>
      </c>
      <c r="R2605" s="6" t="n">
        <v>0</v>
      </c>
      <c r="S2605" s="11"/>
      <c r="T2605" s="11" t="n">
        <v>0</v>
      </c>
      <c r="U2605" s="11" t="n">
        <v>0.9</v>
      </c>
      <c r="V2605" s="11" t="n">
        <v>0.9</v>
      </c>
    </row>
    <row r="2606" customFormat="false" ht="15" hidden="false" customHeight="false" outlineLevel="0" collapsed="false">
      <c r="A2606" s="6" t="s">
        <v>50</v>
      </c>
      <c r="B2606" s="6" t="s">
        <v>43</v>
      </c>
      <c r="C2606" s="6" t="s">
        <v>51</v>
      </c>
      <c r="D2606" s="6" t="s">
        <v>115</v>
      </c>
      <c r="E2606" s="6" t="n">
        <v>1</v>
      </c>
      <c r="F2606" s="6" t="n">
        <v>7</v>
      </c>
      <c r="G2606" s="6" t="s">
        <v>76</v>
      </c>
      <c r="H2606" s="11" t="n">
        <v>0.001</v>
      </c>
      <c r="I2606" s="6" t="n">
        <v>20</v>
      </c>
      <c r="J2606" s="6" t="n">
        <v>0</v>
      </c>
      <c r="K2606" s="6" t="n">
        <v>20</v>
      </c>
      <c r="L2606" s="6" t="n">
        <v>0</v>
      </c>
      <c r="M2606" s="6" t="n">
        <v>20</v>
      </c>
      <c r="N2606" s="11" t="n">
        <f aca="false">J2606/(J2606+K2606)</f>
        <v>0</v>
      </c>
      <c r="O2606" s="11" t="str">
        <f aca="false">IF(J2606+L2606=0,"",J2606/(J2606+L2606))</f>
        <v/>
      </c>
      <c r="P2606" s="11" t="n">
        <f aca="false">2*J2606/(2*J2606+L2606+K2606)</f>
        <v>0</v>
      </c>
      <c r="Q2606" s="11" t="n">
        <f aca="false">L2606/(L2606+M2606)</f>
        <v>0</v>
      </c>
      <c r="R2606" s="6" t="n">
        <v>0</v>
      </c>
      <c r="S2606" s="11"/>
      <c r="T2606" s="11" t="n">
        <v>0</v>
      </c>
      <c r="U2606" s="11" t="n">
        <v>0.95</v>
      </c>
      <c r="V2606" s="11" t="n">
        <v>0.95</v>
      </c>
    </row>
    <row r="2607" customFormat="false" ht="15" hidden="false" customHeight="false" outlineLevel="0" collapsed="false">
      <c r="A2607" s="6" t="s">
        <v>50</v>
      </c>
      <c r="B2607" s="6" t="s">
        <v>43</v>
      </c>
      <c r="C2607" s="6" t="s">
        <v>51</v>
      </c>
      <c r="D2607" s="6" t="s">
        <v>115</v>
      </c>
      <c r="E2607" s="6" t="n">
        <v>1</v>
      </c>
      <c r="F2607" s="6" t="n">
        <v>7</v>
      </c>
      <c r="G2607" s="6" t="s">
        <v>77</v>
      </c>
      <c r="H2607" s="11" t="n">
        <v>0.001</v>
      </c>
      <c r="I2607" s="6" t="n">
        <v>20</v>
      </c>
      <c r="J2607" s="6" t="n">
        <v>0</v>
      </c>
      <c r="K2607" s="6" t="n">
        <v>20</v>
      </c>
      <c r="L2607" s="6" t="n">
        <v>0</v>
      </c>
      <c r="M2607" s="6" t="n">
        <v>20</v>
      </c>
      <c r="N2607" s="11" t="n">
        <f aca="false">J2607/(J2607+K2607)</f>
        <v>0</v>
      </c>
      <c r="O2607" s="11" t="str">
        <f aca="false">IF(J2607+L2607=0,"",J2607/(J2607+L2607))</f>
        <v/>
      </c>
      <c r="P2607" s="11" t="n">
        <f aca="false">2*J2607/(2*J2607+L2607+K2607)</f>
        <v>0</v>
      </c>
      <c r="Q2607" s="11" t="n">
        <f aca="false">L2607/(L2607+M2607)</f>
        <v>0</v>
      </c>
      <c r="R2607" s="6" t="n">
        <v>0</v>
      </c>
      <c r="S2607" s="11"/>
      <c r="T2607" s="11" t="n">
        <v>0</v>
      </c>
      <c r="U2607" s="11" t="n">
        <v>1</v>
      </c>
      <c r="V2607" s="11" t="n">
        <v>1</v>
      </c>
    </row>
    <row r="2608" customFormat="false" ht="15" hidden="false" customHeight="false" outlineLevel="0" collapsed="false">
      <c r="A2608" s="6" t="s">
        <v>50</v>
      </c>
      <c r="B2608" s="6" t="s">
        <v>43</v>
      </c>
      <c r="C2608" s="6" t="s">
        <v>51</v>
      </c>
      <c r="D2608" s="6" t="s">
        <v>115</v>
      </c>
      <c r="E2608" s="6" t="n">
        <v>1</v>
      </c>
      <c r="F2608" s="6" t="n">
        <v>7</v>
      </c>
      <c r="G2608" s="6" t="s">
        <v>78</v>
      </c>
      <c r="H2608" s="11" t="n">
        <v>0.001</v>
      </c>
      <c r="I2608" s="6" t="n">
        <v>200</v>
      </c>
      <c r="J2608" s="6" t="n">
        <v>0</v>
      </c>
      <c r="K2608" s="6" t="n">
        <v>200</v>
      </c>
      <c r="L2608" s="6" t="n">
        <v>0</v>
      </c>
      <c r="M2608" s="6" t="n">
        <v>200</v>
      </c>
      <c r="N2608" s="11" t="n">
        <f aca="false">J2608/(J2608+K2608)</f>
        <v>0</v>
      </c>
      <c r="O2608" s="11" t="str">
        <f aca="false">IF(J2608+L2608=0,"",J2608/(J2608+L2608))</f>
        <v/>
      </c>
      <c r="P2608" s="11" t="n">
        <f aca="false">2*J2608/(2*J2608+L2608+K2608)</f>
        <v>0</v>
      </c>
      <c r="Q2608" s="11" t="n">
        <f aca="false">L2608/(L2608+M2608)</f>
        <v>0</v>
      </c>
      <c r="R2608" s="6" t="n">
        <v>0</v>
      </c>
      <c r="S2608" s="11"/>
      <c r="T2608" s="11" t="n">
        <v>0</v>
      </c>
      <c r="U2608" s="11" t="n">
        <v>0.88</v>
      </c>
      <c r="V2608" s="11" t="n">
        <v>0.88</v>
      </c>
    </row>
    <row r="2609" customFormat="false" ht="15" hidden="false" customHeight="false" outlineLevel="0" collapsed="false">
      <c r="A2609" s="6" t="s">
        <v>50</v>
      </c>
      <c r="B2609" s="6" t="s">
        <v>43</v>
      </c>
      <c r="C2609" s="6" t="s">
        <v>51</v>
      </c>
      <c r="D2609" s="6" t="s">
        <v>115</v>
      </c>
      <c r="E2609" s="6" t="n">
        <v>1</v>
      </c>
      <c r="F2609" s="6" t="n">
        <v>8</v>
      </c>
      <c r="G2609" s="6" t="s">
        <v>68</v>
      </c>
      <c r="H2609" s="11" t="n">
        <v>0.001</v>
      </c>
      <c r="I2609" s="6" t="n">
        <v>20</v>
      </c>
      <c r="J2609" s="6" t="n">
        <v>0</v>
      </c>
      <c r="K2609" s="6" t="n">
        <v>20</v>
      </c>
      <c r="L2609" s="6" t="n">
        <v>0</v>
      </c>
      <c r="M2609" s="6" t="n">
        <v>20</v>
      </c>
      <c r="N2609" s="11" t="n">
        <f aca="false">J2609/(J2609+K2609)</f>
        <v>0</v>
      </c>
      <c r="O2609" s="11" t="str">
        <f aca="false">IF(J2609+L2609=0,"",J2609/(J2609+L2609))</f>
        <v/>
      </c>
      <c r="P2609" s="11" t="n">
        <f aca="false">2*J2609/(2*J2609+L2609+K2609)</f>
        <v>0</v>
      </c>
      <c r="Q2609" s="11" t="n">
        <f aca="false">L2609/(L2609+M2609)</f>
        <v>0</v>
      </c>
      <c r="R2609" s="6" t="n">
        <v>0</v>
      </c>
      <c r="S2609" s="11"/>
      <c r="T2609" s="11" t="n">
        <v>0</v>
      </c>
      <c r="U2609" s="11" t="n">
        <v>0.85</v>
      </c>
      <c r="V2609" s="11" t="n">
        <v>0.85</v>
      </c>
    </row>
    <row r="2610" customFormat="false" ht="15" hidden="false" customHeight="false" outlineLevel="0" collapsed="false">
      <c r="A2610" s="6" t="s">
        <v>50</v>
      </c>
      <c r="B2610" s="6" t="s">
        <v>43</v>
      </c>
      <c r="C2610" s="6" t="s">
        <v>51</v>
      </c>
      <c r="D2610" s="6" t="s">
        <v>115</v>
      </c>
      <c r="E2610" s="6" t="n">
        <v>1</v>
      </c>
      <c r="F2610" s="6" t="n">
        <v>8</v>
      </c>
      <c r="G2610" s="6" t="s">
        <v>69</v>
      </c>
      <c r="H2610" s="11" t="n">
        <v>0.001</v>
      </c>
      <c r="I2610" s="6" t="n">
        <v>20</v>
      </c>
      <c r="J2610" s="6" t="n">
        <v>0</v>
      </c>
      <c r="K2610" s="6" t="n">
        <v>20</v>
      </c>
      <c r="L2610" s="6" t="n">
        <v>0</v>
      </c>
      <c r="M2610" s="6" t="n">
        <v>20</v>
      </c>
      <c r="N2610" s="11" t="n">
        <f aca="false">J2610/(J2610+K2610)</f>
        <v>0</v>
      </c>
      <c r="O2610" s="11" t="str">
        <f aca="false">IF(J2610+L2610=0,"",J2610/(J2610+L2610))</f>
        <v/>
      </c>
      <c r="P2610" s="11" t="n">
        <f aca="false">2*J2610/(2*J2610+L2610+K2610)</f>
        <v>0</v>
      </c>
      <c r="Q2610" s="11" t="n">
        <f aca="false">L2610/(L2610+M2610)</f>
        <v>0</v>
      </c>
      <c r="R2610" s="6" t="n">
        <v>0</v>
      </c>
      <c r="S2610" s="11"/>
      <c r="T2610" s="11" t="n">
        <v>0</v>
      </c>
      <c r="U2610" s="11" t="n">
        <v>1</v>
      </c>
      <c r="V2610" s="11" t="n">
        <v>1</v>
      </c>
    </row>
    <row r="2611" customFormat="false" ht="15" hidden="false" customHeight="false" outlineLevel="0" collapsed="false">
      <c r="A2611" s="6" t="s">
        <v>50</v>
      </c>
      <c r="B2611" s="6" t="s">
        <v>43</v>
      </c>
      <c r="C2611" s="6" t="s">
        <v>51</v>
      </c>
      <c r="D2611" s="6" t="s">
        <v>115</v>
      </c>
      <c r="E2611" s="6" t="n">
        <v>1</v>
      </c>
      <c r="F2611" s="6" t="n">
        <v>8</v>
      </c>
      <c r="G2611" s="6" t="s">
        <v>70</v>
      </c>
      <c r="H2611" s="11" t="n">
        <v>0.001</v>
      </c>
      <c r="I2611" s="6" t="n">
        <v>20</v>
      </c>
      <c r="J2611" s="6" t="n">
        <v>0</v>
      </c>
      <c r="K2611" s="6" t="n">
        <v>20</v>
      </c>
      <c r="L2611" s="6" t="n">
        <v>0</v>
      </c>
      <c r="M2611" s="6" t="n">
        <v>20</v>
      </c>
      <c r="N2611" s="11" t="n">
        <f aca="false">J2611/(J2611+K2611)</f>
        <v>0</v>
      </c>
      <c r="O2611" s="11" t="str">
        <f aca="false">IF(J2611+L2611=0,"",J2611/(J2611+L2611))</f>
        <v/>
      </c>
      <c r="P2611" s="11" t="n">
        <f aca="false">2*J2611/(2*J2611+L2611+K2611)</f>
        <v>0</v>
      </c>
      <c r="Q2611" s="11" t="n">
        <f aca="false">L2611/(L2611+M2611)</f>
        <v>0</v>
      </c>
      <c r="R2611" s="6" t="n">
        <v>0</v>
      </c>
      <c r="S2611" s="11"/>
      <c r="T2611" s="11" t="n">
        <v>0</v>
      </c>
      <c r="U2611" s="11" t="n">
        <v>0.9</v>
      </c>
      <c r="V2611" s="11" t="n">
        <v>0.9</v>
      </c>
    </row>
    <row r="2612" customFormat="false" ht="15" hidden="false" customHeight="false" outlineLevel="0" collapsed="false">
      <c r="A2612" s="6" t="s">
        <v>50</v>
      </c>
      <c r="B2612" s="6" t="s">
        <v>43</v>
      </c>
      <c r="C2612" s="6" t="s">
        <v>51</v>
      </c>
      <c r="D2612" s="6" t="s">
        <v>115</v>
      </c>
      <c r="E2612" s="6" t="n">
        <v>1</v>
      </c>
      <c r="F2612" s="6" t="n">
        <v>8</v>
      </c>
      <c r="G2612" s="6" t="s">
        <v>71</v>
      </c>
      <c r="H2612" s="11" t="n">
        <v>0.001</v>
      </c>
      <c r="I2612" s="6" t="n">
        <v>20</v>
      </c>
      <c r="J2612" s="6" t="n">
        <v>0</v>
      </c>
      <c r="K2612" s="6" t="n">
        <v>20</v>
      </c>
      <c r="L2612" s="6" t="n">
        <v>0</v>
      </c>
      <c r="M2612" s="6" t="n">
        <v>20</v>
      </c>
      <c r="N2612" s="11" t="n">
        <f aca="false">J2612/(J2612+K2612)</f>
        <v>0</v>
      </c>
      <c r="O2612" s="11" t="str">
        <f aca="false">IF(J2612+L2612=0,"",J2612/(J2612+L2612))</f>
        <v/>
      </c>
      <c r="P2612" s="11" t="n">
        <f aca="false">2*J2612/(2*J2612+L2612+K2612)</f>
        <v>0</v>
      </c>
      <c r="Q2612" s="11" t="n">
        <f aca="false">L2612/(L2612+M2612)</f>
        <v>0</v>
      </c>
      <c r="R2612" s="6" t="n">
        <v>0</v>
      </c>
      <c r="S2612" s="11"/>
      <c r="T2612" s="11" t="n">
        <v>0</v>
      </c>
      <c r="U2612" s="11" t="n">
        <v>0.8</v>
      </c>
      <c r="V2612" s="11" t="n">
        <v>0.8</v>
      </c>
    </row>
    <row r="2613" customFormat="false" ht="15" hidden="false" customHeight="false" outlineLevel="0" collapsed="false">
      <c r="A2613" s="6" t="s">
        <v>50</v>
      </c>
      <c r="B2613" s="6" t="s">
        <v>43</v>
      </c>
      <c r="C2613" s="6" t="s">
        <v>51</v>
      </c>
      <c r="D2613" s="6" t="s">
        <v>115</v>
      </c>
      <c r="E2613" s="6" t="n">
        <v>1</v>
      </c>
      <c r="F2613" s="6" t="n">
        <v>8</v>
      </c>
      <c r="G2613" s="6" t="s">
        <v>72</v>
      </c>
      <c r="H2613" s="11" t="n">
        <v>0.001</v>
      </c>
      <c r="I2613" s="6" t="n">
        <v>20</v>
      </c>
      <c r="J2613" s="6" t="n">
        <v>0</v>
      </c>
      <c r="K2613" s="6" t="n">
        <v>20</v>
      </c>
      <c r="L2613" s="6" t="n">
        <v>0</v>
      </c>
      <c r="M2613" s="6" t="n">
        <v>20</v>
      </c>
      <c r="N2613" s="11" t="n">
        <f aca="false">J2613/(J2613+K2613)</f>
        <v>0</v>
      </c>
      <c r="O2613" s="11" t="str">
        <f aca="false">IF(J2613+L2613=0,"",J2613/(J2613+L2613))</f>
        <v/>
      </c>
      <c r="P2613" s="11" t="n">
        <f aca="false">2*J2613/(2*J2613+L2613+K2613)</f>
        <v>0</v>
      </c>
      <c r="Q2613" s="11" t="n">
        <f aca="false">L2613/(L2613+M2613)</f>
        <v>0</v>
      </c>
      <c r="R2613" s="6" t="n">
        <v>0</v>
      </c>
      <c r="S2613" s="11"/>
      <c r="T2613" s="11" t="n">
        <v>0</v>
      </c>
      <c r="U2613" s="11" t="n">
        <v>0.9</v>
      </c>
      <c r="V2613" s="11" t="n">
        <v>0.9</v>
      </c>
    </row>
    <row r="2614" customFormat="false" ht="15" hidden="false" customHeight="false" outlineLevel="0" collapsed="false">
      <c r="A2614" s="6" t="s">
        <v>50</v>
      </c>
      <c r="B2614" s="6" t="s">
        <v>43</v>
      </c>
      <c r="C2614" s="6" t="s">
        <v>51</v>
      </c>
      <c r="D2614" s="6" t="s">
        <v>115</v>
      </c>
      <c r="E2614" s="6" t="n">
        <v>1</v>
      </c>
      <c r="F2614" s="6" t="n">
        <v>8</v>
      </c>
      <c r="G2614" s="6" t="s">
        <v>73</v>
      </c>
      <c r="H2614" s="11" t="n">
        <v>0.001</v>
      </c>
      <c r="I2614" s="6" t="n">
        <v>20</v>
      </c>
      <c r="J2614" s="6" t="n">
        <v>0</v>
      </c>
      <c r="K2614" s="6" t="n">
        <v>20</v>
      </c>
      <c r="L2614" s="6" t="n">
        <v>0</v>
      </c>
      <c r="M2614" s="6" t="n">
        <v>20</v>
      </c>
      <c r="N2614" s="11" t="n">
        <f aca="false">J2614/(J2614+K2614)</f>
        <v>0</v>
      </c>
      <c r="O2614" s="11" t="str">
        <f aca="false">IF(J2614+L2614=0,"",J2614/(J2614+L2614))</f>
        <v/>
      </c>
      <c r="P2614" s="11" t="n">
        <f aca="false">2*J2614/(2*J2614+L2614+K2614)</f>
        <v>0</v>
      </c>
      <c r="Q2614" s="11" t="n">
        <f aca="false">L2614/(L2614+M2614)</f>
        <v>0</v>
      </c>
      <c r="R2614" s="6" t="n">
        <v>0</v>
      </c>
      <c r="S2614" s="11"/>
      <c r="T2614" s="11" t="n">
        <v>0</v>
      </c>
      <c r="U2614" s="11" t="n">
        <v>0.65</v>
      </c>
      <c r="V2614" s="11" t="n">
        <v>0.65</v>
      </c>
    </row>
    <row r="2615" customFormat="false" ht="15" hidden="false" customHeight="false" outlineLevel="0" collapsed="false">
      <c r="A2615" s="6" t="s">
        <v>50</v>
      </c>
      <c r="B2615" s="6" t="s">
        <v>43</v>
      </c>
      <c r="C2615" s="6" t="s">
        <v>51</v>
      </c>
      <c r="D2615" s="6" t="s">
        <v>115</v>
      </c>
      <c r="E2615" s="6" t="n">
        <v>1</v>
      </c>
      <c r="F2615" s="6" t="n">
        <v>8</v>
      </c>
      <c r="G2615" s="6" t="s">
        <v>74</v>
      </c>
      <c r="H2615" s="11" t="n">
        <v>0.001</v>
      </c>
      <c r="I2615" s="6" t="n">
        <v>20</v>
      </c>
      <c r="J2615" s="6" t="n">
        <v>0</v>
      </c>
      <c r="K2615" s="6" t="n">
        <v>20</v>
      </c>
      <c r="L2615" s="6" t="n">
        <v>0</v>
      </c>
      <c r="M2615" s="6" t="n">
        <v>20</v>
      </c>
      <c r="N2615" s="11" t="n">
        <f aca="false">J2615/(J2615+K2615)</f>
        <v>0</v>
      </c>
      <c r="O2615" s="11" t="str">
        <f aca="false">IF(J2615+L2615=0,"",J2615/(J2615+L2615))</f>
        <v/>
      </c>
      <c r="P2615" s="11" t="n">
        <f aca="false">2*J2615/(2*J2615+L2615+K2615)</f>
        <v>0</v>
      </c>
      <c r="Q2615" s="11" t="n">
        <f aca="false">L2615/(L2615+M2615)</f>
        <v>0</v>
      </c>
      <c r="R2615" s="6" t="n">
        <v>0</v>
      </c>
      <c r="S2615" s="11"/>
      <c r="T2615" s="11" t="n">
        <v>0</v>
      </c>
      <c r="U2615" s="11" t="n">
        <v>0.85</v>
      </c>
      <c r="V2615" s="11" t="n">
        <v>0.85</v>
      </c>
    </row>
    <row r="2616" customFormat="false" ht="15" hidden="false" customHeight="false" outlineLevel="0" collapsed="false">
      <c r="A2616" s="6" t="s">
        <v>50</v>
      </c>
      <c r="B2616" s="6" t="s">
        <v>43</v>
      </c>
      <c r="C2616" s="6" t="s">
        <v>51</v>
      </c>
      <c r="D2616" s="6" t="s">
        <v>115</v>
      </c>
      <c r="E2616" s="6" t="n">
        <v>1</v>
      </c>
      <c r="F2616" s="6" t="n">
        <v>8</v>
      </c>
      <c r="G2616" s="6" t="s">
        <v>75</v>
      </c>
      <c r="H2616" s="11" t="n">
        <v>0.001</v>
      </c>
      <c r="I2616" s="6" t="n">
        <v>20</v>
      </c>
      <c r="J2616" s="6" t="n">
        <v>0</v>
      </c>
      <c r="K2616" s="6" t="n">
        <v>20</v>
      </c>
      <c r="L2616" s="6" t="n">
        <v>0</v>
      </c>
      <c r="M2616" s="6" t="n">
        <v>20</v>
      </c>
      <c r="N2616" s="11" t="n">
        <f aca="false">J2616/(J2616+K2616)</f>
        <v>0</v>
      </c>
      <c r="O2616" s="11" t="str">
        <f aca="false">IF(J2616+L2616=0,"",J2616/(J2616+L2616))</f>
        <v/>
      </c>
      <c r="P2616" s="11" t="n">
        <f aca="false">2*J2616/(2*J2616+L2616+K2616)</f>
        <v>0</v>
      </c>
      <c r="Q2616" s="11" t="n">
        <f aca="false">L2616/(L2616+M2616)</f>
        <v>0</v>
      </c>
      <c r="R2616" s="6" t="n">
        <v>0</v>
      </c>
      <c r="S2616" s="11"/>
      <c r="T2616" s="11" t="n">
        <v>0</v>
      </c>
      <c r="U2616" s="11" t="n">
        <v>0.9</v>
      </c>
      <c r="V2616" s="11" t="n">
        <v>0.9</v>
      </c>
    </row>
    <row r="2617" customFormat="false" ht="15" hidden="false" customHeight="false" outlineLevel="0" collapsed="false">
      <c r="A2617" s="6" t="s">
        <v>50</v>
      </c>
      <c r="B2617" s="6" t="s">
        <v>43</v>
      </c>
      <c r="C2617" s="6" t="s">
        <v>51</v>
      </c>
      <c r="D2617" s="6" t="s">
        <v>115</v>
      </c>
      <c r="E2617" s="6" t="n">
        <v>1</v>
      </c>
      <c r="F2617" s="6" t="n">
        <v>8</v>
      </c>
      <c r="G2617" s="6" t="s">
        <v>76</v>
      </c>
      <c r="H2617" s="11" t="n">
        <v>0.001</v>
      </c>
      <c r="I2617" s="6" t="n">
        <v>20</v>
      </c>
      <c r="J2617" s="6" t="n">
        <v>0</v>
      </c>
      <c r="K2617" s="6" t="n">
        <v>20</v>
      </c>
      <c r="L2617" s="6" t="n">
        <v>0</v>
      </c>
      <c r="M2617" s="6" t="n">
        <v>20</v>
      </c>
      <c r="N2617" s="11" t="n">
        <f aca="false">J2617/(J2617+K2617)</f>
        <v>0</v>
      </c>
      <c r="O2617" s="11" t="str">
        <f aca="false">IF(J2617+L2617=0,"",J2617/(J2617+L2617))</f>
        <v/>
      </c>
      <c r="P2617" s="11" t="n">
        <f aca="false">2*J2617/(2*J2617+L2617+K2617)</f>
        <v>0</v>
      </c>
      <c r="Q2617" s="11" t="n">
        <f aca="false">L2617/(L2617+M2617)</f>
        <v>0</v>
      </c>
      <c r="R2617" s="6" t="n">
        <v>0</v>
      </c>
      <c r="S2617" s="11"/>
      <c r="T2617" s="11" t="n">
        <v>0</v>
      </c>
      <c r="U2617" s="11" t="n">
        <v>0.95</v>
      </c>
      <c r="V2617" s="11" t="n">
        <v>0.95</v>
      </c>
    </row>
    <row r="2618" customFormat="false" ht="15" hidden="false" customHeight="false" outlineLevel="0" collapsed="false">
      <c r="A2618" s="6" t="s">
        <v>50</v>
      </c>
      <c r="B2618" s="6" t="s">
        <v>43</v>
      </c>
      <c r="C2618" s="6" t="s">
        <v>51</v>
      </c>
      <c r="D2618" s="6" t="s">
        <v>115</v>
      </c>
      <c r="E2618" s="6" t="n">
        <v>1</v>
      </c>
      <c r="F2618" s="6" t="n">
        <v>8</v>
      </c>
      <c r="G2618" s="6" t="s">
        <v>77</v>
      </c>
      <c r="H2618" s="11" t="n">
        <v>0.001</v>
      </c>
      <c r="I2618" s="6" t="n">
        <v>20</v>
      </c>
      <c r="J2618" s="6" t="n">
        <v>0</v>
      </c>
      <c r="K2618" s="6" t="n">
        <v>20</v>
      </c>
      <c r="L2618" s="6" t="n">
        <v>0</v>
      </c>
      <c r="M2618" s="6" t="n">
        <v>20</v>
      </c>
      <c r="N2618" s="11" t="n">
        <f aca="false">J2618/(J2618+K2618)</f>
        <v>0</v>
      </c>
      <c r="O2618" s="11" t="str">
        <f aca="false">IF(J2618+L2618=0,"",J2618/(J2618+L2618))</f>
        <v/>
      </c>
      <c r="P2618" s="11" t="n">
        <f aca="false">2*J2618/(2*J2618+L2618+K2618)</f>
        <v>0</v>
      </c>
      <c r="Q2618" s="11" t="n">
        <f aca="false">L2618/(L2618+M2618)</f>
        <v>0</v>
      </c>
      <c r="R2618" s="6" t="n">
        <v>0</v>
      </c>
      <c r="S2618" s="11"/>
      <c r="T2618" s="11" t="n">
        <v>0</v>
      </c>
      <c r="U2618" s="11" t="n">
        <v>1</v>
      </c>
      <c r="V2618" s="11" t="n">
        <v>1</v>
      </c>
    </row>
    <row r="2619" customFormat="false" ht="15" hidden="false" customHeight="false" outlineLevel="0" collapsed="false">
      <c r="A2619" s="6" t="s">
        <v>50</v>
      </c>
      <c r="B2619" s="6" t="s">
        <v>43</v>
      </c>
      <c r="C2619" s="6" t="s">
        <v>51</v>
      </c>
      <c r="D2619" s="6" t="s">
        <v>115</v>
      </c>
      <c r="E2619" s="6" t="n">
        <v>1</v>
      </c>
      <c r="F2619" s="6" t="n">
        <v>8</v>
      </c>
      <c r="G2619" s="6" t="s">
        <v>78</v>
      </c>
      <c r="H2619" s="11" t="n">
        <v>0.001</v>
      </c>
      <c r="I2619" s="6" t="n">
        <v>200</v>
      </c>
      <c r="J2619" s="6" t="n">
        <v>0</v>
      </c>
      <c r="K2619" s="6" t="n">
        <v>200</v>
      </c>
      <c r="L2619" s="6" t="n">
        <v>0</v>
      </c>
      <c r="M2619" s="6" t="n">
        <v>200</v>
      </c>
      <c r="N2619" s="11" t="n">
        <f aca="false">J2619/(J2619+K2619)</f>
        <v>0</v>
      </c>
      <c r="O2619" s="11" t="str">
        <f aca="false">IF(J2619+L2619=0,"",J2619/(J2619+L2619))</f>
        <v/>
      </c>
      <c r="P2619" s="11" t="n">
        <f aca="false">2*J2619/(2*J2619+L2619+K2619)</f>
        <v>0</v>
      </c>
      <c r="Q2619" s="11" t="n">
        <f aca="false">L2619/(L2619+M2619)</f>
        <v>0</v>
      </c>
      <c r="R2619" s="6" t="n">
        <v>0</v>
      </c>
      <c r="S2619" s="11"/>
      <c r="T2619" s="11" t="n">
        <v>0</v>
      </c>
      <c r="U2619" s="11" t="n">
        <v>0.88</v>
      </c>
      <c r="V2619" s="11" t="n">
        <v>0.88</v>
      </c>
    </row>
    <row r="2620" customFormat="false" ht="15" hidden="false" customHeight="false" outlineLevel="0" collapsed="false">
      <c r="A2620" s="6" t="s">
        <v>50</v>
      </c>
      <c r="B2620" s="6" t="s">
        <v>43</v>
      </c>
      <c r="C2620" s="6" t="s">
        <v>51</v>
      </c>
      <c r="D2620" s="6" t="s">
        <v>115</v>
      </c>
      <c r="E2620" s="6" t="n">
        <v>1</v>
      </c>
      <c r="F2620" s="6" t="n">
        <v>9</v>
      </c>
      <c r="G2620" s="6" t="s">
        <v>68</v>
      </c>
      <c r="H2620" s="11" t="n">
        <v>0.001</v>
      </c>
      <c r="I2620" s="6" t="n">
        <v>20</v>
      </c>
      <c r="J2620" s="6" t="n">
        <v>20</v>
      </c>
      <c r="K2620" s="6" t="n">
        <v>0</v>
      </c>
      <c r="L2620" s="6" t="n">
        <v>0</v>
      </c>
      <c r="M2620" s="6" t="n">
        <v>20</v>
      </c>
      <c r="N2620" s="11" t="n">
        <f aca="false">J2620/(J2620+K2620)</f>
        <v>1</v>
      </c>
      <c r="O2620" s="11" t="n">
        <f aca="false">IF(J2620+L2620=0,"",J2620/(J2620+L2620))</f>
        <v>1</v>
      </c>
      <c r="P2620" s="11" t="n">
        <f aca="false">2*J2620/(2*J2620+L2620+K2620)</f>
        <v>1</v>
      </c>
      <c r="Q2620" s="11" t="n">
        <f aca="false">L2620/(L2620+M2620)</f>
        <v>0</v>
      </c>
      <c r="R2620" s="6" t="n">
        <v>20</v>
      </c>
      <c r="S2620" s="11" t="n">
        <v>1</v>
      </c>
      <c r="T2620" s="11"/>
      <c r="U2620" s="11" t="n">
        <v>0.85</v>
      </c>
      <c r="V2620" s="11" t="n">
        <v>0</v>
      </c>
    </row>
    <row r="2621" customFormat="false" ht="15" hidden="false" customHeight="false" outlineLevel="0" collapsed="false">
      <c r="A2621" s="6" t="s">
        <v>50</v>
      </c>
      <c r="B2621" s="6" t="s">
        <v>43</v>
      </c>
      <c r="C2621" s="6" t="s">
        <v>51</v>
      </c>
      <c r="D2621" s="6" t="s">
        <v>115</v>
      </c>
      <c r="E2621" s="6" t="n">
        <v>1</v>
      </c>
      <c r="F2621" s="6" t="n">
        <v>9</v>
      </c>
      <c r="G2621" s="6" t="s">
        <v>69</v>
      </c>
      <c r="H2621" s="11" t="n">
        <v>0.001</v>
      </c>
      <c r="I2621" s="6" t="n">
        <v>20</v>
      </c>
      <c r="J2621" s="6" t="n">
        <v>20</v>
      </c>
      <c r="K2621" s="6" t="n">
        <v>0</v>
      </c>
      <c r="L2621" s="6" t="n">
        <v>0</v>
      </c>
      <c r="M2621" s="6" t="n">
        <v>20</v>
      </c>
      <c r="N2621" s="11" t="n">
        <f aca="false">J2621/(J2621+K2621)</f>
        <v>1</v>
      </c>
      <c r="O2621" s="11" t="n">
        <f aca="false">IF(J2621+L2621=0,"",J2621/(J2621+L2621))</f>
        <v>1</v>
      </c>
      <c r="P2621" s="11" t="n">
        <f aca="false">2*J2621/(2*J2621+L2621+K2621)</f>
        <v>1</v>
      </c>
      <c r="Q2621" s="11" t="n">
        <f aca="false">L2621/(L2621+M2621)</f>
        <v>0</v>
      </c>
      <c r="R2621" s="6" t="n">
        <v>20</v>
      </c>
      <c r="S2621" s="11" t="n">
        <v>1</v>
      </c>
      <c r="T2621" s="11"/>
      <c r="U2621" s="11" t="n">
        <v>1</v>
      </c>
      <c r="V2621" s="11" t="n">
        <v>0</v>
      </c>
    </row>
    <row r="2622" customFormat="false" ht="15" hidden="false" customHeight="false" outlineLevel="0" collapsed="false">
      <c r="A2622" s="6" t="s">
        <v>50</v>
      </c>
      <c r="B2622" s="6" t="s">
        <v>43</v>
      </c>
      <c r="C2622" s="6" t="s">
        <v>51</v>
      </c>
      <c r="D2622" s="6" t="s">
        <v>115</v>
      </c>
      <c r="E2622" s="6" t="n">
        <v>1</v>
      </c>
      <c r="F2622" s="6" t="n">
        <v>9</v>
      </c>
      <c r="G2622" s="6" t="s">
        <v>70</v>
      </c>
      <c r="H2622" s="11" t="n">
        <v>0.001</v>
      </c>
      <c r="I2622" s="6" t="n">
        <v>20</v>
      </c>
      <c r="J2622" s="6" t="n">
        <v>20</v>
      </c>
      <c r="K2622" s="6" t="n">
        <v>0</v>
      </c>
      <c r="L2622" s="6" t="n">
        <v>0</v>
      </c>
      <c r="M2622" s="6" t="n">
        <v>20</v>
      </c>
      <c r="N2622" s="11" t="n">
        <f aca="false">J2622/(J2622+K2622)</f>
        <v>1</v>
      </c>
      <c r="O2622" s="11" t="n">
        <f aca="false">IF(J2622+L2622=0,"",J2622/(J2622+L2622))</f>
        <v>1</v>
      </c>
      <c r="P2622" s="11" t="n">
        <f aca="false">2*J2622/(2*J2622+L2622+K2622)</f>
        <v>1</v>
      </c>
      <c r="Q2622" s="11" t="n">
        <f aca="false">L2622/(L2622+M2622)</f>
        <v>0</v>
      </c>
      <c r="R2622" s="6" t="n">
        <v>20</v>
      </c>
      <c r="S2622" s="11" t="n">
        <v>1</v>
      </c>
      <c r="T2622" s="11"/>
      <c r="U2622" s="11" t="n">
        <v>0.9</v>
      </c>
      <c r="V2622" s="11" t="n">
        <v>0</v>
      </c>
    </row>
    <row r="2623" customFormat="false" ht="15" hidden="false" customHeight="false" outlineLevel="0" collapsed="false">
      <c r="A2623" s="6" t="s">
        <v>50</v>
      </c>
      <c r="B2623" s="6" t="s">
        <v>43</v>
      </c>
      <c r="C2623" s="6" t="s">
        <v>51</v>
      </c>
      <c r="D2623" s="6" t="s">
        <v>115</v>
      </c>
      <c r="E2623" s="6" t="n">
        <v>1</v>
      </c>
      <c r="F2623" s="6" t="n">
        <v>9</v>
      </c>
      <c r="G2623" s="6" t="s">
        <v>71</v>
      </c>
      <c r="H2623" s="11" t="n">
        <v>0.001</v>
      </c>
      <c r="I2623" s="6" t="n">
        <v>20</v>
      </c>
      <c r="J2623" s="6" t="n">
        <v>20</v>
      </c>
      <c r="K2623" s="6" t="n">
        <v>0</v>
      </c>
      <c r="L2623" s="6" t="n">
        <v>0</v>
      </c>
      <c r="M2623" s="6" t="n">
        <v>20</v>
      </c>
      <c r="N2623" s="11" t="n">
        <f aca="false">J2623/(J2623+K2623)</f>
        <v>1</v>
      </c>
      <c r="O2623" s="11" t="n">
        <f aca="false">IF(J2623+L2623=0,"",J2623/(J2623+L2623))</f>
        <v>1</v>
      </c>
      <c r="P2623" s="11" t="n">
        <f aca="false">2*J2623/(2*J2623+L2623+K2623)</f>
        <v>1</v>
      </c>
      <c r="Q2623" s="11" t="n">
        <f aca="false">L2623/(L2623+M2623)</f>
        <v>0</v>
      </c>
      <c r="R2623" s="6" t="n">
        <v>20</v>
      </c>
      <c r="S2623" s="11" t="n">
        <v>1</v>
      </c>
      <c r="T2623" s="11"/>
      <c r="U2623" s="11" t="n">
        <v>0.8</v>
      </c>
      <c r="V2623" s="11" t="n">
        <v>0</v>
      </c>
    </row>
    <row r="2624" customFormat="false" ht="15" hidden="false" customHeight="false" outlineLevel="0" collapsed="false">
      <c r="A2624" s="6" t="s">
        <v>50</v>
      </c>
      <c r="B2624" s="6" t="s">
        <v>43</v>
      </c>
      <c r="C2624" s="6" t="s">
        <v>51</v>
      </c>
      <c r="D2624" s="6" t="s">
        <v>115</v>
      </c>
      <c r="E2624" s="6" t="n">
        <v>1</v>
      </c>
      <c r="F2624" s="6" t="n">
        <v>9</v>
      </c>
      <c r="G2624" s="6" t="s">
        <v>72</v>
      </c>
      <c r="H2624" s="11" t="n">
        <v>0.001</v>
      </c>
      <c r="I2624" s="6" t="n">
        <v>20</v>
      </c>
      <c r="J2624" s="6" t="n">
        <v>18</v>
      </c>
      <c r="K2624" s="6" t="n">
        <v>2</v>
      </c>
      <c r="L2624" s="6" t="n">
        <v>0</v>
      </c>
      <c r="M2624" s="6" t="n">
        <v>20</v>
      </c>
      <c r="N2624" s="11" t="n">
        <f aca="false">J2624/(J2624+K2624)</f>
        <v>0.9</v>
      </c>
      <c r="O2624" s="11" t="n">
        <f aca="false">IF(J2624+L2624=0,"",J2624/(J2624+L2624))</f>
        <v>1</v>
      </c>
      <c r="P2624" s="11" t="n">
        <f aca="false">2*J2624/(2*J2624+L2624+K2624)</f>
        <v>0.947368421052632</v>
      </c>
      <c r="Q2624" s="11" t="n">
        <f aca="false">L2624/(L2624+M2624)</f>
        <v>0</v>
      </c>
      <c r="R2624" s="6" t="n">
        <v>18</v>
      </c>
      <c r="S2624" s="11" t="n">
        <v>1</v>
      </c>
      <c r="T2624" s="11" t="n">
        <v>0</v>
      </c>
      <c r="U2624" s="11" t="n">
        <v>0.9</v>
      </c>
      <c r="V2624" s="11" t="n">
        <v>0.05</v>
      </c>
    </row>
    <row r="2625" customFormat="false" ht="15" hidden="false" customHeight="false" outlineLevel="0" collapsed="false">
      <c r="A2625" s="6" t="s">
        <v>50</v>
      </c>
      <c r="B2625" s="6" t="s">
        <v>43</v>
      </c>
      <c r="C2625" s="6" t="s">
        <v>51</v>
      </c>
      <c r="D2625" s="6" t="s">
        <v>115</v>
      </c>
      <c r="E2625" s="6" t="n">
        <v>1</v>
      </c>
      <c r="F2625" s="6" t="n">
        <v>9</v>
      </c>
      <c r="G2625" s="6" t="s">
        <v>73</v>
      </c>
      <c r="H2625" s="11" t="n">
        <v>0.001</v>
      </c>
      <c r="I2625" s="6" t="n">
        <v>20</v>
      </c>
      <c r="J2625" s="6" t="n">
        <v>19</v>
      </c>
      <c r="K2625" s="6" t="n">
        <v>1</v>
      </c>
      <c r="L2625" s="6" t="n">
        <v>0</v>
      </c>
      <c r="M2625" s="6" t="n">
        <v>20</v>
      </c>
      <c r="N2625" s="11" t="n">
        <f aca="false">J2625/(J2625+K2625)</f>
        <v>0.95</v>
      </c>
      <c r="O2625" s="11" t="n">
        <f aca="false">IF(J2625+L2625=0,"",J2625/(J2625+L2625))</f>
        <v>1</v>
      </c>
      <c r="P2625" s="11" t="n">
        <f aca="false">2*J2625/(2*J2625+L2625+K2625)</f>
        <v>0.974358974358974</v>
      </c>
      <c r="Q2625" s="11" t="n">
        <f aca="false">L2625/(L2625+M2625)</f>
        <v>0</v>
      </c>
      <c r="R2625" s="6" t="n">
        <v>19</v>
      </c>
      <c r="S2625" s="11" t="n">
        <v>1</v>
      </c>
      <c r="T2625" s="11" t="n">
        <v>0</v>
      </c>
      <c r="U2625" s="11" t="n">
        <v>0.65</v>
      </c>
      <c r="V2625" s="11" t="n">
        <v>0.05</v>
      </c>
    </row>
    <row r="2626" customFormat="false" ht="15" hidden="false" customHeight="false" outlineLevel="0" collapsed="false">
      <c r="A2626" s="6" t="s">
        <v>50</v>
      </c>
      <c r="B2626" s="6" t="s">
        <v>43</v>
      </c>
      <c r="C2626" s="6" t="s">
        <v>51</v>
      </c>
      <c r="D2626" s="6" t="s">
        <v>115</v>
      </c>
      <c r="E2626" s="6" t="n">
        <v>1</v>
      </c>
      <c r="F2626" s="6" t="n">
        <v>9</v>
      </c>
      <c r="G2626" s="6" t="s">
        <v>74</v>
      </c>
      <c r="H2626" s="11" t="n">
        <v>0.001</v>
      </c>
      <c r="I2626" s="6" t="n">
        <v>20</v>
      </c>
      <c r="J2626" s="6" t="n">
        <v>18</v>
      </c>
      <c r="K2626" s="6" t="n">
        <v>2</v>
      </c>
      <c r="L2626" s="6" t="n">
        <v>0</v>
      </c>
      <c r="M2626" s="6" t="n">
        <v>20</v>
      </c>
      <c r="N2626" s="11" t="n">
        <f aca="false">J2626/(J2626+K2626)</f>
        <v>0.9</v>
      </c>
      <c r="O2626" s="11" t="n">
        <f aca="false">IF(J2626+L2626=0,"",J2626/(J2626+L2626))</f>
        <v>1</v>
      </c>
      <c r="P2626" s="11" t="n">
        <f aca="false">2*J2626/(2*J2626+L2626+K2626)</f>
        <v>0.947368421052632</v>
      </c>
      <c r="Q2626" s="11" t="n">
        <f aca="false">L2626/(L2626+M2626)</f>
        <v>0</v>
      </c>
      <c r="R2626" s="6" t="n">
        <v>18</v>
      </c>
      <c r="S2626" s="11" t="n">
        <v>1</v>
      </c>
      <c r="T2626" s="11" t="n">
        <v>0</v>
      </c>
      <c r="U2626" s="11" t="n">
        <v>0.85</v>
      </c>
      <c r="V2626" s="11" t="n">
        <v>0.1</v>
      </c>
    </row>
    <row r="2627" customFormat="false" ht="15" hidden="false" customHeight="false" outlineLevel="0" collapsed="false">
      <c r="A2627" s="6" t="s">
        <v>50</v>
      </c>
      <c r="B2627" s="6" t="s">
        <v>43</v>
      </c>
      <c r="C2627" s="6" t="s">
        <v>51</v>
      </c>
      <c r="D2627" s="6" t="s">
        <v>115</v>
      </c>
      <c r="E2627" s="6" t="n">
        <v>1</v>
      </c>
      <c r="F2627" s="6" t="n">
        <v>9</v>
      </c>
      <c r="G2627" s="6" t="s">
        <v>75</v>
      </c>
      <c r="H2627" s="11" t="n">
        <v>0.001</v>
      </c>
      <c r="I2627" s="6" t="n">
        <v>20</v>
      </c>
      <c r="J2627" s="6" t="n">
        <v>20</v>
      </c>
      <c r="K2627" s="6" t="n">
        <v>0</v>
      </c>
      <c r="L2627" s="6" t="n">
        <v>0</v>
      </c>
      <c r="M2627" s="6" t="n">
        <v>20</v>
      </c>
      <c r="N2627" s="11" t="n">
        <f aca="false">J2627/(J2627+K2627)</f>
        <v>1</v>
      </c>
      <c r="O2627" s="11" t="n">
        <f aca="false">IF(J2627+L2627=0,"",J2627/(J2627+L2627))</f>
        <v>1</v>
      </c>
      <c r="P2627" s="11" t="n">
        <f aca="false">2*J2627/(2*J2627+L2627+K2627)</f>
        <v>1</v>
      </c>
      <c r="Q2627" s="11" t="n">
        <f aca="false">L2627/(L2627+M2627)</f>
        <v>0</v>
      </c>
      <c r="R2627" s="6" t="n">
        <v>5</v>
      </c>
      <c r="S2627" s="11" t="n">
        <v>1</v>
      </c>
      <c r="T2627" s="11" t="n">
        <v>1</v>
      </c>
      <c r="U2627" s="11" t="n">
        <v>0.9</v>
      </c>
      <c r="V2627" s="11" t="n">
        <v>0.85</v>
      </c>
    </row>
    <row r="2628" customFormat="false" ht="15" hidden="false" customHeight="false" outlineLevel="0" collapsed="false">
      <c r="A2628" s="6" t="s">
        <v>50</v>
      </c>
      <c r="B2628" s="6" t="s">
        <v>43</v>
      </c>
      <c r="C2628" s="6" t="s">
        <v>51</v>
      </c>
      <c r="D2628" s="6" t="s">
        <v>115</v>
      </c>
      <c r="E2628" s="6" t="n">
        <v>1</v>
      </c>
      <c r="F2628" s="6" t="n">
        <v>9</v>
      </c>
      <c r="G2628" s="6" t="s">
        <v>76</v>
      </c>
      <c r="H2628" s="11" t="n">
        <v>0.001</v>
      </c>
      <c r="I2628" s="6" t="n">
        <v>20</v>
      </c>
      <c r="J2628" s="6" t="n">
        <v>18</v>
      </c>
      <c r="K2628" s="6" t="n">
        <v>2</v>
      </c>
      <c r="L2628" s="6" t="n">
        <v>0</v>
      </c>
      <c r="M2628" s="6" t="n">
        <v>20</v>
      </c>
      <c r="N2628" s="11" t="n">
        <f aca="false">J2628/(J2628+K2628)</f>
        <v>0.9</v>
      </c>
      <c r="O2628" s="11" t="n">
        <f aca="false">IF(J2628+L2628=0,"",J2628/(J2628+L2628))</f>
        <v>1</v>
      </c>
      <c r="P2628" s="11" t="n">
        <f aca="false">2*J2628/(2*J2628+L2628+K2628)</f>
        <v>0.947368421052632</v>
      </c>
      <c r="Q2628" s="11" t="n">
        <f aca="false">L2628/(L2628+M2628)</f>
        <v>0</v>
      </c>
      <c r="R2628" s="6" t="n">
        <v>18</v>
      </c>
      <c r="S2628" s="11" t="n">
        <v>1</v>
      </c>
      <c r="T2628" s="11" t="n">
        <v>0</v>
      </c>
      <c r="U2628" s="11" t="n">
        <v>0.95</v>
      </c>
      <c r="V2628" s="11" t="n">
        <v>0.1</v>
      </c>
    </row>
    <row r="2629" customFormat="false" ht="15" hidden="false" customHeight="false" outlineLevel="0" collapsed="false">
      <c r="A2629" s="6" t="s">
        <v>50</v>
      </c>
      <c r="B2629" s="6" t="s">
        <v>43</v>
      </c>
      <c r="C2629" s="6" t="s">
        <v>51</v>
      </c>
      <c r="D2629" s="6" t="s">
        <v>115</v>
      </c>
      <c r="E2629" s="6" t="n">
        <v>1</v>
      </c>
      <c r="F2629" s="6" t="n">
        <v>9</v>
      </c>
      <c r="G2629" s="6" t="s">
        <v>77</v>
      </c>
      <c r="H2629" s="11" t="n">
        <v>0.001</v>
      </c>
      <c r="I2629" s="6" t="n">
        <v>20</v>
      </c>
      <c r="J2629" s="6" t="n">
        <v>19</v>
      </c>
      <c r="K2629" s="6" t="n">
        <v>1</v>
      </c>
      <c r="L2629" s="6" t="n">
        <v>0</v>
      </c>
      <c r="M2629" s="6" t="n">
        <v>20</v>
      </c>
      <c r="N2629" s="11" t="n">
        <f aca="false">J2629/(J2629+K2629)</f>
        <v>0.95</v>
      </c>
      <c r="O2629" s="11" t="n">
        <f aca="false">IF(J2629+L2629=0,"",J2629/(J2629+L2629))</f>
        <v>1</v>
      </c>
      <c r="P2629" s="11" t="n">
        <f aca="false">2*J2629/(2*J2629+L2629+K2629)</f>
        <v>0.974358974358974</v>
      </c>
      <c r="Q2629" s="11" t="n">
        <f aca="false">L2629/(L2629+M2629)</f>
        <v>0</v>
      </c>
      <c r="R2629" s="6" t="n">
        <v>19</v>
      </c>
      <c r="S2629" s="11" t="n">
        <v>1</v>
      </c>
      <c r="T2629" s="11" t="n">
        <v>0</v>
      </c>
      <c r="U2629" s="11" t="n">
        <v>1</v>
      </c>
      <c r="V2629" s="11" t="n">
        <v>0.05</v>
      </c>
    </row>
    <row r="2630" customFormat="false" ht="15" hidden="false" customHeight="false" outlineLevel="0" collapsed="false">
      <c r="A2630" s="6" t="s">
        <v>50</v>
      </c>
      <c r="B2630" s="6" t="s">
        <v>43</v>
      </c>
      <c r="C2630" s="6" t="s">
        <v>51</v>
      </c>
      <c r="D2630" s="6" t="s">
        <v>115</v>
      </c>
      <c r="E2630" s="6" t="n">
        <v>1</v>
      </c>
      <c r="F2630" s="6" t="n">
        <v>9</v>
      </c>
      <c r="G2630" s="6" t="s">
        <v>78</v>
      </c>
      <c r="H2630" s="11" t="n">
        <v>0.001</v>
      </c>
      <c r="I2630" s="6" t="n">
        <v>200</v>
      </c>
      <c r="J2630" s="6" t="n">
        <v>192</v>
      </c>
      <c r="K2630" s="6" t="n">
        <v>8</v>
      </c>
      <c r="L2630" s="6" t="n">
        <v>0</v>
      </c>
      <c r="M2630" s="6" t="n">
        <v>200</v>
      </c>
      <c r="N2630" s="11" t="n">
        <f aca="false">J2630/(J2630+K2630)</f>
        <v>0.96</v>
      </c>
      <c r="O2630" s="11" t="n">
        <f aca="false">IF(J2630+L2630=0,"",J2630/(J2630+L2630))</f>
        <v>1</v>
      </c>
      <c r="P2630" s="11" t="n">
        <f aca="false">2*J2630/(2*J2630+L2630+K2630)</f>
        <v>0.979591836734694</v>
      </c>
      <c r="Q2630" s="11" t="n">
        <f aca="false">L2630/(L2630+M2630)</f>
        <v>0</v>
      </c>
      <c r="R2630" s="6" t="n">
        <v>177</v>
      </c>
      <c r="S2630" s="11" t="n">
        <v>1</v>
      </c>
      <c r="T2630" s="11" t="n">
        <v>0.652173913043478</v>
      </c>
      <c r="U2630" s="11" t="n">
        <v>0.88</v>
      </c>
      <c r="V2630" s="11" t="n">
        <v>0.12</v>
      </c>
    </row>
    <row r="2631" customFormat="false" ht="15" hidden="false" customHeight="false" outlineLevel="0" collapsed="false">
      <c r="A2631" s="6" t="s">
        <v>50</v>
      </c>
      <c r="B2631" s="6" t="s">
        <v>43</v>
      </c>
      <c r="C2631" s="6" t="s">
        <v>51</v>
      </c>
      <c r="D2631" s="6" t="s">
        <v>115</v>
      </c>
      <c r="E2631" s="6" t="n">
        <v>1</v>
      </c>
      <c r="F2631" s="6" t="n">
        <v>10</v>
      </c>
      <c r="G2631" s="6" t="s">
        <v>68</v>
      </c>
      <c r="H2631" s="11" t="n">
        <v>0.001</v>
      </c>
      <c r="I2631" s="6" t="n">
        <v>20</v>
      </c>
      <c r="J2631" s="6" t="n">
        <v>0</v>
      </c>
      <c r="K2631" s="6" t="n">
        <v>20</v>
      </c>
      <c r="L2631" s="6" t="n">
        <v>0</v>
      </c>
      <c r="M2631" s="6" t="n">
        <v>20</v>
      </c>
      <c r="N2631" s="11" t="n">
        <f aca="false">J2631/(J2631+K2631)</f>
        <v>0</v>
      </c>
      <c r="O2631" s="11" t="str">
        <f aca="false">IF(J2631+L2631=0,"",J2631/(J2631+L2631))</f>
        <v/>
      </c>
      <c r="P2631" s="11" t="n">
        <f aca="false">2*J2631/(2*J2631+L2631+K2631)</f>
        <v>0</v>
      </c>
      <c r="Q2631" s="11" t="n">
        <f aca="false">L2631/(L2631+M2631)</f>
        <v>0</v>
      </c>
      <c r="R2631" s="6" t="n">
        <v>0</v>
      </c>
      <c r="S2631" s="11"/>
      <c r="T2631" s="11" t="n">
        <v>0</v>
      </c>
      <c r="U2631" s="11" t="n">
        <v>0.85</v>
      </c>
      <c r="V2631" s="11" t="n">
        <v>0.85</v>
      </c>
    </row>
    <row r="2632" customFormat="false" ht="15" hidden="false" customHeight="false" outlineLevel="0" collapsed="false">
      <c r="A2632" s="6" t="s">
        <v>50</v>
      </c>
      <c r="B2632" s="6" t="s">
        <v>43</v>
      </c>
      <c r="C2632" s="6" t="s">
        <v>51</v>
      </c>
      <c r="D2632" s="6" t="s">
        <v>115</v>
      </c>
      <c r="E2632" s="6" t="n">
        <v>1</v>
      </c>
      <c r="F2632" s="6" t="n">
        <v>10</v>
      </c>
      <c r="G2632" s="6" t="s">
        <v>69</v>
      </c>
      <c r="H2632" s="11" t="n">
        <v>0.001</v>
      </c>
      <c r="I2632" s="6" t="n">
        <v>20</v>
      </c>
      <c r="J2632" s="6" t="n">
        <v>0</v>
      </c>
      <c r="K2632" s="6" t="n">
        <v>20</v>
      </c>
      <c r="L2632" s="6" t="n">
        <v>0</v>
      </c>
      <c r="M2632" s="6" t="n">
        <v>20</v>
      </c>
      <c r="N2632" s="11" t="n">
        <f aca="false">J2632/(J2632+K2632)</f>
        <v>0</v>
      </c>
      <c r="O2632" s="11" t="str">
        <f aca="false">IF(J2632+L2632=0,"",J2632/(J2632+L2632))</f>
        <v/>
      </c>
      <c r="P2632" s="11" t="n">
        <f aca="false">2*J2632/(2*J2632+L2632+K2632)</f>
        <v>0</v>
      </c>
      <c r="Q2632" s="11" t="n">
        <f aca="false">L2632/(L2632+M2632)</f>
        <v>0</v>
      </c>
      <c r="R2632" s="6" t="n">
        <v>0</v>
      </c>
      <c r="S2632" s="11"/>
      <c r="T2632" s="11" t="n">
        <v>0</v>
      </c>
      <c r="U2632" s="11" t="n">
        <v>1</v>
      </c>
      <c r="V2632" s="11" t="n">
        <v>1</v>
      </c>
    </row>
    <row r="2633" customFormat="false" ht="15" hidden="false" customHeight="false" outlineLevel="0" collapsed="false">
      <c r="A2633" s="6" t="s">
        <v>50</v>
      </c>
      <c r="B2633" s="6" t="s">
        <v>43</v>
      </c>
      <c r="C2633" s="6" t="s">
        <v>51</v>
      </c>
      <c r="D2633" s="6" t="s">
        <v>115</v>
      </c>
      <c r="E2633" s="6" t="n">
        <v>1</v>
      </c>
      <c r="F2633" s="6" t="n">
        <v>10</v>
      </c>
      <c r="G2633" s="6" t="s">
        <v>70</v>
      </c>
      <c r="H2633" s="11" t="n">
        <v>0.001</v>
      </c>
      <c r="I2633" s="6" t="n">
        <v>20</v>
      </c>
      <c r="J2633" s="6" t="n">
        <v>0</v>
      </c>
      <c r="K2633" s="6" t="n">
        <v>20</v>
      </c>
      <c r="L2633" s="6" t="n">
        <v>0</v>
      </c>
      <c r="M2633" s="6" t="n">
        <v>20</v>
      </c>
      <c r="N2633" s="11" t="n">
        <f aca="false">J2633/(J2633+K2633)</f>
        <v>0</v>
      </c>
      <c r="O2633" s="11" t="str">
        <f aca="false">IF(J2633+L2633=0,"",J2633/(J2633+L2633))</f>
        <v/>
      </c>
      <c r="P2633" s="11" t="n">
        <f aca="false">2*J2633/(2*J2633+L2633+K2633)</f>
        <v>0</v>
      </c>
      <c r="Q2633" s="11" t="n">
        <f aca="false">L2633/(L2633+M2633)</f>
        <v>0</v>
      </c>
      <c r="R2633" s="6" t="n">
        <v>0</v>
      </c>
      <c r="S2633" s="11"/>
      <c r="T2633" s="11" t="n">
        <v>0</v>
      </c>
      <c r="U2633" s="11" t="n">
        <v>0.9</v>
      </c>
      <c r="V2633" s="11" t="n">
        <v>0.9</v>
      </c>
    </row>
    <row r="2634" customFormat="false" ht="15" hidden="false" customHeight="false" outlineLevel="0" collapsed="false">
      <c r="A2634" s="6" t="s">
        <v>50</v>
      </c>
      <c r="B2634" s="6" t="s">
        <v>43</v>
      </c>
      <c r="C2634" s="6" t="s">
        <v>51</v>
      </c>
      <c r="D2634" s="6" t="s">
        <v>115</v>
      </c>
      <c r="E2634" s="6" t="n">
        <v>1</v>
      </c>
      <c r="F2634" s="6" t="n">
        <v>10</v>
      </c>
      <c r="G2634" s="6" t="s">
        <v>71</v>
      </c>
      <c r="H2634" s="11" t="n">
        <v>0.001</v>
      </c>
      <c r="I2634" s="6" t="n">
        <v>20</v>
      </c>
      <c r="J2634" s="6" t="n">
        <v>0</v>
      </c>
      <c r="K2634" s="6" t="n">
        <v>20</v>
      </c>
      <c r="L2634" s="6" t="n">
        <v>0</v>
      </c>
      <c r="M2634" s="6" t="n">
        <v>20</v>
      </c>
      <c r="N2634" s="11" t="n">
        <f aca="false">J2634/(J2634+K2634)</f>
        <v>0</v>
      </c>
      <c r="O2634" s="11" t="str">
        <f aca="false">IF(J2634+L2634=0,"",J2634/(J2634+L2634))</f>
        <v/>
      </c>
      <c r="P2634" s="11" t="n">
        <f aca="false">2*J2634/(2*J2634+L2634+K2634)</f>
        <v>0</v>
      </c>
      <c r="Q2634" s="11" t="n">
        <f aca="false">L2634/(L2634+M2634)</f>
        <v>0</v>
      </c>
      <c r="R2634" s="6" t="n">
        <v>0</v>
      </c>
      <c r="S2634" s="11"/>
      <c r="T2634" s="11" t="n">
        <v>0</v>
      </c>
      <c r="U2634" s="11" t="n">
        <v>0.8</v>
      </c>
      <c r="V2634" s="11" t="n">
        <v>0.8</v>
      </c>
    </row>
    <row r="2635" customFormat="false" ht="15" hidden="false" customHeight="false" outlineLevel="0" collapsed="false">
      <c r="A2635" s="6" t="s">
        <v>50</v>
      </c>
      <c r="B2635" s="6" t="s">
        <v>43</v>
      </c>
      <c r="C2635" s="6" t="s">
        <v>51</v>
      </c>
      <c r="D2635" s="6" t="s">
        <v>115</v>
      </c>
      <c r="E2635" s="6" t="n">
        <v>1</v>
      </c>
      <c r="F2635" s="6" t="n">
        <v>10</v>
      </c>
      <c r="G2635" s="6" t="s">
        <v>72</v>
      </c>
      <c r="H2635" s="11" t="n">
        <v>0.001</v>
      </c>
      <c r="I2635" s="6" t="n">
        <v>20</v>
      </c>
      <c r="J2635" s="6" t="n">
        <v>0</v>
      </c>
      <c r="K2635" s="6" t="n">
        <v>20</v>
      </c>
      <c r="L2635" s="6" t="n">
        <v>0</v>
      </c>
      <c r="M2635" s="6" t="n">
        <v>20</v>
      </c>
      <c r="N2635" s="11" t="n">
        <f aca="false">J2635/(J2635+K2635)</f>
        <v>0</v>
      </c>
      <c r="O2635" s="11" t="str">
        <f aca="false">IF(J2635+L2635=0,"",J2635/(J2635+L2635))</f>
        <v/>
      </c>
      <c r="P2635" s="11" t="n">
        <f aca="false">2*J2635/(2*J2635+L2635+K2635)</f>
        <v>0</v>
      </c>
      <c r="Q2635" s="11" t="n">
        <f aca="false">L2635/(L2635+M2635)</f>
        <v>0</v>
      </c>
      <c r="R2635" s="6" t="n">
        <v>0</v>
      </c>
      <c r="S2635" s="11"/>
      <c r="T2635" s="11" t="n">
        <v>0</v>
      </c>
      <c r="U2635" s="11" t="n">
        <v>0.9</v>
      </c>
      <c r="V2635" s="11" t="n">
        <v>0.9</v>
      </c>
    </row>
    <row r="2636" customFormat="false" ht="15" hidden="false" customHeight="false" outlineLevel="0" collapsed="false">
      <c r="A2636" s="6" t="s">
        <v>50</v>
      </c>
      <c r="B2636" s="6" t="s">
        <v>43</v>
      </c>
      <c r="C2636" s="6" t="s">
        <v>51</v>
      </c>
      <c r="D2636" s="6" t="s">
        <v>115</v>
      </c>
      <c r="E2636" s="6" t="n">
        <v>1</v>
      </c>
      <c r="F2636" s="6" t="n">
        <v>10</v>
      </c>
      <c r="G2636" s="6" t="s">
        <v>73</v>
      </c>
      <c r="H2636" s="11" t="n">
        <v>0.001</v>
      </c>
      <c r="I2636" s="6" t="n">
        <v>20</v>
      </c>
      <c r="J2636" s="6" t="n">
        <v>0</v>
      </c>
      <c r="K2636" s="6" t="n">
        <v>20</v>
      </c>
      <c r="L2636" s="6" t="n">
        <v>0</v>
      </c>
      <c r="M2636" s="6" t="n">
        <v>20</v>
      </c>
      <c r="N2636" s="11" t="n">
        <f aca="false">J2636/(J2636+K2636)</f>
        <v>0</v>
      </c>
      <c r="O2636" s="11" t="str">
        <f aca="false">IF(J2636+L2636=0,"",J2636/(J2636+L2636))</f>
        <v/>
      </c>
      <c r="P2636" s="11" t="n">
        <f aca="false">2*J2636/(2*J2636+L2636+K2636)</f>
        <v>0</v>
      </c>
      <c r="Q2636" s="11" t="n">
        <f aca="false">L2636/(L2636+M2636)</f>
        <v>0</v>
      </c>
      <c r="R2636" s="6" t="n">
        <v>0</v>
      </c>
      <c r="S2636" s="11"/>
      <c r="T2636" s="11" t="n">
        <v>0</v>
      </c>
      <c r="U2636" s="11" t="n">
        <v>0.65</v>
      </c>
      <c r="V2636" s="11" t="n">
        <v>0.65</v>
      </c>
    </row>
    <row r="2637" customFormat="false" ht="15" hidden="false" customHeight="false" outlineLevel="0" collapsed="false">
      <c r="A2637" s="6" t="s">
        <v>50</v>
      </c>
      <c r="B2637" s="6" t="s">
        <v>43</v>
      </c>
      <c r="C2637" s="6" t="s">
        <v>51</v>
      </c>
      <c r="D2637" s="6" t="s">
        <v>115</v>
      </c>
      <c r="E2637" s="6" t="n">
        <v>1</v>
      </c>
      <c r="F2637" s="6" t="n">
        <v>10</v>
      </c>
      <c r="G2637" s="6" t="s">
        <v>74</v>
      </c>
      <c r="H2637" s="11" t="n">
        <v>0.001</v>
      </c>
      <c r="I2637" s="6" t="n">
        <v>20</v>
      </c>
      <c r="J2637" s="6" t="n">
        <v>0</v>
      </c>
      <c r="K2637" s="6" t="n">
        <v>20</v>
      </c>
      <c r="L2637" s="6" t="n">
        <v>0</v>
      </c>
      <c r="M2637" s="6" t="n">
        <v>20</v>
      </c>
      <c r="N2637" s="11" t="n">
        <f aca="false">J2637/(J2637+K2637)</f>
        <v>0</v>
      </c>
      <c r="O2637" s="11" t="str">
        <f aca="false">IF(J2637+L2637=0,"",J2637/(J2637+L2637))</f>
        <v/>
      </c>
      <c r="P2637" s="11" t="n">
        <f aca="false">2*J2637/(2*J2637+L2637+K2637)</f>
        <v>0</v>
      </c>
      <c r="Q2637" s="11" t="n">
        <f aca="false">L2637/(L2637+M2637)</f>
        <v>0</v>
      </c>
      <c r="R2637" s="6" t="n">
        <v>0</v>
      </c>
      <c r="S2637" s="11"/>
      <c r="T2637" s="11" t="n">
        <v>0</v>
      </c>
      <c r="U2637" s="11" t="n">
        <v>0.85</v>
      </c>
      <c r="V2637" s="11" t="n">
        <v>0.85</v>
      </c>
    </row>
    <row r="2638" customFormat="false" ht="15" hidden="false" customHeight="false" outlineLevel="0" collapsed="false">
      <c r="A2638" s="6" t="s">
        <v>50</v>
      </c>
      <c r="B2638" s="6" t="s">
        <v>43</v>
      </c>
      <c r="C2638" s="6" t="s">
        <v>51</v>
      </c>
      <c r="D2638" s="6" t="s">
        <v>115</v>
      </c>
      <c r="E2638" s="6" t="n">
        <v>1</v>
      </c>
      <c r="F2638" s="6" t="n">
        <v>10</v>
      </c>
      <c r="G2638" s="6" t="s">
        <v>75</v>
      </c>
      <c r="H2638" s="11" t="n">
        <v>0.001</v>
      </c>
      <c r="I2638" s="6" t="n">
        <v>20</v>
      </c>
      <c r="J2638" s="6" t="n">
        <v>0</v>
      </c>
      <c r="K2638" s="6" t="n">
        <v>20</v>
      </c>
      <c r="L2638" s="6" t="n">
        <v>0</v>
      </c>
      <c r="M2638" s="6" t="n">
        <v>20</v>
      </c>
      <c r="N2638" s="11" t="n">
        <f aca="false">J2638/(J2638+K2638)</f>
        <v>0</v>
      </c>
      <c r="O2638" s="11" t="str">
        <f aca="false">IF(J2638+L2638=0,"",J2638/(J2638+L2638))</f>
        <v/>
      </c>
      <c r="P2638" s="11" t="n">
        <f aca="false">2*J2638/(2*J2638+L2638+K2638)</f>
        <v>0</v>
      </c>
      <c r="Q2638" s="11" t="n">
        <f aca="false">L2638/(L2638+M2638)</f>
        <v>0</v>
      </c>
      <c r="R2638" s="6" t="n">
        <v>0</v>
      </c>
      <c r="S2638" s="11"/>
      <c r="T2638" s="11" t="n">
        <v>0</v>
      </c>
      <c r="U2638" s="11" t="n">
        <v>0.9</v>
      </c>
      <c r="V2638" s="11" t="n">
        <v>0.9</v>
      </c>
    </row>
    <row r="2639" customFormat="false" ht="15" hidden="false" customHeight="false" outlineLevel="0" collapsed="false">
      <c r="A2639" s="6" t="s">
        <v>50</v>
      </c>
      <c r="B2639" s="6" t="s">
        <v>43</v>
      </c>
      <c r="C2639" s="6" t="s">
        <v>51</v>
      </c>
      <c r="D2639" s="6" t="s">
        <v>115</v>
      </c>
      <c r="E2639" s="6" t="n">
        <v>1</v>
      </c>
      <c r="F2639" s="6" t="n">
        <v>10</v>
      </c>
      <c r="G2639" s="6" t="s">
        <v>76</v>
      </c>
      <c r="H2639" s="11" t="n">
        <v>0.001</v>
      </c>
      <c r="I2639" s="6" t="n">
        <v>20</v>
      </c>
      <c r="J2639" s="6" t="n">
        <v>0</v>
      </c>
      <c r="K2639" s="6" t="n">
        <v>20</v>
      </c>
      <c r="L2639" s="6" t="n">
        <v>0</v>
      </c>
      <c r="M2639" s="6" t="n">
        <v>20</v>
      </c>
      <c r="N2639" s="11" t="n">
        <f aca="false">J2639/(J2639+K2639)</f>
        <v>0</v>
      </c>
      <c r="O2639" s="11" t="str">
        <f aca="false">IF(J2639+L2639=0,"",J2639/(J2639+L2639))</f>
        <v/>
      </c>
      <c r="P2639" s="11" t="n">
        <f aca="false">2*J2639/(2*J2639+L2639+K2639)</f>
        <v>0</v>
      </c>
      <c r="Q2639" s="11" t="n">
        <f aca="false">L2639/(L2639+M2639)</f>
        <v>0</v>
      </c>
      <c r="R2639" s="6" t="n">
        <v>0</v>
      </c>
      <c r="S2639" s="11"/>
      <c r="T2639" s="11" t="n">
        <v>0</v>
      </c>
      <c r="U2639" s="11" t="n">
        <v>0.95</v>
      </c>
      <c r="V2639" s="11" t="n">
        <v>0.95</v>
      </c>
    </row>
    <row r="2640" customFormat="false" ht="15" hidden="false" customHeight="false" outlineLevel="0" collapsed="false">
      <c r="A2640" s="6" t="s">
        <v>50</v>
      </c>
      <c r="B2640" s="6" t="s">
        <v>43</v>
      </c>
      <c r="C2640" s="6" t="s">
        <v>51</v>
      </c>
      <c r="D2640" s="6" t="s">
        <v>115</v>
      </c>
      <c r="E2640" s="6" t="n">
        <v>1</v>
      </c>
      <c r="F2640" s="6" t="n">
        <v>10</v>
      </c>
      <c r="G2640" s="6" t="s">
        <v>77</v>
      </c>
      <c r="H2640" s="11" t="n">
        <v>0.001</v>
      </c>
      <c r="I2640" s="6" t="n">
        <v>20</v>
      </c>
      <c r="J2640" s="6" t="n">
        <v>0</v>
      </c>
      <c r="K2640" s="6" t="n">
        <v>20</v>
      </c>
      <c r="L2640" s="6" t="n">
        <v>0</v>
      </c>
      <c r="M2640" s="6" t="n">
        <v>20</v>
      </c>
      <c r="N2640" s="11" t="n">
        <f aca="false">J2640/(J2640+K2640)</f>
        <v>0</v>
      </c>
      <c r="O2640" s="11" t="str">
        <f aca="false">IF(J2640+L2640=0,"",J2640/(J2640+L2640))</f>
        <v/>
      </c>
      <c r="P2640" s="11" t="n">
        <f aca="false">2*J2640/(2*J2640+L2640+K2640)</f>
        <v>0</v>
      </c>
      <c r="Q2640" s="11" t="n">
        <f aca="false">L2640/(L2640+M2640)</f>
        <v>0</v>
      </c>
      <c r="R2640" s="6" t="n">
        <v>0</v>
      </c>
      <c r="S2640" s="11"/>
      <c r="T2640" s="11" t="n">
        <v>0</v>
      </c>
      <c r="U2640" s="11" t="n">
        <v>1</v>
      </c>
      <c r="V2640" s="11" t="n">
        <v>1</v>
      </c>
    </row>
    <row r="2641" customFormat="false" ht="15" hidden="false" customHeight="false" outlineLevel="0" collapsed="false">
      <c r="A2641" s="6" t="s">
        <v>50</v>
      </c>
      <c r="B2641" s="6" t="s">
        <v>43</v>
      </c>
      <c r="C2641" s="6" t="s">
        <v>51</v>
      </c>
      <c r="D2641" s="6" t="s">
        <v>115</v>
      </c>
      <c r="E2641" s="6" t="n">
        <v>1</v>
      </c>
      <c r="F2641" s="6" t="n">
        <v>10</v>
      </c>
      <c r="G2641" s="6" t="s">
        <v>78</v>
      </c>
      <c r="H2641" s="11" t="n">
        <v>0.001</v>
      </c>
      <c r="I2641" s="6" t="n">
        <v>200</v>
      </c>
      <c r="J2641" s="6" t="n">
        <v>0</v>
      </c>
      <c r="K2641" s="6" t="n">
        <v>200</v>
      </c>
      <c r="L2641" s="6" t="n">
        <v>0</v>
      </c>
      <c r="M2641" s="6" t="n">
        <v>200</v>
      </c>
      <c r="N2641" s="11" t="n">
        <f aca="false">J2641/(J2641+K2641)</f>
        <v>0</v>
      </c>
      <c r="O2641" s="11" t="str">
        <f aca="false">IF(J2641+L2641=0,"",J2641/(J2641+L2641))</f>
        <v/>
      </c>
      <c r="P2641" s="11" t="n">
        <f aca="false">2*J2641/(2*J2641+L2641+K2641)</f>
        <v>0</v>
      </c>
      <c r="Q2641" s="11" t="n">
        <f aca="false">L2641/(L2641+M2641)</f>
        <v>0</v>
      </c>
      <c r="R2641" s="6" t="n">
        <v>0</v>
      </c>
      <c r="S2641" s="11"/>
      <c r="T2641" s="11" t="n">
        <v>0</v>
      </c>
      <c r="U2641" s="11" t="n">
        <v>0.88</v>
      </c>
      <c r="V2641" s="11" t="n">
        <v>0.88</v>
      </c>
    </row>
    <row r="2642" customFormat="false" ht="15" hidden="false" customHeight="false" outlineLevel="0" collapsed="false">
      <c r="A2642" s="6" t="s">
        <v>52</v>
      </c>
      <c r="B2642" s="6" t="s">
        <v>43</v>
      </c>
      <c r="C2642" s="6" t="s">
        <v>51</v>
      </c>
      <c r="D2642" s="6" t="s">
        <v>116</v>
      </c>
      <c r="E2642" s="6" t="n">
        <v>16</v>
      </c>
      <c r="F2642" s="6" t="n">
        <v>1</v>
      </c>
      <c r="G2642" s="6" t="s">
        <v>68</v>
      </c>
      <c r="H2642" s="11" t="n">
        <v>0.001</v>
      </c>
      <c r="I2642" s="6" t="n">
        <v>20</v>
      </c>
      <c r="J2642" s="6" t="n">
        <v>0</v>
      </c>
      <c r="K2642" s="6" t="n">
        <v>20</v>
      </c>
      <c r="L2642" s="6" t="n">
        <v>0</v>
      </c>
      <c r="M2642" s="6" t="n">
        <v>20</v>
      </c>
      <c r="N2642" s="11" t="n">
        <f aca="false">J2642/(J2642+K2642)</f>
        <v>0</v>
      </c>
      <c r="O2642" s="11" t="str">
        <f aca="false">IF(J2642+L2642=0,"",J2642/(J2642+L2642))</f>
        <v/>
      </c>
      <c r="P2642" s="11" t="n">
        <f aca="false">2*J2642/(2*J2642+L2642+K2642)</f>
        <v>0</v>
      </c>
      <c r="Q2642" s="11" t="n">
        <f aca="false">L2642/(L2642+M2642)</f>
        <v>0</v>
      </c>
      <c r="R2642" s="6" t="n">
        <v>0</v>
      </c>
      <c r="S2642" s="11"/>
      <c r="T2642" s="11" t="n">
        <v>0</v>
      </c>
      <c r="U2642" s="11" t="n">
        <v>0.85</v>
      </c>
      <c r="V2642" s="11" t="n">
        <v>0.85</v>
      </c>
    </row>
    <row r="2643" customFormat="false" ht="15" hidden="false" customHeight="false" outlineLevel="0" collapsed="false">
      <c r="A2643" s="6" t="s">
        <v>52</v>
      </c>
      <c r="B2643" s="6" t="s">
        <v>43</v>
      </c>
      <c r="C2643" s="6" t="s">
        <v>51</v>
      </c>
      <c r="D2643" s="6" t="s">
        <v>116</v>
      </c>
      <c r="E2643" s="6" t="n">
        <v>16</v>
      </c>
      <c r="F2643" s="6" t="n">
        <v>1</v>
      </c>
      <c r="G2643" s="6" t="s">
        <v>69</v>
      </c>
      <c r="H2643" s="11" t="n">
        <v>0.001</v>
      </c>
      <c r="I2643" s="6" t="n">
        <v>20</v>
      </c>
      <c r="J2643" s="6" t="n">
        <v>0</v>
      </c>
      <c r="K2643" s="6" t="n">
        <v>20</v>
      </c>
      <c r="L2643" s="6" t="n">
        <v>0</v>
      </c>
      <c r="M2643" s="6" t="n">
        <v>20</v>
      </c>
      <c r="N2643" s="11" t="n">
        <f aca="false">J2643/(J2643+K2643)</f>
        <v>0</v>
      </c>
      <c r="O2643" s="11" t="str">
        <f aca="false">IF(J2643+L2643=0,"",J2643/(J2643+L2643))</f>
        <v/>
      </c>
      <c r="P2643" s="11" t="n">
        <f aca="false">2*J2643/(2*J2643+L2643+K2643)</f>
        <v>0</v>
      </c>
      <c r="Q2643" s="11" t="n">
        <f aca="false">L2643/(L2643+M2643)</f>
        <v>0</v>
      </c>
      <c r="R2643" s="6" t="n">
        <v>0</v>
      </c>
      <c r="S2643" s="11"/>
      <c r="T2643" s="11" t="n">
        <v>0</v>
      </c>
      <c r="U2643" s="11" t="n">
        <v>1</v>
      </c>
      <c r="V2643" s="11" t="n">
        <v>1</v>
      </c>
    </row>
    <row r="2644" customFormat="false" ht="15" hidden="false" customHeight="false" outlineLevel="0" collapsed="false">
      <c r="A2644" s="6" t="s">
        <v>52</v>
      </c>
      <c r="B2644" s="6" t="s">
        <v>43</v>
      </c>
      <c r="C2644" s="6" t="s">
        <v>51</v>
      </c>
      <c r="D2644" s="6" t="s">
        <v>116</v>
      </c>
      <c r="E2644" s="6" t="n">
        <v>16</v>
      </c>
      <c r="F2644" s="6" t="n">
        <v>1</v>
      </c>
      <c r="G2644" s="6" t="s">
        <v>70</v>
      </c>
      <c r="H2644" s="11" t="n">
        <v>0.001</v>
      </c>
      <c r="I2644" s="6" t="n">
        <v>20</v>
      </c>
      <c r="J2644" s="6" t="n">
        <v>0</v>
      </c>
      <c r="K2644" s="6" t="n">
        <v>20</v>
      </c>
      <c r="L2644" s="6" t="n">
        <v>0</v>
      </c>
      <c r="M2644" s="6" t="n">
        <v>20</v>
      </c>
      <c r="N2644" s="11" t="n">
        <f aca="false">J2644/(J2644+K2644)</f>
        <v>0</v>
      </c>
      <c r="O2644" s="11" t="str">
        <f aca="false">IF(J2644+L2644=0,"",J2644/(J2644+L2644))</f>
        <v/>
      </c>
      <c r="P2644" s="11" t="n">
        <f aca="false">2*J2644/(2*J2644+L2644+K2644)</f>
        <v>0</v>
      </c>
      <c r="Q2644" s="11" t="n">
        <f aca="false">L2644/(L2644+M2644)</f>
        <v>0</v>
      </c>
      <c r="R2644" s="6" t="n">
        <v>0</v>
      </c>
      <c r="S2644" s="11"/>
      <c r="T2644" s="11" t="n">
        <v>0</v>
      </c>
      <c r="U2644" s="11" t="n">
        <v>0.9</v>
      </c>
      <c r="V2644" s="11" t="n">
        <v>0.9</v>
      </c>
    </row>
    <row r="2645" customFormat="false" ht="15" hidden="false" customHeight="false" outlineLevel="0" collapsed="false">
      <c r="A2645" s="6" t="s">
        <v>52</v>
      </c>
      <c r="B2645" s="6" t="s">
        <v>43</v>
      </c>
      <c r="C2645" s="6" t="s">
        <v>51</v>
      </c>
      <c r="D2645" s="6" t="s">
        <v>116</v>
      </c>
      <c r="E2645" s="6" t="n">
        <v>16</v>
      </c>
      <c r="F2645" s="6" t="n">
        <v>1</v>
      </c>
      <c r="G2645" s="6" t="s">
        <v>71</v>
      </c>
      <c r="H2645" s="11" t="n">
        <v>0.001</v>
      </c>
      <c r="I2645" s="6" t="n">
        <v>20</v>
      </c>
      <c r="J2645" s="6" t="n">
        <v>0</v>
      </c>
      <c r="K2645" s="6" t="n">
        <v>20</v>
      </c>
      <c r="L2645" s="6" t="n">
        <v>0</v>
      </c>
      <c r="M2645" s="6" t="n">
        <v>20</v>
      </c>
      <c r="N2645" s="11" t="n">
        <f aca="false">J2645/(J2645+K2645)</f>
        <v>0</v>
      </c>
      <c r="O2645" s="11" t="str">
        <f aca="false">IF(J2645+L2645=0,"",J2645/(J2645+L2645))</f>
        <v/>
      </c>
      <c r="P2645" s="11" t="n">
        <f aca="false">2*J2645/(2*J2645+L2645+K2645)</f>
        <v>0</v>
      </c>
      <c r="Q2645" s="11" t="n">
        <f aca="false">L2645/(L2645+M2645)</f>
        <v>0</v>
      </c>
      <c r="R2645" s="6" t="n">
        <v>0</v>
      </c>
      <c r="S2645" s="11"/>
      <c r="T2645" s="11" t="n">
        <v>0</v>
      </c>
      <c r="U2645" s="11" t="n">
        <v>0.8</v>
      </c>
      <c r="V2645" s="11" t="n">
        <v>0.8</v>
      </c>
    </row>
    <row r="2646" customFormat="false" ht="15" hidden="false" customHeight="false" outlineLevel="0" collapsed="false">
      <c r="A2646" s="6" t="s">
        <v>52</v>
      </c>
      <c r="B2646" s="6" t="s">
        <v>43</v>
      </c>
      <c r="C2646" s="6" t="s">
        <v>51</v>
      </c>
      <c r="D2646" s="6" t="s">
        <v>116</v>
      </c>
      <c r="E2646" s="6" t="n">
        <v>16</v>
      </c>
      <c r="F2646" s="6" t="n">
        <v>1</v>
      </c>
      <c r="G2646" s="6" t="s">
        <v>72</v>
      </c>
      <c r="H2646" s="11" t="n">
        <v>0.001</v>
      </c>
      <c r="I2646" s="6" t="n">
        <v>20</v>
      </c>
      <c r="J2646" s="6" t="n">
        <v>0</v>
      </c>
      <c r="K2646" s="6" t="n">
        <v>20</v>
      </c>
      <c r="L2646" s="6" t="n">
        <v>0</v>
      </c>
      <c r="M2646" s="6" t="n">
        <v>20</v>
      </c>
      <c r="N2646" s="11" t="n">
        <f aca="false">J2646/(J2646+K2646)</f>
        <v>0</v>
      </c>
      <c r="O2646" s="11" t="str">
        <f aca="false">IF(J2646+L2646=0,"",J2646/(J2646+L2646))</f>
        <v/>
      </c>
      <c r="P2646" s="11" t="n">
        <f aca="false">2*J2646/(2*J2646+L2646+K2646)</f>
        <v>0</v>
      </c>
      <c r="Q2646" s="11" t="n">
        <f aca="false">L2646/(L2646+M2646)</f>
        <v>0</v>
      </c>
      <c r="R2646" s="6" t="n">
        <v>0</v>
      </c>
      <c r="S2646" s="11"/>
      <c r="T2646" s="11" t="n">
        <v>0</v>
      </c>
      <c r="U2646" s="11" t="n">
        <v>0.9</v>
      </c>
      <c r="V2646" s="11" t="n">
        <v>0.9</v>
      </c>
    </row>
    <row r="2647" customFormat="false" ht="15" hidden="false" customHeight="false" outlineLevel="0" collapsed="false">
      <c r="A2647" s="6" t="s">
        <v>52</v>
      </c>
      <c r="B2647" s="6" t="s">
        <v>43</v>
      </c>
      <c r="C2647" s="6" t="s">
        <v>51</v>
      </c>
      <c r="D2647" s="6" t="s">
        <v>116</v>
      </c>
      <c r="E2647" s="6" t="n">
        <v>16</v>
      </c>
      <c r="F2647" s="6" t="n">
        <v>1</v>
      </c>
      <c r="G2647" s="6" t="s">
        <v>73</v>
      </c>
      <c r="H2647" s="11" t="n">
        <v>0.001</v>
      </c>
      <c r="I2647" s="6" t="n">
        <v>20</v>
      </c>
      <c r="J2647" s="6" t="n">
        <v>0</v>
      </c>
      <c r="K2647" s="6" t="n">
        <v>20</v>
      </c>
      <c r="L2647" s="6" t="n">
        <v>0</v>
      </c>
      <c r="M2647" s="6" t="n">
        <v>20</v>
      </c>
      <c r="N2647" s="11" t="n">
        <f aca="false">J2647/(J2647+K2647)</f>
        <v>0</v>
      </c>
      <c r="O2647" s="11" t="str">
        <f aca="false">IF(J2647+L2647=0,"",J2647/(J2647+L2647))</f>
        <v/>
      </c>
      <c r="P2647" s="11" t="n">
        <f aca="false">2*J2647/(2*J2647+L2647+K2647)</f>
        <v>0</v>
      </c>
      <c r="Q2647" s="11" t="n">
        <f aca="false">L2647/(L2647+M2647)</f>
        <v>0</v>
      </c>
      <c r="R2647" s="6" t="n">
        <v>1</v>
      </c>
      <c r="S2647" s="11" t="n">
        <v>0</v>
      </c>
      <c r="T2647" s="11" t="n">
        <v>0</v>
      </c>
      <c r="U2647" s="11" t="n">
        <v>0.65</v>
      </c>
      <c r="V2647" s="11" t="n">
        <v>0.65</v>
      </c>
    </row>
    <row r="2648" customFormat="false" ht="15" hidden="false" customHeight="false" outlineLevel="0" collapsed="false">
      <c r="A2648" s="6" t="s">
        <v>52</v>
      </c>
      <c r="B2648" s="6" t="s">
        <v>43</v>
      </c>
      <c r="C2648" s="6" t="s">
        <v>51</v>
      </c>
      <c r="D2648" s="6" t="s">
        <v>116</v>
      </c>
      <c r="E2648" s="6" t="n">
        <v>16</v>
      </c>
      <c r="F2648" s="6" t="n">
        <v>1</v>
      </c>
      <c r="G2648" s="6" t="s">
        <v>74</v>
      </c>
      <c r="H2648" s="11" t="n">
        <v>0.001</v>
      </c>
      <c r="I2648" s="6" t="n">
        <v>20</v>
      </c>
      <c r="J2648" s="6" t="n">
        <v>0</v>
      </c>
      <c r="K2648" s="6" t="n">
        <v>20</v>
      </c>
      <c r="L2648" s="6" t="n">
        <v>0</v>
      </c>
      <c r="M2648" s="6" t="n">
        <v>20</v>
      </c>
      <c r="N2648" s="11" t="n">
        <f aca="false">J2648/(J2648+K2648)</f>
        <v>0</v>
      </c>
      <c r="O2648" s="11" t="str">
        <f aca="false">IF(J2648+L2648=0,"",J2648/(J2648+L2648))</f>
        <v/>
      </c>
      <c r="P2648" s="11" t="n">
        <f aca="false">2*J2648/(2*J2648+L2648+K2648)</f>
        <v>0</v>
      </c>
      <c r="Q2648" s="11" t="n">
        <f aca="false">L2648/(L2648+M2648)</f>
        <v>0</v>
      </c>
      <c r="R2648" s="6" t="n">
        <v>3</v>
      </c>
      <c r="S2648" s="11" t="n">
        <v>0</v>
      </c>
      <c r="T2648" s="11" t="n">
        <v>0</v>
      </c>
      <c r="U2648" s="11" t="n">
        <v>0.85</v>
      </c>
      <c r="V2648" s="11" t="n">
        <v>0.95</v>
      </c>
    </row>
    <row r="2649" customFormat="false" ht="15" hidden="false" customHeight="false" outlineLevel="0" collapsed="false">
      <c r="A2649" s="6" t="s">
        <v>52</v>
      </c>
      <c r="B2649" s="6" t="s">
        <v>43</v>
      </c>
      <c r="C2649" s="6" t="s">
        <v>51</v>
      </c>
      <c r="D2649" s="6" t="s">
        <v>116</v>
      </c>
      <c r="E2649" s="6" t="n">
        <v>16</v>
      </c>
      <c r="F2649" s="6" t="n">
        <v>1</v>
      </c>
      <c r="G2649" s="6" t="s">
        <v>75</v>
      </c>
      <c r="H2649" s="11" t="n">
        <v>0.001</v>
      </c>
      <c r="I2649" s="6" t="n">
        <v>20</v>
      </c>
      <c r="J2649" s="6" t="n">
        <v>0</v>
      </c>
      <c r="K2649" s="6" t="n">
        <v>20</v>
      </c>
      <c r="L2649" s="6" t="n">
        <v>0</v>
      </c>
      <c r="M2649" s="6" t="n">
        <v>20</v>
      </c>
      <c r="N2649" s="11" t="n">
        <f aca="false">J2649/(J2649+K2649)</f>
        <v>0</v>
      </c>
      <c r="O2649" s="11" t="str">
        <f aca="false">IF(J2649+L2649=0,"",J2649/(J2649+L2649))</f>
        <v/>
      </c>
      <c r="P2649" s="11" t="n">
        <f aca="false">2*J2649/(2*J2649+L2649+K2649)</f>
        <v>0</v>
      </c>
      <c r="Q2649" s="11" t="n">
        <f aca="false">L2649/(L2649+M2649)</f>
        <v>0</v>
      </c>
      <c r="R2649" s="6" t="n">
        <v>0</v>
      </c>
      <c r="S2649" s="11"/>
      <c r="T2649" s="11" t="n">
        <v>0</v>
      </c>
      <c r="U2649" s="11" t="n">
        <v>0.9</v>
      </c>
      <c r="V2649" s="11" t="n">
        <v>0.9</v>
      </c>
    </row>
    <row r="2650" customFormat="false" ht="15" hidden="false" customHeight="false" outlineLevel="0" collapsed="false">
      <c r="A2650" s="6" t="s">
        <v>52</v>
      </c>
      <c r="B2650" s="6" t="s">
        <v>43</v>
      </c>
      <c r="C2650" s="6" t="s">
        <v>51</v>
      </c>
      <c r="D2650" s="6" t="s">
        <v>116</v>
      </c>
      <c r="E2650" s="6" t="n">
        <v>16</v>
      </c>
      <c r="F2650" s="6" t="n">
        <v>1</v>
      </c>
      <c r="G2650" s="6" t="s">
        <v>76</v>
      </c>
      <c r="H2650" s="11" t="n">
        <v>0.001</v>
      </c>
      <c r="I2650" s="6" t="n">
        <v>20</v>
      </c>
      <c r="J2650" s="6" t="n">
        <v>0</v>
      </c>
      <c r="K2650" s="6" t="n">
        <v>20</v>
      </c>
      <c r="L2650" s="6" t="n">
        <v>0</v>
      </c>
      <c r="M2650" s="6" t="n">
        <v>20</v>
      </c>
      <c r="N2650" s="11" t="n">
        <f aca="false">J2650/(J2650+K2650)</f>
        <v>0</v>
      </c>
      <c r="O2650" s="11" t="str">
        <f aca="false">IF(J2650+L2650=0,"",J2650/(J2650+L2650))</f>
        <v/>
      </c>
      <c r="P2650" s="11" t="n">
        <f aca="false">2*J2650/(2*J2650+L2650+K2650)</f>
        <v>0</v>
      </c>
      <c r="Q2650" s="11" t="n">
        <f aca="false">L2650/(L2650+M2650)</f>
        <v>0</v>
      </c>
      <c r="R2650" s="6" t="n">
        <v>0</v>
      </c>
      <c r="S2650" s="11"/>
      <c r="T2650" s="11" t="n">
        <v>0</v>
      </c>
      <c r="U2650" s="11" t="n">
        <v>0.95</v>
      </c>
      <c r="V2650" s="11" t="n">
        <v>0.95</v>
      </c>
    </row>
    <row r="2651" customFormat="false" ht="15" hidden="false" customHeight="false" outlineLevel="0" collapsed="false">
      <c r="A2651" s="6" t="s">
        <v>52</v>
      </c>
      <c r="B2651" s="6" t="s">
        <v>43</v>
      </c>
      <c r="C2651" s="6" t="s">
        <v>51</v>
      </c>
      <c r="D2651" s="6" t="s">
        <v>116</v>
      </c>
      <c r="E2651" s="6" t="n">
        <v>16</v>
      </c>
      <c r="F2651" s="6" t="n">
        <v>1</v>
      </c>
      <c r="G2651" s="6" t="s">
        <v>77</v>
      </c>
      <c r="H2651" s="11" t="n">
        <v>0.001</v>
      </c>
      <c r="I2651" s="6" t="n">
        <v>20</v>
      </c>
      <c r="J2651" s="6" t="n">
        <v>0</v>
      </c>
      <c r="K2651" s="6" t="n">
        <v>20</v>
      </c>
      <c r="L2651" s="6" t="n">
        <v>0</v>
      </c>
      <c r="M2651" s="6" t="n">
        <v>20</v>
      </c>
      <c r="N2651" s="11" t="n">
        <f aca="false">J2651/(J2651+K2651)</f>
        <v>0</v>
      </c>
      <c r="O2651" s="11" t="str">
        <f aca="false">IF(J2651+L2651=0,"",J2651/(J2651+L2651))</f>
        <v/>
      </c>
      <c r="P2651" s="11" t="n">
        <f aca="false">2*J2651/(2*J2651+L2651+K2651)</f>
        <v>0</v>
      </c>
      <c r="Q2651" s="11" t="n">
        <f aca="false">L2651/(L2651+M2651)</f>
        <v>0</v>
      </c>
      <c r="R2651" s="6" t="n">
        <v>0</v>
      </c>
      <c r="S2651" s="11"/>
      <c r="T2651" s="11" t="n">
        <v>0</v>
      </c>
      <c r="U2651" s="11" t="n">
        <v>1</v>
      </c>
      <c r="V2651" s="11" t="n">
        <v>1</v>
      </c>
    </row>
    <row r="2652" customFormat="false" ht="15" hidden="false" customHeight="false" outlineLevel="0" collapsed="false">
      <c r="A2652" s="6" t="s">
        <v>52</v>
      </c>
      <c r="B2652" s="6" t="s">
        <v>43</v>
      </c>
      <c r="C2652" s="6" t="s">
        <v>51</v>
      </c>
      <c r="D2652" s="6" t="s">
        <v>116</v>
      </c>
      <c r="E2652" s="6" t="n">
        <v>16</v>
      </c>
      <c r="F2652" s="6" t="n">
        <v>1</v>
      </c>
      <c r="G2652" s="6" t="s">
        <v>78</v>
      </c>
      <c r="H2652" s="11" t="n">
        <v>0.001</v>
      </c>
      <c r="I2652" s="6" t="n">
        <v>200</v>
      </c>
      <c r="J2652" s="6" t="n">
        <v>0</v>
      </c>
      <c r="K2652" s="6" t="n">
        <v>200</v>
      </c>
      <c r="L2652" s="6" t="n">
        <v>0</v>
      </c>
      <c r="M2652" s="6" t="n">
        <v>200</v>
      </c>
      <c r="N2652" s="11" t="n">
        <f aca="false">J2652/(J2652+K2652)</f>
        <v>0</v>
      </c>
      <c r="O2652" s="11" t="str">
        <f aca="false">IF(J2652+L2652=0,"",J2652/(J2652+L2652))</f>
        <v/>
      </c>
      <c r="P2652" s="11" t="n">
        <f aca="false">2*J2652/(2*J2652+L2652+K2652)</f>
        <v>0</v>
      </c>
      <c r="Q2652" s="11" t="n">
        <f aca="false">L2652/(L2652+M2652)</f>
        <v>0</v>
      </c>
      <c r="R2652" s="6" t="n">
        <v>4</v>
      </c>
      <c r="S2652" s="11" t="n">
        <v>0</v>
      </c>
      <c r="T2652" s="11" t="n">
        <v>0</v>
      </c>
      <c r="U2652" s="11" t="n">
        <v>0.88</v>
      </c>
      <c r="V2652" s="11" t="n">
        <v>0.89</v>
      </c>
    </row>
    <row r="2653" customFormat="false" ht="15" hidden="false" customHeight="false" outlineLevel="0" collapsed="false">
      <c r="A2653" s="6" t="s">
        <v>52</v>
      </c>
      <c r="B2653" s="6" t="s">
        <v>43</v>
      </c>
      <c r="C2653" s="6" t="s">
        <v>51</v>
      </c>
      <c r="D2653" s="6" t="s">
        <v>116</v>
      </c>
      <c r="E2653" s="6" t="n">
        <v>16</v>
      </c>
      <c r="F2653" s="6" t="n">
        <v>2</v>
      </c>
      <c r="G2653" s="6" t="s">
        <v>68</v>
      </c>
      <c r="H2653" s="11" t="n">
        <v>0.001</v>
      </c>
      <c r="I2653" s="6" t="n">
        <v>20</v>
      </c>
      <c r="J2653" s="6" t="n">
        <v>0</v>
      </c>
      <c r="K2653" s="6" t="n">
        <v>20</v>
      </c>
      <c r="L2653" s="6" t="n">
        <v>0</v>
      </c>
      <c r="M2653" s="6" t="n">
        <v>20</v>
      </c>
      <c r="N2653" s="11" t="n">
        <f aca="false">J2653/(J2653+K2653)</f>
        <v>0</v>
      </c>
      <c r="O2653" s="11" t="str">
        <f aca="false">IF(J2653+L2653=0,"",J2653/(J2653+L2653))</f>
        <v/>
      </c>
      <c r="P2653" s="11" t="n">
        <f aca="false">2*J2653/(2*J2653+L2653+K2653)</f>
        <v>0</v>
      </c>
      <c r="Q2653" s="11" t="n">
        <f aca="false">L2653/(L2653+M2653)</f>
        <v>0</v>
      </c>
      <c r="R2653" s="6" t="n">
        <v>0</v>
      </c>
      <c r="S2653" s="11"/>
      <c r="T2653" s="11" t="n">
        <v>0</v>
      </c>
      <c r="U2653" s="11" t="n">
        <v>0.85</v>
      </c>
      <c r="V2653" s="11" t="n">
        <v>0.85</v>
      </c>
    </row>
    <row r="2654" customFormat="false" ht="15" hidden="false" customHeight="false" outlineLevel="0" collapsed="false">
      <c r="A2654" s="6" t="s">
        <v>52</v>
      </c>
      <c r="B2654" s="6" t="s">
        <v>43</v>
      </c>
      <c r="C2654" s="6" t="s">
        <v>51</v>
      </c>
      <c r="D2654" s="6" t="s">
        <v>116</v>
      </c>
      <c r="E2654" s="6" t="n">
        <v>16</v>
      </c>
      <c r="F2654" s="6" t="n">
        <v>2</v>
      </c>
      <c r="G2654" s="6" t="s">
        <v>69</v>
      </c>
      <c r="H2654" s="11" t="n">
        <v>0.001</v>
      </c>
      <c r="I2654" s="6" t="n">
        <v>20</v>
      </c>
      <c r="J2654" s="6" t="n">
        <v>0</v>
      </c>
      <c r="K2654" s="6" t="n">
        <v>20</v>
      </c>
      <c r="L2654" s="6" t="n">
        <v>0</v>
      </c>
      <c r="M2654" s="6" t="n">
        <v>20</v>
      </c>
      <c r="N2654" s="11" t="n">
        <f aca="false">J2654/(J2654+K2654)</f>
        <v>0</v>
      </c>
      <c r="O2654" s="11" t="str">
        <f aca="false">IF(J2654+L2654=0,"",J2654/(J2654+L2654))</f>
        <v/>
      </c>
      <c r="P2654" s="11" t="n">
        <f aca="false">2*J2654/(2*J2654+L2654+K2654)</f>
        <v>0</v>
      </c>
      <c r="Q2654" s="11" t="n">
        <f aca="false">L2654/(L2654+M2654)</f>
        <v>0</v>
      </c>
      <c r="R2654" s="6" t="n">
        <v>0</v>
      </c>
      <c r="S2654" s="11"/>
      <c r="T2654" s="11" t="n">
        <v>0</v>
      </c>
      <c r="U2654" s="11" t="n">
        <v>1</v>
      </c>
      <c r="V2654" s="11" t="n">
        <v>1</v>
      </c>
    </row>
    <row r="2655" customFormat="false" ht="15" hidden="false" customHeight="false" outlineLevel="0" collapsed="false">
      <c r="A2655" s="6" t="s">
        <v>52</v>
      </c>
      <c r="B2655" s="6" t="s">
        <v>43</v>
      </c>
      <c r="C2655" s="6" t="s">
        <v>51</v>
      </c>
      <c r="D2655" s="6" t="s">
        <v>116</v>
      </c>
      <c r="E2655" s="6" t="n">
        <v>16</v>
      </c>
      <c r="F2655" s="6" t="n">
        <v>2</v>
      </c>
      <c r="G2655" s="6" t="s">
        <v>70</v>
      </c>
      <c r="H2655" s="11" t="n">
        <v>0.001</v>
      </c>
      <c r="I2655" s="6" t="n">
        <v>20</v>
      </c>
      <c r="J2655" s="6" t="n">
        <v>0</v>
      </c>
      <c r="K2655" s="6" t="n">
        <v>20</v>
      </c>
      <c r="L2655" s="6" t="n">
        <v>0</v>
      </c>
      <c r="M2655" s="6" t="n">
        <v>20</v>
      </c>
      <c r="N2655" s="11" t="n">
        <f aca="false">J2655/(J2655+K2655)</f>
        <v>0</v>
      </c>
      <c r="O2655" s="11" t="str">
        <f aca="false">IF(J2655+L2655=0,"",J2655/(J2655+L2655))</f>
        <v/>
      </c>
      <c r="P2655" s="11" t="n">
        <f aca="false">2*J2655/(2*J2655+L2655+K2655)</f>
        <v>0</v>
      </c>
      <c r="Q2655" s="11" t="n">
        <f aca="false">L2655/(L2655+M2655)</f>
        <v>0</v>
      </c>
      <c r="R2655" s="6" t="n">
        <v>0</v>
      </c>
      <c r="S2655" s="11"/>
      <c r="T2655" s="11" t="n">
        <v>0</v>
      </c>
      <c r="U2655" s="11" t="n">
        <v>0.9</v>
      </c>
      <c r="V2655" s="11" t="n">
        <v>0.9</v>
      </c>
    </row>
    <row r="2656" customFormat="false" ht="15" hidden="false" customHeight="false" outlineLevel="0" collapsed="false">
      <c r="A2656" s="6" t="s">
        <v>52</v>
      </c>
      <c r="B2656" s="6" t="s">
        <v>43</v>
      </c>
      <c r="C2656" s="6" t="s">
        <v>51</v>
      </c>
      <c r="D2656" s="6" t="s">
        <v>116</v>
      </c>
      <c r="E2656" s="6" t="n">
        <v>16</v>
      </c>
      <c r="F2656" s="6" t="n">
        <v>2</v>
      </c>
      <c r="G2656" s="6" t="s">
        <v>71</v>
      </c>
      <c r="H2656" s="11" t="n">
        <v>0.001</v>
      </c>
      <c r="I2656" s="6" t="n">
        <v>20</v>
      </c>
      <c r="J2656" s="6" t="n">
        <v>0</v>
      </c>
      <c r="K2656" s="6" t="n">
        <v>20</v>
      </c>
      <c r="L2656" s="6" t="n">
        <v>0</v>
      </c>
      <c r="M2656" s="6" t="n">
        <v>20</v>
      </c>
      <c r="N2656" s="11" t="n">
        <f aca="false">J2656/(J2656+K2656)</f>
        <v>0</v>
      </c>
      <c r="O2656" s="11" t="str">
        <f aca="false">IF(J2656+L2656=0,"",J2656/(J2656+L2656))</f>
        <v/>
      </c>
      <c r="P2656" s="11" t="n">
        <f aca="false">2*J2656/(2*J2656+L2656+K2656)</f>
        <v>0</v>
      </c>
      <c r="Q2656" s="11" t="n">
        <f aca="false">L2656/(L2656+M2656)</f>
        <v>0</v>
      </c>
      <c r="R2656" s="6" t="n">
        <v>0</v>
      </c>
      <c r="S2656" s="11"/>
      <c r="T2656" s="11" t="n">
        <v>0</v>
      </c>
      <c r="U2656" s="11" t="n">
        <v>0.8</v>
      </c>
      <c r="V2656" s="11" t="n">
        <v>0.8</v>
      </c>
    </row>
    <row r="2657" customFormat="false" ht="15" hidden="false" customHeight="false" outlineLevel="0" collapsed="false">
      <c r="A2657" s="6" t="s">
        <v>52</v>
      </c>
      <c r="B2657" s="6" t="s">
        <v>43</v>
      </c>
      <c r="C2657" s="6" t="s">
        <v>51</v>
      </c>
      <c r="D2657" s="6" t="s">
        <v>116</v>
      </c>
      <c r="E2657" s="6" t="n">
        <v>16</v>
      </c>
      <c r="F2657" s="6" t="n">
        <v>2</v>
      </c>
      <c r="G2657" s="6" t="s">
        <v>72</v>
      </c>
      <c r="H2657" s="11" t="n">
        <v>0.001</v>
      </c>
      <c r="I2657" s="6" t="n">
        <v>20</v>
      </c>
      <c r="J2657" s="6" t="n">
        <v>0</v>
      </c>
      <c r="K2657" s="6" t="n">
        <v>20</v>
      </c>
      <c r="L2657" s="6" t="n">
        <v>0</v>
      </c>
      <c r="M2657" s="6" t="n">
        <v>20</v>
      </c>
      <c r="N2657" s="11" t="n">
        <f aca="false">J2657/(J2657+K2657)</f>
        <v>0</v>
      </c>
      <c r="O2657" s="11" t="str">
        <f aca="false">IF(J2657+L2657=0,"",J2657/(J2657+L2657))</f>
        <v/>
      </c>
      <c r="P2657" s="11" t="n">
        <f aca="false">2*J2657/(2*J2657+L2657+K2657)</f>
        <v>0</v>
      </c>
      <c r="Q2657" s="11" t="n">
        <f aca="false">L2657/(L2657+M2657)</f>
        <v>0</v>
      </c>
      <c r="R2657" s="6" t="n">
        <v>0</v>
      </c>
      <c r="S2657" s="11"/>
      <c r="T2657" s="11" t="n">
        <v>0</v>
      </c>
      <c r="U2657" s="11" t="n">
        <v>0.9</v>
      </c>
      <c r="V2657" s="11" t="n">
        <v>0.9</v>
      </c>
    </row>
    <row r="2658" customFormat="false" ht="15" hidden="false" customHeight="false" outlineLevel="0" collapsed="false">
      <c r="A2658" s="6" t="s">
        <v>52</v>
      </c>
      <c r="B2658" s="6" t="s">
        <v>43</v>
      </c>
      <c r="C2658" s="6" t="s">
        <v>51</v>
      </c>
      <c r="D2658" s="6" t="s">
        <v>116</v>
      </c>
      <c r="E2658" s="6" t="n">
        <v>16</v>
      </c>
      <c r="F2658" s="6" t="n">
        <v>2</v>
      </c>
      <c r="G2658" s="6" t="s">
        <v>73</v>
      </c>
      <c r="H2658" s="11" t="n">
        <v>0.001</v>
      </c>
      <c r="I2658" s="6" t="n">
        <v>20</v>
      </c>
      <c r="J2658" s="6" t="n">
        <v>0</v>
      </c>
      <c r="K2658" s="6" t="n">
        <v>20</v>
      </c>
      <c r="L2658" s="6" t="n">
        <v>0</v>
      </c>
      <c r="M2658" s="6" t="n">
        <v>20</v>
      </c>
      <c r="N2658" s="11" t="n">
        <f aca="false">J2658/(J2658+K2658)</f>
        <v>0</v>
      </c>
      <c r="O2658" s="11" t="str">
        <f aca="false">IF(J2658+L2658=0,"",J2658/(J2658+L2658))</f>
        <v/>
      </c>
      <c r="P2658" s="11" t="n">
        <f aca="false">2*J2658/(2*J2658+L2658+K2658)</f>
        <v>0</v>
      </c>
      <c r="Q2658" s="11" t="n">
        <f aca="false">L2658/(L2658+M2658)</f>
        <v>0</v>
      </c>
      <c r="R2658" s="6" t="n">
        <v>1</v>
      </c>
      <c r="S2658" s="11" t="n">
        <v>0</v>
      </c>
      <c r="T2658" s="11" t="n">
        <v>0</v>
      </c>
      <c r="U2658" s="11" t="n">
        <v>0.65</v>
      </c>
      <c r="V2658" s="11" t="n">
        <v>0.65</v>
      </c>
    </row>
    <row r="2659" customFormat="false" ht="15" hidden="false" customHeight="false" outlineLevel="0" collapsed="false">
      <c r="A2659" s="6" t="s">
        <v>52</v>
      </c>
      <c r="B2659" s="6" t="s">
        <v>43</v>
      </c>
      <c r="C2659" s="6" t="s">
        <v>51</v>
      </c>
      <c r="D2659" s="6" t="s">
        <v>116</v>
      </c>
      <c r="E2659" s="6" t="n">
        <v>16</v>
      </c>
      <c r="F2659" s="6" t="n">
        <v>2</v>
      </c>
      <c r="G2659" s="6" t="s">
        <v>74</v>
      </c>
      <c r="H2659" s="11" t="n">
        <v>0.001</v>
      </c>
      <c r="I2659" s="6" t="n">
        <v>20</v>
      </c>
      <c r="J2659" s="6" t="n">
        <v>0</v>
      </c>
      <c r="K2659" s="6" t="n">
        <v>20</v>
      </c>
      <c r="L2659" s="6" t="n">
        <v>0</v>
      </c>
      <c r="M2659" s="6" t="n">
        <v>20</v>
      </c>
      <c r="N2659" s="11" t="n">
        <f aca="false">J2659/(J2659+K2659)</f>
        <v>0</v>
      </c>
      <c r="O2659" s="11" t="str">
        <f aca="false">IF(J2659+L2659=0,"",J2659/(J2659+L2659))</f>
        <v/>
      </c>
      <c r="P2659" s="11" t="n">
        <f aca="false">2*J2659/(2*J2659+L2659+K2659)</f>
        <v>0</v>
      </c>
      <c r="Q2659" s="11" t="n">
        <f aca="false">L2659/(L2659+M2659)</f>
        <v>0</v>
      </c>
      <c r="R2659" s="6" t="n">
        <v>0</v>
      </c>
      <c r="S2659" s="11"/>
      <c r="T2659" s="11" t="n">
        <v>0</v>
      </c>
      <c r="U2659" s="11" t="n">
        <v>0.85</v>
      </c>
      <c r="V2659" s="11" t="n">
        <v>0.85</v>
      </c>
    </row>
    <row r="2660" customFormat="false" ht="15" hidden="false" customHeight="false" outlineLevel="0" collapsed="false">
      <c r="A2660" s="6" t="s">
        <v>52</v>
      </c>
      <c r="B2660" s="6" t="s">
        <v>43</v>
      </c>
      <c r="C2660" s="6" t="s">
        <v>51</v>
      </c>
      <c r="D2660" s="6" t="s">
        <v>116</v>
      </c>
      <c r="E2660" s="6" t="n">
        <v>16</v>
      </c>
      <c r="F2660" s="6" t="n">
        <v>2</v>
      </c>
      <c r="G2660" s="6" t="s">
        <v>75</v>
      </c>
      <c r="H2660" s="11" t="n">
        <v>0.001</v>
      </c>
      <c r="I2660" s="6" t="n">
        <v>20</v>
      </c>
      <c r="J2660" s="6" t="n">
        <v>0</v>
      </c>
      <c r="K2660" s="6" t="n">
        <v>20</v>
      </c>
      <c r="L2660" s="6" t="n">
        <v>0</v>
      </c>
      <c r="M2660" s="6" t="n">
        <v>20</v>
      </c>
      <c r="N2660" s="11" t="n">
        <f aca="false">J2660/(J2660+K2660)</f>
        <v>0</v>
      </c>
      <c r="O2660" s="11" t="str">
        <f aca="false">IF(J2660+L2660=0,"",J2660/(J2660+L2660))</f>
        <v/>
      </c>
      <c r="P2660" s="11" t="n">
        <f aca="false">2*J2660/(2*J2660+L2660+K2660)</f>
        <v>0</v>
      </c>
      <c r="Q2660" s="11" t="n">
        <f aca="false">L2660/(L2660+M2660)</f>
        <v>0</v>
      </c>
      <c r="R2660" s="6" t="n">
        <v>0</v>
      </c>
      <c r="S2660" s="11"/>
      <c r="T2660" s="11" t="n">
        <v>0</v>
      </c>
      <c r="U2660" s="11" t="n">
        <v>0.9</v>
      </c>
      <c r="V2660" s="11" t="n">
        <v>0.9</v>
      </c>
    </row>
    <row r="2661" customFormat="false" ht="15" hidden="false" customHeight="false" outlineLevel="0" collapsed="false">
      <c r="A2661" s="6" t="s">
        <v>52</v>
      </c>
      <c r="B2661" s="6" t="s">
        <v>43</v>
      </c>
      <c r="C2661" s="6" t="s">
        <v>51</v>
      </c>
      <c r="D2661" s="6" t="s">
        <v>116</v>
      </c>
      <c r="E2661" s="6" t="n">
        <v>16</v>
      </c>
      <c r="F2661" s="6" t="n">
        <v>2</v>
      </c>
      <c r="G2661" s="6" t="s">
        <v>76</v>
      </c>
      <c r="H2661" s="11" t="n">
        <v>0.001</v>
      </c>
      <c r="I2661" s="6" t="n">
        <v>20</v>
      </c>
      <c r="J2661" s="6" t="n">
        <v>0</v>
      </c>
      <c r="K2661" s="6" t="n">
        <v>20</v>
      </c>
      <c r="L2661" s="6" t="n">
        <v>0</v>
      </c>
      <c r="M2661" s="6" t="n">
        <v>20</v>
      </c>
      <c r="N2661" s="11" t="n">
        <f aca="false">J2661/(J2661+K2661)</f>
        <v>0</v>
      </c>
      <c r="O2661" s="11" t="str">
        <f aca="false">IF(J2661+L2661=0,"",J2661/(J2661+L2661))</f>
        <v/>
      </c>
      <c r="P2661" s="11" t="n">
        <f aca="false">2*J2661/(2*J2661+L2661+K2661)</f>
        <v>0</v>
      </c>
      <c r="Q2661" s="11" t="n">
        <f aca="false">L2661/(L2661+M2661)</f>
        <v>0</v>
      </c>
      <c r="R2661" s="6" t="n">
        <v>0</v>
      </c>
      <c r="S2661" s="11"/>
      <c r="T2661" s="11" t="n">
        <v>0</v>
      </c>
      <c r="U2661" s="11" t="n">
        <v>0.95</v>
      </c>
      <c r="V2661" s="11" t="n">
        <v>0.95</v>
      </c>
    </row>
    <row r="2662" customFormat="false" ht="15" hidden="false" customHeight="false" outlineLevel="0" collapsed="false">
      <c r="A2662" s="6" t="s">
        <v>52</v>
      </c>
      <c r="B2662" s="6" t="s">
        <v>43</v>
      </c>
      <c r="C2662" s="6" t="s">
        <v>51</v>
      </c>
      <c r="D2662" s="6" t="s">
        <v>116</v>
      </c>
      <c r="E2662" s="6" t="n">
        <v>16</v>
      </c>
      <c r="F2662" s="6" t="n">
        <v>2</v>
      </c>
      <c r="G2662" s="6" t="s">
        <v>77</v>
      </c>
      <c r="H2662" s="11" t="n">
        <v>0.001</v>
      </c>
      <c r="I2662" s="6" t="n">
        <v>20</v>
      </c>
      <c r="J2662" s="6" t="n">
        <v>0</v>
      </c>
      <c r="K2662" s="6" t="n">
        <v>20</v>
      </c>
      <c r="L2662" s="6" t="n">
        <v>0</v>
      </c>
      <c r="M2662" s="6" t="n">
        <v>20</v>
      </c>
      <c r="N2662" s="11" t="n">
        <f aca="false">J2662/(J2662+K2662)</f>
        <v>0</v>
      </c>
      <c r="O2662" s="11" t="str">
        <f aca="false">IF(J2662+L2662=0,"",J2662/(J2662+L2662))</f>
        <v/>
      </c>
      <c r="P2662" s="11" t="n">
        <f aca="false">2*J2662/(2*J2662+L2662+K2662)</f>
        <v>0</v>
      </c>
      <c r="Q2662" s="11" t="n">
        <f aca="false">L2662/(L2662+M2662)</f>
        <v>0</v>
      </c>
      <c r="R2662" s="6" t="n">
        <v>0</v>
      </c>
      <c r="S2662" s="11"/>
      <c r="T2662" s="11" t="n">
        <v>0</v>
      </c>
      <c r="U2662" s="11" t="n">
        <v>1</v>
      </c>
      <c r="V2662" s="11" t="n">
        <v>1</v>
      </c>
    </row>
    <row r="2663" customFormat="false" ht="15" hidden="false" customHeight="false" outlineLevel="0" collapsed="false">
      <c r="A2663" s="6" t="s">
        <v>52</v>
      </c>
      <c r="B2663" s="6" t="s">
        <v>43</v>
      </c>
      <c r="C2663" s="6" t="s">
        <v>51</v>
      </c>
      <c r="D2663" s="6" t="s">
        <v>116</v>
      </c>
      <c r="E2663" s="6" t="n">
        <v>16</v>
      </c>
      <c r="F2663" s="6" t="n">
        <v>2</v>
      </c>
      <c r="G2663" s="6" t="s">
        <v>78</v>
      </c>
      <c r="H2663" s="11" t="n">
        <v>0.001</v>
      </c>
      <c r="I2663" s="6" t="n">
        <v>200</v>
      </c>
      <c r="J2663" s="6" t="n">
        <v>0</v>
      </c>
      <c r="K2663" s="6" t="n">
        <v>200</v>
      </c>
      <c r="L2663" s="6" t="n">
        <v>0</v>
      </c>
      <c r="M2663" s="6" t="n">
        <v>200</v>
      </c>
      <c r="N2663" s="11" t="n">
        <f aca="false">J2663/(J2663+K2663)</f>
        <v>0</v>
      </c>
      <c r="O2663" s="11" t="str">
        <f aca="false">IF(J2663+L2663=0,"",J2663/(J2663+L2663))</f>
        <v/>
      </c>
      <c r="P2663" s="11" t="n">
        <f aca="false">2*J2663/(2*J2663+L2663+K2663)</f>
        <v>0</v>
      </c>
      <c r="Q2663" s="11" t="n">
        <f aca="false">L2663/(L2663+M2663)</f>
        <v>0</v>
      </c>
      <c r="R2663" s="6" t="n">
        <v>1</v>
      </c>
      <c r="S2663" s="11" t="n">
        <v>0</v>
      </c>
      <c r="T2663" s="11" t="n">
        <v>0</v>
      </c>
      <c r="U2663" s="11" t="n">
        <v>0.88</v>
      </c>
      <c r="V2663" s="11" t="n">
        <v>0.88</v>
      </c>
    </row>
    <row r="2664" customFormat="false" ht="15" hidden="false" customHeight="false" outlineLevel="0" collapsed="false">
      <c r="A2664" s="6" t="s">
        <v>52</v>
      </c>
      <c r="B2664" s="6" t="s">
        <v>43</v>
      </c>
      <c r="C2664" s="6" t="s">
        <v>51</v>
      </c>
      <c r="D2664" s="6" t="s">
        <v>116</v>
      </c>
      <c r="E2664" s="6" t="n">
        <v>16</v>
      </c>
      <c r="F2664" s="6" t="n">
        <v>3</v>
      </c>
      <c r="G2664" s="6" t="s">
        <v>68</v>
      </c>
      <c r="H2664" s="11" t="n">
        <v>0.001</v>
      </c>
      <c r="I2664" s="6" t="n">
        <v>20</v>
      </c>
      <c r="J2664" s="6" t="n">
        <v>0</v>
      </c>
      <c r="K2664" s="6" t="n">
        <v>20</v>
      </c>
      <c r="L2664" s="6" t="n">
        <v>0</v>
      </c>
      <c r="M2664" s="6" t="n">
        <v>20</v>
      </c>
      <c r="N2664" s="11" t="n">
        <f aca="false">J2664/(J2664+K2664)</f>
        <v>0</v>
      </c>
      <c r="O2664" s="11" t="str">
        <f aca="false">IF(J2664+L2664=0,"",J2664/(J2664+L2664))</f>
        <v/>
      </c>
      <c r="P2664" s="11" t="n">
        <f aca="false">2*J2664/(2*J2664+L2664+K2664)</f>
        <v>0</v>
      </c>
      <c r="Q2664" s="11" t="n">
        <f aca="false">L2664/(L2664+M2664)</f>
        <v>0</v>
      </c>
      <c r="R2664" s="6" t="n">
        <v>0</v>
      </c>
      <c r="S2664" s="11"/>
      <c r="T2664" s="11" t="n">
        <v>0</v>
      </c>
      <c r="U2664" s="11" t="n">
        <v>0.85</v>
      </c>
      <c r="V2664" s="11" t="n">
        <v>0.85</v>
      </c>
    </row>
    <row r="2665" customFormat="false" ht="15" hidden="false" customHeight="false" outlineLevel="0" collapsed="false">
      <c r="A2665" s="6" t="s">
        <v>52</v>
      </c>
      <c r="B2665" s="6" t="s">
        <v>43</v>
      </c>
      <c r="C2665" s="6" t="s">
        <v>51</v>
      </c>
      <c r="D2665" s="6" t="s">
        <v>116</v>
      </c>
      <c r="E2665" s="6" t="n">
        <v>16</v>
      </c>
      <c r="F2665" s="6" t="n">
        <v>3</v>
      </c>
      <c r="G2665" s="6" t="s">
        <v>69</v>
      </c>
      <c r="H2665" s="11" t="n">
        <v>0.001</v>
      </c>
      <c r="I2665" s="6" t="n">
        <v>20</v>
      </c>
      <c r="J2665" s="6" t="n">
        <v>0</v>
      </c>
      <c r="K2665" s="6" t="n">
        <v>20</v>
      </c>
      <c r="L2665" s="6" t="n">
        <v>0</v>
      </c>
      <c r="M2665" s="6" t="n">
        <v>20</v>
      </c>
      <c r="N2665" s="11" t="n">
        <f aca="false">J2665/(J2665+K2665)</f>
        <v>0</v>
      </c>
      <c r="O2665" s="11" t="str">
        <f aca="false">IF(J2665+L2665=0,"",J2665/(J2665+L2665))</f>
        <v/>
      </c>
      <c r="P2665" s="11" t="n">
        <f aca="false">2*J2665/(2*J2665+L2665+K2665)</f>
        <v>0</v>
      </c>
      <c r="Q2665" s="11" t="n">
        <f aca="false">L2665/(L2665+M2665)</f>
        <v>0</v>
      </c>
      <c r="R2665" s="6" t="n">
        <v>0</v>
      </c>
      <c r="S2665" s="11"/>
      <c r="T2665" s="11" t="n">
        <v>0</v>
      </c>
      <c r="U2665" s="11" t="n">
        <v>1</v>
      </c>
      <c r="V2665" s="11" t="n">
        <v>1</v>
      </c>
    </row>
    <row r="2666" customFormat="false" ht="15" hidden="false" customHeight="false" outlineLevel="0" collapsed="false">
      <c r="A2666" s="6" t="s">
        <v>52</v>
      </c>
      <c r="B2666" s="6" t="s">
        <v>43</v>
      </c>
      <c r="C2666" s="6" t="s">
        <v>51</v>
      </c>
      <c r="D2666" s="6" t="s">
        <v>116</v>
      </c>
      <c r="E2666" s="6" t="n">
        <v>16</v>
      </c>
      <c r="F2666" s="6" t="n">
        <v>3</v>
      </c>
      <c r="G2666" s="6" t="s">
        <v>70</v>
      </c>
      <c r="H2666" s="11" t="n">
        <v>0.001</v>
      </c>
      <c r="I2666" s="6" t="n">
        <v>20</v>
      </c>
      <c r="J2666" s="6" t="n">
        <v>0</v>
      </c>
      <c r="K2666" s="6" t="n">
        <v>20</v>
      </c>
      <c r="L2666" s="6" t="n">
        <v>0</v>
      </c>
      <c r="M2666" s="6" t="n">
        <v>20</v>
      </c>
      <c r="N2666" s="11" t="n">
        <f aca="false">J2666/(J2666+K2666)</f>
        <v>0</v>
      </c>
      <c r="O2666" s="11" t="str">
        <f aca="false">IF(J2666+L2666=0,"",J2666/(J2666+L2666))</f>
        <v/>
      </c>
      <c r="P2666" s="11" t="n">
        <f aca="false">2*J2666/(2*J2666+L2666+K2666)</f>
        <v>0</v>
      </c>
      <c r="Q2666" s="11" t="n">
        <f aca="false">L2666/(L2666+M2666)</f>
        <v>0</v>
      </c>
      <c r="R2666" s="6" t="n">
        <v>0</v>
      </c>
      <c r="S2666" s="11"/>
      <c r="T2666" s="11" t="n">
        <v>0</v>
      </c>
      <c r="U2666" s="11" t="n">
        <v>0.9</v>
      </c>
      <c r="V2666" s="11" t="n">
        <v>0.9</v>
      </c>
    </row>
    <row r="2667" customFormat="false" ht="15" hidden="false" customHeight="false" outlineLevel="0" collapsed="false">
      <c r="A2667" s="6" t="s">
        <v>52</v>
      </c>
      <c r="B2667" s="6" t="s">
        <v>43</v>
      </c>
      <c r="C2667" s="6" t="s">
        <v>51</v>
      </c>
      <c r="D2667" s="6" t="s">
        <v>116</v>
      </c>
      <c r="E2667" s="6" t="n">
        <v>16</v>
      </c>
      <c r="F2667" s="6" t="n">
        <v>3</v>
      </c>
      <c r="G2667" s="6" t="s">
        <v>71</v>
      </c>
      <c r="H2667" s="11" t="n">
        <v>0.001</v>
      </c>
      <c r="I2667" s="6" t="n">
        <v>20</v>
      </c>
      <c r="J2667" s="6" t="n">
        <v>0</v>
      </c>
      <c r="K2667" s="6" t="n">
        <v>20</v>
      </c>
      <c r="L2667" s="6" t="n">
        <v>0</v>
      </c>
      <c r="M2667" s="6" t="n">
        <v>20</v>
      </c>
      <c r="N2667" s="11" t="n">
        <f aca="false">J2667/(J2667+K2667)</f>
        <v>0</v>
      </c>
      <c r="O2667" s="11" t="str">
        <f aca="false">IF(J2667+L2667=0,"",J2667/(J2667+L2667))</f>
        <v/>
      </c>
      <c r="P2667" s="11" t="n">
        <f aca="false">2*J2667/(2*J2667+L2667+K2667)</f>
        <v>0</v>
      </c>
      <c r="Q2667" s="11" t="n">
        <f aca="false">L2667/(L2667+M2667)</f>
        <v>0</v>
      </c>
      <c r="R2667" s="6" t="n">
        <v>0</v>
      </c>
      <c r="S2667" s="11"/>
      <c r="T2667" s="11" t="n">
        <v>0</v>
      </c>
      <c r="U2667" s="11" t="n">
        <v>0.8</v>
      </c>
      <c r="V2667" s="11" t="n">
        <v>0.8</v>
      </c>
    </row>
    <row r="2668" customFormat="false" ht="15" hidden="false" customHeight="false" outlineLevel="0" collapsed="false">
      <c r="A2668" s="6" t="s">
        <v>52</v>
      </c>
      <c r="B2668" s="6" t="s">
        <v>43</v>
      </c>
      <c r="C2668" s="6" t="s">
        <v>51</v>
      </c>
      <c r="D2668" s="6" t="s">
        <v>116</v>
      </c>
      <c r="E2668" s="6" t="n">
        <v>16</v>
      </c>
      <c r="F2668" s="6" t="n">
        <v>3</v>
      </c>
      <c r="G2668" s="6" t="s">
        <v>72</v>
      </c>
      <c r="H2668" s="11" t="n">
        <v>0.001</v>
      </c>
      <c r="I2668" s="6" t="n">
        <v>20</v>
      </c>
      <c r="J2668" s="6" t="n">
        <v>0</v>
      </c>
      <c r="K2668" s="6" t="n">
        <v>20</v>
      </c>
      <c r="L2668" s="6" t="n">
        <v>0</v>
      </c>
      <c r="M2668" s="6" t="n">
        <v>20</v>
      </c>
      <c r="N2668" s="11" t="n">
        <f aca="false">J2668/(J2668+K2668)</f>
        <v>0</v>
      </c>
      <c r="O2668" s="11" t="str">
        <f aca="false">IF(J2668+L2668=0,"",J2668/(J2668+L2668))</f>
        <v/>
      </c>
      <c r="P2668" s="11" t="n">
        <f aca="false">2*J2668/(2*J2668+L2668+K2668)</f>
        <v>0</v>
      </c>
      <c r="Q2668" s="11" t="n">
        <f aca="false">L2668/(L2668+M2668)</f>
        <v>0</v>
      </c>
      <c r="R2668" s="6" t="n">
        <v>0</v>
      </c>
      <c r="S2668" s="11"/>
      <c r="T2668" s="11" t="n">
        <v>0</v>
      </c>
      <c r="U2668" s="11" t="n">
        <v>0.9</v>
      </c>
      <c r="V2668" s="11" t="n">
        <v>0.9</v>
      </c>
    </row>
    <row r="2669" customFormat="false" ht="15" hidden="false" customHeight="false" outlineLevel="0" collapsed="false">
      <c r="A2669" s="6" t="s">
        <v>52</v>
      </c>
      <c r="B2669" s="6" t="s">
        <v>43</v>
      </c>
      <c r="C2669" s="6" t="s">
        <v>51</v>
      </c>
      <c r="D2669" s="6" t="s">
        <v>116</v>
      </c>
      <c r="E2669" s="6" t="n">
        <v>16</v>
      </c>
      <c r="F2669" s="6" t="n">
        <v>3</v>
      </c>
      <c r="G2669" s="6" t="s">
        <v>73</v>
      </c>
      <c r="H2669" s="11" t="n">
        <v>0.001</v>
      </c>
      <c r="I2669" s="6" t="n">
        <v>20</v>
      </c>
      <c r="J2669" s="6" t="n">
        <v>0</v>
      </c>
      <c r="K2669" s="6" t="n">
        <v>20</v>
      </c>
      <c r="L2669" s="6" t="n">
        <v>0</v>
      </c>
      <c r="M2669" s="6" t="n">
        <v>20</v>
      </c>
      <c r="N2669" s="11" t="n">
        <f aca="false">J2669/(J2669+K2669)</f>
        <v>0</v>
      </c>
      <c r="O2669" s="11" t="str">
        <f aca="false">IF(J2669+L2669=0,"",J2669/(J2669+L2669))</f>
        <v/>
      </c>
      <c r="P2669" s="11" t="n">
        <f aca="false">2*J2669/(2*J2669+L2669+K2669)</f>
        <v>0</v>
      </c>
      <c r="Q2669" s="11" t="n">
        <f aca="false">L2669/(L2669+M2669)</f>
        <v>0</v>
      </c>
      <c r="R2669" s="6" t="n">
        <v>2</v>
      </c>
      <c r="S2669" s="11" t="n">
        <v>0</v>
      </c>
      <c r="T2669" s="11" t="n">
        <v>0</v>
      </c>
      <c r="U2669" s="11" t="n">
        <v>0.65</v>
      </c>
      <c r="V2669" s="11" t="n">
        <v>0.65</v>
      </c>
    </row>
    <row r="2670" customFormat="false" ht="15" hidden="false" customHeight="false" outlineLevel="0" collapsed="false">
      <c r="A2670" s="6" t="s">
        <v>52</v>
      </c>
      <c r="B2670" s="6" t="s">
        <v>43</v>
      </c>
      <c r="C2670" s="6" t="s">
        <v>51</v>
      </c>
      <c r="D2670" s="6" t="s">
        <v>116</v>
      </c>
      <c r="E2670" s="6" t="n">
        <v>16</v>
      </c>
      <c r="F2670" s="6" t="n">
        <v>3</v>
      </c>
      <c r="G2670" s="6" t="s">
        <v>74</v>
      </c>
      <c r="H2670" s="11" t="n">
        <v>0.001</v>
      </c>
      <c r="I2670" s="6" t="n">
        <v>20</v>
      </c>
      <c r="J2670" s="6" t="n">
        <v>0</v>
      </c>
      <c r="K2670" s="6" t="n">
        <v>20</v>
      </c>
      <c r="L2670" s="6" t="n">
        <v>0</v>
      </c>
      <c r="M2670" s="6" t="n">
        <v>20</v>
      </c>
      <c r="N2670" s="11" t="n">
        <f aca="false">J2670/(J2670+K2670)</f>
        <v>0</v>
      </c>
      <c r="O2670" s="11" t="str">
        <f aca="false">IF(J2670+L2670=0,"",J2670/(J2670+L2670))</f>
        <v/>
      </c>
      <c r="P2670" s="11" t="n">
        <f aca="false">2*J2670/(2*J2670+L2670+K2670)</f>
        <v>0</v>
      </c>
      <c r="Q2670" s="11" t="n">
        <f aca="false">L2670/(L2670+M2670)</f>
        <v>0</v>
      </c>
      <c r="R2670" s="6" t="n">
        <v>2</v>
      </c>
      <c r="S2670" s="11" t="n">
        <v>0</v>
      </c>
      <c r="T2670" s="11" t="n">
        <v>0</v>
      </c>
      <c r="U2670" s="11" t="n">
        <v>0.85</v>
      </c>
      <c r="V2670" s="11" t="n">
        <v>0.8</v>
      </c>
    </row>
    <row r="2671" customFormat="false" ht="15" hidden="false" customHeight="false" outlineLevel="0" collapsed="false">
      <c r="A2671" s="6" t="s">
        <v>52</v>
      </c>
      <c r="B2671" s="6" t="s">
        <v>43</v>
      </c>
      <c r="C2671" s="6" t="s">
        <v>51</v>
      </c>
      <c r="D2671" s="6" t="s">
        <v>116</v>
      </c>
      <c r="E2671" s="6" t="n">
        <v>16</v>
      </c>
      <c r="F2671" s="6" t="n">
        <v>3</v>
      </c>
      <c r="G2671" s="6" t="s">
        <v>75</v>
      </c>
      <c r="H2671" s="11" t="n">
        <v>0.001</v>
      </c>
      <c r="I2671" s="6" t="n">
        <v>20</v>
      </c>
      <c r="J2671" s="6" t="n">
        <v>0</v>
      </c>
      <c r="K2671" s="6" t="n">
        <v>20</v>
      </c>
      <c r="L2671" s="6" t="n">
        <v>0</v>
      </c>
      <c r="M2671" s="6" t="n">
        <v>20</v>
      </c>
      <c r="N2671" s="11" t="n">
        <f aca="false">J2671/(J2671+K2671)</f>
        <v>0</v>
      </c>
      <c r="O2671" s="11" t="str">
        <f aca="false">IF(J2671+L2671=0,"",J2671/(J2671+L2671))</f>
        <v/>
      </c>
      <c r="P2671" s="11" t="n">
        <f aca="false">2*J2671/(2*J2671+L2671+K2671)</f>
        <v>0</v>
      </c>
      <c r="Q2671" s="11" t="n">
        <f aca="false">L2671/(L2671+M2671)</f>
        <v>0</v>
      </c>
      <c r="R2671" s="6" t="n">
        <v>1</v>
      </c>
      <c r="S2671" s="11" t="n">
        <v>0</v>
      </c>
      <c r="T2671" s="11" t="n">
        <v>0</v>
      </c>
      <c r="U2671" s="11" t="n">
        <v>0.9</v>
      </c>
      <c r="V2671" s="11" t="n">
        <v>0.95</v>
      </c>
    </row>
    <row r="2672" customFormat="false" ht="15" hidden="false" customHeight="false" outlineLevel="0" collapsed="false">
      <c r="A2672" s="6" t="s">
        <v>52</v>
      </c>
      <c r="B2672" s="6" t="s">
        <v>43</v>
      </c>
      <c r="C2672" s="6" t="s">
        <v>51</v>
      </c>
      <c r="D2672" s="6" t="s">
        <v>116</v>
      </c>
      <c r="E2672" s="6" t="n">
        <v>16</v>
      </c>
      <c r="F2672" s="6" t="n">
        <v>3</v>
      </c>
      <c r="G2672" s="6" t="s">
        <v>76</v>
      </c>
      <c r="H2672" s="11" t="n">
        <v>0.001</v>
      </c>
      <c r="I2672" s="6" t="n">
        <v>20</v>
      </c>
      <c r="J2672" s="6" t="n">
        <v>0</v>
      </c>
      <c r="K2672" s="6" t="n">
        <v>20</v>
      </c>
      <c r="L2672" s="6" t="n">
        <v>0</v>
      </c>
      <c r="M2672" s="6" t="n">
        <v>20</v>
      </c>
      <c r="N2672" s="11" t="n">
        <f aca="false">J2672/(J2672+K2672)</f>
        <v>0</v>
      </c>
      <c r="O2672" s="11" t="str">
        <f aca="false">IF(J2672+L2672=0,"",J2672/(J2672+L2672))</f>
        <v/>
      </c>
      <c r="P2672" s="11" t="n">
        <f aca="false">2*J2672/(2*J2672+L2672+K2672)</f>
        <v>0</v>
      </c>
      <c r="Q2672" s="11" t="n">
        <f aca="false">L2672/(L2672+M2672)</f>
        <v>0</v>
      </c>
      <c r="R2672" s="6" t="n">
        <v>0</v>
      </c>
      <c r="S2672" s="11"/>
      <c r="T2672" s="11" t="n">
        <v>0</v>
      </c>
      <c r="U2672" s="11" t="n">
        <v>0.95</v>
      </c>
      <c r="V2672" s="11" t="n">
        <v>0.95</v>
      </c>
    </row>
    <row r="2673" customFormat="false" ht="15" hidden="false" customHeight="false" outlineLevel="0" collapsed="false">
      <c r="A2673" s="6" t="s">
        <v>52</v>
      </c>
      <c r="B2673" s="6" t="s">
        <v>43</v>
      </c>
      <c r="C2673" s="6" t="s">
        <v>51</v>
      </c>
      <c r="D2673" s="6" t="s">
        <v>116</v>
      </c>
      <c r="E2673" s="6" t="n">
        <v>16</v>
      </c>
      <c r="F2673" s="6" t="n">
        <v>3</v>
      </c>
      <c r="G2673" s="6" t="s">
        <v>77</v>
      </c>
      <c r="H2673" s="11" t="n">
        <v>0.001</v>
      </c>
      <c r="I2673" s="6" t="n">
        <v>20</v>
      </c>
      <c r="J2673" s="6" t="n">
        <v>0</v>
      </c>
      <c r="K2673" s="6" t="n">
        <v>20</v>
      </c>
      <c r="L2673" s="6" t="n">
        <v>0</v>
      </c>
      <c r="M2673" s="6" t="n">
        <v>20</v>
      </c>
      <c r="N2673" s="11" t="n">
        <f aca="false">J2673/(J2673+K2673)</f>
        <v>0</v>
      </c>
      <c r="O2673" s="11" t="str">
        <f aca="false">IF(J2673+L2673=0,"",J2673/(J2673+L2673))</f>
        <v/>
      </c>
      <c r="P2673" s="11" t="n">
        <f aca="false">2*J2673/(2*J2673+L2673+K2673)</f>
        <v>0</v>
      </c>
      <c r="Q2673" s="11" t="n">
        <f aca="false">L2673/(L2673+M2673)</f>
        <v>0</v>
      </c>
      <c r="R2673" s="6" t="n">
        <v>0</v>
      </c>
      <c r="S2673" s="11"/>
      <c r="T2673" s="11" t="n">
        <v>0</v>
      </c>
      <c r="U2673" s="11" t="n">
        <v>1</v>
      </c>
      <c r="V2673" s="11" t="n">
        <v>1</v>
      </c>
    </row>
    <row r="2674" customFormat="false" ht="15" hidden="false" customHeight="false" outlineLevel="0" collapsed="false">
      <c r="A2674" s="6" t="s">
        <v>52</v>
      </c>
      <c r="B2674" s="6" t="s">
        <v>43</v>
      </c>
      <c r="C2674" s="6" t="s">
        <v>51</v>
      </c>
      <c r="D2674" s="6" t="s">
        <v>116</v>
      </c>
      <c r="E2674" s="6" t="n">
        <v>16</v>
      </c>
      <c r="F2674" s="6" t="n">
        <v>3</v>
      </c>
      <c r="G2674" s="6" t="s">
        <v>78</v>
      </c>
      <c r="H2674" s="11" t="n">
        <v>0.001</v>
      </c>
      <c r="I2674" s="6" t="n">
        <v>200</v>
      </c>
      <c r="J2674" s="6" t="n">
        <v>0</v>
      </c>
      <c r="K2674" s="6" t="n">
        <v>200</v>
      </c>
      <c r="L2674" s="6" t="n">
        <v>0</v>
      </c>
      <c r="M2674" s="6" t="n">
        <v>200</v>
      </c>
      <c r="N2674" s="11" t="n">
        <f aca="false">J2674/(J2674+K2674)</f>
        <v>0</v>
      </c>
      <c r="O2674" s="11" t="str">
        <f aca="false">IF(J2674+L2674=0,"",J2674/(J2674+L2674))</f>
        <v/>
      </c>
      <c r="P2674" s="11" t="n">
        <f aca="false">2*J2674/(2*J2674+L2674+K2674)</f>
        <v>0</v>
      </c>
      <c r="Q2674" s="11" t="n">
        <f aca="false">L2674/(L2674+M2674)</f>
        <v>0</v>
      </c>
      <c r="R2674" s="6" t="n">
        <v>5</v>
      </c>
      <c r="S2674" s="11" t="n">
        <v>0</v>
      </c>
      <c r="T2674" s="11" t="n">
        <v>0</v>
      </c>
      <c r="U2674" s="11" t="n">
        <v>0.88</v>
      </c>
      <c r="V2674" s="11" t="n">
        <v>0.88</v>
      </c>
    </row>
    <row r="2675" customFormat="false" ht="15" hidden="false" customHeight="false" outlineLevel="0" collapsed="false">
      <c r="A2675" s="6" t="s">
        <v>52</v>
      </c>
      <c r="B2675" s="6" t="s">
        <v>43</v>
      </c>
      <c r="C2675" s="6" t="s">
        <v>51</v>
      </c>
      <c r="D2675" s="6" t="s">
        <v>116</v>
      </c>
      <c r="E2675" s="6" t="n">
        <v>16</v>
      </c>
      <c r="F2675" s="6" t="n">
        <v>4</v>
      </c>
      <c r="G2675" s="6" t="s">
        <v>68</v>
      </c>
      <c r="H2675" s="11" t="n">
        <v>0.001</v>
      </c>
      <c r="I2675" s="6" t="n">
        <v>20</v>
      </c>
      <c r="J2675" s="6" t="n">
        <v>0</v>
      </c>
      <c r="K2675" s="6" t="n">
        <v>20</v>
      </c>
      <c r="L2675" s="6" t="n">
        <v>0</v>
      </c>
      <c r="M2675" s="6" t="n">
        <v>20</v>
      </c>
      <c r="N2675" s="11" t="n">
        <f aca="false">J2675/(J2675+K2675)</f>
        <v>0</v>
      </c>
      <c r="O2675" s="11" t="str">
        <f aca="false">IF(J2675+L2675=0,"",J2675/(J2675+L2675))</f>
        <v/>
      </c>
      <c r="P2675" s="11" t="n">
        <f aca="false">2*J2675/(2*J2675+L2675+K2675)</f>
        <v>0</v>
      </c>
      <c r="Q2675" s="11" t="n">
        <f aca="false">L2675/(L2675+M2675)</f>
        <v>0</v>
      </c>
      <c r="R2675" s="6" t="n">
        <v>0</v>
      </c>
      <c r="S2675" s="11"/>
      <c r="T2675" s="11" t="n">
        <v>0</v>
      </c>
      <c r="U2675" s="11" t="n">
        <v>0.85</v>
      </c>
      <c r="V2675" s="11" t="n">
        <v>0.85</v>
      </c>
    </row>
    <row r="2676" customFormat="false" ht="15" hidden="false" customHeight="false" outlineLevel="0" collapsed="false">
      <c r="A2676" s="6" t="s">
        <v>52</v>
      </c>
      <c r="B2676" s="6" t="s">
        <v>43</v>
      </c>
      <c r="C2676" s="6" t="s">
        <v>51</v>
      </c>
      <c r="D2676" s="6" t="s">
        <v>116</v>
      </c>
      <c r="E2676" s="6" t="n">
        <v>16</v>
      </c>
      <c r="F2676" s="6" t="n">
        <v>4</v>
      </c>
      <c r="G2676" s="6" t="s">
        <v>69</v>
      </c>
      <c r="H2676" s="11" t="n">
        <v>0.001</v>
      </c>
      <c r="I2676" s="6" t="n">
        <v>20</v>
      </c>
      <c r="J2676" s="6" t="n">
        <v>0</v>
      </c>
      <c r="K2676" s="6" t="n">
        <v>20</v>
      </c>
      <c r="L2676" s="6" t="n">
        <v>0</v>
      </c>
      <c r="M2676" s="6" t="n">
        <v>20</v>
      </c>
      <c r="N2676" s="11" t="n">
        <f aca="false">J2676/(J2676+K2676)</f>
        <v>0</v>
      </c>
      <c r="O2676" s="11" t="str">
        <f aca="false">IF(J2676+L2676=0,"",J2676/(J2676+L2676))</f>
        <v/>
      </c>
      <c r="P2676" s="11" t="n">
        <f aca="false">2*J2676/(2*J2676+L2676+K2676)</f>
        <v>0</v>
      </c>
      <c r="Q2676" s="11" t="n">
        <f aca="false">L2676/(L2676+M2676)</f>
        <v>0</v>
      </c>
      <c r="R2676" s="6" t="n">
        <v>0</v>
      </c>
      <c r="S2676" s="11"/>
      <c r="T2676" s="11" t="n">
        <v>0</v>
      </c>
      <c r="U2676" s="11" t="n">
        <v>1</v>
      </c>
      <c r="V2676" s="11" t="n">
        <v>1</v>
      </c>
    </row>
    <row r="2677" customFormat="false" ht="15" hidden="false" customHeight="false" outlineLevel="0" collapsed="false">
      <c r="A2677" s="6" t="s">
        <v>52</v>
      </c>
      <c r="B2677" s="6" t="s">
        <v>43</v>
      </c>
      <c r="C2677" s="6" t="s">
        <v>51</v>
      </c>
      <c r="D2677" s="6" t="s">
        <v>116</v>
      </c>
      <c r="E2677" s="6" t="n">
        <v>16</v>
      </c>
      <c r="F2677" s="6" t="n">
        <v>4</v>
      </c>
      <c r="G2677" s="6" t="s">
        <v>70</v>
      </c>
      <c r="H2677" s="11" t="n">
        <v>0.001</v>
      </c>
      <c r="I2677" s="6" t="n">
        <v>20</v>
      </c>
      <c r="J2677" s="6" t="n">
        <v>0</v>
      </c>
      <c r="K2677" s="6" t="n">
        <v>20</v>
      </c>
      <c r="L2677" s="6" t="n">
        <v>0</v>
      </c>
      <c r="M2677" s="6" t="n">
        <v>20</v>
      </c>
      <c r="N2677" s="11" t="n">
        <f aca="false">J2677/(J2677+K2677)</f>
        <v>0</v>
      </c>
      <c r="O2677" s="11" t="str">
        <f aca="false">IF(J2677+L2677=0,"",J2677/(J2677+L2677))</f>
        <v/>
      </c>
      <c r="P2677" s="11" t="n">
        <f aca="false">2*J2677/(2*J2677+L2677+K2677)</f>
        <v>0</v>
      </c>
      <c r="Q2677" s="11" t="n">
        <f aca="false">L2677/(L2677+M2677)</f>
        <v>0</v>
      </c>
      <c r="R2677" s="6" t="n">
        <v>0</v>
      </c>
      <c r="S2677" s="11"/>
      <c r="T2677" s="11" t="n">
        <v>0</v>
      </c>
      <c r="U2677" s="11" t="n">
        <v>0.9</v>
      </c>
      <c r="V2677" s="11" t="n">
        <v>0.9</v>
      </c>
    </row>
    <row r="2678" customFormat="false" ht="15" hidden="false" customHeight="false" outlineLevel="0" collapsed="false">
      <c r="A2678" s="6" t="s">
        <v>52</v>
      </c>
      <c r="B2678" s="6" t="s">
        <v>43</v>
      </c>
      <c r="C2678" s="6" t="s">
        <v>51</v>
      </c>
      <c r="D2678" s="6" t="s">
        <v>116</v>
      </c>
      <c r="E2678" s="6" t="n">
        <v>16</v>
      </c>
      <c r="F2678" s="6" t="n">
        <v>4</v>
      </c>
      <c r="G2678" s="6" t="s">
        <v>71</v>
      </c>
      <c r="H2678" s="11" t="n">
        <v>0.001</v>
      </c>
      <c r="I2678" s="6" t="n">
        <v>20</v>
      </c>
      <c r="J2678" s="6" t="n">
        <v>0</v>
      </c>
      <c r="K2678" s="6" t="n">
        <v>20</v>
      </c>
      <c r="L2678" s="6" t="n">
        <v>0</v>
      </c>
      <c r="M2678" s="6" t="n">
        <v>20</v>
      </c>
      <c r="N2678" s="11" t="n">
        <f aca="false">J2678/(J2678+K2678)</f>
        <v>0</v>
      </c>
      <c r="O2678" s="11" t="str">
        <f aca="false">IF(J2678+L2678=0,"",J2678/(J2678+L2678))</f>
        <v/>
      </c>
      <c r="P2678" s="11" t="n">
        <f aca="false">2*J2678/(2*J2678+L2678+K2678)</f>
        <v>0</v>
      </c>
      <c r="Q2678" s="11" t="n">
        <f aca="false">L2678/(L2678+M2678)</f>
        <v>0</v>
      </c>
      <c r="R2678" s="6" t="n">
        <v>0</v>
      </c>
      <c r="S2678" s="11"/>
      <c r="T2678" s="11" t="n">
        <v>0</v>
      </c>
      <c r="U2678" s="11" t="n">
        <v>0.8</v>
      </c>
      <c r="V2678" s="11" t="n">
        <v>0.8</v>
      </c>
    </row>
    <row r="2679" customFormat="false" ht="15" hidden="false" customHeight="false" outlineLevel="0" collapsed="false">
      <c r="A2679" s="6" t="s">
        <v>52</v>
      </c>
      <c r="B2679" s="6" t="s">
        <v>43</v>
      </c>
      <c r="C2679" s="6" t="s">
        <v>51</v>
      </c>
      <c r="D2679" s="6" t="s">
        <v>116</v>
      </c>
      <c r="E2679" s="6" t="n">
        <v>16</v>
      </c>
      <c r="F2679" s="6" t="n">
        <v>4</v>
      </c>
      <c r="G2679" s="6" t="s">
        <v>72</v>
      </c>
      <c r="H2679" s="11" t="n">
        <v>0.001</v>
      </c>
      <c r="I2679" s="6" t="n">
        <v>20</v>
      </c>
      <c r="J2679" s="6" t="n">
        <v>0</v>
      </c>
      <c r="K2679" s="6" t="n">
        <v>20</v>
      </c>
      <c r="L2679" s="6" t="n">
        <v>0</v>
      </c>
      <c r="M2679" s="6" t="n">
        <v>20</v>
      </c>
      <c r="N2679" s="11" t="n">
        <f aca="false">J2679/(J2679+K2679)</f>
        <v>0</v>
      </c>
      <c r="O2679" s="11" t="str">
        <f aca="false">IF(J2679+L2679=0,"",J2679/(J2679+L2679))</f>
        <v/>
      </c>
      <c r="P2679" s="11" t="n">
        <f aca="false">2*J2679/(2*J2679+L2679+K2679)</f>
        <v>0</v>
      </c>
      <c r="Q2679" s="11" t="n">
        <f aca="false">L2679/(L2679+M2679)</f>
        <v>0</v>
      </c>
      <c r="R2679" s="6" t="n">
        <v>0</v>
      </c>
      <c r="S2679" s="11"/>
      <c r="T2679" s="11" t="n">
        <v>0</v>
      </c>
      <c r="U2679" s="11" t="n">
        <v>0.9</v>
      </c>
      <c r="V2679" s="11" t="n">
        <v>0.9</v>
      </c>
    </row>
    <row r="2680" customFormat="false" ht="15" hidden="false" customHeight="false" outlineLevel="0" collapsed="false">
      <c r="A2680" s="6" t="s">
        <v>52</v>
      </c>
      <c r="B2680" s="6" t="s">
        <v>43</v>
      </c>
      <c r="C2680" s="6" t="s">
        <v>51</v>
      </c>
      <c r="D2680" s="6" t="s">
        <v>116</v>
      </c>
      <c r="E2680" s="6" t="n">
        <v>16</v>
      </c>
      <c r="F2680" s="6" t="n">
        <v>4</v>
      </c>
      <c r="G2680" s="6" t="s">
        <v>73</v>
      </c>
      <c r="H2680" s="11" t="n">
        <v>0.001</v>
      </c>
      <c r="I2680" s="6" t="n">
        <v>20</v>
      </c>
      <c r="J2680" s="6" t="n">
        <v>0</v>
      </c>
      <c r="K2680" s="6" t="n">
        <v>20</v>
      </c>
      <c r="L2680" s="6" t="n">
        <v>0</v>
      </c>
      <c r="M2680" s="6" t="n">
        <v>20</v>
      </c>
      <c r="N2680" s="11" t="n">
        <f aca="false">J2680/(J2680+K2680)</f>
        <v>0</v>
      </c>
      <c r="O2680" s="11" t="str">
        <f aca="false">IF(J2680+L2680=0,"",J2680/(J2680+L2680))</f>
        <v/>
      </c>
      <c r="P2680" s="11" t="n">
        <f aca="false">2*J2680/(2*J2680+L2680+K2680)</f>
        <v>0</v>
      </c>
      <c r="Q2680" s="11" t="n">
        <f aca="false">L2680/(L2680+M2680)</f>
        <v>0</v>
      </c>
      <c r="R2680" s="6" t="n">
        <v>0</v>
      </c>
      <c r="S2680" s="11"/>
      <c r="T2680" s="11" t="n">
        <v>0</v>
      </c>
      <c r="U2680" s="11" t="n">
        <v>0.65</v>
      </c>
      <c r="V2680" s="11" t="n">
        <v>0.65</v>
      </c>
    </row>
    <row r="2681" customFormat="false" ht="15" hidden="false" customHeight="false" outlineLevel="0" collapsed="false">
      <c r="A2681" s="6" t="s">
        <v>52</v>
      </c>
      <c r="B2681" s="6" t="s">
        <v>43</v>
      </c>
      <c r="C2681" s="6" t="s">
        <v>51</v>
      </c>
      <c r="D2681" s="6" t="s">
        <v>116</v>
      </c>
      <c r="E2681" s="6" t="n">
        <v>16</v>
      </c>
      <c r="F2681" s="6" t="n">
        <v>4</v>
      </c>
      <c r="G2681" s="6" t="s">
        <v>74</v>
      </c>
      <c r="H2681" s="11" t="n">
        <v>0.001</v>
      </c>
      <c r="I2681" s="6" t="n">
        <v>20</v>
      </c>
      <c r="J2681" s="6" t="n">
        <v>0</v>
      </c>
      <c r="K2681" s="6" t="n">
        <v>20</v>
      </c>
      <c r="L2681" s="6" t="n">
        <v>0</v>
      </c>
      <c r="M2681" s="6" t="n">
        <v>20</v>
      </c>
      <c r="N2681" s="11" t="n">
        <f aca="false">J2681/(J2681+K2681)</f>
        <v>0</v>
      </c>
      <c r="O2681" s="11" t="str">
        <f aca="false">IF(J2681+L2681=0,"",J2681/(J2681+L2681))</f>
        <v/>
      </c>
      <c r="P2681" s="11" t="n">
        <f aca="false">2*J2681/(2*J2681+L2681+K2681)</f>
        <v>0</v>
      </c>
      <c r="Q2681" s="11" t="n">
        <f aca="false">L2681/(L2681+M2681)</f>
        <v>0</v>
      </c>
      <c r="R2681" s="6" t="n">
        <v>1</v>
      </c>
      <c r="S2681" s="11" t="n">
        <v>0</v>
      </c>
      <c r="T2681" s="11" t="n">
        <v>0</v>
      </c>
      <c r="U2681" s="11" t="n">
        <v>0.85</v>
      </c>
      <c r="V2681" s="11" t="n">
        <v>0.9</v>
      </c>
    </row>
    <row r="2682" customFormat="false" ht="15" hidden="false" customHeight="false" outlineLevel="0" collapsed="false">
      <c r="A2682" s="6" t="s">
        <v>52</v>
      </c>
      <c r="B2682" s="6" t="s">
        <v>43</v>
      </c>
      <c r="C2682" s="6" t="s">
        <v>51</v>
      </c>
      <c r="D2682" s="6" t="s">
        <v>116</v>
      </c>
      <c r="E2682" s="6" t="n">
        <v>16</v>
      </c>
      <c r="F2682" s="6" t="n">
        <v>4</v>
      </c>
      <c r="G2682" s="6" t="s">
        <v>75</v>
      </c>
      <c r="H2682" s="11" t="n">
        <v>0.001</v>
      </c>
      <c r="I2682" s="6" t="n">
        <v>20</v>
      </c>
      <c r="J2682" s="6" t="n">
        <v>0</v>
      </c>
      <c r="K2682" s="6" t="n">
        <v>20</v>
      </c>
      <c r="L2682" s="6" t="n">
        <v>0</v>
      </c>
      <c r="M2682" s="6" t="n">
        <v>20</v>
      </c>
      <c r="N2682" s="11" t="n">
        <f aca="false">J2682/(J2682+K2682)</f>
        <v>0</v>
      </c>
      <c r="O2682" s="11" t="str">
        <f aca="false">IF(J2682+L2682=0,"",J2682/(J2682+L2682))</f>
        <v/>
      </c>
      <c r="P2682" s="11" t="n">
        <f aca="false">2*J2682/(2*J2682+L2682+K2682)</f>
        <v>0</v>
      </c>
      <c r="Q2682" s="11" t="n">
        <f aca="false">L2682/(L2682+M2682)</f>
        <v>0</v>
      </c>
      <c r="R2682" s="6" t="n">
        <v>0</v>
      </c>
      <c r="S2682" s="11"/>
      <c r="T2682" s="11" t="n">
        <v>0</v>
      </c>
      <c r="U2682" s="11" t="n">
        <v>0.9</v>
      </c>
      <c r="V2682" s="11" t="n">
        <v>0.9</v>
      </c>
    </row>
    <row r="2683" customFormat="false" ht="15" hidden="false" customHeight="false" outlineLevel="0" collapsed="false">
      <c r="A2683" s="6" t="s">
        <v>52</v>
      </c>
      <c r="B2683" s="6" t="s">
        <v>43</v>
      </c>
      <c r="C2683" s="6" t="s">
        <v>51</v>
      </c>
      <c r="D2683" s="6" t="s">
        <v>116</v>
      </c>
      <c r="E2683" s="6" t="n">
        <v>16</v>
      </c>
      <c r="F2683" s="6" t="n">
        <v>4</v>
      </c>
      <c r="G2683" s="6" t="s">
        <v>76</v>
      </c>
      <c r="H2683" s="11" t="n">
        <v>0.001</v>
      </c>
      <c r="I2683" s="6" t="n">
        <v>20</v>
      </c>
      <c r="J2683" s="6" t="n">
        <v>0</v>
      </c>
      <c r="K2683" s="6" t="n">
        <v>20</v>
      </c>
      <c r="L2683" s="6" t="n">
        <v>0</v>
      </c>
      <c r="M2683" s="6" t="n">
        <v>20</v>
      </c>
      <c r="N2683" s="11" t="n">
        <f aca="false">J2683/(J2683+K2683)</f>
        <v>0</v>
      </c>
      <c r="O2683" s="11" t="str">
        <f aca="false">IF(J2683+L2683=0,"",J2683/(J2683+L2683))</f>
        <v/>
      </c>
      <c r="P2683" s="11" t="n">
        <f aca="false">2*J2683/(2*J2683+L2683+K2683)</f>
        <v>0</v>
      </c>
      <c r="Q2683" s="11" t="n">
        <f aca="false">L2683/(L2683+M2683)</f>
        <v>0</v>
      </c>
      <c r="R2683" s="6" t="n">
        <v>0</v>
      </c>
      <c r="S2683" s="11"/>
      <c r="T2683" s="11" t="n">
        <v>0</v>
      </c>
      <c r="U2683" s="11" t="n">
        <v>0.95</v>
      </c>
      <c r="V2683" s="11" t="n">
        <v>0.95</v>
      </c>
    </row>
    <row r="2684" customFormat="false" ht="15" hidden="false" customHeight="false" outlineLevel="0" collapsed="false">
      <c r="A2684" s="6" t="s">
        <v>52</v>
      </c>
      <c r="B2684" s="6" t="s">
        <v>43</v>
      </c>
      <c r="C2684" s="6" t="s">
        <v>51</v>
      </c>
      <c r="D2684" s="6" t="s">
        <v>116</v>
      </c>
      <c r="E2684" s="6" t="n">
        <v>16</v>
      </c>
      <c r="F2684" s="6" t="n">
        <v>4</v>
      </c>
      <c r="G2684" s="6" t="s">
        <v>77</v>
      </c>
      <c r="H2684" s="11" t="n">
        <v>0.001</v>
      </c>
      <c r="I2684" s="6" t="n">
        <v>20</v>
      </c>
      <c r="J2684" s="6" t="n">
        <v>0</v>
      </c>
      <c r="K2684" s="6" t="n">
        <v>20</v>
      </c>
      <c r="L2684" s="6" t="n">
        <v>0</v>
      </c>
      <c r="M2684" s="6" t="n">
        <v>20</v>
      </c>
      <c r="N2684" s="11" t="n">
        <f aca="false">J2684/(J2684+K2684)</f>
        <v>0</v>
      </c>
      <c r="O2684" s="11" t="str">
        <f aca="false">IF(J2684+L2684=0,"",J2684/(J2684+L2684))</f>
        <v/>
      </c>
      <c r="P2684" s="11" t="n">
        <f aca="false">2*J2684/(2*J2684+L2684+K2684)</f>
        <v>0</v>
      </c>
      <c r="Q2684" s="11" t="n">
        <f aca="false">L2684/(L2684+M2684)</f>
        <v>0</v>
      </c>
      <c r="R2684" s="6" t="n">
        <v>0</v>
      </c>
      <c r="S2684" s="11"/>
      <c r="T2684" s="11" t="n">
        <v>0</v>
      </c>
      <c r="U2684" s="11" t="n">
        <v>1</v>
      </c>
      <c r="V2684" s="11" t="n">
        <v>1</v>
      </c>
    </row>
    <row r="2685" customFormat="false" ht="15" hidden="false" customHeight="false" outlineLevel="0" collapsed="false">
      <c r="A2685" s="6" t="s">
        <v>52</v>
      </c>
      <c r="B2685" s="6" t="s">
        <v>43</v>
      </c>
      <c r="C2685" s="6" t="s">
        <v>51</v>
      </c>
      <c r="D2685" s="6" t="s">
        <v>116</v>
      </c>
      <c r="E2685" s="6" t="n">
        <v>16</v>
      </c>
      <c r="F2685" s="6" t="n">
        <v>4</v>
      </c>
      <c r="G2685" s="6" t="s">
        <v>78</v>
      </c>
      <c r="H2685" s="11" t="n">
        <v>0.001</v>
      </c>
      <c r="I2685" s="6" t="n">
        <v>200</v>
      </c>
      <c r="J2685" s="6" t="n">
        <v>0</v>
      </c>
      <c r="K2685" s="6" t="n">
        <v>200</v>
      </c>
      <c r="L2685" s="6" t="n">
        <v>0</v>
      </c>
      <c r="M2685" s="6" t="n">
        <v>200</v>
      </c>
      <c r="N2685" s="11" t="n">
        <f aca="false">J2685/(J2685+K2685)</f>
        <v>0</v>
      </c>
      <c r="O2685" s="11" t="str">
        <f aca="false">IF(J2685+L2685=0,"",J2685/(J2685+L2685))</f>
        <v/>
      </c>
      <c r="P2685" s="11" t="n">
        <f aca="false">2*J2685/(2*J2685+L2685+K2685)</f>
        <v>0</v>
      </c>
      <c r="Q2685" s="11" t="n">
        <f aca="false">L2685/(L2685+M2685)</f>
        <v>0</v>
      </c>
      <c r="R2685" s="6" t="n">
        <v>1</v>
      </c>
      <c r="S2685" s="11" t="n">
        <v>0</v>
      </c>
      <c r="T2685" s="11" t="n">
        <v>0</v>
      </c>
      <c r="U2685" s="11" t="n">
        <v>0.88</v>
      </c>
      <c r="V2685" s="11" t="n">
        <v>0.885</v>
      </c>
    </row>
    <row r="2686" customFormat="false" ht="15" hidden="false" customHeight="false" outlineLevel="0" collapsed="false">
      <c r="A2686" s="6" t="s">
        <v>52</v>
      </c>
      <c r="B2686" s="6" t="s">
        <v>43</v>
      </c>
      <c r="C2686" s="6" t="s">
        <v>51</v>
      </c>
      <c r="D2686" s="6" t="s">
        <v>116</v>
      </c>
      <c r="E2686" s="6" t="n">
        <v>16</v>
      </c>
      <c r="F2686" s="6" t="n">
        <v>5</v>
      </c>
      <c r="G2686" s="6" t="s">
        <v>68</v>
      </c>
      <c r="H2686" s="11" t="n">
        <v>0.001</v>
      </c>
      <c r="I2686" s="6" t="n">
        <v>20</v>
      </c>
      <c r="J2686" s="6" t="n">
        <v>0</v>
      </c>
      <c r="K2686" s="6" t="n">
        <v>20</v>
      </c>
      <c r="L2686" s="6" t="n">
        <v>0</v>
      </c>
      <c r="M2686" s="6" t="n">
        <v>20</v>
      </c>
      <c r="N2686" s="11" t="n">
        <f aca="false">J2686/(J2686+K2686)</f>
        <v>0</v>
      </c>
      <c r="O2686" s="11" t="str">
        <f aca="false">IF(J2686+L2686=0,"",J2686/(J2686+L2686))</f>
        <v/>
      </c>
      <c r="P2686" s="11" t="n">
        <f aca="false">2*J2686/(2*J2686+L2686+K2686)</f>
        <v>0</v>
      </c>
      <c r="Q2686" s="11" t="n">
        <f aca="false">L2686/(L2686+M2686)</f>
        <v>0</v>
      </c>
      <c r="R2686" s="6" t="n">
        <v>3</v>
      </c>
      <c r="S2686" s="11" t="n">
        <v>0</v>
      </c>
      <c r="T2686" s="11" t="n">
        <v>0</v>
      </c>
      <c r="U2686" s="11" t="n">
        <v>0.85</v>
      </c>
      <c r="V2686" s="11" t="n">
        <v>0.75</v>
      </c>
    </row>
    <row r="2687" customFormat="false" ht="15" hidden="false" customHeight="false" outlineLevel="0" collapsed="false">
      <c r="A2687" s="6" t="s">
        <v>52</v>
      </c>
      <c r="B2687" s="6" t="s">
        <v>43</v>
      </c>
      <c r="C2687" s="6" t="s">
        <v>51</v>
      </c>
      <c r="D2687" s="6" t="s">
        <v>116</v>
      </c>
      <c r="E2687" s="6" t="n">
        <v>16</v>
      </c>
      <c r="F2687" s="6" t="n">
        <v>5</v>
      </c>
      <c r="G2687" s="6" t="s">
        <v>69</v>
      </c>
      <c r="H2687" s="11" t="n">
        <v>0.001</v>
      </c>
      <c r="I2687" s="6" t="n">
        <v>20</v>
      </c>
      <c r="J2687" s="6" t="n">
        <v>3</v>
      </c>
      <c r="K2687" s="6" t="n">
        <v>17</v>
      </c>
      <c r="L2687" s="6" t="n">
        <v>0</v>
      </c>
      <c r="M2687" s="6" t="n">
        <v>20</v>
      </c>
      <c r="N2687" s="11" t="n">
        <f aca="false">J2687/(J2687+K2687)</f>
        <v>0.15</v>
      </c>
      <c r="O2687" s="11" t="n">
        <f aca="false">IF(J2687+L2687=0,"",J2687/(J2687+L2687))</f>
        <v>1</v>
      </c>
      <c r="P2687" s="11" t="n">
        <f aca="false">2*J2687/(2*J2687+L2687+K2687)</f>
        <v>0.260869565217391</v>
      </c>
      <c r="Q2687" s="11" t="n">
        <f aca="false">L2687/(L2687+M2687)</f>
        <v>0</v>
      </c>
      <c r="R2687" s="6" t="n">
        <v>4</v>
      </c>
      <c r="S2687" s="11" t="n">
        <v>0.25</v>
      </c>
      <c r="T2687" s="11" t="n">
        <v>0.125</v>
      </c>
      <c r="U2687" s="11" t="n">
        <v>1</v>
      </c>
      <c r="V2687" s="11" t="n">
        <v>0.8</v>
      </c>
    </row>
    <row r="2688" customFormat="false" ht="15" hidden="false" customHeight="false" outlineLevel="0" collapsed="false">
      <c r="A2688" s="6" t="s">
        <v>52</v>
      </c>
      <c r="B2688" s="6" t="s">
        <v>43</v>
      </c>
      <c r="C2688" s="6" t="s">
        <v>51</v>
      </c>
      <c r="D2688" s="6" t="s">
        <v>116</v>
      </c>
      <c r="E2688" s="6" t="n">
        <v>16</v>
      </c>
      <c r="F2688" s="6" t="n">
        <v>5</v>
      </c>
      <c r="G2688" s="6" t="s">
        <v>70</v>
      </c>
      <c r="H2688" s="11" t="n">
        <v>0.001</v>
      </c>
      <c r="I2688" s="6" t="n">
        <v>20</v>
      </c>
      <c r="J2688" s="6" t="n">
        <v>0</v>
      </c>
      <c r="K2688" s="6" t="n">
        <v>20</v>
      </c>
      <c r="L2688" s="6" t="n">
        <v>0</v>
      </c>
      <c r="M2688" s="6" t="n">
        <v>20</v>
      </c>
      <c r="N2688" s="11" t="n">
        <f aca="false">J2688/(J2688+K2688)</f>
        <v>0</v>
      </c>
      <c r="O2688" s="11" t="str">
        <f aca="false">IF(J2688+L2688=0,"",J2688/(J2688+L2688))</f>
        <v/>
      </c>
      <c r="P2688" s="11" t="n">
        <f aca="false">2*J2688/(2*J2688+L2688+K2688)</f>
        <v>0</v>
      </c>
      <c r="Q2688" s="11" t="n">
        <f aca="false">L2688/(L2688+M2688)</f>
        <v>0</v>
      </c>
      <c r="R2688" s="6" t="n">
        <v>2</v>
      </c>
      <c r="S2688" s="11" t="n">
        <v>0</v>
      </c>
      <c r="T2688" s="11" t="n">
        <v>0</v>
      </c>
      <c r="U2688" s="11" t="n">
        <v>0.9</v>
      </c>
      <c r="V2688" s="11" t="n">
        <v>0.9</v>
      </c>
    </row>
    <row r="2689" customFormat="false" ht="15" hidden="false" customHeight="false" outlineLevel="0" collapsed="false">
      <c r="A2689" s="6" t="s">
        <v>52</v>
      </c>
      <c r="B2689" s="6" t="s">
        <v>43</v>
      </c>
      <c r="C2689" s="6" t="s">
        <v>51</v>
      </c>
      <c r="D2689" s="6" t="s">
        <v>116</v>
      </c>
      <c r="E2689" s="6" t="n">
        <v>16</v>
      </c>
      <c r="F2689" s="6" t="n">
        <v>5</v>
      </c>
      <c r="G2689" s="6" t="s">
        <v>71</v>
      </c>
      <c r="H2689" s="11" t="n">
        <v>0.001</v>
      </c>
      <c r="I2689" s="6" t="n">
        <v>20</v>
      </c>
      <c r="J2689" s="6" t="n">
        <v>0</v>
      </c>
      <c r="K2689" s="6" t="n">
        <v>20</v>
      </c>
      <c r="L2689" s="6" t="n">
        <v>0</v>
      </c>
      <c r="M2689" s="6" t="n">
        <v>20</v>
      </c>
      <c r="N2689" s="11" t="n">
        <f aca="false">J2689/(J2689+K2689)</f>
        <v>0</v>
      </c>
      <c r="O2689" s="11" t="str">
        <f aca="false">IF(J2689+L2689=0,"",J2689/(J2689+L2689))</f>
        <v/>
      </c>
      <c r="P2689" s="11" t="n">
        <f aca="false">2*J2689/(2*J2689+L2689+K2689)</f>
        <v>0</v>
      </c>
      <c r="Q2689" s="11" t="n">
        <f aca="false">L2689/(L2689+M2689)</f>
        <v>0</v>
      </c>
      <c r="R2689" s="6" t="n">
        <v>3</v>
      </c>
      <c r="S2689" s="11" t="n">
        <v>0</v>
      </c>
      <c r="T2689" s="11" t="n">
        <v>0</v>
      </c>
      <c r="U2689" s="11" t="n">
        <v>0.8</v>
      </c>
      <c r="V2689" s="11" t="n">
        <v>0.65</v>
      </c>
    </row>
    <row r="2690" customFormat="false" ht="15" hidden="false" customHeight="false" outlineLevel="0" collapsed="false">
      <c r="A2690" s="6" t="s">
        <v>52</v>
      </c>
      <c r="B2690" s="6" t="s">
        <v>43</v>
      </c>
      <c r="C2690" s="6" t="s">
        <v>51</v>
      </c>
      <c r="D2690" s="6" t="s">
        <v>116</v>
      </c>
      <c r="E2690" s="6" t="n">
        <v>16</v>
      </c>
      <c r="F2690" s="6" t="n">
        <v>5</v>
      </c>
      <c r="G2690" s="6" t="s">
        <v>72</v>
      </c>
      <c r="H2690" s="11" t="n">
        <v>0.001</v>
      </c>
      <c r="I2690" s="6" t="n">
        <v>20</v>
      </c>
      <c r="J2690" s="6" t="n">
        <v>0</v>
      </c>
      <c r="K2690" s="6" t="n">
        <v>20</v>
      </c>
      <c r="L2690" s="6" t="n">
        <v>0</v>
      </c>
      <c r="M2690" s="6" t="n">
        <v>20</v>
      </c>
      <c r="N2690" s="11" t="n">
        <f aca="false">J2690/(J2690+K2690)</f>
        <v>0</v>
      </c>
      <c r="O2690" s="11" t="str">
        <f aca="false">IF(J2690+L2690=0,"",J2690/(J2690+L2690))</f>
        <v/>
      </c>
      <c r="P2690" s="11" t="n">
        <f aca="false">2*J2690/(2*J2690+L2690+K2690)</f>
        <v>0</v>
      </c>
      <c r="Q2690" s="11" t="n">
        <f aca="false">L2690/(L2690+M2690)</f>
        <v>0</v>
      </c>
      <c r="R2690" s="6" t="n">
        <v>3</v>
      </c>
      <c r="S2690" s="11" t="n">
        <v>0</v>
      </c>
      <c r="T2690" s="11" t="n">
        <v>0</v>
      </c>
      <c r="U2690" s="11" t="n">
        <v>0.9</v>
      </c>
      <c r="V2690" s="11" t="n">
        <v>0.85</v>
      </c>
    </row>
    <row r="2691" customFormat="false" ht="15" hidden="false" customHeight="false" outlineLevel="0" collapsed="false">
      <c r="A2691" s="6" t="s">
        <v>52</v>
      </c>
      <c r="B2691" s="6" t="s">
        <v>43</v>
      </c>
      <c r="C2691" s="6" t="s">
        <v>51</v>
      </c>
      <c r="D2691" s="6" t="s">
        <v>116</v>
      </c>
      <c r="E2691" s="6" t="n">
        <v>16</v>
      </c>
      <c r="F2691" s="6" t="n">
        <v>5</v>
      </c>
      <c r="G2691" s="6" t="s">
        <v>73</v>
      </c>
      <c r="H2691" s="11" t="n">
        <v>0.001</v>
      </c>
      <c r="I2691" s="6" t="n">
        <v>20</v>
      </c>
      <c r="J2691" s="6" t="n">
        <v>0</v>
      </c>
      <c r="K2691" s="6" t="n">
        <v>20</v>
      </c>
      <c r="L2691" s="6" t="n">
        <v>0</v>
      </c>
      <c r="M2691" s="6" t="n">
        <v>20</v>
      </c>
      <c r="N2691" s="11" t="n">
        <f aca="false">J2691/(J2691+K2691)</f>
        <v>0</v>
      </c>
      <c r="O2691" s="11" t="str">
        <f aca="false">IF(J2691+L2691=0,"",J2691/(J2691+L2691))</f>
        <v/>
      </c>
      <c r="P2691" s="11" t="n">
        <f aca="false">2*J2691/(2*J2691+L2691+K2691)</f>
        <v>0</v>
      </c>
      <c r="Q2691" s="11" t="n">
        <f aca="false">L2691/(L2691+M2691)</f>
        <v>0</v>
      </c>
      <c r="R2691" s="6" t="n">
        <v>2</v>
      </c>
      <c r="S2691" s="11" t="n">
        <v>0</v>
      </c>
      <c r="T2691" s="11" t="n">
        <v>0</v>
      </c>
      <c r="U2691" s="11" t="n">
        <v>0.65</v>
      </c>
      <c r="V2691" s="11" t="n">
        <v>0.75</v>
      </c>
    </row>
    <row r="2692" customFormat="false" ht="15" hidden="false" customHeight="false" outlineLevel="0" collapsed="false">
      <c r="A2692" s="6" t="s">
        <v>52</v>
      </c>
      <c r="B2692" s="6" t="s">
        <v>43</v>
      </c>
      <c r="C2692" s="6" t="s">
        <v>51</v>
      </c>
      <c r="D2692" s="6" t="s">
        <v>116</v>
      </c>
      <c r="E2692" s="6" t="n">
        <v>16</v>
      </c>
      <c r="F2692" s="6" t="n">
        <v>5</v>
      </c>
      <c r="G2692" s="6" t="s">
        <v>74</v>
      </c>
      <c r="H2692" s="11" t="n">
        <v>0.001</v>
      </c>
      <c r="I2692" s="6" t="n">
        <v>20</v>
      </c>
      <c r="J2692" s="6" t="n">
        <v>0</v>
      </c>
      <c r="K2692" s="6" t="n">
        <v>20</v>
      </c>
      <c r="L2692" s="6" t="n">
        <v>0</v>
      </c>
      <c r="M2692" s="6" t="n">
        <v>20</v>
      </c>
      <c r="N2692" s="11" t="n">
        <f aca="false">J2692/(J2692+K2692)</f>
        <v>0</v>
      </c>
      <c r="O2692" s="11" t="str">
        <f aca="false">IF(J2692+L2692=0,"",J2692/(J2692+L2692))</f>
        <v/>
      </c>
      <c r="P2692" s="11" t="n">
        <f aca="false">2*J2692/(2*J2692+L2692+K2692)</f>
        <v>0</v>
      </c>
      <c r="Q2692" s="11" t="n">
        <f aca="false">L2692/(L2692+M2692)</f>
        <v>0</v>
      </c>
      <c r="R2692" s="6" t="n">
        <v>3</v>
      </c>
      <c r="S2692" s="11" t="n">
        <v>0</v>
      </c>
      <c r="T2692" s="11" t="n">
        <v>0</v>
      </c>
      <c r="U2692" s="11" t="n">
        <v>0.85</v>
      </c>
      <c r="V2692" s="11" t="n">
        <v>0.95</v>
      </c>
    </row>
    <row r="2693" customFormat="false" ht="15" hidden="false" customHeight="false" outlineLevel="0" collapsed="false">
      <c r="A2693" s="6" t="s">
        <v>52</v>
      </c>
      <c r="B2693" s="6" t="s">
        <v>43</v>
      </c>
      <c r="C2693" s="6" t="s">
        <v>51</v>
      </c>
      <c r="D2693" s="6" t="s">
        <v>116</v>
      </c>
      <c r="E2693" s="6" t="n">
        <v>16</v>
      </c>
      <c r="F2693" s="6" t="n">
        <v>5</v>
      </c>
      <c r="G2693" s="6" t="s">
        <v>75</v>
      </c>
      <c r="H2693" s="11" t="n">
        <v>0.001</v>
      </c>
      <c r="I2693" s="6" t="n">
        <v>20</v>
      </c>
      <c r="J2693" s="6" t="n">
        <v>0</v>
      </c>
      <c r="K2693" s="6" t="n">
        <v>20</v>
      </c>
      <c r="L2693" s="6" t="n">
        <v>0</v>
      </c>
      <c r="M2693" s="6" t="n">
        <v>20</v>
      </c>
      <c r="N2693" s="11" t="n">
        <f aca="false">J2693/(J2693+K2693)</f>
        <v>0</v>
      </c>
      <c r="O2693" s="11" t="str">
        <f aca="false">IF(J2693+L2693=0,"",J2693/(J2693+L2693))</f>
        <v/>
      </c>
      <c r="P2693" s="11" t="n">
        <f aca="false">2*J2693/(2*J2693+L2693+K2693)</f>
        <v>0</v>
      </c>
      <c r="Q2693" s="11" t="n">
        <f aca="false">L2693/(L2693+M2693)</f>
        <v>0</v>
      </c>
      <c r="R2693" s="6" t="n">
        <v>3</v>
      </c>
      <c r="S2693" s="11" t="n">
        <v>0</v>
      </c>
      <c r="T2693" s="11" t="n">
        <v>0</v>
      </c>
      <c r="U2693" s="11" t="n">
        <v>0.9</v>
      </c>
      <c r="V2693" s="11" t="n">
        <v>0.85</v>
      </c>
    </row>
    <row r="2694" customFormat="false" ht="15" hidden="false" customHeight="false" outlineLevel="0" collapsed="false">
      <c r="A2694" s="6" t="s">
        <v>52</v>
      </c>
      <c r="B2694" s="6" t="s">
        <v>43</v>
      </c>
      <c r="C2694" s="6" t="s">
        <v>51</v>
      </c>
      <c r="D2694" s="6" t="s">
        <v>116</v>
      </c>
      <c r="E2694" s="6" t="n">
        <v>16</v>
      </c>
      <c r="F2694" s="6" t="n">
        <v>5</v>
      </c>
      <c r="G2694" s="6" t="s">
        <v>76</v>
      </c>
      <c r="H2694" s="11" t="n">
        <v>0.001</v>
      </c>
      <c r="I2694" s="6" t="n">
        <v>20</v>
      </c>
      <c r="J2694" s="6" t="n">
        <v>0</v>
      </c>
      <c r="K2694" s="6" t="n">
        <v>20</v>
      </c>
      <c r="L2694" s="6" t="n">
        <v>0</v>
      </c>
      <c r="M2694" s="6" t="n">
        <v>20</v>
      </c>
      <c r="N2694" s="11" t="n">
        <f aca="false">J2694/(J2694+K2694)</f>
        <v>0</v>
      </c>
      <c r="O2694" s="11" t="str">
        <f aca="false">IF(J2694+L2694=0,"",J2694/(J2694+L2694))</f>
        <v/>
      </c>
      <c r="P2694" s="11" t="n">
        <f aca="false">2*J2694/(2*J2694+L2694+K2694)</f>
        <v>0</v>
      </c>
      <c r="Q2694" s="11" t="n">
        <f aca="false">L2694/(L2694+M2694)</f>
        <v>0</v>
      </c>
      <c r="R2694" s="6" t="n">
        <v>0</v>
      </c>
      <c r="S2694" s="11"/>
      <c r="T2694" s="11" t="n">
        <v>0</v>
      </c>
      <c r="U2694" s="11" t="n">
        <v>0.95</v>
      </c>
      <c r="V2694" s="11" t="n">
        <v>0.95</v>
      </c>
    </row>
    <row r="2695" customFormat="false" ht="15" hidden="false" customHeight="false" outlineLevel="0" collapsed="false">
      <c r="A2695" s="6" t="s">
        <v>52</v>
      </c>
      <c r="B2695" s="6" t="s">
        <v>43</v>
      </c>
      <c r="C2695" s="6" t="s">
        <v>51</v>
      </c>
      <c r="D2695" s="6" t="s">
        <v>116</v>
      </c>
      <c r="E2695" s="6" t="n">
        <v>16</v>
      </c>
      <c r="F2695" s="6" t="n">
        <v>5</v>
      </c>
      <c r="G2695" s="6" t="s">
        <v>77</v>
      </c>
      <c r="H2695" s="11" t="n">
        <v>0.001</v>
      </c>
      <c r="I2695" s="6" t="n">
        <v>20</v>
      </c>
      <c r="J2695" s="6" t="n">
        <v>2</v>
      </c>
      <c r="K2695" s="6" t="n">
        <v>18</v>
      </c>
      <c r="L2695" s="6" t="n">
        <v>0</v>
      </c>
      <c r="M2695" s="6" t="n">
        <v>20</v>
      </c>
      <c r="N2695" s="11" t="n">
        <f aca="false">J2695/(J2695+K2695)</f>
        <v>0.1</v>
      </c>
      <c r="O2695" s="11" t="n">
        <f aca="false">IF(J2695+L2695=0,"",J2695/(J2695+L2695))</f>
        <v>1</v>
      </c>
      <c r="P2695" s="11" t="n">
        <f aca="false">2*J2695/(2*J2695+L2695+K2695)</f>
        <v>0.181818181818182</v>
      </c>
      <c r="Q2695" s="11" t="n">
        <f aca="false">L2695/(L2695+M2695)</f>
        <v>0</v>
      </c>
      <c r="R2695" s="6" t="n">
        <v>0</v>
      </c>
      <c r="S2695" s="11"/>
      <c r="T2695" s="11" t="n">
        <v>0.1</v>
      </c>
      <c r="U2695" s="11" t="n">
        <v>1</v>
      </c>
      <c r="V2695" s="11" t="n">
        <v>1</v>
      </c>
    </row>
    <row r="2696" customFormat="false" ht="15" hidden="false" customHeight="false" outlineLevel="0" collapsed="false">
      <c r="A2696" s="6" t="s">
        <v>52</v>
      </c>
      <c r="B2696" s="6" t="s">
        <v>43</v>
      </c>
      <c r="C2696" s="6" t="s">
        <v>51</v>
      </c>
      <c r="D2696" s="6" t="s">
        <v>116</v>
      </c>
      <c r="E2696" s="6" t="n">
        <v>16</v>
      </c>
      <c r="F2696" s="6" t="n">
        <v>5</v>
      </c>
      <c r="G2696" s="6" t="s">
        <v>78</v>
      </c>
      <c r="H2696" s="11" t="n">
        <v>0.001</v>
      </c>
      <c r="I2696" s="6" t="n">
        <v>200</v>
      </c>
      <c r="J2696" s="6" t="n">
        <v>5</v>
      </c>
      <c r="K2696" s="6" t="n">
        <v>195</v>
      </c>
      <c r="L2696" s="6" t="n">
        <v>0</v>
      </c>
      <c r="M2696" s="6" t="n">
        <v>200</v>
      </c>
      <c r="N2696" s="11" t="n">
        <f aca="false">J2696/(J2696+K2696)</f>
        <v>0.025</v>
      </c>
      <c r="O2696" s="11" t="n">
        <f aca="false">IF(J2696+L2696=0,"",J2696/(J2696+L2696))</f>
        <v>1</v>
      </c>
      <c r="P2696" s="11" t="n">
        <f aca="false">2*J2696/(2*J2696+L2696+K2696)</f>
        <v>0.0487804878048781</v>
      </c>
      <c r="Q2696" s="11" t="n">
        <f aca="false">L2696/(L2696+M2696)</f>
        <v>0</v>
      </c>
      <c r="R2696" s="6" t="n">
        <v>23</v>
      </c>
      <c r="S2696" s="11" t="n">
        <v>0.0434782608695652</v>
      </c>
      <c r="T2696" s="11" t="n">
        <v>0.0225988700564972</v>
      </c>
      <c r="U2696" s="11" t="n">
        <v>0.88</v>
      </c>
      <c r="V2696" s="11" t="n">
        <v>0.845</v>
      </c>
    </row>
    <row r="2697" customFormat="false" ht="15" hidden="false" customHeight="false" outlineLevel="0" collapsed="false">
      <c r="A2697" s="6" t="s">
        <v>52</v>
      </c>
      <c r="B2697" s="6" t="s">
        <v>43</v>
      </c>
      <c r="C2697" s="6" t="s">
        <v>51</v>
      </c>
      <c r="D2697" s="6" t="s">
        <v>116</v>
      </c>
      <c r="E2697" s="6" t="n">
        <v>16</v>
      </c>
      <c r="F2697" s="6" t="n">
        <v>6</v>
      </c>
      <c r="G2697" s="6" t="s">
        <v>68</v>
      </c>
      <c r="H2697" s="11" t="n">
        <v>0.001</v>
      </c>
      <c r="I2697" s="6" t="n">
        <v>20</v>
      </c>
      <c r="J2697" s="6" t="n">
        <v>0</v>
      </c>
      <c r="K2697" s="6" t="n">
        <v>20</v>
      </c>
      <c r="L2697" s="6" t="n">
        <v>0</v>
      </c>
      <c r="M2697" s="6" t="n">
        <v>20</v>
      </c>
      <c r="N2697" s="11" t="n">
        <f aca="false">J2697/(J2697+K2697)</f>
        <v>0</v>
      </c>
      <c r="O2697" s="11" t="str">
        <f aca="false">IF(J2697+L2697=0,"",J2697/(J2697+L2697))</f>
        <v/>
      </c>
      <c r="P2697" s="11" t="n">
        <f aca="false">2*J2697/(2*J2697+L2697+K2697)</f>
        <v>0</v>
      </c>
      <c r="Q2697" s="11" t="n">
        <f aca="false">L2697/(L2697+M2697)</f>
        <v>0</v>
      </c>
      <c r="R2697" s="6" t="n">
        <v>0</v>
      </c>
      <c r="S2697" s="11"/>
      <c r="T2697" s="11" t="n">
        <v>0</v>
      </c>
      <c r="U2697" s="11" t="n">
        <v>0.85</v>
      </c>
      <c r="V2697" s="11" t="n">
        <v>0.85</v>
      </c>
    </row>
    <row r="2698" customFormat="false" ht="15" hidden="false" customHeight="false" outlineLevel="0" collapsed="false">
      <c r="A2698" s="6" t="s">
        <v>52</v>
      </c>
      <c r="B2698" s="6" t="s">
        <v>43</v>
      </c>
      <c r="C2698" s="6" t="s">
        <v>51</v>
      </c>
      <c r="D2698" s="6" t="s">
        <v>116</v>
      </c>
      <c r="E2698" s="6" t="n">
        <v>16</v>
      </c>
      <c r="F2698" s="6" t="n">
        <v>6</v>
      </c>
      <c r="G2698" s="6" t="s">
        <v>69</v>
      </c>
      <c r="H2698" s="11" t="n">
        <v>0.001</v>
      </c>
      <c r="I2698" s="6" t="n">
        <v>20</v>
      </c>
      <c r="J2698" s="6" t="n">
        <v>0</v>
      </c>
      <c r="K2698" s="6" t="n">
        <v>20</v>
      </c>
      <c r="L2698" s="6" t="n">
        <v>0</v>
      </c>
      <c r="M2698" s="6" t="n">
        <v>20</v>
      </c>
      <c r="N2698" s="11" t="n">
        <f aca="false">J2698/(J2698+K2698)</f>
        <v>0</v>
      </c>
      <c r="O2698" s="11" t="str">
        <f aca="false">IF(J2698+L2698=0,"",J2698/(J2698+L2698))</f>
        <v/>
      </c>
      <c r="P2698" s="11" t="n">
        <f aca="false">2*J2698/(2*J2698+L2698+K2698)</f>
        <v>0</v>
      </c>
      <c r="Q2698" s="11" t="n">
        <f aca="false">L2698/(L2698+M2698)</f>
        <v>0</v>
      </c>
      <c r="R2698" s="6" t="n">
        <v>0</v>
      </c>
      <c r="S2698" s="11"/>
      <c r="T2698" s="11" t="n">
        <v>0</v>
      </c>
      <c r="U2698" s="11" t="n">
        <v>1</v>
      </c>
      <c r="V2698" s="11" t="n">
        <v>1</v>
      </c>
    </row>
    <row r="2699" customFormat="false" ht="15" hidden="false" customHeight="false" outlineLevel="0" collapsed="false">
      <c r="A2699" s="6" t="s">
        <v>52</v>
      </c>
      <c r="B2699" s="6" t="s">
        <v>43</v>
      </c>
      <c r="C2699" s="6" t="s">
        <v>51</v>
      </c>
      <c r="D2699" s="6" t="s">
        <v>116</v>
      </c>
      <c r="E2699" s="6" t="n">
        <v>16</v>
      </c>
      <c r="F2699" s="6" t="n">
        <v>6</v>
      </c>
      <c r="G2699" s="6" t="s">
        <v>70</v>
      </c>
      <c r="H2699" s="11" t="n">
        <v>0.001</v>
      </c>
      <c r="I2699" s="6" t="n">
        <v>20</v>
      </c>
      <c r="J2699" s="6" t="n">
        <v>0</v>
      </c>
      <c r="K2699" s="6" t="n">
        <v>20</v>
      </c>
      <c r="L2699" s="6" t="n">
        <v>0</v>
      </c>
      <c r="M2699" s="6" t="n">
        <v>20</v>
      </c>
      <c r="N2699" s="11" t="n">
        <f aca="false">J2699/(J2699+K2699)</f>
        <v>0</v>
      </c>
      <c r="O2699" s="11" t="str">
        <f aca="false">IF(J2699+L2699=0,"",J2699/(J2699+L2699))</f>
        <v/>
      </c>
      <c r="P2699" s="11" t="n">
        <f aca="false">2*J2699/(2*J2699+L2699+K2699)</f>
        <v>0</v>
      </c>
      <c r="Q2699" s="11" t="n">
        <f aca="false">L2699/(L2699+M2699)</f>
        <v>0</v>
      </c>
      <c r="R2699" s="6" t="n">
        <v>0</v>
      </c>
      <c r="S2699" s="11"/>
      <c r="T2699" s="11" t="n">
        <v>0</v>
      </c>
      <c r="U2699" s="11" t="n">
        <v>0.9</v>
      </c>
      <c r="V2699" s="11" t="n">
        <v>0.9</v>
      </c>
    </row>
    <row r="2700" customFormat="false" ht="15" hidden="false" customHeight="false" outlineLevel="0" collapsed="false">
      <c r="A2700" s="6" t="s">
        <v>52</v>
      </c>
      <c r="B2700" s="6" t="s">
        <v>43</v>
      </c>
      <c r="C2700" s="6" t="s">
        <v>51</v>
      </c>
      <c r="D2700" s="6" t="s">
        <v>116</v>
      </c>
      <c r="E2700" s="6" t="n">
        <v>16</v>
      </c>
      <c r="F2700" s="6" t="n">
        <v>6</v>
      </c>
      <c r="G2700" s="6" t="s">
        <v>71</v>
      </c>
      <c r="H2700" s="11" t="n">
        <v>0.001</v>
      </c>
      <c r="I2700" s="6" t="n">
        <v>20</v>
      </c>
      <c r="J2700" s="6" t="n">
        <v>0</v>
      </c>
      <c r="K2700" s="6" t="n">
        <v>20</v>
      </c>
      <c r="L2700" s="6" t="n">
        <v>0</v>
      </c>
      <c r="M2700" s="6" t="n">
        <v>20</v>
      </c>
      <c r="N2700" s="11" t="n">
        <f aca="false">J2700/(J2700+K2700)</f>
        <v>0</v>
      </c>
      <c r="O2700" s="11" t="str">
        <f aca="false">IF(J2700+L2700=0,"",J2700/(J2700+L2700))</f>
        <v/>
      </c>
      <c r="P2700" s="11" t="n">
        <f aca="false">2*J2700/(2*J2700+L2700+K2700)</f>
        <v>0</v>
      </c>
      <c r="Q2700" s="11" t="n">
        <f aca="false">L2700/(L2700+M2700)</f>
        <v>0</v>
      </c>
      <c r="R2700" s="6" t="n">
        <v>0</v>
      </c>
      <c r="S2700" s="11"/>
      <c r="T2700" s="11" t="n">
        <v>0</v>
      </c>
      <c r="U2700" s="11" t="n">
        <v>0.8</v>
      </c>
      <c r="V2700" s="11" t="n">
        <v>0.8</v>
      </c>
    </row>
    <row r="2701" customFormat="false" ht="15" hidden="false" customHeight="false" outlineLevel="0" collapsed="false">
      <c r="A2701" s="6" t="s">
        <v>52</v>
      </c>
      <c r="B2701" s="6" t="s">
        <v>43</v>
      </c>
      <c r="C2701" s="6" t="s">
        <v>51</v>
      </c>
      <c r="D2701" s="6" t="s">
        <v>116</v>
      </c>
      <c r="E2701" s="6" t="n">
        <v>16</v>
      </c>
      <c r="F2701" s="6" t="n">
        <v>6</v>
      </c>
      <c r="G2701" s="6" t="s">
        <v>72</v>
      </c>
      <c r="H2701" s="11" t="n">
        <v>0.001</v>
      </c>
      <c r="I2701" s="6" t="n">
        <v>20</v>
      </c>
      <c r="J2701" s="6" t="n">
        <v>0</v>
      </c>
      <c r="K2701" s="6" t="n">
        <v>20</v>
      </c>
      <c r="L2701" s="6" t="n">
        <v>0</v>
      </c>
      <c r="M2701" s="6" t="n">
        <v>20</v>
      </c>
      <c r="N2701" s="11" t="n">
        <f aca="false">J2701/(J2701+K2701)</f>
        <v>0</v>
      </c>
      <c r="O2701" s="11" t="str">
        <f aca="false">IF(J2701+L2701=0,"",J2701/(J2701+L2701))</f>
        <v/>
      </c>
      <c r="P2701" s="11" t="n">
        <f aca="false">2*J2701/(2*J2701+L2701+K2701)</f>
        <v>0</v>
      </c>
      <c r="Q2701" s="11" t="n">
        <f aca="false">L2701/(L2701+M2701)</f>
        <v>0</v>
      </c>
      <c r="R2701" s="6" t="n">
        <v>0</v>
      </c>
      <c r="S2701" s="11"/>
      <c r="T2701" s="11" t="n">
        <v>0</v>
      </c>
      <c r="U2701" s="11" t="n">
        <v>0.9</v>
      </c>
      <c r="V2701" s="11" t="n">
        <v>0.9</v>
      </c>
    </row>
    <row r="2702" customFormat="false" ht="15" hidden="false" customHeight="false" outlineLevel="0" collapsed="false">
      <c r="A2702" s="6" t="s">
        <v>52</v>
      </c>
      <c r="B2702" s="6" t="s">
        <v>43</v>
      </c>
      <c r="C2702" s="6" t="s">
        <v>51</v>
      </c>
      <c r="D2702" s="6" t="s">
        <v>116</v>
      </c>
      <c r="E2702" s="6" t="n">
        <v>16</v>
      </c>
      <c r="F2702" s="6" t="n">
        <v>6</v>
      </c>
      <c r="G2702" s="6" t="s">
        <v>73</v>
      </c>
      <c r="H2702" s="11" t="n">
        <v>0.001</v>
      </c>
      <c r="I2702" s="6" t="n">
        <v>20</v>
      </c>
      <c r="J2702" s="6" t="n">
        <v>0</v>
      </c>
      <c r="K2702" s="6" t="n">
        <v>20</v>
      </c>
      <c r="L2702" s="6" t="n">
        <v>0</v>
      </c>
      <c r="M2702" s="6" t="n">
        <v>20</v>
      </c>
      <c r="N2702" s="11" t="n">
        <f aca="false">J2702/(J2702+K2702)</f>
        <v>0</v>
      </c>
      <c r="O2702" s="11" t="str">
        <f aca="false">IF(J2702+L2702=0,"",J2702/(J2702+L2702))</f>
        <v/>
      </c>
      <c r="P2702" s="11" t="n">
        <f aca="false">2*J2702/(2*J2702+L2702+K2702)</f>
        <v>0</v>
      </c>
      <c r="Q2702" s="11" t="n">
        <f aca="false">L2702/(L2702+M2702)</f>
        <v>0</v>
      </c>
      <c r="R2702" s="6" t="n">
        <v>0</v>
      </c>
      <c r="S2702" s="11"/>
      <c r="T2702" s="11" t="n">
        <v>0</v>
      </c>
      <c r="U2702" s="11" t="n">
        <v>0.65</v>
      </c>
      <c r="V2702" s="11" t="n">
        <v>0.65</v>
      </c>
    </row>
    <row r="2703" customFormat="false" ht="15" hidden="false" customHeight="false" outlineLevel="0" collapsed="false">
      <c r="A2703" s="6" t="s">
        <v>52</v>
      </c>
      <c r="B2703" s="6" t="s">
        <v>43</v>
      </c>
      <c r="C2703" s="6" t="s">
        <v>51</v>
      </c>
      <c r="D2703" s="6" t="s">
        <v>116</v>
      </c>
      <c r="E2703" s="6" t="n">
        <v>16</v>
      </c>
      <c r="F2703" s="6" t="n">
        <v>6</v>
      </c>
      <c r="G2703" s="6" t="s">
        <v>74</v>
      </c>
      <c r="H2703" s="11" t="n">
        <v>0.001</v>
      </c>
      <c r="I2703" s="6" t="n">
        <v>20</v>
      </c>
      <c r="J2703" s="6" t="n">
        <v>0</v>
      </c>
      <c r="K2703" s="6" t="n">
        <v>20</v>
      </c>
      <c r="L2703" s="6" t="n">
        <v>0</v>
      </c>
      <c r="M2703" s="6" t="n">
        <v>20</v>
      </c>
      <c r="N2703" s="11" t="n">
        <f aca="false">J2703/(J2703+K2703)</f>
        <v>0</v>
      </c>
      <c r="O2703" s="11" t="str">
        <f aca="false">IF(J2703+L2703=0,"",J2703/(J2703+L2703))</f>
        <v/>
      </c>
      <c r="P2703" s="11" t="n">
        <f aca="false">2*J2703/(2*J2703+L2703+K2703)</f>
        <v>0</v>
      </c>
      <c r="Q2703" s="11" t="n">
        <f aca="false">L2703/(L2703+M2703)</f>
        <v>0</v>
      </c>
      <c r="R2703" s="6" t="n">
        <v>1</v>
      </c>
      <c r="S2703" s="11" t="n">
        <v>0</v>
      </c>
      <c r="T2703" s="11" t="n">
        <v>0</v>
      </c>
      <c r="U2703" s="11" t="n">
        <v>0.85</v>
      </c>
      <c r="V2703" s="11" t="n">
        <v>0.9</v>
      </c>
    </row>
    <row r="2704" customFormat="false" ht="15" hidden="false" customHeight="false" outlineLevel="0" collapsed="false">
      <c r="A2704" s="6" t="s">
        <v>52</v>
      </c>
      <c r="B2704" s="6" t="s">
        <v>43</v>
      </c>
      <c r="C2704" s="6" t="s">
        <v>51</v>
      </c>
      <c r="D2704" s="6" t="s">
        <v>116</v>
      </c>
      <c r="E2704" s="6" t="n">
        <v>16</v>
      </c>
      <c r="F2704" s="6" t="n">
        <v>6</v>
      </c>
      <c r="G2704" s="6" t="s">
        <v>75</v>
      </c>
      <c r="H2704" s="11" t="n">
        <v>0.001</v>
      </c>
      <c r="I2704" s="6" t="n">
        <v>20</v>
      </c>
      <c r="J2704" s="6" t="n">
        <v>0</v>
      </c>
      <c r="K2704" s="6" t="n">
        <v>20</v>
      </c>
      <c r="L2704" s="6" t="n">
        <v>0</v>
      </c>
      <c r="M2704" s="6" t="n">
        <v>20</v>
      </c>
      <c r="N2704" s="11" t="n">
        <f aca="false">J2704/(J2704+K2704)</f>
        <v>0</v>
      </c>
      <c r="O2704" s="11" t="str">
        <f aca="false">IF(J2704+L2704=0,"",J2704/(J2704+L2704))</f>
        <v/>
      </c>
      <c r="P2704" s="11" t="n">
        <f aca="false">2*J2704/(2*J2704+L2704+K2704)</f>
        <v>0</v>
      </c>
      <c r="Q2704" s="11" t="n">
        <f aca="false">L2704/(L2704+M2704)</f>
        <v>0</v>
      </c>
      <c r="R2704" s="6" t="n">
        <v>0</v>
      </c>
      <c r="S2704" s="11"/>
      <c r="T2704" s="11" t="n">
        <v>0</v>
      </c>
      <c r="U2704" s="11" t="n">
        <v>0.9</v>
      </c>
      <c r="V2704" s="11" t="n">
        <v>0.9</v>
      </c>
    </row>
    <row r="2705" customFormat="false" ht="15" hidden="false" customHeight="false" outlineLevel="0" collapsed="false">
      <c r="A2705" s="6" t="s">
        <v>52</v>
      </c>
      <c r="B2705" s="6" t="s">
        <v>43</v>
      </c>
      <c r="C2705" s="6" t="s">
        <v>51</v>
      </c>
      <c r="D2705" s="6" t="s">
        <v>116</v>
      </c>
      <c r="E2705" s="6" t="n">
        <v>16</v>
      </c>
      <c r="F2705" s="6" t="n">
        <v>6</v>
      </c>
      <c r="G2705" s="6" t="s">
        <v>76</v>
      </c>
      <c r="H2705" s="11" t="n">
        <v>0.001</v>
      </c>
      <c r="I2705" s="6" t="n">
        <v>20</v>
      </c>
      <c r="J2705" s="6" t="n">
        <v>0</v>
      </c>
      <c r="K2705" s="6" t="n">
        <v>20</v>
      </c>
      <c r="L2705" s="6" t="n">
        <v>0</v>
      </c>
      <c r="M2705" s="6" t="n">
        <v>20</v>
      </c>
      <c r="N2705" s="11" t="n">
        <f aca="false">J2705/(J2705+K2705)</f>
        <v>0</v>
      </c>
      <c r="O2705" s="11" t="str">
        <f aca="false">IF(J2705+L2705=0,"",J2705/(J2705+L2705))</f>
        <v/>
      </c>
      <c r="P2705" s="11" t="n">
        <f aca="false">2*J2705/(2*J2705+L2705+K2705)</f>
        <v>0</v>
      </c>
      <c r="Q2705" s="11" t="n">
        <f aca="false">L2705/(L2705+M2705)</f>
        <v>0</v>
      </c>
      <c r="R2705" s="6" t="n">
        <v>0</v>
      </c>
      <c r="S2705" s="11"/>
      <c r="T2705" s="11" t="n">
        <v>0</v>
      </c>
      <c r="U2705" s="11" t="n">
        <v>0.95</v>
      </c>
      <c r="V2705" s="11" t="n">
        <v>0.95</v>
      </c>
    </row>
    <row r="2706" customFormat="false" ht="15" hidden="false" customHeight="false" outlineLevel="0" collapsed="false">
      <c r="A2706" s="6" t="s">
        <v>52</v>
      </c>
      <c r="B2706" s="6" t="s">
        <v>43</v>
      </c>
      <c r="C2706" s="6" t="s">
        <v>51</v>
      </c>
      <c r="D2706" s="6" t="s">
        <v>116</v>
      </c>
      <c r="E2706" s="6" t="n">
        <v>16</v>
      </c>
      <c r="F2706" s="6" t="n">
        <v>6</v>
      </c>
      <c r="G2706" s="6" t="s">
        <v>77</v>
      </c>
      <c r="H2706" s="11" t="n">
        <v>0.001</v>
      </c>
      <c r="I2706" s="6" t="n">
        <v>20</v>
      </c>
      <c r="J2706" s="6" t="n">
        <v>0</v>
      </c>
      <c r="K2706" s="6" t="n">
        <v>20</v>
      </c>
      <c r="L2706" s="6" t="n">
        <v>0</v>
      </c>
      <c r="M2706" s="6" t="n">
        <v>20</v>
      </c>
      <c r="N2706" s="11" t="n">
        <f aca="false">J2706/(J2706+K2706)</f>
        <v>0</v>
      </c>
      <c r="O2706" s="11" t="str">
        <f aca="false">IF(J2706+L2706=0,"",J2706/(J2706+L2706))</f>
        <v/>
      </c>
      <c r="P2706" s="11" t="n">
        <f aca="false">2*J2706/(2*J2706+L2706+K2706)</f>
        <v>0</v>
      </c>
      <c r="Q2706" s="11" t="n">
        <f aca="false">L2706/(L2706+M2706)</f>
        <v>0</v>
      </c>
      <c r="R2706" s="6" t="n">
        <v>0</v>
      </c>
      <c r="S2706" s="11"/>
      <c r="T2706" s="11" t="n">
        <v>0</v>
      </c>
      <c r="U2706" s="11" t="n">
        <v>1</v>
      </c>
      <c r="V2706" s="11" t="n">
        <v>1</v>
      </c>
    </row>
    <row r="2707" customFormat="false" ht="15" hidden="false" customHeight="false" outlineLevel="0" collapsed="false">
      <c r="A2707" s="6" t="s">
        <v>52</v>
      </c>
      <c r="B2707" s="6" t="s">
        <v>43</v>
      </c>
      <c r="C2707" s="6" t="s">
        <v>51</v>
      </c>
      <c r="D2707" s="6" t="s">
        <v>116</v>
      </c>
      <c r="E2707" s="6" t="n">
        <v>16</v>
      </c>
      <c r="F2707" s="6" t="n">
        <v>6</v>
      </c>
      <c r="G2707" s="6" t="s">
        <v>78</v>
      </c>
      <c r="H2707" s="11" t="n">
        <v>0.001</v>
      </c>
      <c r="I2707" s="6" t="n">
        <v>200</v>
      </c>
      <c r="J2707" s="6" t="n">
        <v>0</v>
      </c>
      <c r="K2707" s="6" t="n">
        <v>200</v>
      </c>
      <c r="L2707" s="6" t="n">
        <v>0</v>
      </c>
      <c r="M2707" s="6" t="n">
        <v>200</v>
      </c>
      <c r="N2707" s="11" t="n">
        <f aca="false">J2707/(J2707+K2707)</f>
        <v>0</v>
      </c>
      <c r="O2707" s="11" t="str">
        <f aca="false">IF(J2707+L2707=0,"",J2707/(J2707+L2707))</f>
        <v/>
      </c>
      <c r="P2707" s="11" t="n">
        <f aca="false">2*J2707/(2*J2707+L2707+K2707)</f>
        <v>0</v>
      </c>
      <c r="Q2707" s="11" t="n">
        <f aca="false">L2707/(L2707+M2707)</f>
        <v>0</v>
      </c>
      <c r="R2707" s="6" t="n">
        <v>1</v>
      </c>
      <c r="S2707" s="11" t="n">
        <v>0</v>
      </c>
      <c r="T2707" s="11" t="n">
        <v>0</v>
      </c>
      <c r="U2707" s="11" t="n">
        <v>0.88</v>
      </c>
      <c r="V2707" s="11" t="n">
        <v>0.885</v>
      </c>
    </row>
    <row r="2708" customFormat="false" ht="15" hidden="false" customHeight="false" outlineLevel="0" collapsed="false">
      <c r="A2708" s="6" t="s">
        <v>52</v>
      </c>
      <c r="B2708" s="6" t="s">
        <v>43</v>
      </c>
      <c r="C2708" s="6" t="s">
        <v>51</v>
      </c>
      <c r="D2708" s="6" t="s">
        <v>116</v>
      </c>
      <c r="E2708" s="6" t="n">
        <v>16</v>
      </c>
      <c r="F2708" s="6" t="n">
        <v>7</v>
      </c>
      <c r="G2708" s="6" t="s">
        <v>68</v>
      </c>
      <c r="H2708" s="11" t="n">
        <v>0.001</v>
      </c>
      <c r="I2708" s="6" t="n">
        <v>20</v>
      </c>
      <c r="J2708" s="6" t="n">
        <v>0</v>
      </c>
      <c r="K2708" s="6" t="n">
        <v>20</v>
      </c>
      <c r="L2708" s="6" t="n">
        <v>0</v>
      </c>
      <c r="M2708" s="6" t="n">
        <v>20</v>
      </c>
      <c r="N2708" s="11" t="n">
        <f aca="false">J2708/(J2708+K2708)</f>
        <v>0</v>
      </c>
      <c r="O2708" s="11" t="str">
        <f aca="false">IF(J2708+L2708=0,"",J2708/(J2708+L2708))</f>
        <v/>
      </c>
      <c r="P2708" s="11" t="n">
        <f aca="false">2*J2708/(2*J2708+L2708+K2708)</f>
        <v>0</v>
      </c>
      <c r="Q2708" s="11" t="n">
        <f aca="false">L2708/(L2708+M2708)</f>
        <v>0</v>
      </c>
      <c r="R2708" s="6" t="n">
        <v>1</v>
      </c>
      <c r="S2708" s="11" t="n">
        <v>0</v>
      </c>
      <c r="T2708" s="11" t="n">
        <v>0</v>
      </c>
      <c r="U2708" s="11" t="n">
        <v>0.85</v>
      </c>
      <c r="V2708" s="11" t="n">
        <v>0.85</v>
      </c>
    </row>
    <row r="2709" customFormat="false" ht="15" hidden="false" customHeight="false" outlineLevel="0" collapsed="false">
      <c r="A2709" s="6" t="s">
        <v>52</v>
      </c>
      <c r="B2709" s="6" t="s">
        <v>43</v>
      </c>
      <c r="C2709" s="6" t="s">
        <v>51</v>
      </c>
      <c r="D2709" s="6" t="s">
        <v>116</v>
      </c>
      <c r="E2709" s="6" t="n">
        <v>16</v>
      </c>
      <c r="F2709" s="6" t="n">
        <v>7</v>
      </c>
      <c r="G2709" s="6" t="s">
        <v>69</v>
      </c>
      <c r="H2709" s="11" t="n">
        <v>0.001</v>
      </c>
      <c r="I2709" s="6" t="n">
        <v>20</v>
      </c>
      <c r="J2709" s="6" t="n">
        <v>0</v>
      </c>
      <c r="K2709" s="6" t="n">
        <v>20</v>
      </c>
      <c r="L2709" s="6" t="n">
        <v>0</v>
      </c>
      <c r="M2709" s="6" t="n">
        <v>20</v>
      </c>
      <c r="N2709" s="11" t="n">
        <f aca="false">J2709/(J2709+K2709)</f>
        <v>0</v>
      </c>
      <c r="O2709" s="11" t="str">
        <f aca="false">IF(J2709+L2709=0,"",J2709/(J2709+L2709))</f>
        <v/>
      </c>
      <c r="P2709" s="11" t="n">
        <f aca="false">2*J2709/(2*J2709+L2709+K2709)</f>
        <v>0</v>
      </c>
      <c r="Q2709" s="11" t="n">
        <f aca="false">L2709/(L2709+M2709)</f>
        <v>0</v>
      </c>
      <c r="R2709" s="6" t="n">
        <v>0</v>
      </c>
      <c r="S2709" s="11"/>
      <c r="T2709" s="11" t="n">
        <v>0</v>
      </c>
      <c r="U2709" s="11" t="n">
        <v>1</v>
      </c>
      <c r="V2709" s="11" t="n">
        <v>1</v>
      </c>
    </row>
    <row r="2710" customFormat="false" ht="15" hidden="false" customHeight="false" outlineLevel="0" collapsed="false">
      <c r="A2710" s="6" t="s">
        <v>52</v>
      </c>
      <c r="B2710" s="6" t="s">
        <v>43</v>
      </c>
      <c r="C2710" s="6" t="s">
        <v>51</v>
      </c>
      <c r="D2710" s="6" t="s">
        <v>116</v>
      </c>
      <c r="E2710" s="6" t="n">
        <v>16</v>
      </c>
      <c r="F2710" s="6" t="n">
        <v>7</v>
      </c>
      <c r="G2710" s="6" t="s">
        <v>70</v>
      </c>
      <c r="H2710" s="11" t="n">
        <v>0.001</v>
      </c>
      <c r="I2710" s="6" t="n">
        <v>20</v>
      </c>
      <c r="J2710" s="6" t="n">
        <v>0</v>
      </c>
      <c r="K2710" s="6" t="n">
        <v>20</v>
      </c>
      <c r="L2710" s="6" t="n">
        <v>0</v>
      </c>
      <c r="M2710" s="6" t="n">
        <v>20</v>
      </c>
      <c r="N2710" s="11" t="n">
        <f aca="false">J2710/(J2710+K2710)</f>
        <v>0</v>
      </c>
      <c r="O2710" s="11" t="str">
        <f aca="false">IF(J2710+L2710=0,"",J2710/(J2710+L2710))</f>
        <v/>
      </c>
      <c r="P2710" s="11" t="n">
        <f aca="false">2*J2710/(2*J2710+L2710+K2710)</f>
        <v>0</v>
      </c>
      <c r="Q2710" s="11" t="n">
        <f aca="false">L2710/(L2710+M2710)</f>
        <v>0</v>
      </c>
      <c r="R2710" s="6" t="n">
        <v>1</v>
      </c>
      <c r="S2710" s="11" t="n">
        <v>0</v>
      </c>
      <c r="T2710" s="11" t="n">
        <v>0</v>
      </c>
      <c r="U2710" s="11" t="n">
        <v>0.9</v>
      </c>
      <c r="V2710" s="11" t="n">
        <v>0.95</v>
      </c>
    </row>
    <row r="2711" customFormat="false" ht="15" hidden="false" customHeight="false" outlineLevel="0" collapsed="false">
      <c r="A2711" s="6" t="s">
        <v>52</v>
      </c>
      <c r="B2711" s="6" t="s">
        <v>43</v>
      </c>
      <c r="C2711" s="6" t="s">
        <v>51</v>
      </c>
      <c r="D2711" s="6" t="s">
        <v>116</v>
      </c>
      <c r="E2711" s="6" t="n">
        <v>16</v>
      </c>
      <c r="F2711" s="6" t="n">
        <v>7</v>
      </c>
      <c r="G2711" s="6" t="s">
        <v>71</v>
      </c>
      <c r="H2711" s="11" t="n">
        <v>0.001</v>
      </c>
      <c r="I2711" s="6" t="n">
        <v>20</v>
      </c>
      <c r="J2711" s="6" t="n">
        <v>0</v>
      </c>
      <c r="K2711" s="6" t="n">
        <v>20</v>
      </c>
      <c r="L2711" s="6" t="n">
        <v>0</v>
      </c>
      <c r="M2711" s="6" t="n">
        <v>20</v>
      </c>
      <c r="N2711" s="11" t="n">
        <f aca="false">J2711/(J2711+K2711)</f>
        <v>0</v>
      </c>
      <c r="O2711" s="11" t="str">
        <f aca="false">IF(J2711+L2711=0,"",J2711/(J2711+L2711))</f>
        <v/>
      </c>
      <c r="P2711" s="11" t="n">
        <f aca="false">2*J2711/(2*J2711+L2711+K2711)</f>
        <v>0</v>
      </c>
      <c r="Q2711" s="11" t="n">
        <f aca="false">L2711/(L2711+M2711)</f>
        <v>0</v>
      </c>
      <c r="R2711" s="6" t="n">
        <v>0</v>
      </c>
      <c r="S2711" s="11"/>
      <c r="T2711" s="11" t="n">
        <v>0</v>
      </c>
      <c r="U2711" s="11" t="n">
        <v>0.8</v>
      </c>
      <c r="V2711" s="11" t="n">
        <v>0.8</v>
      </c>
    </row>
    <row r="2712" customFormat="false" ht="15" hidden="false" customHeight="false" outlineLevel="0" collapsed="false">
      <c r="A2712" s="6" t="s">
        <v>52</v>
      </c>
      <c r="B2712" s="6" t="s">
        <v>43</v>
      </c>
      <c r="C2712" s="6" t="s">
        <v>51</v>
      </c>
      <c r="D2712" s="6" t="s">
        <v>116</v>
      </c>
      <c r="E2712" s="6" t="n">
        <v>16</v>
      </c>
      <c r="F2712" s="6" t="n">
        <v>7</v>
      </c>
      <c r="G2712" s="6" t="s">
        <v>72</v>
      </c>
      <c r="H2712" s="11" t="n">
        <v>0.001</v>
      </c>
      <c r="I2712" s="6" t="n">
        <v>20</v>
      </c>
      <c r="J2712" s="6" t="n">
        <v>0</v>
      </c>
      <c r="K2712" s="6" t="n">
        <v>20</v>
      </c>
      <c r="L2712" s="6" t="n">
        <v>0</v>
      </c>
      <c r="M2712" s="6" t="n">
        <v>20</v>
      </c>
      <c r="N2712" s="11" t="n">
        <f aca="false">J2712/(J2712+K2712)</f>
        <v>0</v>
      </c>
      <c r="O2712" s="11" t="str">
        <f aca="false">IF(J2712+L2712=0,"",J2712/(J2712+L2712))</f>
        <v/>
      </c>
      <c r="P2712" s="11" t="n">
        <f aca="false">2*J2712/(2*J2712+L2712+K2712)</f>
        <v>0</v>
      </c>
      <c r="Q2712" s="11" t="n">
        <f aca="false">L2712/(L2712+M2712)</f>
        <v>0</v>
      </c>
      <c r="R2712" s="6" t="n">
        <v>1</v>
      </c>
      <c r="S2712" s="11" t="n">
        <v>0</v>
      </c>
      <c r="T2712" s="11" t="n">
        <v>0</v>
      </c>
      <c r="U2712" s="11" t="n">
        <v>0.9</v>
      </c>
      <c r="V2712" s="11" t="n">
        <v>0.85</v>
      </c>
    </row>
    <row r="2713" customFormat="false" ht="15" hidden="false" customHeight="false" outlineLevel="0" collapsed="false">
      <c r="A2713" s="6" t="s">
        <v>52</v>
      </c>
      <c r="B2713" s="6" t="s">
        <v>43</v>
      </c>
      <c r="C2713" s="6" t="s">
        <v>51</v>
      </c>
      <c r="D2713" s="6" t="s">
        <v>116</v>
      </c>
      <c r="E2713" s="6" t="n">
        <v>16</v>
      </c>
      <c r="F2713" s="6" t="n">
        <v>7</v>
      </c>
      <c r="G2713" s="6" t="s">
        <v>73</v>
      </c>
      <c r="H2713" s="11" t="n">
        <v>0.001</v>
      </c>
      <c r="I2713" s="6" t="n">
        <v>20</v>
      </c>
      <c r="J2713" s="6" t="n">
        <v>1</v>
      </c>
      <c r="K2713" s="6" t="n">
        <v>19</v>
      </c>
      <c r="L2713" s="6" t="n">
        <v>0</v>
      </c>
      <c r="M2713" s="6" t="n">
        <v>20</v>
      </c>
      <c r="N2713" s="11" t="n">
        <f aca="false">J2713/(J2713+K2713)</f>
        <v>0.05</v>
      </c>
      <c r="O2713" s="11" t="n">
        <f aca="false">IF(J2713+L2713=0,"",J2713/(J2713+L2713))</f>
        <v>1</v>
      </c>
      <c r="P2713" s="11" t="n">
        <f aca="false">2*J2713/(2*J2713+L2713+K2713)</f>
        <v>0.0952380952380952</v>
      </c>
      <c r="Q2713" s="11" t="n">
        <f aca="false">L2713/(L2713+M2713)</f>
        <v>0</v>
      </c>
      <c r="R2713" s="6" t="n">
        <v>1</v>
      </c>
      <c r="S2713" s="11" t="n">
        <v>0</v>
      </c>
      <c r="T2713" s="11" t="n">
        <v>0.0526315789473684</v>
      </c>
      <c r="U2713" s="11" t="n">
        <v>0.65</v>
      </c>
      <c r="V2713" s="11" t="n">
        <v>0.65</v>
      </c>
    </row>
    <row r="2714" customFormat="false" ht="15" hidden="false" customHeight="false" outlineLevel="0" collapsed="false">
      <c r="A2714" s="6" t="s">
        <v>52</v>
      </c>
      <c r="B2714" s="6" t="s">
        <v>43</v>
      </c>
      <c r="C2714" s="6" t="s">
        <v>51</v>
      </c>
      <c r="D2714" s="6" t="s">
        <v>116</v>
      </c>
      <c r="E2714" s="6" t="n">
        <v>16</v>
      </c>
      <c r="F2714" s="6" t="n">
        <v>7</v>
      </c>
      <c r="G2714" s="6" t="s">
        <v>74</v>
      </c>
      <c r="H2714" s="11" t="n">
        <v>0.001</v>
      </c>
      <c r="I2714" s="6" t="n">
        <v>20</v>
      </c>
      <c r="J2714" s="6" t="n">
        <v>0</v>
      </c>
      <c r="K2714" s="6" t="n">
        <v>20</v>
      </c>
      <c r="L2714" s="6" t="n">
        <v>0</v>
      </c>
      <c r="M2714" s="6" t="n">
        <v>20</v>
      </c>
      <c r="N2714" s="11" t="n">
        <f aca="false">J2714/(J2714+K2714)</f>
        <v>0</v>
      </c>
      <c r="O2714" s="11" t="str">
        <f aca="false">IF(J2714+L2714=0,"",J2714/(J2714+L2714))</f>
        <v/>
      </c>
      <c r="P2714" s="11" t="n">
        <f aca="false">2*J2714/(2*J2714+L2714+K2714)</f>
        <v>0</v>
      </c>
      <c r="Q2714" s="11" t="n">
        <f aca="false">L2714/(L2714+M2714)</f>
        <v>0</v>
      </c>
      <c r="R2714" s="6" t="n">
        <v>2</v>
      </c>
      <c r="S2714" s="11" t="n">
        <v>0</v>
      </c>
      <c r="T2714" s="11" t="n">
        <v>0</v>
      </c>
      <c r="U2714" s="11" t="n">
        <v>0.85</v>
      </c>
      <c r="V2714" s="11" t="n">
        <v>0.8</v>
      </c>
    </row>
    <row r="2715" customFormat="false" ht="15" hidden="false" customHeight="false" outlineLevel="0" collapsed="false">
      <c r="A2715" s="6" t="s">
        <v>52</v>
      </c>
      <c r="B2715" s="6" t="s">
        <v>43</v>
      </c>
      <c r="C2715" s="6" t="s">
        <v>51</v>
      </c>
      <c r="D2715" s="6" t="s">
        <v>116</v>
      </c>
      <c r="E2715" s="6" t="n">
        <v>16</v>
      </c>
      <c r="F2715" s="6" t="n">
        <v>7</v>
      </c>
      <c r="G2715" s="6" t="s">
        <v>75</v>
      </c>
      <c r="H2715" s="11" t="n">
        <v>0.001</v>
      </c>
      <c r="I2715" s="6" t="n">
        <v>20</v>
      </c>
      <c r="J2715" s="6" t="n">
        <v>0</v>
      </c>
      <c r="K2715" s="6" t="n">
        <v>20</v>
      </c>
      <c r="L2715" s="6" t="n">
        <v>0</v>
      </c>
      <c r="M2715" s="6" t="n">
        <v>20</v>
      </c>
      <c r="N2715" s="11" t="n">
        <f aca="false">J2715/(J2715+K2715)</f>
        <v>0</v>
      </c>
      <c r="O2715" s="11" t="str">
        <f aca="false">IF(J2715+L2715=0,"",J2715/(J2715+L2715))</f>
        <v/>
      </c>
      <c r="P2715" s="11" t="n">
        <f aca="false">2*J2715/(2*J2715+L2715+K2715)</f>
        <v>0</v>
      </c>
      <c r="Q2715" s="11" t="n">
        <f aca="false">L2715/(L2715+M2715)</f>
        <v>0</v>
      </c>
      <c r="R2715" s="6" t="n">
        <v>1</v>
      </c>
      <c r="S2715" s="11" t="n">
        <v>0</v>
      </c>
      <c r="T2715" s="11" t="n">
        <v>0</v>
      </c>
      <c r="U2715" s="11" t="n">
        <v>0.9</v>
      </c>
      <c r="V2715" s="11" t="n">
        <v>0.9</v>
      </c>
    </row>
    <row r="2716" customFormat="false" ht="15" hidden="false" customHeight="false" outlineLevel="0" collapsed="false">
      <c r="A2716" s="6" t="s">
        <v>52</v>
      </c>
      <c r="B2716" s="6" t="s">
        <v>43</v>
      </c>
      <c r="C2716" s="6" t="s">
        <v>51</v>
      </c>
      <c r="D2716" s="6" t="s">
        <v>116</v>
      </c>
      <c r="E2716" s="6" t="n">
        <v>16</v>
      </c>
      <c r="F2716" s="6" t="n">
        <v>7</v>
      </c>
      <c r="G2716" s="6" t="s">
        <v>76</v>
      </c>
      <c r="H2716" s="11" t="n">
        <v>0.001</v>
      </c>
      <c r="I2716" s="6" t="n">
        <v>20</v>
      </c>
      <c r="J2716" s="6" t="n">
        <v>0</v>
      </c>
      <c r="K2716" s="6" t="n">
        <v>20</v>
      </c>
      <c r="L2716" s="6" t="n">
        <v>0</v>
      </c>
      <c r="M2716" s="6" t="n">
        <v>20</v>
      </c>
      <c r="N2716" s="11" t="n">
        <f aca="false">J2716/(J2716+K2716)</f>
        <v>0</v>
      </c>
      <c r="O2716" s="11" t="str">
        <f aca="false">IF(J2716+L2716=0,"",J2716/(J2716+L2716))</f>
        <v/>
      </c>
      <c r="P2716" s="11" t="n">
        <f aca="false">2*J2716/(2*J2716+L2716+K2716)</f>
        <v>0</v>
      </c>
      <c r="Q2716" s="11" t="n">
        <f aca="false">L2716/(L2716+M2716)</f>
        <v>0</v>
      </c>
      <c r="R2716" s="6" t="n">
        <v>0</v>
      </c>
      <c r="S2716" s="11"/>
      <c r="T2716" s="11" t="n">
        <v>0</v>
      </c>
      <c r="U2716" s="11" t="n">
        <v>0.95</v>
      </c>
      <c r="V2716" s="11" t="n">
        <v>0.95</v>
      </c>
    </row>
    <row r="2717" customFormat="false" ht="15" hidden="false" customHeight="false" outlineLevel="0" collapsed="false">
      <c r="A2717" s="6" t="s">
        <v>52</v>
      </c>
      <c r="B2717" s="6" t="s">
        <v>43</v>
      </c>
      <c r="C2717" s="6" t="s">
        <v>51</v>
      </c>
      <c r="D2717" s="6" t="s">
        <v>116</v>
      </c>
      <c r="E2717" s="6" t="n">
        <v>16</v>
      </c>
      <c r="F2717" s="6" t="n">
        <v>7</v>
      </c>
      <c r="G2717" s="6" t="s">
        <v>77</v>
      </c>
      <c r="H2717" s="11" t="n">
        <v>0.001</v>
      </c>
      <c r="I2717" s="6" t="n">
        <v>20</v>
      </c>
      <c r="J2717" s="6" t="n">
        <v>0</v>
      </c>
      <c r="K2717" s="6" t="n">
        <v>20</v>
      </c>
      <c r="L2717" s="6" t="n">
        <v>0</v>
      </c>
      <c r="M2717" s="6" t="n">
        <v>20</v>
      </c>
      <c r="N2717" s="11" t="n">
        <f aca="false">J2717/(J2717+K2717)</f>
        <v>0</v>
      </c>
      <c r="O2717" s="11" t="str">
        <f aca="false">IF(J2717+L2717=0,"",J2717/(J2717+L2717))</f>
        <v/>
      </c>
      <c r="P2717" s="11" t="n">
        <f aca="false">2*J2717/(2*J2717+L2717+K2717)</f>
        <v>0</v>
      </c>
      <c r="Q2717" s="11" t="n">
        <f aca="false">L2717/(L2717+M2717)</f>
        <v>0</v>
      </c>
      <c r="R2717" s="6" t="n">
        <v>0</v>
      </c>
      <c r="S2717" s="11"/>
      <c r="T2717" s="11" t="n">
        <v>0</v>
      </c>
      <c r="U2717" s="11" t="n">
        <v>1</v>
      </c>
      <c r="V2717" s="11" t="n">
        <v>1</v>
      </c>
    </row>
    <row r="2718" customFormat="false" ht="15" hidden="false" customHeight="false" outlineLevel="0" collapsed="false">
      <c r="A2718" s="6" t="s">
        <v>52</v>
      </c>
      <c r="B2718" s="6" t="s">
        <v>43</v>
      </c>
      <c r="C2718" s="6" t="s">
        <v>51</v>
      </c>
      <c r="D2718" s="6" t="s">
        <v>116</v>
      </c>
      <c r="E2718" s="6" t="n">
        <v>16</v>
      </c>
      <c r="F2718" s="6" t="n">
        <v>7</v>
      </c>
      <c r="G2718" s="6" t="s">
        <v>78</v>
      </c>
      <c r="H2718" s="11" t="n">
        <v>0.001</v>
      </c>
      <c r="I2718" s="6" t="n">
        <v>200</v>
      </c>
      <c r="J2718" s="6" t="n">
        <v>1</v>
      </c>
      <c r="K2718" s="6" t="n">
        <v>199</v>
      </c>
      <c r="L2718" s="6" t="n">
        <v>0</v>
      </c>
      <c r="M2718" s="6" t="n">
        <v>200</v>
      </c>
      <c r="N2718" s="11" t="n">
        <f aca="false">J2718/(J2718+K2718)</f>
        <v>0.005</v>
      </c>
      <c r="O2718" s="11" t="n">
        <f aca="false">IF(J2718+L2718=0,"",J2718/(J2718+L2718))</f>
        <v>1</v>
      </c>
      <c r="P2718" s="11" t="n">
        <f aca="false">2*J2718/(2*J2718+L2718+K2718)</f>
        <v>0.00995024875621891</v>
      </c>
      <c r="Q2718" s="11" t="n">
        <f aca="false">L2718/(L2718+M2718)</f>
        <v>0</v>
      </c>
      <c r="R2718" s="6" t="n">
        <v>7</v>
      </c>
      <c r="S2718" s="11" t="n">
        <v>0</v>
      </c>
      <c r="T2718" s="11" t="n">
        <v>0.00518134715025907</v>
      </c>
      <c r="U2718" s="11" t="n">
        <v>0.88</v>
      </c>
      <c r="V2718" s="11" t="n">
        <v>0.875</v>
      </c>
    </row>
    <row r="2719" customFormat="false" ht="15" hidden="false" customHeight="false" outlineLevel="0" collapsed="false">
      <c r="A2719" s="6" t="s">
        <v>52</v>
      </c>
      <c r="B2719" s="6" t="s">
        <v>43</v>
      </c>
      <c r="C2719" s="6" t="s">
        <v>51</v>
      </c>
      <c r="D2719" s="6" t="s">
        <v>116</v>
      </c>
      <c r="E2719" s="6" t="n">
        <v>16</v>
      </c>
      <c r="F2719" s="6" t="n">
        <v>8</v>
      </c>
      <c r="G2719" s="6" t="s">
        <v>68</v>
      </c>
      <c r="H2719" s="11" t="n">
        <v>0.001</v>
      </c>
      <c r="I2719" s="6" t="n">
        <v>20</v>
      </c>
      <c r="J2719" s="6" t="n">
        <v>0</v>
      </c>
      <c r="K2719" s="6" t="n">
        <v>20</v>
      </c>
      <c r="L2719" s="6" t="n">
        <v>0</v>
      </c>
      <c r="M2719" s="6" t="n">
        <v>20</v>
      </c>
      <c r="N2719" s="11" t="n">
        <f aca="false">J2719/(J2719+K2719)</f>
        <v>0</v>
      </c>
      <c r="O2719" s="11" t="str">
        <f aca="false">IF(J2719+L2719=0,"",J2719/(J2719+L2719))</f>
        <v/>
      </c>
      <c r="P2719" s="11" t="n">
        <f aca="false">2*J2719/(2*J2719+L2719+K2719)</f>
        <v>0</v>
      </c>
      <c r="Q2719" s="11" t="n">
        <f aca="false">L2719/(L2719+M2719)</f>
        <v>0</v>
      </c>
      <c r="R2719" s="6" t="n">
        <v>1</v>
      </c>
      <c r="S2719" s="11" t="n">
        <v>0</v>
      </c>
      <c r="T2719" s="11" t="n">
        <v>0</v>
      </c>
      <c r="U2719" s="11" t="n">
        <v>0.85</v>
      </c>
      <c r="V2719" s="11" t="n">
        <v>0.9</v>
      </c>
    </row>
    <row r="2720" customFormat="false" ht="15" hidden="false" customHeight="false" outlineLevel="0" collapsed="false">
      <c r="A2720" s="6" t="s">
        <v>52</v>
      </c>
      <c r="B2720" s="6" t="s">
        <v>43</v>
      </c>
      <c r="C2720" s="6" t="s">
        <v>51</v>
      </c>
      <c r="D2720" s="6" t="s">
        <v>116</v>
      </c>
      <c r="E2720" s="6" t="n">
        <v>16</v>
      </c>
      <c r="F2720" s="6" t="n">
        <v>8</v>
      </c>
      <c r="G2720" s="6" t="s">
        <v>69</v>
      </c>
      <c r="H2720" s="11" t="n">
        <v>0.001</v>
      </c>
      <c r="I2720" s="6" t="n">
        <v>20</v>
      </c>
      <c r="J2720" s="6" t="n">
        <v>0</v>
      </c>
      <c r="K2720" s="6" t="n">
        <v>20</v>
      </c>
      <c r="L2720" s="6" t="n">
        <v>0</v>
      </c>
      <c r="M2720" s="6" t="n">
        <v>20</v>
      </c>
      <c r="N2720" s="11" t="n">
        <f aca="false">J2720/(J2720+K2720)</f>
        <v>0</v>
      </c>
      <c r="O2720" s="11" t="str">
        <f aca="false">IF(J2720+L2720=0,"",J2720/(J2720+L2720))</f>
        <v/>
      </c>
      <c r="P2720" s="11" t="n">
        <f aca="false">2*J2720/(2*J2720+L2720+K2720)</f>
        <v>0</v>
      </c>
      <c r="Q2720" s="11" t="n">
        <f aca="false">L2720/(L2720+M2720)</f>
        <v>0</v>
      </c>
      <c r="R2720" s="6" t="n">
        <v>0</v>
      </c>
      <c r="S2720" s="11"/>
      <c r="T2720" s="11" t="n">
        <v>0</v>
      </c>
      <c r="U2720" s="11" t="n">
        <v>1</v>
      </c>
      <c r="V2720" s="11" t="n">
        <v>1</v>
      </c>
    </row>
    <row r="2721" customFormat="false" ht="15" hidden="false" customHeight="false" outlineLevel="0" collapsed="false">
      <c r="A2721" s="6" t="s">
        <v>52</v>
      </c>
      <c r="B2721" s="6" t="s">
        <v>43</v>
      </c>
      <c r="C2721" s="6" t="s">
        <v>51</v>
      </c>
      <c r="D2721" s="6" t="s">
        <v>116</v>
      </c>
      <c r="E2721" s="6" t="n">
        <v>16</v>
      </c>
      <c r="F2721" s="6" t="n">
        <v>8</v>
      </c>
      <c r="G2721" s="6" t="s">
        <v>70</v>
      </c>
      <c r="H2721" s="11" t="n">
        <v>0.001</v>
      </c>
      <c r="I2721" s="6" t="n">
        <v>20</v>
      </c>
      <c r="J2721" s="6" t="n">
        <v>0</v>
      </c>
      <c r="K2721" s="6" t="n">
        <v>20</v>
      </c>
      <c r="L2721" s="6" t="n">
        <v>0</v>
      </c>
      <c r="M2721" s="6" t="n">
        <v>20</v>
      </c>
      <c r="N2721" s="11" t="n">
        <f aca="false">J2721/(J2721+K2721)</f>
        <v>0</v>
      </c>
      <c r="O2721" s="11" t="str">
        <f aca="false">IF(J2721+L2721=0,"",J2721/(J2721+L2721))</f>
        <v/>
      </c>
      <c r="P2721" s="11" t="n">
        <f aca="false">2*J2721/(2*J2721+L2721+K2721)</f>
        <v>0</v>
      </c>
      <c r="Q2721" s="11" t="n">
        <f aca="false">L2721/(L2721+M2721)</f>
        <v>0</v>
      </c>
      <c r="R2721" s="6" t="n">
        <v>1</v>
      </c>
      <c r="S2721" s="11" t="n">
        <v>0</v>
      </c>
      <c r="T2721" s="11" t="n">
        <v>0</v>
      </c>
      <c r="U2721" s="11" t="n">
        <v>0.9</v>
      </c>
      <c r="V2721" s="11" t="n">
        <v>0.95</v>
      </c>
    </row>
    <row r="2722" customFormat="false" ht="15" hidden="false" customHeight="false" outlineLevel="0" collapsed="false">
      <c r="A2722" s="6" t="s">
        <v>52</v>
      </c>
      <c r="B2722" s="6" t="s">
        <v>43</v>
      </c>
      <c r="C2722" s="6" t="s">
        <v>51</v>
      </c>
      <c r="D2722" s="6" t="s">
        <v>116</v>
      </c>
      <c r="E2722" s="6" t="n">
        <v>16</v>
      </c>
      <c r="F2722" s="6" t="n">
        <v>8</v>
      </c>
      <c r="G2722" s="6" t="s">
        <v>71</v>
      </c>
      <c r="H2722" s="11" t="n">
        <v>0.001</v>
      </c>
      <c r="I2722" s="6" t="n">
        <v>20</v>
      </c>
      <c r="J2722" s="6" t="n">
        <v>0</v>
      </c>
      <c r="K2722" s="6" t="n">
        <v>20</v>
      </c>
      <c r="L2722" s="6" t="n">
        <v>0</v>
      </c>
      <c r="M2722" s="6" t="n">
        <v>20</v>
      </c>
      <c r="N2722" s="11" t="n">
        <f aca="false">J2722/(J2722+K2722)</f>
        <v>0</v>
      </c>
      <c r="O2722" s="11" t="str">
        <f aca="false">IF(J2722+L2722=0,"",J2722/(J2722+L2722))</f>
        <v/>
      </c>
      <c r="P2722" s="11" t="n">
        <f aca="false">2*J2722/(2*J2722+L2722+K2722)</f>
        <v>0</v>
      </c>
      <c r="Q2722" s="11" t="n">
        <f aca="false">L2722/(L2722+M2722)</f>
        <v>0</v>
      </c>
      <c r="R2722" s="6" t="n">
        <v>0</v>
      </c>
      <c r="S2722" s="11"/>
      <c r="T2722" s="11" t="n">
        <v>0</v>
      </c>
      <c r="U2722" s="11" t="n">
        <v>0.8</v>
      </c>
      <c r="V2722" s="11" t="n">
        <v>0.8</v>
      </c>
    </row>
    <row r="2723" customFormat="false" ht="15" hidden="false" customHeight="false" outlineLevel="0" collapsed="false">
      <c r="A2723" s="6" t="s">
        <v>52</v>
      </c>
      <c r="B2723" s="6" t="s">
        <v>43</v>
      </c>
      <c r="C2723" s="6" t="s">
        <v>51</v>
      </c>
      <c r="D2723" s="6" t="s">
        <v>116</v>
      </c>
      <c r="E2723" s="6" t="n">
        <v>16</v>
      </c>
      <c r="F2723" s="6" t="n">
        <v>8</v>
      </c>
      <c r="G2723" s="6" t="s">
        <v>72</v>
      </c>
      <c r="H2723" s="11" t="n">
        <v>0.001</v>
      </c>
      <c r="I2723" s="6" t="n">
        <v>20</v>
      </c>
      <c r="J2723" s="6" t="n">
        <v>0</v>
      </c>
      <c r="K2723" s="6" t="n">
        <v>20</v>
      </c>
      <c r="L2723" s="6" t="n">
        <v>0</v>
      </c>
      <c r="M2723" s="6" t="n">
        <v>20</v>
      </c>
      <c r="N2723" s="11" t="n">
        <f aca="false">J2723/(J2723+K2723)</f>
        <v>0</v>
      </c>
      <c r="O2723" s="11" t="str">
        <f aca="false">IF(J2723+L2723=0,"",J2723/(J2723+L2723))</f>
        <v/>
      </c>
      <c r="P2723" s="11" t="n">
        <f aca="false">2*J2723/(2*J2723+L2723+K2723)</f>
        <v>0</v>
      </c>
      <c r="Q2723" s="11" t="n">
        <f aca="false">L2723/(L2723+M2723)</f>
        <v>0</v>
      </c>
      <c r="R2723" s="6" t="n">
        <v>0</v>
      </c>
      <c r="S2723" s="11"/>
      <c r="T2723" s="11" t="n">
        <v>0</v>
      </c>
      <c r="U2723" s="11" t="n">
        <v>0.9</v>
      </c>
      <c r="V2723" s="11" t="n">
        <v>0.9</v>
      </c>
    </row>
    <row r="2724" customFormat="false" ht="15" hidden="false" customHeight="false" outlineLevel="0" collapsed="false">
      <c r="A2724" s="6" t="s">
        <v>52</v>
      </c>
      <c r="B2724" s="6" t="s">
        <v>43</v>
      </c>
      <c r="C2724" s="6" t="s">
        <v>51</v>
      </c>
      <c r="D2724" s="6" t="s">
        <v>116</v>
      </c>
      <c r="E2724" s="6" t="n">
        <v>16</v>
      </c>
      <c r="F2724" s="6" t="n">
        <v>8</v>
      </c>
      <c r="G2724" s="6" t="s">
        <v>73</v>
      </c>
      <c r="H2724" s="11" t="n">
        <v>0.001</v>
      </c>
      <c r="I2724" s="6" t="n">
        <v>20</v>
      </c>
      <c r="J2724" s="6" t="n">
        <v>0</v>
      </c>
      <c r="K2724" s="6" t="n">
        <v>20</v>
      </c>
      <c r="L2724" s="6" t="n">
        <v>0</v>
      </c>
      <c r="M2724" s="6" t="n">
        <v>20</v>
      </c>
      <c r="N2724" s="11" t="n">
        <f aca="false">J2724/(J2724+K2724)</f>
        <v>0</v>
      </c>
      <c r="O2724" s="11" t="str">
        <f aca="false">IF(J2724+L2724=0,"",J2724/(J2724+L2724))</f>
        <v/>
      </c>
      <c r="P2724" s="11" t="n">
        <f aca="false">2*J2724/(2*J2724+L2724+K2724)</f>
        <v>0</v>
      </c>
      <c r="Q2724" s="11" t="n">
        <f aca="false">L2724/(L2724+M2724)</f>
        <v>0</v>
      </c>
      <c r="R2724" s="6" t="n">
        <v>3</v>
      </c>
      <c r="S2724" s="11" t="n">
        <v>0</v>
      </c>
      <c r="T2724" s="11" t="n">
        <v>0</v>
      </c>
      <c r="U2724" s="11" t="n">
        <v>0.65</v>
      </c>
      <c r="V2724" s="11" t="n">
        <v>0.55</v>
      </c>
    </row>
    <row r="2725" customFormat="false" ht="15" hidden="false" customHeight="false" outlineLevel="0" collapsed="false">
      <c r="A2725" s="6" t="s">
        <v>52</v>
      </c>
      <c r="B2725" s="6" t="s">
        <v>43</v>
      </c>
      <c r="C2725" s="6" t="s">
        <v>51</v>
      </c>
      <c r="D2725" s="6" t="s">
        <v>116</v>
      </c>
      <c r="E2725" s="6" t="n">
        <v>16</v>
      </c>
      <c r="F2725" s="6" t="n">
        <v>8</v>
      </c>
      <c r="G2725" s="6" t="s">
        <v>74</v>
      </c>
      <c r="H2725" s="11" t="n">
        <v>0.001</v>
      </c>
      <c r="I2725" s="6" t="n">
        <v>20</v>
      </c>
      <c r="J2725" s="6" t="n">
        <v>0</v>
      </c>
      <c r="K2725" s="6" t="n">
        <v>20</v>
      </c>
      <c r="L2725" s="6" t="n">
        <v>0</v>
      </c>
      <c r="M2725" s="6" t="n">
        <v>20</v>
      </c>
      <c r="N2725" s="11" t="n">
        <f aca="false">J2725/(J2725+K2725)</f>
        <v>0</v>
      </c>
      <c r="O2725" s="11" t="str">
        <f aca="false">IF(J2725+L2725=0,"",J2725/(J2725+L2725))</f>
        <v/>
      </c>
      <c r="P2725" s="11" t="n">
        <f aca="false">2*J2725/(2*J2725+L2725+K2725)</f>
        <v>0</v>
      </c>
      <c r="Q2725" s="11" t="n">
        <f aca="false">L2725/(L2725+M2725)</f>
        <v>0</v>
      </c>
      <c r="R2725" s="6" t="n">
        <v>3</v>
      </c>
      <c r="S2725" s="11" t="n">
        <v>0</v>
      </c>
      <c r="T2725" s="11" t="n">
        <v>0</v>
      </c>
      <c r="U2725" s="11" t="n">
        <v>0.85</v>
      </c>
      <c r="V2725" s="11" t="n">
        <v>0.7</v>
      </c>
    </row>
    <row r="2726" customFormat="false" ht="15" hidden="false" customHeight="false" outlineLevel="0" collapsed="false">
      <c r="A2726" s="6" t="s">
        <v>52</v>
      </c>
      <c r="B2726" s="6" t="s">
        <v>43</v>
      </c>
      <c r="C2726" s="6" t="s">
        <v>51</v>
      </c>
      <c r="D2726" s="6" t="s">
        <v>116</v>
      </c>
      <c r="E2726" s="6" t="n">
        <v>16</v>
      </c>
      <c r="F2726" s="6" t="n">
        <v>8</v>
      </c>
      <c r="G2726" s="6" t="s">
        <v>75</v>
      </c>
      <c r="H2726" s="11" t="n">
        <v>0.001</v>
      </c>
      <c r="I2726" s="6" t="n">
        <v>20</v>
      </c>
      <c r="J2726" s="6" t="n">
        <v>0</v>
      </c>
      <c r="K2726" s="6" t="n">
        <v>20</v>
      </c>
      <c r="L2726" s="6" t="n">
        <v>0</v>
      </c>
      <c r="M2726" s="6" t="n">
        <v>20</v>
      </c>
      <c r="N2726" s="11" t="n">
        <f aca="false">J2726/(J2726+K2726)</f>
        <v>0</v>
      </c>
      <c r="O2726" s="11" t="str">
        <f aca="false">IF(J2726+L2726=0,"",J2726/(J2726+L2726))</f>
        <v/>
      </c>
      <c r="P2726" s="11" t="n">
        <f aca="false">2*J2726/(2*J2726+L2726+K2726)</f>
        <v>0</v>
      </c>
      <c r="Q2726" s="11" t="n">
        <f aca="false">L2726/(L2726+M2726)</f>
        <v>0</v>
      </c>
      <c r="R2726" s="6" t="n">
        <v>1</v>
      </c>
      <c r="S2726" s="11" t="n">
        <v>0</v>
      </c>
      <c r="T2726" s="11" t="n">
        <v>0</v>
      </c>
      <c r="U2726" s="11" t="n">
        <v>0.9</v>
      </c>
      <c r="V2726" s="11" t="n">
        <v>0.85</v>
      </c>
    </row>
    <row r="2727" customFormat="false" ht="15" hidden="false" customHeight="false" outlineLevel="0" collapsed="false">
      <c r="A2727" s="6" t="s">
        <v>52</v>
      </c>
      <c r="B2727" s="6" t="s">
        <v>43</v>
      </c>
      <c r="C2727" s="6" t="s">
        <v>51</v>
      </c>
      <c r="D2727" s="6" t="s">
        <v>116</v>
      </c>
      <c r="E2727" s="6" t="n">
        <v>16</v>
      </c>
      <c r="F2727" s="6" t="n">
        <v>8</v>
      </c>
      <c r="G2727" s="6" t="s">
        <v>76</v>
      </c>
      <c r="H2727" s="11" t="n">
        <v>0.001</v>
      </c>
      <c r="I2727" s="6" t="n">
        <v>20</v>
      </c>
      <c r="J2727" s="6" t="n">
        <v>0</v>
      </c>
      <c r="K2727" s="6" t="n">
        <v>20</v>
      </c>
      <c r="L2727" s="6" t="n">
        <v>0</v>
      </c>
      <c r="M2727" s="6" t="n">
        <v>20</v>
      </c>
      <c r="N2727" s="11" t="n">
        <f aca="false">J2727/(J2727+K2727)</f>
        <v>0</v>
      </c>
      <c r="O2727" s="11" t="str">
        <f aca="false">IF(J2727+L2727=0,"",J2727/(J2727+L2727))</f>
        <v/>
      </c>
      <c r="P2727" s="11" t="n">
        <f aca="false">2*J2727/(2*J2727+L2727+K2727)</f>
        <v>0</v>
      </c>
      <c r="Q2727" s="11" t="n">
        <f aca="false">L2727/(L2727+M2727)</f>
        <v>0</v>
      </c>
      <c r="R2727" s="6" t="n">
        <v>0</v>
      </c>
      <c r="S2727" s="11"/>
      <c r="T2727" s="11" t="n">
        <v>0</v>
      </c>
      <c r="U2727" s="11" t="n">
        <v>0.95</v>
      </c>
      <c r="V2727" s="11" t="n">
        <v>0.95</v>
      </c>
    </row>
    <row r="2728" customFormat="false" ht="15" hidden="false" customHeight="false" outlineLevel="0" collapsed="false">
      <c r="A2728" s="6" t="s">
        <v>52</v>
      </c>
      <c r="B2728" s="6" t="s">
        <v>43</v>
      </c>
      <c r="C2728" s="6" t="s">
        <v>51</v>
      </c>
      <c r="D2728" s="6" t="s">
        <v>116</v>
      </c>
      <c r="E2728" s="6" t="n">
        <v>16</v>
      </c>
      <c r="F2728" s="6" t="n">
        <v>8</v>
      </c>
      <c r="G2728" s="6" t="s">
        <v>77</v>
      </c>
      <c r="H2728" s="11" t="n">
        <v>0.001</v>
      </c>
      <c r="I2728" s="6" t="n">
        <v>20</v>
      </c>
      <c r="J2728" s="6" t="n">
        <v>0</v>
      </c>
      <c r="K2728" s="6" t="n">
        <v>20</v>
      </c>
      <c r="L2728" s="6" t="n">
        <v>0</v>
      </c>
      <c r="M2728" s="6" t="n">
        <v>20</v>
      </c>
      <c r="N2728" s="11" t="n">
        <f aca="false">J2728/(J2728+K2728)</f>
        <v>0</v>
      </c>
      <c r="O2728" s="11" t="str">
        <f aca="false">IF(J2728+L2728=0,"",J2728/(J2728+L2728))</f>
        <v/>
      </c>
      <c r="P2728" s="11" t="n">
        <f aca="false">2*J2728/(2*J2728+L2728+K2728)</f>
        <v>0</v>
      </c>
      <c r="Q2728" s="11" t="n">
        <f aca="false">L2728/(L2728+M2728)</f>
        <v>0</v>
      </c>
      <c r="R2728" s="6" t="n">
        <v>0</v>
      </c>
      <c r="S2728" s="11"/>
      <c r="T2728" s="11" t="n">
        <v>0</v>
      </c>
      <c r="U2728" s="11" t="n">
        <v>1</v>
      </c>
      <c r="V2728" s="11" t="n">
        <v>1</v>
      </c>
    </row>
    <row r="2729" customFormat="false" ht="15" hidden="false" customHeight="false" outlineLevel="0" collapsed="false">
      <c r="A2729" s="6" t="s">
        <v>52</v>
      </c>
      <c r="B2729" s="6" t="s">
        <v>43</v>
      </c>
      <c r="C2729" s="6" t="s">
        <v>51</v>
      </c>
      <c r="D2729" s="6" t="s">
        <v>116</v>
      </c>
      <c r="E2729" s="6" t="n">
        <v>16</v>
      </c>
      <c r="F2729" s="6" t="n">
        <v>8</v>
      </c>
      <c r="G2729" s="6" t="s">
        <v>78</v>
      </c>
      <c r="H2729" s="11" t="n">
        <v>0.001</v>
      </c>
      <c r="I2729" s="6" t="n">
        <v>200</v>
      </c>
      <c r="J2729" s="6" t="n">
        <v>0</v>
      </c>
      <c r="K2729" s="6" t="n">
        <v>200</v>
      </c>
      <c r="L2729" s="6" t="n">
        <v>0</v>
      </c>
      <c r="M2729" s="6" t="n">
        <v>200</v>
      </c>
      <c r="N2729" s="11" t="n">
        <f aca="false">J2729/(J2729+K2729)</f>
        <v>0</v>
      </c>
      <c r="O2729" s="11" t="str">
        <f aca="false">IF(J2729+L2729=0,"",J2729/(J2729+L2729))</f>
        <v/>
      </c>
      <c r="P2729" s="11" t="n">
        <f aca="false">2*J2729/(2*J2729+L2729+K2729)</f>
        <v>0</v>
      </c>
      <c r="Q2729" s="11" t="n">
        <f aca="false">L2729/(L2729+M2729)</f>
        <v>0</v>
      </c>
      <c r="R2729" s="6" t="n">
        <v>9</v>
      </c>
      <c r="S2729" s="11" t="n">
        <v>0</v>
      </c>
      <c r="T2729" s="11" t="n">
        <v>0</v>
      </c>
      <c r="U2729" s="11" t="n">
        <v>0.88</v>
      </c>
      <c r="V2729" s="11" t="n">
        <v>0.86</v>
      </c>
    </row>
    <row r="2730" customFormat="false" ht="15" hidden="false" customHeight="false" outlineLevel="0" collapsed="false">
      <c r="A2730" s="6" t="s">
        <v>52</v>
      </c>
      <c r="B2730" s="6" t="s">
        <v>43</v>
      </c>
      <c r="C2730" s="6" t="s">
        <v>51</v>
      </c>
      <c r="D2730" s="6" t="s">
        <v>116</v>
      </c>
      <c r="E2730" s="6" t="n">
        <v>16</v>
      </c>
      <c r="F2730" s="6" t="n">
        <v>9</v>
      </c>
      <c r="G2730" s="6" t="s">
        <v>68</v>
      </c>
      <c r="H2730" s="11" t="n">
        <v>0.001</v>
      </c>
      <c r="I2730" s="6" t="n">
        <v>20</v>
      </c>
      <c r="J2730" s="6" t="n">
        <v>0</v>
      </c>
      <c r="K2730" s="6" t="n">
        <v>20</v>
      </c>
      <c r="L2730" s="6" t="n">
        <v>0</v>
      </c>
      <c r="M2730" s="6" t="n">
        <v>20</v>
      </c>
      <c r="N2730" s="11" t="n">
        <f aca="false">J2730/(J2730+K2730)</f>
        <v>0</v>
      </c>
      <c r="O2730" s="11" t="str">
        <f aca="false">IF(J2730+L2730=0,"",J2730/(J2730+L2730))</f>
        <v/>
      </c>
      <c r="P2730" s="11" t="n">
        <f aca="false">2*J2730/(2*J2730+L2730+K2730)</f>
        <v>0</v>
      </c>
      <c r="Q2730" s="11" t="n">
        <f aca="false">L2730/(L2730+M2730)</f>
        <v>0</v>
      </c>
      <c r="R2730" s="6" t="n">
        <v>0</v>
      </c>
      <c r="S2730" s="11"/>
      <c r="T2730" s="11" t="n">
        <v>0</v>
      </c>
      <c r="U2730" s="11" t="n">
        <v>0.85</v>
      </c>
      <c r="V2730" s="11" t="n">
        <v>0.85</v>
      </c>
    </row>
    <row r="2731" customFormat="false" ht="15" hidden="false" customHeight="false" outlineLevel="0" collapsed="false">
      <c r="A2731" s="6" t="s">
        <v>52</v>
      </c>
      <c r="B2731" s="6" t="s">
        <v>43</v>
      </c>
      <c r="C2731" s="6" t="s">
        <v>51</v>
      </c>
      <c r="D2731" s="6" t="s">
        <v>116</v>
      </c>
      <c r="E2731" s="6" t="n">
        <v>16</v>
      </c>
      <c r="F2731" s="6" t="n">
        <v>9</v>
      </c>
      <c r="G2731" s="6" t="s">
        <v>69</v>
      </c>
      <c r="H2731" s="11" t="n">
        <v>0.001</v>
      </c>
      <c r="I2731" s="6" t="n">
        <v>20</v>
      </c>
      <c r="J2731" s="6" t="n">
        <v>0</v>
      </c>
      <c r="K2731" s="6" t="n">
        <v>20</v>
      </c>
      <c r="L2731" s="6" t="n">
        <v>0</v>
      </c>
      <c r="M2731" s="6" t="n">
        <v>20</v>
      </c>
      <c r="N2731" s="11" t="n">
        <f aca="false">J2731/(J2731+K2731)</f>
        <v>0</v>
      </c>
      <c r="O2731" s="11" t="str">
        <f aca="false">IF(J2731+L2731=0,"",J2731/(J2731+L2731))</f>
        <v/>
      </c>
      <c r="P2731" s="11" t="n">
        <f aca="false">2*J2731/(2*J2731+L2731+K2731)</f>
        <v>0</v>
      </c>
      <c r="Q2731" s="11" t="n">
        <f aca="false">L2731/(L2731+M2731)</f>
        <v>0</v>
      </c>
      <c r="R2731" s="6" t="n">
        <v>0</v>
      </c>
      <c r="S2731" s="11"/>
      <c r="T2731" s="11" t="n">
        <v>0</v>
      </c>
      <c r="U2731" s="11" t="n">
        <v>1</v>
      </c>
      <c r="V2731" s="11" t="n">
        <v>1</v>
      </c>
    </row>
    <row r="2732" customFormat="false" ht="15" hidden="false" customHeight="false" outlineLevel="0" collapsed="false">
      <c r="A2732" s="6" t="s">
        <v>52</v>
      </c>
      <c r="B2732" s="6" t="s">
        <v>43</v>
      </c>
      <c r="C2732" s="6" t="s">
        <v>51</v>
      </c>
      <c r="D2732" s="6" t="s">
        <v>116</v>
      </c>
      <c r="E2732" s="6" t="n">
        <v>16</v>
      </c>
      <c r="F2732" s="6" t="n">
        <v>9</v>
      </c>
      <c r="G2732" s="6" t="s">
        <v>70</v>
      </c>
      <c r="H2732" s="11" t="n">
        <v>0.001</v>
      </c>
      <c r="I2732" s="6" t="n">
        <v>20</v>
      </c>
      <c r="J2732" s="6" t="n">
        <v>0</v>
      </c>
      <c r="K2732" s="6" t="n">
        <v>20</v>
      </c>
      <c r="L2732" s="6" t="n">
        <v>0</v>
      </c>
      <c r="M2732" s="6" t="n">
        <v>20</v>
      </c>
      <c r="N2732" s="11" t="n">
        <f aca="false">J2732/(J2732+K2732)</f>
        <v>0</v>
      </c>
      <c r="O2732" s="11" t="str">
        <f aca="false">IF(J2732+L2732=0,"",J2732/(J2732+L2732))</f>
        <v/>
      </c>
      <c r="P2732" s="11" t="n">
        <f aca="false">2*J2732/(2*J2732+L2732+K2732)</f>
        <v>0</v>
      </c>
      <c r="Q2732" s="11" t="n">
        <f aca="false">L2732/(L2732+M2732)</f>
        <v>0</v>
      </c>
      <c r="R2732" s="6" t="n">
        <v>0</v>
      </c>
      <c r="S2732" s="11"/>
      <c r="T2732" s="11" t="n">
        <v>0</v>
      </c>
      <c r="U2732" s="11" t="n">
        <v>0.9</v>
      </c>
      <c r="V2732" s="11" t="n">
        <v>0.9</v>
      </c>
    </row>
    <row r="2733" customFormat="false" ht="15" hidden="false" customHeight="false" outlineLevel="0" collapsed="false">
      <c r="A2733" s="6" t="s">
        <v>52</v>
      </c>
      <c r="B2733" s="6" t="s">
        <v>43</v>
      </c>
      <c r="C2733" s="6" t="s">
        <v>51</v>
      </c>
      <c r="D2733" s="6" t="s">
        <v>116</v>
      </c>
      <c r="E2733" s="6" t="n">
        <v>16</v>
      </c>
      <c r="F2733" s="6" t="n">
        <v>9</v>
      </c>
      <c r="G2733" s="6" t="s">
        <v>71</v>
      </c>
      <c r="H2733" s="11" t="n">
        <v>0.001</v>
      </c>
      <c r="I2733" s="6" t="n">
        <v>20</v>
      </c>
      <c r="J2733" s="6" t="n">
        <v>0</v>
      </c>
      <c r="K2733" s="6" t="n">
        <v>20</v>
      </c>
      <c r="L2733" s="6" t="n">
        <v>0</v>
      </c>
      <c r="M2733" s="6" t="n">
        <v>20</v>
      </c>
      <c r="N2733" s="11" t="n">
        <f aca="false">J2733/(J2733+K2733)</f>
        <v>0</v>
      </c>
      <c r="O2733" s="11" t="str">
        <f aca="false">IF(J2733+L2733=0,"",J2733/(J2733+L2733))</f>
        <v/>
      </c>
      <c r="P2733" s="11" t="n">
        <f aca="false">2*J2733/(2*J2733+L2733+K2733)</f>
        <v>0</v>
      </c>
      <c r="Q2733" s="11" t="n">
        <f aca="false">L2733/(L2733+M2733)</f>
        <v>0</v>
      </c>
      <c r="R2733" s="6" t="n">
        <v>1</v>
      </c>
      <c r="S2733" s="11" t="n">
        <v>0</v>
      </c>
      <c r="T2733" s="11" t="n">
        <v>0</v>
      </c>
      <c r="U2733" s="11" t="n">
        <v>0.8</v>
      </c>
      <c r="V2733" s="11" t="n">
        <v>0.75</v>
      </c>
    </row>
    <row r="2734" customFormat="false" ht="15" hidden="false" customHeight="false" outlineLevel="0" collapsed="false">
      <c r="A2734" s="6" t="s">
        <v>52</v>
      </c>
      <c r="B2734" s="6" t="s">
        <v>43</v>
      </c>
      <c r="C2734" s="6" t="s">
        <v>51</v>
      </c>
      <c r="D2734" s="6" t="s">
        <v>116</v>
      </c>
      <c r="E2734" s="6" t="n">
        <v>16</v>
      </c>
      <c r="F2734" s="6" t="n">
        <v>9</v>
      </c>
      <c r="G2734" s="6" t="s">
        <v>72</v>
      </c>
      <c r="H2734" s="11" t="n">
        <v>0.001</v>
      </c>
      <c r="I2734" s="6" t="n">
        <v>20</v>
      </c>
      <c r="J2734" s="6" t="n">
        <v>0</v>
      </c>
      <c r="K2734" s="6" t="n">
        <v>20</v>
      </c>
      <c r="L2734" s="6" t="n">
        <v>0</v>
      </c>
      <c r="M2734" s="6" t="n">
        <v>20</v>
      </c>
      <c r="N2734" s="11" t="n">
        <f aca="false">J2734/(J2734+K2734)</f>
        <v>0</v>
      </c>
      <c r="O2734" s="11" t="str">
        <f aca="false">IF(J2734+L2734=0,"",J2734/(J2734+L2734))</f>
        <v/>
      </c>
      <c r="P2734" s="11" t="n">
        <f aca="false">2*J2734/(2*J2734+L2734+K2734)</f>
        <v>0</v>
      </c>
      <c r="Q2734" s="11" t="n">
        <f aca="false">L2734/(L2734+M2734)</f>
        <v>0</v>
      </c>
      <c r="R2734" s="6" t="n">
        <v>0</v>
      </c>
      <c r="S2734" s="11"/>
      <c r="T2734" s="11" t="n">
        <v>0</v>
      </c>
      <c r="U2734" s="11" t="n">
        <v>0.9</v>
      </c>
      <c r="V2734" s="11" t="n">
        <v>0.9</v>
      </c>
    </row>
    <row r="2735" customFormat="false" ht="15" hidden="false" customHeight="false" outlineLevel="0" collapsed="false">
      <c r="A2735" s="6" t="s">
        <v>52</v>
      </c>
      <c r="B2735" s="6" t="s">
        <v>43</v>
      </c>
      <c r="C2735" s="6" t="s">
        <v>51</v>
      </c>
      <c r="D2735" s="6" t="s">
        <v>116</v>
      </c>
      <c r="E2735" s="6" t="n">
        <v>16</v>
      </c>
      <c r="F2735" s="6" t="n">
        <v>9</v>
      </c>
      <c r="G2735" s="6" t="s">
        <v>73</v>
      </c>
      <c r="H2735" s="11" t="n">
        <v>0.001</v>
      </c>
      <c r="I2735" s="6" t="n">
        <v>20</v>
      </c>
      <c r="J2735" s="6" t="n">
        <v>0</v>
      </c>
      <c r="K2735" s="6" t="n">
        <v>20</v>
      </c>
      <c r="L2735" s="6" t="n">
        <v>0</v>
      </c>
      <c r="M2735" s="6" t="n">
        <v>20</v>
      </c>
      <c r="N2735" s="11" t="n">
        <f aca="false">J2735/(J2735+K2735)</f>
        <v>0</v>
      </c>
      <c r="O2735" s="11" t="str">
        <f aca="false">IF(J2735+L2735=0,"",J2735/(J2735+L2735))</f>
        <v/>
      </c>
      <c r="P2735" s="11" t="n">
        <f aca="false">2*J2735/(2*J2735+L2735+K2735)</f>
        <v>0</v>
      </c>
      <c r="Q2735" s="11" t="n">
        <f aca="false">L2735/(L2735+M2735)</f>
        <v>0</v>
      </c>
      <c r="R2735" s="6" t="n">
        <v>2</v>
      </c>
      <c r="S2735" s="11" t="n">
        <v>0</v>
      </c>
      <c r="T2735" s="11" t="n">
        <v>0</v>
      </c>
      <c r="U2735" s="11" t="n">
        <v>0.65</v>
      </c>
      <c r="V2735" s="11" t="n">
        <v>0.6</v>
      </c>
    </row>
    <row r="2736" customFormat="false" ht="15" hidden="false" customHeight="false" outlineLevel="0" collapsed="false">
      <c r="A2736" s="6" t="s">
        <v>52</v>
      </c>
      <c r="B2736" s="6" t="s">
        <v>43</v>
      </c>
      <c r="C2736" s="6" t="s">
        <v>51</v>
      </c>
      <c r="D2736" s="6" t="s">
        <v>116</v>
      </c>
      <c r="E2736" s="6" t="n">
        <v>16</v>
      </c>
      <c r="F2736" s="6" t="n">
        <v>9</v>
      </c>
      <c r="G2736" s="6" t="s">
        <v>74</v>
      </c>
      <c r="H2736" s="11" t="n">
        <v>0.001</v>
      </c>
      <c r="I2736" s="6" t="n">
        <v>20</v>
      </c>
      <c r="J2736" s="6" t="n">
        <v>0</v>
      </c>
      <c r="K2736" s="6" t="n">
        <v>20</v>
      </c>
      <c r="L2736" s="6" t="n">
        <v>0</v>
      </c>
      <c r="M2736" s="6" t="n">
        <v>20</v>
      </c>
      <c r="N2736" s="11" t="n">
        <f aca="false">J2736/(J2736+K2736)</f>
        <v>0</v>
      </c>
      <c r="O2736" s="11" t="str">
        <f aca="false">IF(J2736+L2736=0,"",J2736/(J2736+L2736))</f>
        <v/>
      </c>
      <c r="P2736" s="11" t="n">
        <f aca="false">2*J2736/(2*J2736+L2736+K2736)</f>
        <v>0</v>
      </c>
      <c r="Q2736" s="11" t="n">
        <f aca="false">L2736/(L2736+M2736)</f>
        <v>0</v>
      </c>
      <c r="R2736" s="6" t="n">
        <v>3</v>
      </c>
      <c r="S2736" s="11" t="n">
        <v>0</v>
      </c>
      <c r="T2736" s="11" t="n">
        <v>0</v>
      </c>
      <c r="U2736" s="11" t="n">
        <v>0.85</v>
      </c>
      <c r="V2736" s="11" t="n">
        <v>0.7</v>
      </c>
    </row>
    <row r="2737" customFormat="false" ht="15" hidden="false" customHeight="false" outlineLevel="0" collapsed="false">
      <c r="A2737" s="6" t="s">
        <v>52</v>
      </c>
      <c r="B2737" s="6" t="s">
        <v>43</v>
      </c>
      <c r="C2737" s="6" t="s">
        <v>51</v>
      </c>
      <c r="D2737" s="6" t="s">
        <v>116</v>
      </c>
      <c r="E2737" s="6" t="n">
        <v>16</v>
      </c>
      <c r="F2737" s="6" t="n">
        <v>9</v>
      </c>
      <c r="G2737" s="6" t="s">
        <v>75</v>
      </c>
      <c r="H2737" s="11" t="n">
        <v>0.001</v>
      </c>
      <c r="I2737" s="6" t="n">
        <v>20</v>
      </c>
      <c r="J2737" s="6" t="n">
        <v>0</v>
      </c>
      <c r="K2737" s="6" t="n">
        <v>20</v>
      </c>
      <c r="L2737" s="6" t="n">
        <v>0</v>
      </c>
      <c r="M2737" s="6" t="n">
        <v>20</v>
      </c>
      <c r="N2737" s="11" t="n">
        <f aca="false">J2737/(J2737+K2737)</f>
        <v>0</v>
      </c>
      <c r="O2737" s="11" t="str">
        <f aca="false">IF(J2737+L2737=0,"",J2737/(J2737+L2737))</f>
        <v/>
      </c>
      <c r="P2737" s="11" t="n">
        <f aca="false">2*J2737/(2*J2737+L2737+K2737)</f>
        <v>0</v>
      </c>
      <c r="Q2737" s="11" t="n">
        <f aca="false">L2737/(L2737+M2737)</f>
        <v>0</v>
      </c>
      <c r="R2737" s="6" t="n">
        <v>1</v>
      </c>
      <c r="S2737" s="11" t="n">
        <v>0</v>
      </c>
      <c r="T2737" s="11" t="n">
        <v>0</v>
      </c>
      <c r="U2737" s="11" t="n">
        <v>0.9</v>
      </c>
      <c r="V2737" s="11" t="n">
        <v>0.95</v>
      </c>
    </row>
    <row r="2738" customFormat="false" ht="15" hidden="false" customHeight="false" outlineLevel="0" collapsed="false">
      <c r="A2738" s="6" t="s">
        <v>52</v>
      </c>
      <c r="B2738" s="6" t="s">
        <v>43</v>
      </c>
      <c r="C2738" s="6" t="s">
        <v>51</v>
      </c>
      <c r="D2738" s="6" t="s">
        <v>116</v>
      </c>
      <c r="E2738" s="6" t="n">
        <v>16</v>
      </c>
      <c r="F2738" s="6" t="n">
        <v>9</v>
      </c>
      <c r="G2738" s="6" t="s">
        <v>76</v>
      </c>
      <c r="H2738" s="11" t="n">
        <v>0.001</v>
      </c>
      <c r="I2738" s="6" t="n">
        <v>20</v>
      </c>
      <c r="J2738" s="6" t="n">
        <v>0</v>
      </c>
      <c r="K2738" s="6" t="n">
        <v>20</v>
      </c>
      <c r="L2738" s="6" t="n">
        <v>0</v>
      </c>
      <c r="M2738" s="6" t="n">
        <v>20</v>
      </c>
      <c r="N2738" s="11" t="n">
        <f aca="false">J2738/(J2738+K2738)</f>
        <v>0</v>
      </c>
      <c r="O2738" s="11" t="str">
        <f aca="false">IF(J2738+L2738=0,"",J2738/(J2738+L2738))</f>
        <v/>
      </c>
      <c r="P2738" s="11" t="n">
        <f aca="false">2*J2738/(2*J2738+L2738+K2738)</f>
        <v>0</v>
      </c>
      <c r="Q2738" s="11" t="n">
        <f aca="false">L2738/(L2738+M2738)</f>
        <v>0</v>
      </c>
      <c r="R2738" s="6" t="n">
        <v>0</v>
      </c>
      <c r="S2738" s="11"/>
      <c r="T2738" s="11" t="n">
        <v>0</v>
      </c>
      <c r="U2738" s="11" t="n">
        <v>0.95</v>
      </c>
      <c r="V2738" s="11" t="n">
        <v>0.95</v>
      </c>
    </row>
    <row r="2739" customFormat="false" ht="15" hidden="false" customHeight="false" outlineLevel="0" collapsed="false">
      <c r="A2739" s="6" t="s">
        <v>52</v>
      </c>
      <c r="B2739" s="6" t="s">
        <v>43</v>
      </c>
      <c r="C2739" s="6" t="s">
        <v>51</v>
      </c>
      <c r="D2739" s="6" t="s">
        <v>116</v>
      </c>
      <c r="E2739" s="6" t="n">
        <v>16</v>
      </c>
      <c r="F2739" s="6" t="n">
        <v>9</v>
      </c>
      <c r="G2739" s="6" t="s">
        <v>77</v>
      </c>
      <c r="H2739" s="11" t="n">
        <v>0.001</v>
      </c>
      <c r="I2739" s="6" t="n">
        <v>20</v>
      </c>
      <c r="J2739" s="6" t="n">
        <v>0</v>
      </c>
      <c r="K2739" s="6" t="n">
        <v>20</v>
      </c>
      <c r="L2739" s="6" t="n">
        <v>0</v>
      </c>
      <c r="M2739" s="6" t="n">
        <v>20</v>
      </c>
      <c r="N2739" s="11" t="n">
        <f aca="false">J2739/(J2739+K2739)</f>
        <v>0</v>
      </c>
      <c r="O2739" s="11" t="str">
        <f aca="false">IF(J2739+L2739=0,"",J2739/(J2739+L2739))</f>
        <v/>
      </c>
      <c r="P2739" s="11" t="n">
        <f aca="false">2*J2739/(2*J2739+L2739+K2739)</f>
        <v>0</v>
      </c>
      <c r="Q2739" s="11" t="n">
        <f aca="false">L2739/(L2739+M2739)</f>
        <v>0</v>
      </c>
      <c r="R2739" s="6" t="n">
        <v>0</v>
      </c>
      <c r="S2739" s="11"/>
      <c r="T2739" s="11" t="n">
        <v>0</v>
      </c>
      <c r="U2739" s="11" t="n">
        <v>1</v>
      </c>
      <c r="V2739" s="11" t="n">
        <v>1</v>
      </c>
    </row>
    <row r="2740" customFormat="false" ht="15" hidden="false" customHeight="false" outlineLevel="0" collapsed="false">
      <c r="A2740" s="6" t="s">
        <v>52</v>
      </c>
      <c r="B2740" s="6" t="s">
        <v>43</v>
      </c>
      <c r="C2740" s="6" t="s">
        <v>51</v>
      </c>
      <c r="D2740" s="6" t="s">
        <v>116</v>
      </c>
      <c r="E2740" s="6" t="n">
        <v>16</v>
      </c>
      <c r="F2740" s="6" t="n">
        <v>9</v>
      </c>
      <c r="G2740" s="6" t="s">
        <v>78</v>
      </c>
      <c r="H2740" s="11" t="n">
        <v>0.001</v>
      </c>
      <c r="I2740" s="6" t="n">
        <v>200</v>
      </c>
      <c r="J2740" s="6" t="n">
        <v>0</v>
      </c>
      <c r="K2740" s="6" t="n">
        <v>200</v>
      </c>
      <c r="L2740" s="6" t="n">
        <v>0</v>
      </c>
      <c r="M2740" s="6" t="n">
        <v>200</v>
      </c>
      <c r="N2740" s="11" t="n">
        <f aca="false">J2740/(J2740+K2740)</f>
        <v>0</v>
      </c>
      <c r="O2740" s="11" t="str">
        <f aca="false">IF(J2740+L2740=0,"",J2740/(J2740+L2740))</f>
        <v/>
      </c>
      <c r="P2740" s="11" t="n">
        <f aca="false">2*J2740/(2*J2740+L2740+K2740)</f>
        <v>0</v>
      </c>
      <c r="Q2740" s="11" t="n">
        <f aca="false">L2740/(L2740+M2740)</f>
        <v>0</v>
      </c>
      <c r="R2740" s="6" t="n">
        <v>7</v>
      </c>
      <c r="S2740" s="11" t="n">
        <v>0</v>
      </c>
      <c r="T2740" s="11" t="n">
        <v>0</v>
      </c>
      <c r="U2740" s="11" t="n">
        <v>0.88</v>
      </c>
      <c r="V2740" s="11" t="n">
        <v>0.86</v>
      </c>
    </row>
    <row r="2741" customFormat="false" ht="15" hidden="false" customHeight="false" outlineLevel="0" collapsed="false">
      <c r="A2741" s="6" t="s">
        <v>52</v>
      </c>
      <c r="B2741" s="6" t="s">
        <v>43</v>
      </c>
      <c r="C2741" s="6" t="s">
        <v>51</v>
      </c>
      <c r="D2741" s="6" t="s">
        <v>116</v>
      </c>
      <c r="E2741" s="6" t="n">
        <v>16</v>
      </c>
      <c r="F2741" s="6" t="n">
        <v>10</v>
      </c>
      <c r="G2741" s="6" t="s">
        <v>68</v>
      </c>
      <c r="H2741" s="11" t="n">
        <v>0.001</v>
      </c>
      <c r="I2741" s="6" t="n">
        <v>20</v>
      </c>
      <c r="J2741" s="6" t="n">
        <v>0</v>
      </c>
      <c r="K2741" s="6" t="n">
        <v>20</v>
      </c>
      <c r="L2741" s="6" t="n">
        <v>0</v>
      </c>
      <c r="M2741" s="6" t="n">
        <v>20</v>
      </c>
      <c r="N2741" s="11" t="n">
        <f aca="false">J2741/(J2741+K2741)</f>
        <v>0</v>
      </c>
      <c r="O2741" s="11" t="str">
        <f aca="false">IF(J2741+L2741=0,"",J2741/(J2741+L2741))</f>
        <v/>
      </c>
      <c r="P2741" s="11" t="n">
        <f aca="false">2*J2741/(2*J2741+L2741+K2741)</f>
        <v>0</v>
      </c>
      <c r="Q2741" s="11" t="n">
        <f aca="false">L2741/(L2741+M2741)</f>
        <v>0</v>
      </c>
      <c r="R2741" s="6" t="n">
        <v>1</v>
      </c>
      <c r="S2741" s="11" t="n">
        <v>0</v>
      </c>
      <c r="T2741" s="11" t="n">
        <v>0</v>
      </c>
      <c r="U2741" s="11" t="n">
        <v>0.85</v>
      </c>
      <c r="V2741" s="11" t="n">
        <v>0.8</v>
      </c>
    </row>
    <row r="2742" customFormat="false" ht="15" hidden="false" customHeight="false" outlineLevel="0" collapsed="false">
      <c r="A2742" s="6" t="s">
        <v>52</v>
      </c>
      <c r="B2742" s="6" t="s">
        <v>43</v>
      </c>
      <c r="C2742" s="6" t="s">
        <v>51</v>
      </c>
      <c r="D2742" s="6" t="s">
        <v>116</v>
      </c>
      <c r="E2742" s="6" t="n">
        <v>16</v>
      </c>
      <c r="F2742" s="6" t="n">
        <v>10</v>
      </c>
      <c r="G2742" s="6" t="s">
        <v>69</v>
      </c>
      <c r="H2742" s="11" t="n">
        <v>0.001</v>
      </c>
      <c r="I2742" s="6" t="n">
        <v>20</v>
      </c>
      <c r="J2742" s="6" t="n">
        <v>0</v>
      </c>
      <c r="K2742" s="6" t="n">
        <v>20</v>
      </c>
      <c r="L2742" s="6" t="n">
        <v>0</v>
      </c>
      <c r="M2742" s="6" t="n">
        <v>20</v>
      </c>
      <c r="N2742" s="11" t="n">
        <f aca="false">J2742/(J2742+K2742)</f>
        <v>0</v>
      </c>
      <c r="O2742" s="11" t="str">
        <f aca="false">IF(J2742+L2742=0,"",J2742/(J2742+L2742))</f>
        <v/>
      </c>
      <c r="P2742" s="11" t="n">
        <f aca="false">2*J2742/(2*J2742+L2742+K2742)</f>
        <v>0</v>
      </c>
      <c r="Q2742" s="11" t="n">
        <f aca="false">L2742/(L2742+M2742)</f>
        <v>0</v>
      </c>
      <c r="R2742" s="6" t="n">
        <v>0</v>
      </c>
      <c r="S2742" s="11"/>
      <c r="T2742" s="11" t="n">
        <v>0</v>
      </c>
      <c r="U2742" s="11" t="n">
        <v>1</v>
      </c>
      <c r="V2742" s="11" t="n">
        <v>1</v>
      </c>
    </row>
    <row r="2743" customFormat="false" ht="15" hidden="false" customHeight="false" outlineLevel="0" collapsed="false">
      <c r="A2743" s="6" t="s">
        <v>52</v>
      </c>
      <c r="B2743" s="6" t="s">
        <v>43</v>
      </c>
      <c r="C2743" s="6" t="s">
        <v>51</v>
      </c>
      <c r="D2743" s="6" t="s">
        <v>116</v>
      </c>
      <c r="E2743" s="6" t="n">
        <v>16</v>
      </c>
      <c r="F2743" s="6" t="n">
        <v>10</v>
      </c>
      <c r="G2743" s="6" t="s">
        <v>70</v>
      </c>
      <c r="H2743" s="11" t="n">
        <v>0.001</v>
      </c>
      <c r="I2743" s="6" t="n">
        <v>20</v>
      </c>
      <c r="J2743" s="6" t="n">
        <v>0</v>
      </c>
      <c r="K2743" s="6" t="n">
        <v>20</v>
      </c>
      <c r="L2743" s="6" t="n">
        <v>0</v>
      </c>
      <c r="M2743" s="6" t="n">
        <v>20</v>
      </c>
      <c r="N2743" s="11" t="n">
        <f aca="false">J2743/(J2743+K2743)</f>
        <v>0</v>
      </c>
      <c r="O2743" s="11" t="str">
        <f aca="false">IF(J2743+L2743=0,"",J2743/(J2743+L2743))</f>
        <v/>
      </c>
      <c r="P2743" s="11" t="n">
        <f aca="false">2*J2743/(2*J2743+L2743+K2743)</f>
        <v>0</v>
      </c>
      <c r="Q2743" s="11" t="n">
        <f aca="false">L2743/(L2743+M2743)</f>
        <v>0</v>
      </c>
      <c r="R2743" s="6" t="n">
        <v>0</v>
      </c>
      <c r="S2743" s="11"/>
      <c r="T2743" s="11" t="n">
        <v>0</v>
      </c>
      <c r="U2743" s="11" t="n">
        <v>0.9</v>
      </c>
      <c r="V2743" s="11" t="n">
        <v>0.9</v>
      </c>
    </row>
    <row r="2744" customFormat="false" ht="15" hidden="false" customHeight="false" outlineLevel="0" collapsed="false">
      <c r="A2744" s="6" t="s">
        <v>52</v>
      </c>
      <c r="B2744" s="6" t="s">
        <v>43</v>
      </c>
      <c r="C2744" s="6" t="s">
        <v>51</v>
      </c>
      <c r="D2744" s="6" t="s">
        <v>116</v>
      </c>
      <c r="E2744" s="6" t="n">
        <v>16</v>
      </c>
      <c r="F2744" s="6" t="n">
        <v>10</v>
      </c>
      <c r="G2744" s="6" t="s">
        <v>71</v>
      </c>
      <c r="H2744" s="11" t="n">
        <v>0.001</v>
      </c>
      <c r="I2744" s="6" t="n">
        <v>20</v>
      </c>
      <c r="J2744" s="6" t="n">
        <v>0</v>
      </c>
      <c r="K2744" s="6" t="n">
        <v>20</v>
      </c>
      <c r="L2744" s="6" t="n">
        <v>0</v>
      </c>
      <c r="M2744" s="6" t="n">
        <v>20</v>
      </c>
      <c r="N2744" s="11" t="n">
        <f aca="false">J2744/(J2744+K2744)</f>
        <v>0</v>
      </c>
      <c r="O2744" s="11" t="str">
        <f aca="false">IF(J2744+L2744=0,"",J2744/(J2744+L2744))</f>
        <v/>
      </c>
      <c r="P2744" s="11" t="n">
        <f aca="false">2*J2744/(2*J2744+L2744+K2744)</f>
        <v>0</v>
      </c>
      <c r="Q2744" s="11" t="n">
        <f aca="false">L2744/(L2744+M2744)</f>
        <v>0</v>
      </c>
      <c r="R2744" s="6" t="n">
        <v>0</v>
      </c>
      <c r="S2744" s="11"/>
      <c r="T2744" s="11" t="n">
        <v>0</v>
      </c>
      <c r="U2744" s="11" t="n">
        <v>0.8</v>
      </c>
      <c r="V2744" s="11" t="n">
        <v>0.8</v>
      </c>
    </row>
    <row r="2745" customFormat="false" ht="15" hidden="false" customHeight="false" outlineLevel="0" collapsed="false">
      <c r="A2745" s="6" t="s">
        <v>52</v>
      </c>
      <c r="B2745" s="6" t="s">
        <v>43</v>
      </c>
      <c r="C2745" s="6" t="s">
        <v>51</v>
      </c>
      <c r="D2745" s="6" t="s">
        <v>116</v>
      </c>
      <c r="E2745" s="6" t="n">
        <v>16</v>
      </c>
      <c r="F2745" s="6" t="n">
        <v>10</v>
      </c>
      <c r="G2745" s="6" t="s">
        <v>72</v>
      </c>
      <c r="H2745" s="11" t="n">
        <v>0.001</v>
      </c>
      <c r="I2745" s="6" t="n">
        <v>20</v>
      </c>
      <c r="J2745" s="6" t="n">
        <v>0</v>
      </c>
      <c r="K2745" s="6" t="n">
        <v>20</v>
      </c>
      <c r="L2745" s="6" t="n">
        <v>0</v>
      </c>
      <c r="M2745" s="6" t="n">
        <v>20</v>
      </c>
      <c r="N2745" s="11" t="n">
        <f aca="false">J2745/(J2745+K2745)</f>
        <v>0</v>
      </c>
      <c r="O2745" s="11" t="str">
        <f aca="false">IF(J2745+L2745=0,"",J2745/(J2745+L2745))</f>
        <v/>
      </c>
      <c r="P2745" s="11" t="n">
        <f aca="false">2*J2745/(2*J2745+L2745+K2745)</f>
        <v>0</v>
      </c>
      <c r="Q2745" s="11" t="n">
        <f aca="false">L2745/(L2745+M2745)</f>
        <v>0</v>
      </c>
      <c r="R2745" s="6" t="n">
        <v>0</v>
      </c>
      <c r="S2745" s="11"/>
      <c r="T2745" s="11" t="n">
        <v>0</v>
      </c>
      <c r="U2745" s="11" t="n">
        <v>0.9</v>
      </c>
      <c r="V2745" s="11" t="n">
        <v>0.9</v>
      </c>
    </row>
    <row r="2746" customFormat="false" ht="15" hidden="false" customHeight="false" outlineLevel="0" collapsed="false">
      <c r="A2746" s="6" t="s">
        <v>52</v>
      </c>
      <c r="B2746" s="6" t="s">
        <v>43</v>
      </c>
      <c r="C2746" s="6" t="s">
        <v>51</v>
      </c>
      <c r="D2746" s="6" t="s">
        <v>116</v>
      </c>
      <c r="E2746" s="6" t="n">
        <v>16</v>
      </c>
      <c r="F2746" s="6" t="n">
        <v>10</v>
      </c>
      <c r="G2746" s="6" t="s">
        <v>73</v>
      </c>
      <c r="H2746" s="11" t="n">
        <v>0.001</v>
      </c>
      <c r="I2746" s="6" t="n">
        <v>20</v>
      </c>
      <c r="J2746" s="6" t="n">
        <v>0</v>
      </c>
      <c r="K2746" s="6" t="n">
        <v>20</v>
      </c>
      <c r="L2746" s="6" t="n">
        <v>0</v>
      </c>
      <c r="M2746" s="6" t="n">
        <v>20</v>
      </c>
      <c r="N2746" s="11" t="n">
        <f aca="false">J2746/(J2746+K2746)</f>
        <v>0</v>
      </c>
      <c r="O2746" s="11" t="str">
        <f aca="false">IF(J2746+L2746=0,"",J2746/(J2746+L2746))</f>
        <v/>
      </c>
      <c r="P2746" s="11" t="n">
        <f aca="false">2*J2746/(2*J2746+L2746+K2746)</f>
        <v>0</v>
      </c>
      <c r="Q2746" s="11" t="n">
        <f aca="false">L2746/(L2746+M2746)</f>
        <v>0</v>
      </c>
      <c r="R2746" s="6" t="n">
        <v>1</v>
      </c>
      <c r="S2746" s="11" t="n">
        <v>0</v>
      </c>
      <c r="T2746" s="11" t="n">
        <v>0</v>
      </c>
      <c r="U2746" s="11" t="n">
        <v>0.65</v>
      </c>
      <c r="V2746" s="11" t="n">
        <v>0.65</v>
      </c>
    </row>
    <row r="2747" customFormat="false" ht="15" hidden="false" customHeight="false" outlineLevel="0" collapsed="false">
      <c r="A2747" s="6" t="s">
        <v>52</v>
      </c>
      <c r="B2747" s="6" t="s">
        <v>43</v>
      </c>
      <c r="C2747" s="6" t="s">
        <v>51</v>
      </c>
      <c r="D2747" s="6" t="s">
        <v>116</v>
      </c>
      <c r="E2747" s="6" t="n">
        <v>16</v>
      </c>
      <c r="F2747" s="6" t="n">
        <v>10</v>
      </c>
      <c r="G2747" s="6" t="s">
        <v>74</v>
      </c>
      <c r="H2747" s="11" t="n">
        <v>0.001</v>
      </c>
      <c r="I2747" s="6" t="n">
        <v>20</v>
      </c>
      <c r="J2747" s="6" t="n">
        <v>0</v>
      </c>
      <c r="K2747" s="6" t="n">
        <v>20</v>
      </c>
      <c r="L2747" s="6" t="n">
        <v>0</v>
      </c>
      <c r="M2747" s="6" t="n">
        <v>20</v>
      </c>
      <c r="N2747" s="11" t="n">
        <f aca="false">J2747/(J2747+K2747)</f>
        <v>0</v>
      </c>
      <c r="O2747" s="11" t="str">
        <f aca="false">IF(J2747+L2747=0,"",J2747/(J2747+L2747))</f>
        <v/>
      </c>
      <c r="P2747" s="11" t="n">
        <f aca="false">2*J2747/(2*J2747+L2747+K2747)</f>
        <v>0</v>
      </c>
      <c r="Q2747" s="11" t="n">
        <f aca="false">L2747/(L2747+M2747)</f>
        <v>0</v>
      </c>
      <c r="R2747" s="6" t="n">
        <v>1</v>
      </c>
      <c r="S2747" s="11" t="n">
        <v>0</v>
      </c>
      <c r="T2747" s="11" t="n">
        <v>0</v>
      </c>
      <c r="U2747" s="11" t="n">
        <v>0.85</v>
      </c>
      <c r="V2747" s="11" t="n">
        <v>0.85</v>
      </c>
    </row>
    <row r="2748" customFormat="false" ht="15" hidden="false" customHeight="false" outlineLevel="0" collapsed="false">
      <c r="A2748" s="6" t="s">
        <v>52</v>
      </c>
      <c r="B2748" s="6" t="s">
        <v>43</v>
      </c>
      <c r="C2748" s="6" t="s">
        <v>51</v>
      </c>
      <c r="D2748" s="6" t="s">
        <v>116</v>
      </c>
      <c r="E2748" s="6" t="n">
        <v>16</v>
      </c>
      <c r="F2748" s="6" t="n">
        <v>10</v>
      </c>
      <c r="G2748" s="6" t="s">
        <v>75</v>
      </c>
      <c r="H2748" s="11" t="n">
        <v>0.001</v>
      </c>
      <c r="I2748" s="6" t="n">
        <v>20</v>
      </c>
      <c r="J2748" s="6" t="n">
        <v>0</v>
      </c>
      <c r="K2748" s="6" t="n">
        <v>20</v>
      </c>
      <c r="L2748" s="6" t="n">
        <v>0</v>
      </c>
      <c r="M2748" s="6" t="n">
        <v>20</v>
      </c>
      <c r="N2748" s="11" t="n">
        <f aca="false">J2748/(J2748+K2748)</f>
        <v>0</v>
      </c>
      <c r="O2748" s="11" t="str">
        <f aca="false">IF(J2748+L2748=0,"",J2748/(J2748+L2748))</f>
        <v/>
      </c>
      <c r="P2748" s="11" t="n">
        <f aca="false">2*J2748/(2*J2748+L2748+K2748)</f>
        <v>0</v>
      </c>
      <c r="Q2748" s="11" t="n">
        <f aca="false">L2748/(L2748+M2748)</f>
        <v>0</v>
      </c>
      <c r="R2748" s="6" t="n">
        <v>2</v>
      </c>
      <c r="S2748" s="11" t="n">
        <v>0</v>
      </c>
      <c r="T2748" s="11" t="n">
        <v>0</v>
      </c>
      <c r="U2748" s="11" t="n">
        <v>0.9</v>
      </c>
      <c r="V2748" s="11" t="n">
        <v>1</v>
      </c>
    </row>
    <row r="2749" customFormat="false" ht="15" hidden="false" customHeight="false" outlineLevel="0" collapsed="false">
      <c r="A2749" s="6" t="s">
        <v>52</v>
      </c>
      <c r="B2749" s="6" t="s">
        <v>43</v>
      </c>
      <c r="C2749" s="6" t="s">
        <v>51</v>
      </c>
      <c r="D2749" s="6" t="s">
        <v>116</v>
      </c>
      <c r="E2749" s="6" t="n">
        <v>16</v>
      </c>
      <c r="F2749" s="6" t="n">
        <v>10</v>
      </c>
      <c r="G2749" s="6" t="s">
        <v>76</v>
      </c>
      <c r="H2749" s="11" t="n">
        <v>0.001</v>
      </c>
      <c r="I2749" s="6" t="n">
        <v>20</v>
      </c>
      <c r="J2749" s="6" t="n">
        <v>0</v>
      </c>
      <c r="K2749" s="6" t="n">
        <v>20</v>
      </c>
      <c r="L2749" s="6" t="n">
        <v>0</v>
      </c>
      <c r="M2749" s="6" t="n">
        <v>20</v>
      </c>
      <c r="N2749" s="11" t="n">
        <f aca="false">J2749/(J2749+K2749)</f>
        <v>0</v>
      </c>
      <c r="O2749" s="11" t="str">
        <f aca="false">IF(J2749+L2749=0,"",J2749/(J2749+L2749))</f>
        <v/>
      </c>
      <c r="P2749" s="11" t="n">
        <f aca="false">2*J2749/(2*J2749+L2749+K2749)</f>
        <v>0</v>
      </c>
      <c r="Q2749" s="11" t="n">
        <f aca="false">L2749/(L2749+M2749)</f>
        <v>0</v>
      </c>
      <c r="R2749" s="6" t="n">
        <v>0</v>
      </c>
      <c r="S2749" s="11"/>
      <c r="T2749" s="11" t="n">
        <v>0</v>
      </c>
      <c r="U2749" s="11" t="n">
        <v>0.95</v>
      </c>
      <c r="V2749" s="11" t="n">
        <v>0.95</v>
      </c>
    </row>
    <row r="2750" customFormat="false" ht="15" hidden="false" customHeight="false" outlineLevel="0" collapsed="false">
      <c r="A2750" s="6" t="s">
        <v>52</v>
      </c>
      <c r="B2750" s="6" t="s">
        <v>43</v>
      </c>
      <c r="C2750" s="6" t="s">
        <v>51</v>
      </c>
      <c r="D2750" s="6" t="s">
        <v>116</v>
      </c>
      <c r="E2750" s="6" t="n">
        <v>16</v>
      </c>
      <c r="F2750" s="6" t="n">
        <v>10</v>
      </c>
      <c r="G2750" s="6" t="s">
        <v>77</v>
      </c>
      <c r="H2750" s="11" t="n">
        <v>0.001</v>
      </c>
      <c r="I2750" s="6" t="n">
        <v>20</v>
      </c>
      <c r="J2750" s="6" t="n">
        <v>0</v>
      </c>
      <c r="K2750" s="6" t="n">
        <v>20</v>
      </c>
      <c r="L2750" s="6" t="n">
        <v>0</v>
      </c>
      <c r="M2750" s="6" t="n">
        <v>20</v>
      </c>
      <c r="N2750" s="11" t="n">
        <f aca="false">J2750/(J2750+K2750)</f>
        <v>0</v>
      </c>
      <c r="O2750" s="11" t="str">
        <f aca="false">IF(J2750+L2750=0,"",J2750/(J2750+L2750))</f>
        <v/>
      </c>
      <c r="P2750" s="11" t="n">
        <f aca="false">2*J2750/(2*J2750+L2750+K2750)</f>
        <v>0</v>
      </c>
      <c r="Q2750" s="11" t="n">
        <f aca="false">L2750/(L2750+M2750)</f>
        <v>0</v>
      </c>
      <c r="R2750" s="6" t="n">
        <v>0</v>
      </c>
      <c r="S2750" s="11"/>
      <c r="T2750" s="11" t="n">
        <v>0</v>
      </c>
      <c r="U2750" s="11" t="n">
        <v>1</v>
      </c>
      <c r="V2750" s="11" t="n">
        <v>1</v>
      </c>
    </row>
    <row r="2751" customFormat="false" ht="15" hidden="false" customHeight="false" outlineLevel="0" collapsed="false">
      <c r="A2751" s="6" t="s">
        <v>52</v>
      </c>
      <c r="B2751" s="6" t="s">
        <v>43</v>
      </c>
      <c r="C2751" s="6" t="s">
        <v>51</v>
      </c>
      <c r="D2751" s="6" t="s">
        <v>116</v>
      </c>
      <c r="E2751" s="6" t="n">
        <v>16</v>
      </c>
      <c r="F2751" s="6" t="n">
        <v>10</v>
      </c>
      <c r="G2751" s="6" t="s">
        <v>78</v>
      </c>
      <c r="H2751" s="11" t="n">
        <v>0.001</v>
      </c>
      <c r="I2751" s="6" t="n">
        <v>200</v>
      </c>
      <c r="J2751" s="6" t="n">
        <v>0</v>
      </c>
      <c r="K2751" s="6" t="n">
        <v>200</v>
      </c>
      <c r="L2751" s="6" t="n">
        <v>0</v>
      </c>
      <c r="M2751" s="6" t="n">
        <v>200</v>
      </c>
      <c r="N2751" s="11" t="n">
        <f aca="false">J2751/(J2751+K2751)</f>
        <v>0</v>
      </c>
      <c r="O2751" s="11" t="str">
        <f aca="false">IF(J2751+L2751=0,"",J2751/(J2751+L2751))</f>
        <v/>
      </c>
      <c r="P2751" s="11" t="n">
        <f aca="false">2*J2751/(2*J2751+L2751+K2751)</f>
        <v>0</v>
      </c>
      <c r="Q2751" s="11" t="n">
        <f aca="false">L2751/(L2751+M2751)</f>
        <v>0</v>
      </c>
      <c r="R2751" s="6" t="n">
        <v>5</v>
      </c>
      <c r="S2751" s="11" t="n">
        <v>0</v>
      </c>
      <c r="T2751" s="11" t="n">
        <v>0</v>
      </c>
      <c r="U2751" s="11" t="n">
        <v>0.88</v>
      </c>
      <c r="V2751" s="11" t="n">
        <v>0.885</v>
      </c>
    </row>
    <row r="2752" customFormat="false" ht="15" hidden="false" customHeight="false" outlineLevel="0" collapsed="false">
      <c r="A2752" s="6" t="s">
        <v>54</v>
      </c>
      <c r="B2752" s="6" t="s">
        <v>43</v>
      </c>
      <c r="C2752" s="6" t="s">
        <v>49</v>
      </c>
      <c r="D2752" s="6" t="s">
        <v>117</v>
      </c>
      <c r="E2752" s="6" t="n">
        <v>16</v>
      </c>
      <c r="F2752" s="6" t="n">
        <v>1</v>
      </c>
      <c r="G2752" s="6" t="s">
        <v>68</v>
      </c>
      <c r="H2752" s="11" t="n">
        <v>0.001</v>
      </c>
      <c r="I2752" s="6" t="n">
        <v>20</v>
      </c>
      <c r="J2752" s="6" t="n">
        <v>0</v>
      </c>
      <c r="K2752" s="6" t="n">
        <v>20</v>
      </c>
      <c r="L2752" s="6" t="n">
        <v>0</v>
      </c>
      <c r="M2752" s="6" t="n">
        <v>20</v>
      </c>
      <c r="N2752" s="11" t="n">
        <f aca="false">J2752/(J2752+K2752)</f>
        <v>0</v>
      </c>
      <c r="O2752" s="11" t="str">
        <f aca="false">IF(J2752+L2752=0,"",J2752/(J2752+L2752))</f>
        <v/>
      </c>
      <c r="P2752" s="11" t="n">
        <f aca="false">2*J2752/(2*J2752+L2752+K2752)</f>
        <v>0</v>
      </c>
      <c r="Q2752" s="11" t="n">
        <f aca="false">L2752/(L2752+M2752)</f>
        <v>0</v>
      </c>
      <c r="R2752" s="6" t="n">
        <v>0</v>
      </c>
      <c r="S2752" s="11"/>
      <c r="T2752" s="11" t="n">
        <v>0</v>
      </c>
      <c r="U2752" s="11" t="n">
        <v>0.85</v>
      </c>
      <c r="V2752" s="11" t="n">
        <v>0.85</v>
      </c>
    </row>
    <row r="2753" customFormat="false" ht="15" hidden="false" customHeight="false" outlineLevel="0" collapsed="false">
      <c r="A2753" s="6" t="s">
        <v>54</v>
      </c>
      <c r="B2753" s="6" t="s">
        <v>43</v>
      </c>
      <c r="C2753" s="6" t="s">
        <v>49</v>
      </c>
      <c r="D2753" s="6" t="s">
        <v>117</v>
      </c>
      <c r="E2753" s="6" t="n">
        <v>16</v>
      </c>
      <c r="F2753" s="6" t="n">
        <v>1</v>
      </c>
      <c r="G2753" s="6" t="s">
        <v>69</v>
      </c>
      <c r="H2753" s="11" t="n">
        <v>0.001</v>
      </c>
      <c r="I2753" s="6" t="n">
        <v>20</v>
      </c>
      <c r="J2753" s="6" t="n">
        <v>0</v>
      </c>
      <c r="K2753" s="6" t="n">
        <v>20</v>
      </c>
      <c r="L2753" s="6" t="n">
        <v>0</v>
      </c>
      <c r="M2753" s="6" t="n">
        <v>20</v>
      </c>
      <c r="N2753" s="11" t="n">
        <f aca="false">J2753/(J2753+K2753)</f>
        <v>0</v>
      </c>
      <c r="O2753" s="11" t="str">
        <f aca="false">IF(J2753+L2753=0,"",J2753/(J2753+L2753))</f>
        <v/>
      </c>
      <c r="P2753" s="11" t="n">
        <f aca="false">2*J2753/(2*J2753+L2753+K2753)</f>
        <v>0</v>
      </c>
      <c r="Q2753" s="11" t="n">
        <f aca="false">L2753/(L2753+M2753)</f>
        <v>0</v>
      </c>
      <c r="R2753" s="6" t="n">
        <v>0</v>
      </c>
      <c r="S2753" s="11"/>
      <c r="T2753" s="11" t="n">
        <v>0</v>
      </c>
      <c r="U2753" s="11" t="n">
        <v>1</v>
      </c>
      <c r="V2753" s="11" t="n">
        <v>1</v>
      </c>
    </row>
    <row r="2754" customFormat="false" ht="15" hidden="false" customHeight="false" outlineLevel="0" collapsed="false">
      <c r="A2754" s="6" t="s">
        <v>54</v>
      </c>
      <c r="B2754" s="6" t="s">
        <v>43</v>
      </c>
      <c r="C2754" s="6" t="s">
        <v>49</v>
      </c>
      <c r="D2754" s="6" t="s">
        <v>117</v>
      </c>
      <c r="E2754" s="6" t="n">
        <v>16</v>
      </c>
      <c r="F2754" s="6" t="n">
        <v>1</v>
      </c>
      <c r="G2754" s="6" t="s">
        <v>70</v>
      </c>
      <c r="H2754" s="11" t="n">
        <v>0.001</v>
      </c>
      <c r="I2754" s="6" t="n">
        <v>20</v>
      </c>
      <c r="J2754" s="6" t="n">
        <v>0</v>
      </c>
      <c r="K2754" s="6" t="n">
        <v>20</v>
      </c>
      <c r="L2754" s="6" t="n">
        <v>0</v>
      </c>
      <c r="M2754" s="6" t="n">
        <v>20</v>
      </c>
      <c r="N2754" s="11" t="n">
        <f aca="false">J2754/(J2754+K2754)</f>
        <v>0</v>
      </c>
      <c r="O2754" s="11" t="str">
        <f aca="false">IF(J2754+L2754=0,"",J2754/(J2754+L2754))</f>
        <v/>
      </c>
      <c r="P2754" s="11" t="n">
        <f aca="false">2*J2754/(2*J2754+L2754+K2754)</f>
        <v>0</v>
      </c>
      <c r="Q2754" s="11" t="n">
        <f aca="false">L2754/(L2754+M2754)</f>
        <v>0</v>
      </c>
      <c r="R2754" s="6" t="n">
        <v>0</v>
      </c>
      <c r="S2754" s="11"/>
      <c r="T2754" s="11" t="n">
        <v>0</v>
      </c>
      <c r="U2754" s="11" t="n">
        <v>0.9</v>
      </c>
      <c r="V2754" s="11" t="n">
        <v>0.9</v>
      </c>
    </row>
    <row r="2755" customFormat="false" ht="15" hidden="false" customHeight="false" outlineLevel="0" collapsed="false">
      <c r="A2755" s="6" t="s">
        <v>54</v>
      </c>
      <c r="B2755" s="6" t="s">
        <v>43</v>
      </c>
      <c r="C2755" s="6" t="s">
        <v>49</v>
      </c>
      <c r="D2755" s="6" t="s">
        <v>117</v>
      </c>
      <c r="E2755" s="6" t="n">
        <v>16</v>
      </c>
      <c r="F2755" s="6" t="n">
        <v>1</v>
      </c>
      <c r="G2755" s="6" t="s">
        <v>71</v>
      </c>
      <c r="H2755" s="11" t="n">
        <v>0.001</v>
      </c>
      <c r="I2755" s="6" t="n">
        <v>20</v>
      </c>
      <c r="J2755" s="6" t="n">
        <v>0</v>
      </c>
      <c r="K2755" s="6" t="n">
        <v>20</v>
      </c>
      <c r="L2755" s="6" t="n">
        <v>0</v>
      </c>
      <c r="M2755" s="6" t="n">
        <v>20</v>
      </c>
      <c r="N2755" s="11" t="n">
        <f aca="false">J2755/(J2755+K2755)</f>
        <v>0</v>
      </c>
      <c r="O2755" s="11" t="str">
        <f aca="false">IF(J2755+L2755=0,"",J2755/(J2755+L2755))</f>
        <v/>
      </c>
      <c r="P2755" s="11" t="n">
        <f aca="false">2*J2755/(2*J2755+L2755+K2755)</f>
        <v>0</v>
      </c>
      <c r="Q2755" s="11" t="n">
        <f aca="false">L2755/(L2755+M2755)</f>
        <v>0</v>
      </c>
      <c r="R2755" s="6" t="n">
        <v>0</v>
      </c>
      <c r="S2755" s="11"/>
      <c r="T2755" s="11" t="n">
        <v>0</v>
      </c>
      <c r="U2755" s="11" t="n">
        <v>0.8</v>
      </c>
      <c r="V2755" s="11" t="n">
        <v>0.8</v>
      </c>
    </row>
    <row r="2756" customFormat="false" ht="15" hidden="false" customHeight="false" outlineLevel="0" collapsed="false">
      <c r="A2756" s="6" t="s">
        <v>54</v>
      </c>
      <c r="B2756" s="6" t="s">
        <v>43</v>
      </c>
      <c r="C2756" s="6" t="s">
        <v>49</v>
      </c>
      <c r="D2756" s="6" t="s">
        <v>117</v>
      </c>
      <c r="E2756" s="6" t="n">
        <v>16</v>
      </c>
      <c r="F2756" s="6" t="n">
        <v>1</v>
      </c>
      <c r="G2756" s="6" t="s">
        <v>72</v>
      </c>
      <c r="H2756" s="11" t="n">
        <v>0.001</v>
      </c>
      <c r="I2756" s="6" t="n">
        <v>20</v>
      </c>
      <c r="J2756" s="6" t="n">
        <v>0</v>
      </c>
      <c r="K2756" s="6" t="n">
        <v>20</v>
      </c>
      <c r="L2756" s="6" t="n">
        <v>0</v>
      </c>
      <c r="M2756" s="6" t="n">
        <v>20</v>
      </c>
      <c r="N2756" s="11" t="n">
        <f aca="false">J2756/(J2756+K2756)</f>
        <v>0</v>
      </c>
      <c r="O2756" s="11" t="str">
        <f aca="false">IF(J2756+L2756=0,"",J2756/(J2756+L2756))</f>
        <v/>
      </c>
      <c r="P2756" s="11" t="n">
        <f aca="false">2*J2756/(2*J2756+L2756+K2756)</f>
        <v>0</v>
      </c>
      <c r="Q2756" s="11" t="n">
        <f aca="false">L2756/(L2756+M2756)</f>
        <v>0</v>
      </c>
      <c r="R2756" s="6" t="n">
        <v>0</v>
      </c>
      <c r="S2756" s="11"/>
      <c r="T2756" s="11" t="n">
        <v>0</v>
      </c>
      <c r="U2756" s="11" t="n">
        <v>0.9</v>
      </c>
      <c r="V2756" s="11" t="n">
        <v>0.9</v>
      </c>
    </row>
    <row r="2757" customFormat="false" ht="15" hidden="false" customHeight="false" outlineLevel="0" collapsed="false">
      <c r="A2757" s="6" t="s">
        <v>54</v>
      </c>
      <c r="B2757" s="6" t="s">
        <v>43</v>
      </c>
      <c r="C2757" s="6" t="s">
        <v>49</v>
      </c>
      <c r="D2757" s="6" t="s">
        <v>117</v>
      </c>
      <c r="E2757" s="6" t="n">
        <v>16</v>
      </c>
      <c r="F2757" s="6" t="n">
        <v>1</v>
      </c>
      <c r="G2757" s="6" t="s">
        <v>73</v>
      </c>
      <c r="H2757" s="11" t="n">
        <v>0.001</v>
      </c>
      <c r="I2757" s="6" t="n">
        <v>20</v>
      </c>
      <c r="J2757" s="6" t="n">
        <v>0</v>
      </c>
      <c r="K2757" s="6" t="n">
        <v>20</v>
      </c>
      <c r="L2757" s="6" t="n">
        <v>0</v>
      </c>
      <c r="M2757" s="6" t="n">
        <v>20</v>
      </c>
      <c r="N2757" s="11" t="n">
        <f aca="false">J2757/(J2757+K2757)</f>
        <v>0</v>
      </c>
      <c r="O2757" s="11" t="str">
        <f aca="false">IF(J2757+L2757=0,"",J2757/(J2757+L2757))</f>
        <v/>
      </c>
      <c r="P2757" s="11" t="n">
        <f aca="false">2*J2757/(2*J2757+L2757+K2757)</f>
        <v>0</v>
      </c>
      <c r="Q2757" s="11" t="n">
        <f aca="false">L2757/(L2757+M2757)</f>
        <v>0</v>
      </c>
      <c r="R2757" s="6" t="n">
        <v>0</v>
      </c>
      <c r="S2757" s="11"/>
      <c r="T2757" s="11" t="n">
        <v>0</v>
      </c>
      <c r="U2757" s="11" t="n">
        <v>0.65</v>
      </c>
      <c r="V2757" s="11" t="n">
        <v>0.65</v>
      </c>
    </row>
    <row r="2758" customFormat="false" ht="15" hidden="false" customHeight="false" outlineLevel="0" collapsed="false">
      <c r="A2758" s="6" t="s">
        <v>54</v>
      </c>
      <c r="B2758" s="6" t="s">
        <v>43</v>
      </c>
      <c r="C2758" s="6" t="s">
        <v>49</v>
      </c>
      <c r="D2758" s="6" t="s">
        <v>117</v>
      </c>
      <c r="E2758" s="6" t="n">
        <v>16</v>
      </c>
      <c r="F2758" s="6" t="n">
        <v>1</v>
      </c>
      <c r="G2758" s="6" t="s">
        <v>74</v>
      </c>
      <c r="H2758" s="11" t="n">
        <v>0.001</v>
      </c>
      <c r="I2758" s="6" t="n">
        <v>20</v>
      </c>
      <c r="J2758" s="6" t="n">
        <v>0</v>
      </c>
      <c r="K2758" s="6" t="n">
        <v>20</v>
      </c>
      <c r="L2758" s="6" t="n">
        <v>0</v>
      </c>
      <c r="M2758" s="6" t="n">
        <v>20</v>
      </c>
      <c r="N2758" s="11" t="n">
        <f aca="false">J2758/(J2758+K2758)</f>
        <v>0</v>
      </c>
      <c r="O2758" s="11" t="str">
        <f aca="false">IF(J2758+L2758=0,"",J2758/(J2758+L2758))</f>
        <v/>
      </c>
      <c r="P2758" s="11" t="n">
        <f aca="false">2*J2758/(2*J2758+L2758+K2758)</f>
        <v>0</v>
      </c>
      <c r="Q2758" s="11" t="n">
        <f aca="false">L2758/(L2758+M2758)</f>
        <v>0</v>
      </c>
      <c r="R2758" s="6" t="n">
        <v>0</v>
      </c>
      <c r="S2758" s="11"/>
      <c r="T2758" s="11" t="n">
        <v>0</v>
      </c>
      <c r="U2758" s="11" t="n">
        <v>0.85</v>
      </c>
      <c r="V2758" s="11" t="n">
        <v>0.85</v>
      </c>
    </row>
    <row r="2759" customFormat="false" ht="15" hidden="false" customHeight="false" outlineLevel="0" collapsed="false">
      <c r="A2759" s="6" t="s">
        <v>54</v>
      </c>
      <c r="B2759" s="6" t="s">
        <v>43</v>
      </c>
      <c r="C2759" s="6" t="s">
        <v>49</v>
      </c>
      <c r="D2759" s="6" t="s">
        <v>117</v>
      </c>
      <c r="E2759" s="6" t="n">
        <v>16</v>
      </c>
      <c r="F2759" s="6" t="n">
        <v>1</v>
      </c>
      <c r="G2759" s="6" t="s">
        <v>75</v>
      </c>
      <c r="H2759" s="11" t="n">
        <v>0.001</v>
      </c>
      <c r="I2759" s="6" t="n">
        <v>20</v>
      </c>
      <c r="J2759" s="6" t="n">
        <v>0</v>
      </c>
      <c r="K2759" s="6" t="n">
        <v>20</v>
      </c>
      <c r="L2759" s="6" t="n">
        <v>0</v>
      </c>
      <c r="M2759" s="6" t="n">
        <v>20</v>
      </c>
      <c r="N2759" s="11" t="n">
        <f aca="false">J2759/(J2759+K2759)</f>
        <v>0</v>
      </c>
      <c r="O2759" s="11" t="str">
        <f aca="false">IF(J2759+L2759=0,"",J2759/(J2759+L2759))</f>
        <v/>
      </c>
      <c r="P2759" s="11" t="n">
        <f aca="false">2*J2759/(2*J2759+L2759+K2759)</f>
        <v>0</v>
      </c>
      <c r="Q2759" s="11" t="n">
        <f aca="false">L2759/(L2759+M2759)</f>
        <v>0</v>
      </c>
      <c r="R2759" s="6" t="n">
        <v>0</v>
      </c>
      <c r="S2759" s="11"/>
      <c r="T2759" s="11" t="n">
        <v>0</v>
      </c>
      <c r="U2759" s="11" t="n">
        <v>0.9</v>
      </c>
      <c r="V2759" s="11" t="n">
        <v>0.9</v>
      </c>
    </row>
    <row r="2760" customFormat="false" ht="15" hidden="false" customHeight="false" outlineLevel="0" collapsed="false">
      <c r="A2760" s="6" t="s">
        <v>54</v>
      </c>
      <c r="B2760" s="6" t="s">
        <v>43</v>
      </c>
      <c r="C2760" s="6" t="s">
        <v>49</v>
      </c>
      <c r="D2760" s="6" t="s">
        <v>117</v>
      </c>
      <c r="E2760" s="6" t="n">
        <v>16</v>
      </c>
      <c r="F2760" s="6" t="n">
        <v>1</v>
      </c>
      <c r="G2760" s="6" t="s">
        <v>76</v>
      </c>
      <c r="H2760" s="11" t="n">
        <v>0.001</v>
      </c>
      <c r="I2760" s="6" t="n">
        <v>20</v>
      </c>
      <c r="J2760" s="6" t="n">
        <v>0</v>
      </c>
      <c r="K2760" s="6" t="n">
        <v>20</v>
      </c>
      <c r="L2760" s="6" t="n">
        <v>0</v>
      </c>
      <c r="M2760" s="6" t="n">
        <v>20</v>
      </c>
      <c r="N2760" s="11" t="n">
        <f aca="false">J2760/(J2760+K2760)</f>
        <v>0</v>
      </c>
      <c r="O2760" s="11" t="str">
        <f aca="false">IF(J2760+L2760=0,"",J2760/(J2760+L2760))</f>
        <v/>
      </c>
      <c r="P2760" s="11" t="n">
        <f aca="false">2*J2760/(2*J2760+L2760+K2760)</f>
        <v>0</v>
      </c>
      <c r="Q2760" s="11" t="n">
        <f aca="false">L2760/(L2760+M2760)</f>
        <v>0</v>
      </c>
      <c r="R2760" s="6" t="n">
        <v>0</v>
      </c>
      <c r="S2760" s="11"/>
      <c r="T2760" s="11" t="n">
        <v>0</v>
      </c>
      <c r="U2760" s="11" t="n">
        <v>0.95</v>
      </c>
      <c r="V2760" s="11" t="n">
        <v>0.95</v>
      </c>
    </row>
    <row r="2761" customFormat="false" ht="15" hidden="false" customHeight="false" outlineLevel="0" collapsed="false">
      <c r="A2761" s="6" t="s">
        <v>54</v>
      </c>
      <c r="B2761" s="6" t="s">
        <v>43</v>
      </c>
      <c r="C2761" s="6" t="s">
        <v>49</v>
      </c>
      <c r="D2761" s="6" t="s">
        <v>117</v>
      </c>
      <c r="E2761" s="6" t="n">
        <v>16</v>
      </c>
      <c r="F2761" s="6" t="n">
        <v>1</v>
      </c>
      <c r="G2761" s="6" t="s">
        <v>77</v>
      </c>
      <c r="H2761" s="11" t="n">
        <v>0.001</v>
      </c>
      <c r="I2761" s="6" t="n">
        <v>20</v>
      </c>
      <c r="J2761" s="6" t="n">
        <v>0</v>
      </c>
      <c r="K2761" s="6" t="n">
        <v>20</v>
      </c>
      <c r="L2761" s="6" t="n">
        <v>0</v>
      </c>
      <c r="M2761" s="6" t="n">
        <v>20</v>
      </c>
      <c r="N2761" s="11" t="n">
        <f aca="false">J2761/(J2761+K2761)</f>
        <v>0</v>
      </c>
      <c r="O2761" s="11" t="str">
        <f aca="false">IF(J2761+L2761=0,"",J2761/(J2761+L2761))</f>
        <v/>
      </c>
      <c r="P2761" s="11" t="n">
        <f aca="false">2*J2761/(2*J2761+L2761+K2761)</f>
        <v>0</v>
      </c>
      <c r="Q2761" s="11" t="n">
        <f aca="false">L2761/(L2761+M2761)</f>
        <v>0</v>
      </c>
      <c r="R2761" s="6" t="n">
        <v>0</v>
      </c>
      <c r="S2761" s="11"/>
      <c r="T2761" s="11" t="n">
        <v>0</v>
      </c>
      <c r="U2761" s="11" t="n">
        <v>1</v>
      </c>
      <c r="V2761" s="11" t="n">
        <v>1</v>
      </c>
    </row>
    <row r="2762" customFormat="false" ht="15" hidden="false" customHeight="false" outlineLevel="0" collapsed="false">
      <c r="A2762" s="6" t="s">
        <v>54</v>
      </c>
      <c r="B2762" s="6" t="s">
        <v>43</v>
      </c>
      <c r="C2762" s="6" t="s">
        <v>49</v>
      </c>
      <c r="D2762" s="6" t="s">
        <v>117</v>
      </c>
      <c r="E2762" s="6" t="n">
        <v>16</v>
      </c>
      <c r="F2762" s="6" t="n">
        <v>1</v>
      </c>
      <c r="G2762" s="6" t="s">
        <v>78</v>
      </c>
      <c r="H2762" s="11" t="n">
        <v>0.001</v>
      </c>
      <c r="I2762" s="6" t="n">
        <v>200</v>
      </c>
      <c r="J2762" s="6" t="n">
        <v>0</v>
      </c>
      <c r="K2762" s="6" t="n">
        <v>200</v>
      </c>
      <c r="L2762" s="6" t="n">
        <v>0</v>
      </c>
      <c r="M2762" s="6" t="n">
        <v>200</v>
      </c>
      <c r="N2762" s="11" t="n">
        <f aca="false">J2762/(J2762+K2762)</f>
        <v>0</v>
      </c>
      <c r="O2762" s="11" t="str">
        <f aca="false">IF(J2762+L2762=0,"",J2762/(J2762+L2762))</f>
        <v/>
      </c>
      <c r="P2762" s="11" t="n">
        <f aca="false">2*J2762/(2*J2762+L2762+K2762)</f>
        <v>0</v>
      </c>
      <c r="Q2762" s="11" t="n">
        <f aca="false">L2762/(L2762+M2762)</f>
        <v>0</v>
      </c>
      <c r="R2762" s="6" t="n">
        <v>0</v>
      </c>
      <c r="S2762" s="11"/>
      <c r="T2762" s="11" t="n">
        <v>0</v>
      </c>
      <c r="U2762" s="11" t="n">
        <v>0.88</v>
      </c>
      <c r="V2762" s="11" t="n">
        <v>0.88</v>
      </c>
    </row>
    <row r="2763" customFormat="false" ht="15" hidden="false" customHeight="false" outlineLevel="0" collapsed="false">
      <c r="A2763" s="6" t="s">
        <v>54</v>
      </c>
      <c r="B2763" s="6" t="s">
        <v>43</v>
      </c>
      <c r="C2763" s="6" t="s">
        <v>49</v>
      </c>
      <c r="D2763" s="6" t="s">
        <v>117</v>
      </c>
      <c r="E2763" s="6" t="n">
        <v>16</v>
      </c>
      <c r="F2763" s="6" t="n">
        <v>2</v>
      </c>
      <c r="G2763" s="6" t="s">
        <v>68</v>
      </c>
      <c r="H2763" s="11" t="n">
        <v>0.001</v>
      </c>
      <c r="I2763" s="6" t="n">
        <v>20</v>
      </c>
      <c r="J2763" s="6" t="n">
        <v>0</v>
      </c>
      <c r="K2763" s="6" t="n">
        <v>20</v>
      </c>
      <c r="L2763" s="6" t="n">
        <v>0</v>
      </c>
      <c r="M2763" s="6" t="n">
        <v>20</v>
      </c>
      <c r="N2763" s="11" t="n">
        <f aca="false">J2763/(J2763+K2763)</f>
        <v>0</v>
      </c>
      <c r="O2763" s="11" t="str">
        <f aca="false">IF(J2763+L2763=0,"",J2763/(J2763+L2763))</f>
        <v/>
      </c>
      <c r="P2763" s="11" t="n">
        <f aca="false">2*J2763/(2*J2763+L2763+K2763)</f>
        <v>0</v>
      </c>
      <c r="Q2763" s="11" t="n">
        <f aca="false">L2763/(L2763+M2763)</f>
        <v>0</v>
      </c>
      <c r="R2763" s="6" t="n">
        <v>0</v>
      </c>
      <c r="S2763" s="11"/>
      <c r="T2763" s="11" t="n">
        <v>0</v>
      </c>
      <c r="U2763" s="11" t="n">
        <v>0.85</v>
      </c>
      <c r="V2763" s="11" t="n">
        <v>0.85</v>
      </c>
    </row>
    <row r="2764" customFormat="false" ht="15" hidden="false" customHeight="false" outlineLevel="0" collapsed="false">
      <c r="A2764" s="6" t="s">
        <v>54</v>
      </c>
      <c r="B2764" s="6" t="s">
        <v>43</v>
      </c>
      <c r="C2764" s="6" t="s">
        <v>49</v>
      </c>
      <c r="D2764" s="6" t="s">
        <v>117</v>
      </c>
      <c r="E2764" s="6" t="n">
        <v>16</v>
      </c>
      <c r="F2764" s="6" t="n">
        <v>2</v>
      </c>
      <c r="G2764" s="6" t="s">
        <v>69</v>
      </c>
      <c r="H2764" s="11" t="n">
        <v>0.001</v>
      </c>
      <c r="I2764" s="6" t="n">
        <v>20</v>
      </c>
      <c r="J2764" s="6" t="n">
        <v>0</v>
      </c>
      <c r="K2764" s="6" t="n">
        <v>20</v>
      </c>
      <c r="L2764" s="6" t="n">
        <v>0</v>
      </c>
      <c r="M2764" s="6" t="n">
        <v>20</v>
      </c>
      <c r="N2764" s="11" t="n">
        <f aca="false">J2764/(J2764+K2764)</f>
        <v>0</v>
      </c>
      <c r="O2764" s="11" t="str">
        <f aca="false">IF(J2764+L2764=0,"",J2764/(J2764+L2764))</f>
        <v/>
      </c>
      <c r="P2764" s="11" t="n">
        <f aca="false">2*J2764/(2*J2764+L2764+K2764)</f>
        <v>0</v>
      </c>
      <c r="Q2764" s="11" t="n">
        <f aca="false">L2764/(L2764+M2764)</f>
        <v>0</v>
      </c>
      <c r="R2764" s="6" t="n">
        <v>0</v>
      </c>
      <c r="S2764" s="11"/>
      <c r="T2764" s="11" t="n">
        <v>0</v>
      </c>
      <c r="U2764" s="11" t="n">
        <v>1</v>
      </c>
      <c r="V2764" s="11" t="n">
        <v>1</v>
      </c>
    </row>
    <row r="2765" customFormat="false" ht="15" hidden="false" customHeight="false" outlineLevel="0" collapsed="false">
      <c r="A2765" s="6" t="s">
        <v>54</v>
      </c>
      <c r="B2765" s="6" t="s">
        <v>43</v>
      </c>
      <c r="C2765" s="6" t="s">
        <v>49</v>
      </c>
      <c r="D2765" s="6" t="s">
        <v>117</v>
      </c>
      <c r="E2765" s="6" t="n">
        <v>16</v>
      </c>
      <c r="F2765" s="6" t="n">
        <v>2</v>
      </c>
      <c r="G2765" s="6" t="s">
        <v>70</v>
      </c>
      <c r="H2765" s="11" t="n">
        <v>0.001</v>
      </c>
      <c r="I2765" s="6" t="n">
        <v>20</v>
      </c>
      <c r="J2765" s="6" t="n">
        <v>0</v>
      </c>
      <c r="K2765" s="6" t="n">
        <v>20</v>
      </c>
      <c r="L2765" s="6" t="n">
        <v>0</v>
      </c>
      <c r="M2765" s="6" t="n">
        <v>20</v>
      </c>
      <c r="N2765" s="11" t="n">
        <f aca="false">J2765/(J2765+K2765)</f>
        <v>0</v>
      </c>
      <c r="O2765" s="11" t="str">
        <f aca="false">IF(J2765+L2765=0,"",J2765/(J2765+L2765))</f>
        <v/>
      </c>
      <c r="P2765" s="11" t="n">
        <f aca="false">2*J2765/(2*J2765+L2765+K2765)</f>
        <v>0</v>
      </c>
      <c r="Q2765" s="11" t="n">
        <f aca="false">L2765/(L2765+M2765)</f>
        <v>0</v>
      </c>
      <c r="R2765" s="6" t="n">
        <v>0</v>
      </c>
      <c r="S2765" s="11"/>
      <c r="T2765" s="11" t="n">
        <v>0</v>
      </c>
      <c r="U2765" s="11" t="n">
        <v>0.9</v>
      </c>
      <c r="V2765" s="11" t="n">
        <v>0.9</v>
      </c>
    </row>
    <row r="2766" customFormat="false" ht="15" hidden="false" customHeight="false" outlineLevel="0" collapsed="false">
      <c r="A2766" s="6" t="s">
        <v>54</v>
      </c>
      <c r="B2766" s="6" t="s">
        <v>43</v>
      </c>
      <c r="C2766" s="6" t="s">
        <v>49</v>
      </c>
      <c r="D2766" s="6" t="s">
        <v>117</v>
      </c>
      <c r="E2766" s="6" t="n">
        <v>16</v>
      </c>
      <c r="F2766" s="6" t="n">
        <v>2</v>
      </c>
      <c r="G2766" s="6" t="s">
        <v>71</v>
      </c>
      <c r="H2766" s="11" t="n">
        <v>0.001</v>
      </c>
      <c r="I2766" s="6" t="n">
        <v>20</v>
      </c>
      <c r="J2766" s="6" t="n">
        <v>0</v>
      </c>
      <c r="K2766" s="6" t="n">
        <v>20</v>
      </c>
      <c r="L2766" s="6" t="n">
        <v>0</v>
      </c>
      <c r="M2766" s="6" t="n">
        <v>20</v>
      </c>
      <c r="N2766" s="11" t="n">
        <f aca="false">J2766/(J2766+K2766)</f>
        <v>0</v>
      </c>
      <c r="O2766" s="11" t="str">
        <f aca="false">IF(J2766+L2766=0,"",J2766/(J2766+L2766))</f>
        <v/>
      </c>
      <c r="P2766" s="11" t="n">
        <f aca="false">2*J2766/(2*J2766+L2766+K2766)</f>
        <v>0</v>
      </c>
      <c r="Q2766" s="11" t="n">
        <f aca="false">L2766/(L2766+M2766)</f>
        <v>0</v>
      </c>
      <c r="R2766" s="6" t="n">
        <v>0</v>
      </c>
      <c r="S2766" s="11"/>
      <c r="T2766" s="11" t="n">
        <v>0</v>
      </c>
      <c r="U2766" s="11" t="n">
        <v>0.8</v>
      </c>
      <c r="V2766" s="11" t="n">
        <v>0.8</v>
      </c>
    </row>
    <row r="2767" customFormat="false" ht="15" hidden="false" customHeight="false" outlineLevel="0" collapsed="false">
      <c r="A2767" s="6" t="s">
        <v>54</v>
      </c>
      <c r="B2767" s="6" t="s">
        <v>43</v>
      </c>
      <c r="C2767" s="6" t="s">
        <v>49</v>
      </c>
      <c r="D2767" s="6" t="s">
        <v>117</v>
      </c>
      <c r="E2767" s="6" t="n">
        <v>16</v>
      </c>
      <c r="F2767" s="6" t="n">
        <v>2</v>
      </c>
      <c r="G2767" s="6" t="s">
        <v>72</v>
      </c>
      <c r="H2767" s="11" t="n">
        <v>0.001</v>
      </c>
      <c r="I2767" s="6" t="n">
        <v>20</v>
      </c>
      <c r="J2767" s="6" t="n">
        <v>0</v>
      </c>
      <c r="K2767" s="6" t="n">
        <v>20</v>
      </c>
      <c r="L2767" s="6" t="n">
        <v>0</v>
      </c>
      <c r="M2767" s="6" t="n">
        <v>20</v>
      </c>
      <c r="N2767" s="11" t="n">
        <f aca="false">J2767/(J2767+K2767)</f>
        <v>0</v>
      </c>
      <c r="O2767" s="11" t="str">
        <f aca="false">IF(J2767+L2767=0,"",J2767/(J2767+L2767))</f>
        <v/>
      </c>
      <c r="P2767" s="11" t="n">
        <f aca="false">2*J2767/(2*J2767+L2767+K2767)</f>
        <v>0</v>
      </c>
      <c r="Q2767" s="11" t="n">
        <f aca="false">L2767/(L2767+M2767)</f>
        <v>0</v>
      </c>
      <c r="R2767" s="6" t="n">
        <v>0</v>
      </c>
      <c r="S2767" s="11"/>
      <c r="T2767" s="11" t="n">
        <v>0</v>
      </c>
      <c r="U2767" s="11" t="n">
        <v>0.9</v>
      </c>
      <c r="V2767" s="11" t="n">
        <v>0.9</v>
      </c>
    </row>
    <row r="2768" customFormat="false" ht="15" hidden="false" customHeight="false" outlineLevel="0" collapsed="false">
      <c r="A2768" s="6" t="s">
        <v>54</v>
      </c>
      <c r="B2768" s="6" t="s">
        <v>43</v>
      </c>
      <c r="C2768" s="6" t="s">
        <v>49</v>
      </c>
      <c r="D2768" s="6" t="s">
        <v>117</v>
      </c>
      <c r="E2768" s="6" t="n">
        <v>16</v>
      </c>
      <c r="F2768" s="6" t="n">
        <v>2</v>
      </c>
      <c r="G2768" s="6" t="s">
        <v>73</v>
      </c>
      <c r="H2768" s="11" t="n">
        <v>0.001</v>
      </c>
      <c r="I2768" s="6" t="n">
        <v>20</v>
      </c>
      <c r="J2768" s="6" t="n">
        <v>0</v>
      </c>
      <c r="K2768" s="6" t="n">
        <v>20</v>
      </c>
      <c r="L2768" s="6" t="n">
        <v>0</v>
      </c>
      <c r="M2768" s="6" t="n">
        <v>20</v>
      </c>
      <c r="N2768" s="11" t="n">
        <f aca="false">J2768/(J2768+K2768)</f>
        <v>0</v>
      </c>
      <c r="O2768" s="11" t="str">
        <f aca="false">IF(J2768+L2768=0,"",J2768/(J2768+L2768))</f>
        <v/>
      </c>
      <c r="P2768" s="11" t="n">
        <f aca="false">2*J2768/(2*J2768+L2768+K2768)</f>
        <v>0</v>
      </c>
      <c r="Q2768" s="11" t="n">
        <f aca="false">L2768/(L2768+M2768)</f>
        <v>0</v>
      </c>
      <c r="R2768" s="6" t="n">
        <v>0</v>
      </c>
      <c r="S2768" s="11"/>
      <c r="T2768" s="11" t="n">
        <v>0</v>
      </c>
      <c r="U2768" s="11" t="n">
        <v>0.65</v>
      </c>
      <c r="V2768" s="11" t="n">
        <v>0.65</v>
      </c>
    </row>
    <row r="2769" customFormat="false" ht="15" hidden="false" customHeight="false" outlineLevel="0" collapsed="false">
      <c r="A2769" s="6" t="s">
        <v>54</v>
      </c>
      <c r="B2769" s="6" t="s">
        <v>43</v>
      </c>
      <c r="C2769" s="6" t="s">
        <v>49</v>
      </c>
      <c r="D2769" s="6" t="s">
        <v>117</v>
      </c>
      <c r="E2769" s="6" t="n">
        <v>16</v>
      </c>
      <c r="F2769" s="6" t="n">
        <v>2</v>
      </c>
      <c r="G2769" s="6" t="s">
        <v>74</v>
      </c>
      <c r="H2769" s="11" t="n">
        <v>0.001</v>
      </c>
      <c r="I2769" s="6" t="n">
        <v>20</v>
      </c>
      <c r="J2769" s="6" t="n">
        <v>0</v>
      </c>
      <c r="K2769" s="6" t="n">
        <v>20</v>
      </c>
      <c r="L2769" s="6" t="n">
        <v>0</v>
      </c>
      <c r="M2769" s="6" t="n">
        <v>20</v>
      </c>
      <c r="N2769" s="11" t="n">
        <f aca="false">J2769/(J2769+K2769)</f>
        <v>0</v>
      </c>
      <c r="O2769" s="11" t="str">
        <f aca="false">IF(J2769+L2769=0,"",J2769/(J2769+L2769))</f>
        <v/>
      </c>
      <c r="P2769" s="11" t="n">
        <f aca="false">2*J2769/(2*J2769+L2769+K2769)</f>
        <v>0</v>
      </c>
      <c r="Q2769" s="11" t="n">
        <f aca="false">L2769/(L2769+M2769)</f>
        <v>0</v>
      </c>
      <c r="R2769" s="6" t="n">
        <v>0</v>
      </c>
      <c r="S2769" s="11"/>
      <c r="T2769" s="11" t="n">
        <v>0</v>
      </c>
      <c r="U2769" s="11" t="n">
        <v>0.85</v>
      </c>
      <c r="V2769" s="11" t="n">
        <v>0.85</v>
      </c>
    </row>
    <row r="2770" customFormat="false" ht="15" hidden="false" customHeight="false" outlineLevel="0" collapsed="false">
      <c r="A2770" s="6" t="s">
        <v>54</v>
      </c>
      <c r="B2770" s="6" t="s">
        <v>43</v>
      </c>
      <c r="C2770" s="6" t="s">
        <v>49</v>
      </c>
      <c r="D2770" s="6" t="s">
        <v>117</v>
      </c>
      <c r="E2770" s="6" t="n">
        <v>16</v>
      </c>
      <c r="F2770" s="6" t="n">
        <v>2</v>
      </c>
      <c r="G2770" s="6" t="s">
        <v>75</v>
      </c>
      <c r="H2770" s="11" t="n">
        <v>0.001</v>
      </c>
      <c r="I2770" s="6" t="n">
        <v>20</v>
      </c>
      <c r="J2770" s="6" t="n">
        <v>0</v>
      </c>
      <c r="K2770" s="6" t="n">
        <v>20</v>
      </c>
      <c r="L2770" s="6" t="n">
        <v>0</v>
      </c>
      <c r="M2770" s="6" t="n">
        <v>20</v>
      </c>
      <c r="N2770" s="11" t="n">
        <f aca="false">J2770/(J2770+K2770)</f>
        <v>0</v>
      </c>
      <c r="O2770" s="11" t="str">
        <f aca="false">IF(J2770+L2770=0,"",J2770/(J2770+L2770))</f>
        <v/>
      </c>
      <c r="P2770" s="11" t="n">
        <f aca="false">2*J2770/(2*J2770+L2770+K2770)</f>
        <v>0</v>
      </c>
      <c r="Q2770" s="11" t="n">
        <f aca="false">L2770/(L2770+M2770)</f>
        <v>0</v>
      </c>
      <c r="R2770" s="6" t="n">
        <v>1</v>
      </c>
      <c r="S2770" s="11" t="n">
        <v>0</v>
      </c>
      <c r="T2770" s="11" t="n">
        <v>0</v>
      </c>
      <c r="U2770" s="11" t="n">
        <v>0.9</v>
      </c>
      <c r="V2770" s="11" t="n">
        <v>0.95</v>
      </c>
    </row>
    <row r="2771" customFormat="false" ht="15" hidden="false" customHeight="false" outlineLevel="0" collapsed="false">
      <c r="A2771" s="6" t="s">
        <v>54</v>
      </c>
      <c r="B2771" s="6" t="s">
        <v>43</v>
      </c>
      <c r="C2771" s="6" t="s">
        <v>49</v>
      </c>
      <c r="D2771" s="6" t="s">
        <v>117</v>
      </c>
      <c r="E2771" s="6" t="n">
        <v>16</v>
      </c>
      <c r="F2771" s="6" t="n">
        <v>2</v>
      </c>
      <c r="G2771" s="6" t="s">
        <v>76</v>
      </c>
      <c r="H2771" s="11" t="n">
        <v>0.001</v>
      </c>
      <c r="I2771" s="6" t="n">
        <v>20</v>
      </c>
      <c r="J2771" s="6" t="n">
        <v>0</v>
      </c>
      <c r="K2771" s="6" t="n">
        <v>20</v>
      </c>
      <c r="L2771" s="6" t="n">
        <v>0</v>
      </c>
      <c r="M2771" s="6" t="n">
        <v>20</v>
      </c>
      <c r="N2771" s="11" t="n">
        <f aca="false">J2771/(J2771+K2771)</f>
        <v>0</v>
      </c>
      <c r="O2771" s="11" t="str">
        <f aca="false">IF(J2771+L2771=0,"",J2771/(J2771+L2771))</f>
        <v/>
      </c>
      <c r="P2771" s="11" t="n">
        <f aca="false">2*J2771/(2*J2771+L2771+K2771)</f>
        <v>0</v>
      </c>
      <c r="Q2771" s="11" t="n">
        <f aca="false">L2771/(L2771+M2771)</f>
        <v>0</v>
      </c>
      <c r="R2771" s="6" t="n">
        <v>0</v>
      </c>
      <c r="S2771" s="11"/>
      <c r="T2771" s="11" t="n">
        <v>0</v>
      </c>
      <c r="U2771" s="11" t="n">
        <v>0.95</v>
      </c>
      <c r="V2771" s="11" t="n">
        <v>0.95</v>
      </c>
    </row>
    <row r="2772" customFormat="false" ht="15" hidden="false" customHeight="false" outlineLevel="0" collapsed="false">
      <c r="A2772" s="6" t="s">
        <v>54</v>
      </c>
      <c r="B2772" s="6" t="s">
        <v>43</v>
      </c>
      <c r="C2772" s="6" t="s">
        <v>49</v>
      </c>
      <c r="D2772" s="6" t="s">
        <v>117</v>
      </c>
      <c r="E2772" s="6" t="n">
        <v>16</v>
      </c>
      <c r="F2772" s="6" t="n">
        <v>2</v>
      </c>
      <c r="G2772" s="6" t="s">
        <v>77</v>
      </c>
      <c r="H2772" s="11" t="n">
        <v>0.001</v>
      </c>
      <c r="I2772" s="6" t="n">
        <v>20</v>
      </c>
      <c r="J2772" s="6" t="n">
        <v>0</v>
      </c>
      <c r="K2772" s="6" t="n">
        <v>20</v>
      </c>
      <c r="L2772" s="6" t="n">
        <v>0</v>
      </c>
      <c r="M2772" s="6" t="n">
        <v>20</v>
      </c>
      <c r="N2772" s="11" t="n">
        <f aca="false">J2772/(J2772+K2772)</f>
        <v>0</v>
      </c>
      <c r="O2772" s="11" t="str">
        <f aca="false">IF(J2772+L2772=0,"",J2772/(J2772+L2772))</f>
        <v/>
      </c>
      <c r="P2772" s="11" t="n">
        <f aca="false">2*J2772/(2*J2772+L2772+K2772)</f>
        <v>0</v>
      </c>
      <c r="Q2772" s="11" t="n">
        <f aca="false">L2772/(L2772+M2772)</f>
        <v>0</v>
      </c>
      <c r="R2772" s="6" t="n">
        <v>0</v>
      </c>
      <c r="S2772" s="11"/>
      <c r="T2772" s="11" t="n">
        <v>0</v>
      </c>
      <c r="U2772" s="11" t="n">
        <v>1</v>
      </c>
      <c r="V2772" s="11" t="n">
        <v>1</v>
      </c>
    </row>
    <row r="2773" customFormat="false" ht="15" hidden="false" customHeight="false" outlineLevel="0" collapsed="false">
      <c r="A2773" s="6" t="s">
        <v>54</v>
      </c>
      <c r="B2773" s="6" t="s">
        <v>43</v>
      </c>
      <c r="C2773" s="6" t="s">
        <v>49</v>
      </c>
      <c r="D2773" s="6" t="s">
        <v>117</v>
      </c>
      <c r="E2773" s="6" t="n">
        <v>16</v>
      </c>
      <c r="F2773" s="6" t="n">
        <v>2</v>
      </c>
      <c r="G2773" s="6" t="s">
        <v>78</v>
      </c>
      <c r="H2773" s="11" t="n">
        <v>0.001</v>
      </c>
      <c r="I2773" s="6" t="n">
        <v>200</v>
      </c>
      <c r="J2773" s="6" t="n">
        <v>0</v>
      </c>
      <c r="K2773" s="6" t="n">
        <v>200</v>
      </c>
      <c r="L2773" s="6" t="n">
        <v>0</v>
      </c>
      <c r="M2773" s="6" t="n">
        <v>200</v>
      </c>
      <c r="N2773" s="11" t="n">
        <f aca="false">J2773/(J2773+K2773)</f>
        <v>0</v>
      </c>
      <c r="O2773" s="11" t="str">
        <f aca="false">IF(J2773+L2773=0,"",J2773/(J2773+L2773))</f>
        <v/>
      </c>
      <c r="P2773" s="11" t="n">
        <f aca="false">2*J2773/(2*J2773+L2773+K2773)</f>
        <v>0</v>
      </c>
      <c r="Q2773" s="11" t="n">
        <f aca="false">L2773/(L2773+M2773)</f>
        <v>0</v>
      </c>
      <c r="R2773" s="6" t="n">
        <v>1</v>
      </c>
      <c r="S2773" s="11" t="n">
        <v>0</v>
      </c>
      <c r="T2773" s="11" t="n">
        <v>0</v>
      </c>
      <c r="U2773" s="11" t="n">
        <v>0.88</v>
      </c>
      <c r="V2773" s="11" t="n">
        <v>0.885</v>
      </c>
    </row>
    <row r="2774" customFormat="false" ht="15" hidden="false" customHeight="false" outlineLevel="0" collapsed="false">
      <c r="A2774" s="6" t="s">
        <v>54</v>
      </c>
      <c r="B2774" s="6" t="s">
        <v>43</v>
      </c>
      <c r="C2774" s="6" t="s">
        <v>49</v>
      </c>
      <c r="D2774" s="6" t="s">
        <v>117</v>
      </c>
      <c r="E2774" s="6" t="n">
        <v>16</v>
      </c>
      <c r="F2774" s="6" t="n">
        <v>3</v>
      </c>
      <c r="G2774" s="6" t="s">
        <v>68</v>
      </c>
      <c r="H2774" s="11" t="n">
        <v>0.001</v>
      </c>
      <c r="I2774" s="6" t="n">
        <v>20</v>
      </c>
      <c r="J2774" s="6" t="n">
        <v>0</v>
      </c>
      <c r="K2774" s="6" t="n">
        <v>20</v>
      </c>
      <c r="L2774" s="6" t="n">
        <v>0</v>
      </c>
      <c r="M2774" s="6" t="n">
        <v>20</v>
      </c>
      <c r="N2774" s="11" t="n">
        <f aca="false">J2774/(J2774+K2774)</f>
        <v>0</v>
      </c>
      <c r="O2774" s="11" t="str">
        <f aca="false">IF(J2774+L2774=0,"",J2774/(J2774+L2774))</f>
        <v/>
      </c>
      <c r="P2774" s="11" t="n">
        <f aca="false">2*J2774/(2*J2774+L2774+K2774)</f>
        <v>0</v>
      </c>
      <c r="Q2774" s="11" t="n">
        <f aca="false">L2774/(L2774+M2774)</f>
        <v>0</v>
      </c>
      <c r="R2774" s="6" t="n">
        <v>0</v>
      </c>
      <c r="S2774" s="11"/>
      <c r="T2774" s="11" t="n">
        <v>0</v>
      </c>
      <c r="U2774" s="11" t="n">
        <v>0.85</v>
      </c>
      <c r="V2774" s="11" t="n">
        <v>0.85</v>
      </c>
    </row>
    <row r="2775" customFormat="false" ht="15" hidden="false" customHeight="false" outlineLevel="0" collapsed="false">
      <c r="A2775" s="6" t="s">
        <v>54</v>
      </c>
      <c r="B2775" s="6" t="s">
        <v>43</v>
      </c>
      <c r="C2775" s="6" t="s">
        <v>49</v>
      </c>
      <c r="D2775" s="6" t="s">
        <v>117</v>
      </c>
      <c r="E2775" s="6" t="n">
        <v>16</v>
      </c>
      <c r="F2775" s="6" t="n">
        <v>3</v>
      </c>
      <c r="G2775" s="6" t="s">
        <v>69</v>
      </c>
      <c r="H2775" s="11" t="n">
        <v>0.001</v>
      </c>
      <c r="I2775" s="6" t="n">
        <v>20</v>
      </c>
      <c r="J2775" s="6" t="n">
        <v>0</v>
      </c>
      <c r="K2775" s="6" t="n">
        <v>20</v>
      </c>
      <c r="L2775" s="6" t="n">
        <v>0</v>
      </c>
      <c r="M2775" s="6" t="n">
        <v>20</v>
      </c>
      <c r="N2775" s="11" t="n">
        <f aca="false">J2775/(J2775+K2775)</f>
        <v>0</v>
      </c>
      <c r="O2775" s="11" t="str">
        <f aca="false">IF(J2775+L2775=0,"",J2775/(J2775+L2775))</f>
        <v/>
      </c>
      <c r="P2775" s="11" t="n">
        <f aca="false">2*J2775/(2*J2775+L2775+K2775)</f>
        <v>0</v>
      </c>
      <c r="Q2775" s="11" t="n">
        <f aca="false">L2775/(L2775+M2775)</f>
        <v>0</v>
      </c>
      <c r="R2775" s="6" t="n">
        <v>0</v>
      </c>
      <c r="S2775" s="11"/>
      <c r="T2775" s="11" t="n">
        <v>0</v>
      </c>
      <c r="U2775" s="11" t="n">
        <v>1</v>
      </c>
      <c r="V2775" s="11" t="n">
        <v>1</v>
      </c>
    </row>
    <row r="2776" customFormat="false" ht="15" hidden="false" customHeight="false" outlineLevel="0" collapsed="false">
      <c r="A2776" s="6" t="s">
        <v>54</v>
      </c>
      <c r="B2776" s="6" t="s">
        <v>43</v>
      </c>
      <c r="C2776" s="6" t="s">
        <v>49</v>
      </c>
      <c r="D2776" s="6" t="s">
        <v>117</v>
      </c>
      <c r="E2776" s="6" t="n">
        <v>16</v>
      </c>
      <c r="F2776" s="6" t="n">
        <v>3</v>
      </c>
      <c r="G2776" s="6" t="s">
        <v>70</v>
      </c>
      <c r="H2776" s="11" t="n">
        <v>0.001</v>
      </c>
      <c r="I2776" s="6" t="n">
        <v>20</v>
      </c>
      <c r="J2776" s="6" t="n">
        <v>0</v>
      </c>
      <c r="K2776" s="6" t="n">
        <v>20</v>
      </c>
      <c r="L2776" s="6" t="n">
        <v>0</v>
      </c>
      <c r="M2776" s="6" t="n">
        <v>20</v>
      </c>
      <c r="N2776" s="11" t="n">
        <f aca="false">J2776/(J2776+K2776)</f>
        <v>0</v>
      </c>
      <c r="O2776" s="11" t="str">
        <f aca="false">IF(J2776+L2776=0,"",J2776/(J2776+L2776))</f>
        <v/>
      </c>
      <c r="P2776" s="11" t="n">
        <f aca="false">2*J2776/(2*J2776+L2776+K2776)</f>
        <v>0</v>
      </c>
      <c r="Q2776" s="11" t="n">
        <f aca="false">L2776/(L2776+M2776)</f>
        <v>0</v>
      </c>
      <c r="R2776" s="6" t="n">
        <v>0</v>
      </c>
      <c r="S2776" s="11"/>
      <c r="T2776" s="11" t="n">
        <v>0</v>
      </c>
      <c r="U2776" s="11" t="n">
        <v>0.9</v>
      </c>
      <c r="V2776" s="11" t="n">
        <v>0.9</v>
      </c>
    </row>
    <row r="2777" customFormat="false" ht="15" hidden="false" customHeight="false" outlineLevel="0" collapsed="false">
      <c r="A2777" s="6" t="s">
        <v>54</v>
      </c>
      <c r="B2777" s="6" t="s">
        <v>43</v>
      </c>
      <c r="C2777" s="6" t="s">
        <v>49</v>
      </c>
      <c r="D2777" s="6" t="s">
        <v>117</v>
      </c>
      <c r="E2777" s="6" t="n">
        <v>16</v>
      </c>
      <c r="F2777" s="6" t="n">
        <v>3</v>
      </c>
      <c r="G2777" s="6" t="s">
        <v>71</v>
      </c>
      <c r="H2777" s="11" t="n">
        <v>0.001</v>
      </c>
      <c r="I2777" s="6" t="n">
        <v>20</v>
      </c>
      <c r="J2777" s="6" t="n">
        <v>0</v>
      </c>
      <c r="K2777" s="6" t="n">
        <v>20</v>
      </c>
      <c r="L2777" s="6" t="n">
        <v>0</v>
      </c>
      <c r="M2777" s="6" t="n">
        <v>20</v>
      </c>
      <c r="N2777" s="11" t="n">
        <f aca="false">J2777/(J2777+K2777)</f>
        <v>0</v>
      </c>
      <c r="O2777" s="11" t="str">
        <f aca="false">IF(J2777+L2777=0,"",J2777/(J2777+L2777))</f>
        <v/>
      </c>
      <c r="P2777" s="11" t="n">
        <f aca="false">2*J2777/(2*J2777+L2777+K2777)</f>
        <v>0</v>
      </c>
      <c r="Q2777" s="11" t="n">
        <f aca="false">L2777/(L2777+M2777)</f>
        <v>0</v>
      </c>
      <c r="R2777" s="6" t="n">
        <v>0</v>
      </c>
      <c r="S2777" s="11"/>
      <c r="T2777" s="11" t="n">
        <v>0</v>
      </c>
      <c r="U2777" s="11" t="n">
        <v>0.8</v>
      </c>
      <c r="V2777" s="11" t="n">
        <v>0.8</v>
      </c>
    </row>
    <row r="2778" customFormat="false" ht="15" hidden="false" customHeight="false" outlineLevel="0" collapsed="false">
      <c r="A2778" s="6" t="s">
        <v>54</v>
      </c>
      <c r="B2778" s="6" t="s">
        <v>43</v>
      </c>
      <c r="C2778" s="6" t="s">
        <v>49</v>
      </c>
      <c r="D2778" s="6" t="s">
        <v>117</v>
      </c>
      <c r="E2778" s="6" t="n">
        <v>16</v>
      </c>
      <c r="F2778" s="6" t="n">
        <v>3</v>
      </c>
      <c r="G2778" s="6" t="s">
        <v>72</v>
      </c>
      <c r="H2778" s="11" t="n">
        <v>0.001</v>
      </c>
      <c r="I2778" s="6" t="n">
        <v>20</v>
      </c>
      <c r="J2778" s="6" t="n">
        <v>0</v>
      </c>
      <c r="K2778" s="6" t="n">
        <v>20</v>
      </c>
      <c r="L2778" s="6" t="n">
        <v>0</v>
      </c>
      <c r="M2778" s="6" t="n">
        <v>20</v>
      </c>
      <c r="N2778" s="11" t="n">
        <f aca="false">J2778/(J2778+K2778)</f>
        <v>0</v>
      </c>
      <c r="O2778" s="11" t="str">
        <f aca="false">IF(J2778+L2778=0,"",J2778/(J2778+L2778))</f>
        <v/>
      </c>
      <c r="P2778" s="11" t="n">
        <f aca="false">2*J2778/(2*J2778+L2778+K2778)</f>
        <v>0</v>
      </c>
      <c r="Q2778" s="11" t="n">
        <f aca="false">L2778/(L2778+M2778)</f>
        <v>0</v>
      </c>
      <c r="R2778" s="6" t="n">
        <v>0</v>
      </c>
      <c r="S2778" s="11"/>
      <c r="T2778" s="11" t="n">
        <v>0</v>
      </c>
      <c r="U2778" s="11" t="n">
        <v>0.9</v>
      </c>
      <c r="V2778" s="11" t="n">
        <v>0.9</v>
      </c>
    </row>
    <row r="2779" customFormat="false" ht="15" hidden="false" customHeight="false" outlineLevel="0" collapsed="false">
      <c r="A2779" s="6" t="s">
        <v>54</v>
      </c>
      <c r="B2779" s="6" t="s">
        <v>43</v>
      </c>
      <c r="C2779" s="6" t="s">
        <v>49</v>
      </c>
      <c r="D2779" s="6" t="s">
        <v>117</v>
      </c>
      <c r="E2779" s="6" t="n">
        <v>16</v>
      </c>
      <c r="F2779" s="6" t="n">
        <v>3</v>
      </c>
      <c r="G2779" s="6" t="s">
        <v>73</v>
      </c>
      <c r="H2779" s="11" t="n">
        <v>0.001</v>
      </c>
      <c r="I2779" s="6" t="n">
        <v>20</v>
      </c>
      <c r="J2779" s="6" t="n">
        <v>0</v>
      </c>
      <c r="K2779" s="6" t="n">
        <v>20</v>
      </c>
      <c r="L2779" s="6" t="n">
        <v>0</v>
      </c>
      <c r="M2779" s="6" t="n">
        <v>20</v>
      </c>
      <c r="N2779" s="11" t="n">
        <f aca="false">J2779/(J2779+K2779)</f>
        <v>0</v>
      </c>
      <c r="O2779" s="11" t="str">
        <f aca="false">IF(J2779+L2779=0,"",J2779/(J2779+L2779))</f>
        <v/>
      </c>
      <c r="P2779" s="11" t="n">
        <f aca="false">2*J2779/(2*J2779+L2779+K2779)</f>
        <v>0</v>
      </c>
      <c r="Q2779" s="11" t="n">
        <f aca="false">L2779/(L2779+M2779)</f>
        <v>0</v>
      </c>
      <c r="R2779" s="6" t="n">
        <v>0</v>
      </c>
      <c r="S2779" s="11"/>
      <c r="T2779" s="11" t="n">
        <v>0</v>
      </c>
      <c r="U2779" s="11" t="n">
        <v>0.65</v>
      </c>
      <c r="V2779" s="11" t="n">
        <v>0.65</v>
      </c>
    </row>
    <row r="2780" customFormat="false" ht="15" hidden="false" customHeight="false" outlineLevel="0" collapsed="false">
      <c r="A2780" s="6" t="s">
        <v>54</v>
      </c>
      <c r="B2780" s="6" t="s">
        <v>43</v>
      </c>
      <c r="C2780" s="6" t="s">
        <v>49</v>
      </c>
      <c r="D2780" s="6" t="s">
        <v>117</v>
      </c>
      <c r="E2780" s="6" t="n">
        <v>16</v>
      </c>
      <c r="F2780" s="6" t="n">
        <v>3</v>
      </c>
      <c r="G2780" s="6" t="s">
        <v>74</v>
      </c>
      <c r="H2780" s="11" t="n">
        <v>0.001</v>
      </c>
      <c r="I2780" s="6" t="n">
        <v>20</v>
      </c>
      <c r="J2780" s="6" t="n">
        <v>0</v>
      </c>
      <c r="K2780" s="6" t="n">
        <v>20</v>
      </c>
      <c r="L2780" s="6" t="n">
        <v>0</v>
      </c>
      <c r="M2780" s="6" t="n">
        <v>20</v>
      </c>
      <c r="N2780" s="11" t="n">
        <f aca="false">J2780/(J2780+K2780)</f>
        <v>0</v>
      </c>
      <c r="O2780" s="11" t="str">
        <f aca="false">IF(J2780+L2780=0,"",J2780/(J2780+L2780))</f>
        <v/>
      </c>
      <c r="P2780" s="11" t="n">
        <f aca="false">2*J2780/(2*J2780+L2780+K2780)</f>
        <v>0</v>
      </c>
      <c r="Q2780" s="11" t="n">
        <f aca="false">L2780/(L2780+M2780)</f>
        <v>0</v>
      </c>
      <c r="R2780" s="6" t="n">
        <v>0</v>
      </c>
      <c r="S2780" s="11"/>
      <c r="T2780" s="11" t="n">
        <v>0</v>
      </c>
      <c r="U2780" s="11" t="n">
        <v>0.85</v>
      </c>
      <c r="V2780" s="11" t="n">
        <v>0.85</v>
      </c>
    </row>
    <row r="2781" customFormat="false" ht="15" hidden="false" customHeight="false" outlineLevel="0" collapsed="false">
      <c r="A2781" s="6" t="s">
        <v>54</v>
      </c>
      <c r="B2781" s="6" t="s">
        <v>43</v>
      </c>
      <c r="C2781" s="6" t="s">
        <v>49</v>
      </c>
      <c r="D2781" s="6" t="s">
        <v>117</v>
      </c>
      <c r="E2781" s="6" t="n">
        <v>16</v>
      </c>
      <c r="F2781" s="6" t="n">
        <v>3</v>
      </c>
      <c r="G2781" s="6" t="s">
        <v>75</v>
      </c>
      <c r="H2781" s="11" t="n">
        <v>0.001</v>
      </c>
      <c r="I2781" s="6" t="n">
        <v>20</v>
      </c>
      <c r="J2781" s="6" t="n">
        <v>0</v>
      </c>
      <c r="K2781" s="6" t="n">
        <v>20</v>
      </c>
      <c r="L2781" s="6" t="n">
        <v>0</v>
      </c>
      <c r="M2781" s="6" t="n">
        <v>20</v>
      </c>
      <c r="N2781" s="11" t="n">
        <f aca="false">J2781/(J2781+K2781)</f>
        <v>0</v>
      </c>
      <c r="O2781" s="11" t="str">
        <f aca="false">IF(J2781+L2781=0,"",J2781/(J2781+L2781))</f>
        <v/>
      </c>
      <c r="P2781" s="11" t="n">
        <f aca="false">2*J2781/(2*J2781+L2781+K2781)</f>
        <v>0</v>
      </c>
      <c r="Q2781" s="11" t="n">
        <f aca="false">L2781/(L2781+M2781)</f>
        <v>0</v>
      </c>
      <c r="R2781" s="6" t="n">
        <v>0</v>
      </c>
      <c r="S2781" s="11"/>
      <c r="T2781" s="11" t="n">
        <v>0</v>
      </c>
      <c r="U2781" s="11" t="n">
        <v>0.9</v>
      </c>
      <c r="V2781" s="11" t="n">
        <v>0.9</v>
      </c>
    </row>
    <row r="2782" customFormat="false" ht="15" hidden="false" customHeight="false" outlineLevel="0" collapsed="false">
      <c r="A2782" s="6" t="s">
        <v>54</v>
      </c>
      <c r="B2782" s="6" t="s">
        <v>43</v>
      </c>
      <c r="C2782" s="6" t="s">
        <v>49</v>
      </c>
      <c r="D2782" s="6" t="s">
        <v>117</v>
      </c>
      <c r="E2782" s="6" t="n">
        <v>16</v>
      </c>
      <c r="F2782" s="6" t="n">
        <v>3</v>
      </c>
      <c r="G2782" s="6" t="s">
        <v>76</v>
      </c>
      <c r="H2782" s="11" t="n">
        <v>0.001</v>
      </c>
      <c r="I2782" s="6" t="n">
        <v>20</v>
      </c>
      <c r="J2782" s="6" t="n">
        <v>0</v>
      </c>
      <c r="K2782" s="6" t="n">
        <v>20</v>
      </c>
      <c r="L2782" s="6" t="n">
        <v>0</v>
      </c>
      <c r="M2782" s="6" t="n">
        <v>20</v>
      </c>
      <c r="N2782" s="11" t="n">
        <f aca="false">J2782/(J2782+K2782)</f>
        <v>0</v>
      </c>
      <c r="O2782" s="11" t="str">
        <f aca="false">IF(J2782+L2782=0,"",J2782/(J2782+L2782))</f>
        <v/>
      </c>
      <c r="P2782" s="11" t="n">
        <f aca="false">2*J2782/(2*J2782+L2782+K2782)</f>
        <v>0</v>
      </c>
      <c r="Q2782" s="11" t="n">
        <f aca="false">L2782/(L2782+M2782)</f>
        <v>0</v>
      </c>
      <c r="R2782" s="6" t="n">
        <v>0</v>
      </c>
      <c r="S2782" s="11"/>
      <c r="T2782" s="11" t="n">
        <v>0</v>
      </c>
      <c r="U2782" s="11" t="n">
        <v>0.95</v>
      </c>
      <c r="V2782" s="11" t="n">
        <v>0.95</v>
      </c>
    </row>
    <row r="2783" customFormat="false" ht="15" hidden="false" customHeight="false" outlineLevel="0" collapsed="false">
      <c r="A2783" s="6" t="s">
        <v>54</v>
      </c>
      <c r="B2783" s="6" t="s">
        <v>43</v>
      </c>
      <c r="C2783" s="6" t="s">
        <v>49</v>
      </c>
      <c r="D2783" s="6" t="s">
        <v>117</v>
      </c>
      <c r="E2783" s="6" t="n">
        <v>16</v>
      </c>
      <c r="F2783" s="6" t="n">
        <v>3</v>
      </c>
      <c r="G2783" s="6" t="s">
        <v>77</v>
      </c>
      <c r="H2783" s="11" t="n">
        <v>0.001</v>
      </c>
      <c r="I2783" s="6" t="n">
        <v>20</v>
      </c>
      <c r="J2783" s="6" t="n">
        <v>0</v>
      </c>
      <c r="K2783" s="6" t="n">
        <v>20</v>
      </c>
      <c r="L2783" s="6" t="n">
        <v>0</v>
      </c>
      <c r="M2783" s="6" t="n">
        <v>20</v>
      </c>
      <c r="N2783" s="11" t="n">
        <f aca="false">J2783/(J2783+K2783)</f>
        <v>0</v>
      </c>
      <c r="O2783" s="11" t="str">
        <f aca="false">IF(J2783+L2783=0,"",J2783/(J2783+L2783))</f>
        <v/>
      </c>
      <c r="P2783" s="11" t="n">
        <f aca="false">2*J2783/(2*J2783+L2783+K2783)</f>
        <v>0</v>
      </c>
      <c r="Q2783" s="11" t="n">
        <f aca="false">L2783/(L2783+M2783)</f>
        <v>0</v>
      </c>
      <c r="R2783" s="6" t="n">
        <v>0</v>
      </c>
      <c r="S2783" s="11"/>
      <c r="T2783" s="11" t="n">
        <v>0</v>
      </c>
      <c r="U2783" s="11" t="n">
        <v>1</v>
      </c>
      <c r="V2783" s="11" t="n">
        <v>1</v>
      </c>
    </row>
    <row r="2784" customFormat="false" ht="15" hidden="false" customHeight="false" outlineLevel="0" collapsed="false">
      <c r="A2784" s="6" t="s">
        <v>54</v>
      </c>
      <c r="B2784" s="6" t="s">
        <v>43</v>
      </c>
      <c r="C2784" s="6" t="s">
        <v>49</v>
      </c>
      <c r="D2784" s="6" t="s">
        <v>117</v>
      </c>
      <c r="E2784" s="6" t="n">
        <v>16</v>
      </c>
      <c r="F2784" s="6" t="n">
        <v>3</v>
      </c>
      <c r="G2784" s="6" t="s">
        <v>78</v>
      </c>
      <c r="H2784" s="11" t="n">
        <v>0.001</v>
      </c>
      <c r="I2784" s="6" t="n">
        <v>200</v>
      </c>
      <c r="J2784" s="6" t="n">
        <v>0</v>
      </c>
      <c r="K2784" s="6" t="n">
        <v>200</v>
      </c>
      <c r="L2784" s="6" t="n">
        <v>0</v>
      </c>
      <c r="M2784" s="6" t="n">
        <v>200</v>
      </c>
      <c r="N2784" s="11" t="n">
        <f aca="false">J2784/(J2784+K2784)</f>
        <v>0</v>
      </c>
      <c r="O2784" s="11" t="str">
        <f aca="false">IF(J2784+L2784=0,"",J2784/(J2784+L2784))</f>
        <v/>
      </c>
      <c r="P2784" s="11" t="n">
        <f aca="false">2*J2784/(2*J2784+L2784+K2784)</f>
        <v>0</v>
      </c>
      <c r="Q2784" s="11" t="n">
        <f aca="false">L2784/(L2784+M2784)</f>
        <v>0</v>
      </c>
      <c r="R2784" s="6" t="n">
        <v>0</v>
      </c>
      <c r="S2784" s="11"/>
      <c r="T2784" s="11" t="n">
        <v>0</v>
      </c>
      <c r="U2784" s="11" t="n">
        <v>0.88</v>
      </c>
      <c r="V2784" s="11" t="n">
        <v>0.88</v>
      </c>
    </row>
    <row r="2785" customFormat="false" ht="15" hidden="false" customHeight="false" outlineLevel="0" collapsed="false">
      <c r="A2785" s="6" t="s">
        <v>54</v>
      </c>
      <c r="B2785" s="6" t="s">
        <v>43</v>
      </c>
      <c r="C2785" s="6" t="s">
        <v>49</v>
      </c>
      <c r="D2785" s="6" t="s">
        <v>117</v>
      </c>
      <c r="E2785" s="6" t="n">
        <v>16</v>
      </c>
      <c r="F2785" s="6" t="n">
        <v>4</v>
      </c>
      <c r="G2785" s="6" t="s">
        <v>68</v>
      </c>
      <c r="H2785" s="11" t="n">
        <v>0.001</v>
      </c>
      <c r="I2785" s="6" t="n">
        <v>20</v>
      </c>
      <c r="J2785" s="6" t="n">
        <v>0</v>
      </c>
      <c r="K2785" s="6" t="n">
        <v>20</v>
      </c>
      <c r="L2785" s="6" t="n">
        <v>0</v>
      </c>
      <c r="M2785" s="6" t="n">
        <v>20</v>
      </c>
      <c r="N2785" s="11" t="n">
        <f aca="false">J2785/(J2785+K2785)</f>
        <v>0</v>
      </c>
      <c r="O2785" s="11" t="str">
        <f aca="false">IF(J2785+L2785=0,"",J2785/(J2785+L2785))</f>
        <v/>
      </c>
      <c r="P2785" s="11" t="n">
        <f aca="false">2*J2785/(2*J2785+L2785+K2785)</f>
        <v>0</v>
      </c>
      <c r="Q2785" s="11" t="n">
        <f aca="false">L2785/(L2785+M2785)</f>
        <v>0</v>
      </c>
      <c r="R2785" s="6" t="n">
        <v>0</v>
      </c>
      <c r="S2785" s="11"/>
      <c r="T2785" s="11" t="n">
        <v>0</v>
      </c>
      <c r="U2785" s="11" t="n">
        <v>0.85</v>
      </c>
      <c r="V2785" s="11" t="n">
        <v>0.85</v>
      </c>
    </row>
    <row r="2786" customFormat="false" ht="15" hidden="false" customHeight="false" outlineLevel="0" collapsed="false">
      <c r="A2786" s="6" t="s">
        <v>54</v>
      </c>
      <c r="B2786" s="6" t="s">
        <v>43</v>
      </c>
      <c r="C2786" s="6" t="s">
        <v>49</v>
      </c>
      <c r="D2786" s="6" t="s">
        <v>117</v>
      </c>
      <c r="E2786" s="6" t="n">
        <v>16</v>
      </c>
      <c r="F2786" s="6" t="n">
        <v>4</v>
      </c>
      <c r="G2786" s="6" t="s">
        <v>69</v>
      </c>
      <c r="H2786" s="11" t="n">
        <v>0.001</v>
      </c>
      <c r="I2786" s="6" t="n">
        <v>20</v>
      </c>
      <c r="J2786" s="6" t="n">
        <v>0</v>
      </c>
      <c r="K2786" s="6" t="n">
        <v>20</v>
      </c>
      <c r="L2786" s="6" t="n">
        <v>0</v>
      </c>
      <c r="M2786" s="6" t="n">
        <v>20</v>
      </c>
      <c r="N2786" s="11" t="n">
        <f aca="false">J2786/(J2786+K2786)</f>
        <v>0</v>
      </c>
      <c r="O2786" s="11" t="str">
        <f aca="false">IF(J2786+L2786=0,"",J2786/(J2786+L2786))</f>
        <v/>
      </c>
      <c r="P2786" s="11" t="n">
        <f aca="false">2*J2786/(2*J2786+L2786+K2786)</f>
        <v>0</v>
      </c>
      <c r="Q2786" s="11" t="n">
        <f aca="false">L2786/(L2786+M2786)</f>
        <v>0</v>
      </c>
      <c r="R2786" s="6" t="n">
        <v>0</v>
      </c>
      <c r="S2786" s="11"/>
      <c r="T2786" s="11" t="n">
        <v>0</v>
      </c>
      <c r="U2786" s="11" t="n">
        <v>1</v>
      </c>
      <c r="V2786" s="11" t="n">
        <v>1</v>
      </c>
    </row>
    <row r="2787" customFormat="false" ht="15" hidden="false" customHeight="false" outlineLevel="0" collapsed="false">
      <c r="A2787" s="6" t="s">
        <v>54</v>
      </c>
      <c r="B2787" s="6" t="s">
        <v>43</v>
      </c>
      <c r="C2787" s="6" t="s">
        <v>49</v>
      </c>
      <c r="D2787" s="6" t="s">
        <v>117</v>
      </c>
      <c r="E2787" s="6" t="n">
        <v>16</v>
      </c>
      <c r="F2787" s="6" t="n">
        <v>4</v>
      </c>
      <c r="G2787" s="6" t="s">
        <v>70</v>
      </c>
      <c r="H2787" s="11" t="n">
        <v>0.001</v>
      </c>
      <c r="I2787" s="6" t="n">
        <v>20</v>
      </c>
      <c r="J2787" s="6" t="n">
        <v>0</v>
      </c>
      <c r="K2787" s="6" t="n">
        <v>20</v>
      </c>
      <c r="L2787" s="6" t="n">
        <v>0</v>
      </c>
      <c r="M2787" s="6" t="n">
        <v>20</v>
      </c>
      <c r="N2787" s="11" t="n">
        <f aca="false">J2787/(J2787+K2787)</f>
        <v>0</v>
      </c>
      <c r="O2787" s="11" t="str">
        <f aca="false">IF(J2787+L2787=0,"",J2787/(J2787+L2787))</f>
        <v/>
      </c>
      <c r="P2787" s="11" t="n">
        <f aca="false">2*J2787/(2*J2787+L2787+K2787)</f>
        <v>0</v>
      </c>
      <c r="Q2787" s="11" t="n">
        <f aca="false">L2787/(L2787+M2787)</f>
        <v>0</v>
      </c>
      <c r="R2787" s="6" t="n">
        <v>0</v>
      </c>
      <c r="S2787" s="11"/>
      <c r="T2787" s="11" t="n">
        <v>0</v>
      </c>
      <c r="U2787" s="11" t="n">
        <v>0.9</v>
      </c>
      <c r="V2787" s="11" t="n">
        <v>0.9</v>
      </c>
    </row>
    <row r="2788" customFormat="false" ht="15" hidden="false" customHeight="false" outlineLevel="0" collapsed="false">
      <c r="A2788" s="6" t="s">
        <v>54</v>
      </c>
      <c r="B2788" s="6" t="s">
        <v>43</v>
      </c>
      <c r="C2788" s="6" t="s">
        <v>49</v>
      </c>
      <c r="D2788" s="6" t="s">
        <v>117</v>
      </c>
      <c r="E2788" s="6" t="n">
        <v>16</v>
      </c>
      <c r="F2788" s="6" t="n">
        <v>4</v>
      </c>
      <c r="G2788" s="6" t="s">
        <v>71</v>
      </c>
      <c r="H2788" s="11" t="n">
        <v>0.001</v>
      </c>
      <c r="I2788" s="6" t="n">
        <v>20</v>
      </c>
      <c r="J2788" s="6" t="n">
        <v>0</v>
      </c>
      <c r="K2788" s="6" t="n">
        <v>20</v>
      </c>
      <c r="L2788" s="6" t="n">
        <v>0</v>
      </c>
      <c r="M2788" s="6" t="n">
        <v>20</v>
      </c>
      <c r="N2788" s="11" t="n">
        <f aca="false">J2788/(J2788+K2788)</f>
        <v>0</v>
      </c>
      <c r="O2788" s="11" t="str">
        <f aca="false">IF(J2788+L2788=0,"",J2788/(J2788+L2788))</f>
        <v/>
      </c>
      <c r="P2788" s="11" t="n">
        <f aca="false">2*J2788/(2*J2788+L2788+K2788)</f>
        <v>0</v>
      </c>
      <c r="Q2788" s="11" t="n">
        <f aca="false">L2788/(L2788+M2788)</f>
        <v>0</v>
      </c>
      <c r="R2788" s="6" t="n">
        <v>0</v>
      </c>
      <c r="S2788" s="11"/>
      <c r="T2788" s="11" t="n">
        <v>0</v>
      </c>
      <c r="U2788" s="11" t="n">
        <v>0.8</v>
      </c>
      <c r="V2788" s="11" t="n">
        <v>0.8</v>
      </c>
    </row>
    <row r="2789" customFormat="false" ht="15" hidden="false" customHeight="false" outlineLevel="0" collapsed="false">
      <c r="A2789" s="6" t="s">
        <v>54</v>
      </c>
      <c r="B2789" s="6" t="s">
        <v>43</v>
      </c>
      <c r="C2789" s="6" t="s">
        <v>49</v>
      </c>
      <c r="D2789" s="6" t="s">
        <v>117</v>
      </c>
      <c r="E2789" s="6" t="n">
        <v>16</v>
      </c>
      <c r="F2789" s="6" t="n">
        <v>4</v>
      </c>
      <c r="G2789" s="6" t="s">
        <v>72</v>
      </c>
      <c r="H2789" s="11" t="n">
        <v>0.001</v>
      </c>
      <c r="I2789" s="6" t="n">
        <v>20</v>
      </c>
      <c r="J2789" s="6" t="n">
        <v>0</v>
      </c>
      <c r="K2789" s="6" t="n">
        <v>20</v>
      </c>
      <c r="L2789" s="6" t="n">
        <v>0</v>
      </c>
      <c r="M2789" s="6" t="n">
        <v>20</v>
      </c>
      <c r="N2789" s="11" t="n">
        <f aca="false">J2789/(J2789+K2789)</f>
        <v>0</v>
      </c>
      <c r="O2789" s="11" t="str">
        <f aca="false">IF(J2789+L2789=0,"",J2789/(J2789+L2789))</f>
        <v/>
      </c>
      <c r="P2789" s="11" t="n">
        <f aca="false">2*J2789/(2*J2789+L2789+K2789)</f>
        <v>0</v>
      </c>
      <c r="Q2789" s="11" t="n">
        <f aca="false">L2789/(L2789+M2789)</f>
        <v>0</v>
      </c>
      <c r="R2789" s="6" t="n">
        <v>0</v>
      </c>
      <c r="S2789" s="11"/>
      <c r="T2789" s="11" t="n">
        <v>0</v>
      </c>
      <c r="U2789" s="11" t="n">
        <v>0.9</v>
      </c>
      <c r="V2789" s="11" t="n">
        <v>0.9</v>
      </c>
    </row>
    <row r="2790" customFormat="false" ht="15" hidden="false" customHeight="false" outlineLevel="0" collapsed="false">
      <c r="A2790" s="6" t="s">
        <v>54</v>
      </c>
      <c r="B2790" s="6" t="s">
        <v>43</v>
      </c>
      <c r="C2790" s="6" t="s">
        <v>49</v>
      </c>
      <c r="D2790" s="6" t="s">
        <v>117</v>
      </c>
      <c r="E2790" s="6" t="n">
        <v>16</v>
      </c>
      <c r="F2790" s="6" t="n">
        <v>4</v>
      </c>
      <c r="G2790" s="6" t="s">
        <v>73</v>
      </c>
      <c r="H2790" s="11" t="n">
        <v>0.001</v>
      </c>
      <c r="I2790" s="6" t="n">
        <v>20</v>
      </c>
      <c r="J2790" s="6" t="n">
        <v>0</v>
      </c>
      <c r="K2790" s="6" t="n">
        <v>20</v>
      </c>
      <c r="L2790" s="6" t="n">
        <v>0</v>
      </c>
      <c r="M2790" s="6" t="n">
        <v>20</v>
      </c>
      <c r="N2790" s="11" t="n">
        <f aca="false">J2790/(J2790+K2790)</f>
        <v>0</v>
      </c>
      <c r="O2790" s="11" t="str">
        <f aca="false">IF(J2790+L2790=0,"",J2790/(J2790+L2790))</f>
        <v/>
      </c>
      <c r="P2790" s="11" t="n">
        <f aca="false">2*J2790/(2*J2790+L2790+K2790)</f>
        <v>0</v>
      </c>
      <c r="Q2790" s="11" t="n">
        <f aca="false">L2790/(L2790+M2790)</f>
        <v>0</v>
      </c>
      <c r="R2790" s="6" t="n">
        <v>0</v>
      </c>
      <c r="S2790" s="11"/>
      <c r="T2790" s="11" t="n">
        <v>0</v>
      </c>
      <c r="U2790" s="11" t="n">
        <v>0.65</v>
      </c>
      <c r="V2790" s="11" t="n">
        <v>0.65</v>
      </c>
    </row>
    <row r="2791" customFormat="false" ht="15" hidden="false" customHeight="false" outlineLevel="0" collapsed="false">
      <c r="A2791" s="6" t="s">
        <v>54</v>
      </c>
      <c r="B2791" s="6" t="s">
        <v>43</v>
      </c>
      <c r="C2791" s="6" t="s">
        <v>49</v>
      </c>
      <c r="D2791" s="6" t="s">
        <v>117</v>
      </c>
      <c r="E2791" s="6" t="n">
        <v>16</v>
      </c>
      <c r="F2791" s="6" t="n">
        <v>4</v>
      </c>
      <c r="G2791" s="6" t="s">
        <v>74</v>
      </c>
      <c r="H2791" s="11" t="n">
        <v>0.001</v>
      </c>
      <c r="I2791" s="6" t="n">
        <v>20</v>
      </c>
      <c r="J2791" s="6" t="n">
        <v>0</v>
      </c>
      <c r="K2791" s="6" t="n">
        <v>20</v>
      </c>
      <c r="L2791" s="6" t="n">
        <v>0</v>
      </c>
      <c r="M2791" s="6" t="n">
        <v>20</v>
      </c>
      <c r="N2791" s="11" t="n">
        <f aca="false">J2791/(J2791+K2791)</f>
        <v>0</v>
      </c>
      <c r="O2791" s="11" t="str">
        <f aca="false">IF(J2791+L2791=0,"",J2791/(J2791+L2791))</f>
        <v/>
      </c>
      <c r="P2791" s="11" t="n">
        <f aca="false">2*J2791/(2*J2791+L2791+K2791)</f>
        <v>0</v>
      </c>
      <c r="Q2791" s="11" t="n">
        <f aca="false">L2791/(L2791+M2791)</f>
        <v>0</v>
      </c>
      <c r="R2791" s="6" t="n">
        <v>0</v>
      </c>
      <c r="S2791" s="11"/>
      <c r="T2791" s="11" t="n">
        <v>0</v>
      </c>
      <c r="U2791" s="11" t="n">
        <v>0.85</v>
      </c>
      <c r="V2791" s="11" t="n">
        <v>0.85</v>
      </c>
    </row>
    <row r="2792" customFormat="false" ht="15" hidden="false" customHeight="false" outlineLevel="0" collapsed="false">
      <c r="A2792" s="6" t="s">
        <v>54</v>
      </c>
      <c r="B2792" s="6" t="s">
        <v>43</v>
      </c>
      <c r="C2792" s="6" t="s">
        <v>49</v>
      </c>
      <c r="D2792" s="6" t="s">
        <v>117</v>
      </c>
      <c r="E2792" s="6" t="n">
        <v>16</v>
      </c>
      <c r="F2792" s="6" t="n">
        <v>4</v>
      </c>
      <c r="G2792" s="6" t="s">
        <v>75</v>
      </c>
      <c r="H2792" s="11" t="n">
        <v>0.001</v>
      </c>
      <c r="I2792" s="6" t="n">
        <v>20</v>
      </c>
      <c r="J2792" s="6" t="n">
        <v>0</v>
      </c>
      <c r="K2792" s="6" t="n">
        <v>20</v>
      </c>
      <c r="L2792" s="6" t="n">
        <v>0</v>
      </c>
      <c r="M2792" s="6" t="n">
        <v>20</v>
      </c>
      <c r="N2792" s="11" t="n">
        <f aca="false">J2792/(J2792+K2792)</f>
        <v>0</v>
      </c>
      <c r="O2792" s="11" t="str">
        <f aca="false">IF(J2792+L2792=0,"",J2792/(J2792+L2792))</f>
        <v/>
      </c>
      <c r="P2792" s="11" t="n">
        <f aca="false">2*J2792/(2*J2792+L2792+K2792)</f>
        <v>0</v>
      </c>
      <c r="Q2792" s="11" t="n">
        <f aca="false">L2792/(L2792+M2792)</f>
        <v>0</v>
      </c>
      <c r="R2792" s="6" t="n">
        <v>0</v>
      </c>
      <c r="S2792" s="11"/>
      <c r="T2792" s="11" t="n">
        <v>0</v>
      </c>
      <c r="U2792" s="11" t="n">
        <v>0.9</v>
      </c>
      <c r="V2792" s="11" t="n">
        <v>0.9</v>
      </c>
    </row>
    <row r="2793" customFormat="false" ht="15" hidden="false" customHeight="false" outlineLevel="0" collapsed="false">
      <c r="A2793" s="6" t="s">
        <v>54</v>
      </c>
      <c r="B2793" s="6" t="s">
        <v>43</v>
      </c>
      <c r="C2793" s="6" t="s">
        <v>49</v>
      </c>
      <c r="D2793" s="6" t="s">
        <v>117</v>
      </c>
      <c r="E2793" s="6" t="n">
        <v>16</v>
      </c>
      <c r="F2793" s="6" t="n">
        <v>4</v>
      </c>
      <c r="G2793" s="6" t="s">
        <v>76</v>
      </c>
      <c r="H2793" s="11" t="n">
        <v>0.001</v>
      </c>
      <c r="I2793" s="6" t="n">
        <v>20</v>
      </c>
      <c r="J2793" s="6" t="n">
        <v>0</v>
      </c>
      <c r="K2793" s="6" t="n">
        <v>20</v>
      </c>
      <c r="L2793" s="6" t="n">
        <v>0</v>
      </c>
      <c r="M2793" s="6" t="n">
        <v>20</v>
      </c>
      <c r="N2793" s="11" t="n">
        <f aca="false">J2793/(J2793+K2793)</f>
        <v>0</v>
      </c>
      <c r="O2793" s="11" t="str">
        <f aca="false">IF(J2793+L2793=0,"",J2793/(J2793+L2793))</f>
        <v/>
      </c>
      <c r="P2793" s="11" t="n">
        <f aca="false">2*J2793/(2*J2793+L2793+K2793)</f>
        <v>0</v>
      </c>
      <c r="Q2793" s="11" t="n">
        <f aca="false">L2793/(L2793+M2793)</f>
        <v>0</v>
      </c>
      <c r="R2793" s="6" t="n">
        <v>0</v>
      </c>
      <c r="S2793" s="11"/>
      <c r="T2793" s="11" t="n">
        <v>0</v>
      </c>
      <c r="U2793" s="11" t="n">
        <v>0.95</v>
      </c>
      <c r="V2793" s="11" t="n">
        <v>0.95</v>
      </c>
    </row>
    <row r="2794" customFormat="false" ht="15" hidden="false" customHeight="false" outlineLevel="0" collapsed="false">
      <c r="A2794" s="6" t="s">
        <v>54</v>
      </c>
      <c r="B2794" s="6" t="s">
        <v>43</v>
      </c>
      <c r="C2794" s="6" t="s">
        <v>49</v>
      </c>
      <c r="D2794" s="6" t="s">
        <v>117</v>
      </c>
      <c r="E2794" s="6" t="n">
        <v>16</v>
      </c>
      <c r="F2794" s="6" t="n">
        <v>4</v>
      </c>
      <c r="G2794" s="6" t="s">
        <v>77</v>
      </c>
      <c r="H2794" s="11" t="n">
        <v>0.001</v>
      </c>
      <c r="I2794" s="6" t="n">
        <v>20</v>
      </c>
      <c r="J2794" s="6" t="n">
        <v>0</v>
      </c>
      <c r="K2794" s="6" t="n">
        <v>20</v>
      </c>
      <c r="L2794" s="6" t="n">
        <v>0</v>
      </c>
      <c r="M2794" s="6" t="n">
        <v>20</v>
      </c>
      <c r="N2794" s="11" t="n">
        <f aca="false">J2794/(J2794+K2794)</f>
        <v>0</v>
      </c>
      <c r="O2794" s="11" t="str">
        <f aca="false">IF(J2794+L2794=0,"",J2794/(J2794+L2794))</f>
        <v/>
      </c>
      <c r="P2794" s="11" t="n">
        <f aca="false">2*J2794/(2*J2794+L2794+K2794)</f>
        <v>0</v>
      </c>
      <c r="Q2794" s="11" t="n">
        <f aca="false">L2794/(L2794+M2794)</f>
        <v>0</v>
      </c>
      <c r="R2794" s="6" t="n">
        <v>0</v>
      </c>
      <c r="S2794" s="11"/>
      <c r="T2794" s="11" t="n">
        <v>0</v>
      </c>
      <c r="U2794" s="11" t="n">
        <v>1</v>
      </c>
      <c r="V2794" s="11" t="n">
        <v>1</v>
      </c>
    </row>
    <row r="2795" customFormat="false" ht="15" hidden="false" customHeight="false" outlineLevel="0" collapsed="false">
      <c r="A2795" s="6" t="s">
        <v>54</v>
      </c>
      <c r="B2795" s="6" t="s">
        <v>43</v>
      </c>
      <c r="C2795" s="6" t="s">
        <v>49</v>
      </c>
      <c r="D2795" s="6" t="s">
        <v>117</v>
      </c>
      <c r="E2795" s="6" t="n">
        <v>16</v>
      </c>
      <c r="F2795" s="6" t="n">
        <v>4</v>
      </c>
      <c r="G2795" s="6" t="s">
        <v>78</v>
      </c>
      <c r="H2795" s="11" t="n">
        <v>0.001</v>
      </c>
      <c r="I2795" s="6" t="n">
        <v>200</v>
      </c>
      <c r="J2795" s="6" t="n">
        <v>0</v>
      </c>
      <c r="K2795" s="6" t="n">
        <v>200</v>
      </c>
      <c r="L2795" s="6" t="n">
        <v>0</v>
      </c>
      <c r="M2795" s="6" t="n">
        <v>200</v>
      </c>
      <c r="N2795" s="11" t="n">
        <f aca="false">J2795/(J2795+K2795)</f>
        <v>0</v>
      </c>
      <c r="O2795" s="11" t="str">
        <f aca="false">IF(J2795+L2795=0,"",J2795/(J2795+L2795))</f>
        <v/>
      </c>
      <c r="P2795" s="11" t="n">
        <f aca="false">2*J2795/(2*J2795+L2795+K2795)</f>
        <v>0</v>
      </c>
      <c r="Q2795" s="11" t="n">
        <f aca="false">L2795/(L2795+M2795)</f>
        <v>0</v>
      </c>
      <c r="R2795" s="6" t="n">
        <v>0</v>
      </c>
      <c r="S2795" s="11"/>
      <c r="T2795" s="11" t="n">
        <v>0</v>
      </c>
      <c r="U2795" s="11" t="n">
        <v>0.88</v>
      </c>
      <c r="V2795" s="11" t="n">
        <v>0.88</v>
      </c>
    </row>
    <row r="2796" customFormat="false" ht="15" hidden="false" customHeight="false" outlineLevel="0" collapsed="false">
      <c r="A2796" s="6" t="s">
        <v>54</v>
      </c>
      <c r="B2796" s="6" t="s">
        <v>43</v>
      </c>
      <c r="C2796" s="6" t="s">
        <v>49</v>
      </c>
      <c r="D2796" s="6" t="s">
        <v>117</v>
      </c>
      <c r="E2796" s="6" t="n">
        <v>16</v>
      </c>
      <c r="F2796" s="6" t="n">
        <v>5</v>
      </c>
      <c r="G2796" s="6" t="s">
        <v>68</v>
      </c>
      <c r="H2796" s="11" t="n">
        <v>0.001</v>
      </c>
      <c r="I2796" s="6" t="n">
        <v>20</v>
      </c>
      <c r="J2796" s="6" t="n">
        <v>0</v>
      </c>
      <c r="K2796" s="6" t="n">
        <v>20</v>
      </c>
      <c r="L2796" s="6" t="n">
        <v>0</v>
      </c>
      <c r="M2796" s="6" t="n">
        <v>20</v>
      </c>
      <c r="N2796" s="11" t="n">
        <f aca="false">J2796/(J2796+K2796)</f>
        <v>0</v>
      </c>
      <c r="O2796" s="11" t="str">
        <f aca="false">IF(J2796+L2796=0,"",J2796/(J2796+L2796))</f>
        <v/>
      </c>
      <c r="P2796" s="11" t="n">
        <f aca="false">2*J2796/(2*J2796+L2796+K2796)</f>
        <v>0</v>
      </c>
      <c r="Q2796" s="11" t="n">
        <f aca="false">L2796/(L2796+M2796)</f>
        <v>0</v>
      </c>
      <c r="R2796" s="6" t="n">
        <v>0</v>
      </c>
      <c r="S2796" s="11"/>
      <c r="T2796" s="11" t="n">
        <v>0</v>
      </c>
      <c r="U2796" s="11" t="n">
        <v>0.85</v>
      </c>
      <c r="V2796" s="11" t="n">
        <v>0.85</v>
      </c>
    </row>
    <row r="2797" customFormat="false" ht="15" hidden="false" customHeight="false" outlineLevel="0" collapsed="false">
      <c r="A2797" s="6" t="s">
        <v>54</v>
      </c>
      <c r="B2797" s="6" t="s">
        <v>43</v>
      </c>
      <c r="C2797" s="6" t="s">
        <v>49</v>
      </c>
      <c r="D2797" s="6" t="s">
        <v>117</v>
      </c>
      <c r="E2797" s="6" t="n">
        <v>16</v>
      </c>
      <c r="F2797" s="6" t="n">
        <v>5</v>
      </c>
      <c r="G2797" s="6" t="s">
        <v>69</v>
      </c>
      <c r="H2797" s="11" t="n">
        <v>0.001</v>
      </c>
      <c r="I2797" s="6" t="n">
        <v>20</v>
      </c>
      <c r="J2797" s="6" t="n">
        <v>0</v>
      </c>
      <c r="K2797" s="6" t="n">
        <v>20</v>
      </c>
      <c r="L2797" s="6" t="n">
        <v>0</v>
      </c>
      <c r="M2797" s="6" t="n">
        <v>20</v>
      </c>
      <c r="N2797" s="11" t="n">
        <f aca="false">J2797/(J2797+K2797)</f>
        <v>0</v>
      </c>
      <c r="O2797" s="11" t="str">
        <f aca="false">IF(J2797+L2797=0,"",J2797/(J2797+L2797))</f>
        <v/>
      </c>
      <c r="P2797" s="11" t="n">
        <f aca="false">2*J2797/(2*J2797+L2797+K2797)</f>
        <v>0</v>
      </c>
      <c r="Q2797" s="11" t="n">
        <f aca="false">L2797/(L2797+M2797)</f>
        <v>0</v>
      </c>
      <c r="R2797" s="6" t="n">
        <v>0</v>
      </c>
      <c r="S2797" s="11"/>
      <c r="T2797" s="11" t="n">
        <v>0</v>
      </c>
      <c r="U2797" s="11" t="n">
        <v>1</v>
      </c>
      <c r="V2797" s="11" t="n">
        <v>1</v>
      </c>
    </row>
    <row r="2798" customFormat="false" ht="15" hidden="false" customHeight="false" outlineLevel="0" collapsed="false">
      <c r="A2798" s="6" t="s">
        <v>54</v>
      </c>
      <c r="B2798" s="6" t="s">
        <v>43</v>
      </c>
      <c r="C2798" s="6" t="s">
        <v>49</v>
      </c>
      <c r="D2798" s="6" t="s">
        <v>117</v>
      </c>
      <c r="E2798" s="6" t="n">
        <v>16</v>
      </c>
      <c r="F2798" s="6" t="n">
        <v>5</v>
      </c>
      <c r="G2798" s="6" t="s">
        <v>70</v>
      </c>
      <c r="H2798" s="11" t="n">
        <v>0.001</v>
      </c>
      <c r="I2798" s="6" t="n">
        <v>20</v>
      </c>
      <c r="J2798" s="6" t="n">
        <v>0</v>
      </c>
      <c r="K2798" s="6" t="n">
        <v>20</v>
      </c>
      <c r="L2798" s="6" t="n">
        <v>0</v>
      </c>
      <c r="M2798" s="6" t="n">
        <v>20</v>
      </c>
      <c r="N2798" s="11" t="n">
        <f aca="false">J2798/(J2798+K2798)</f>
        <v>0</v>
      </c>
      <c r="O2798" s="11" t="str">
        <f aca="false">IF(J2798+L2798=0,"",J2798/(J2798+L2798))</f>
        <v/>
      </c>
      <c r="P2798" s="11" t="n">
        <f aca="false">2*J2798/(2*J2798+L2798+K2798)</f>
        <v>0</v>
      </c>
      <c r="Q2798" s="11" t="n">
        <f aca="false">L2798/(L2798+M2798)</f>
        <v>0</v>
      </c>
      <c r="R2798" s="6" t="n">
        <v>0</v>
      </c>
      <c r="S2798" s="11"/>
      <c r="T2798" s="11" t="n">
        <v>0</v>
      </c>
      <c r="U2798" s="11" t="n">
        <v>0.9</v>
      </c>
      <c r="V2798" s="11" t="n">
        <v>0.9</v>
      </c>
    </row>
    <row r="2799" customFormat="false" ht="15" hidden="false" customHeight="false" outlineLevel="0" collapsed="false">
      <c r="A2799" s="6" t="s">
        <v>54</v>
      </c>
      <c r="B2799" s="6" t="s">
        <v>43</v>
      </c>
      <c r="C2799" s="6" t="s">
        <v>49</v>
      </c>
      <c r="D2799" s="6" t="s">
        <v>117</v>
      </c>
      <c r="E2799" s="6" t="n">
        <v>16</v>
      </c>
      <c r="F2799" s="6" t="n">
        <v>5</v>
      </c>
      <c r="G2799" s="6" t="s">
        <v>71</v>
      </c>
      <c r="H2799" s="11" t="n">
        <v>0.001</v>
      </c>
      <c r="I2799" s="6" t="n">
        <v>20</v>
      </c>
      <c r="J2799" s="6" t="n">
        <v>0</v>
      </c>
      <c r="K2799" s="6" t="n">
        <v>20</v>
      </c>
      <c r="L2799" s="6" t="n">
        <v>0</v>
      </c>
      <c r="M2799" s="6" t="n">
        <v>20</v>
      </c>
      <c r="N2799" s="11" t="n">
        <f aca="false">J2799/(J2799+K2799)</f>
        <v>0</v>
      </c>
      <c r="O2799" s="11" t="str">
        <f aca="false">IF(J2799+L2799=0,"",J2799/(J2799+L2799))</f>
        <v/>
      </c>
      <c r="P2799" s="11" t="n">
        <f aca="false">2*J2799/(2*J2799+L2799+K2799)</f>
        <v>0</v>
      </c>
      <c r="Q2799" s="11" t="n">
        <f aca="false">L2799/(L2799+M2799)</f>
        <v>0</v>
      </c>
      <c r="R2799" s="6" t="n">
        <v>0</v>
      </c>
      <c r="S2799" s="11"/>
      <c r="T2799" s="11" t="n">
        <v>0</v>
      </c>
      <c r="U2799" s="11" t="n">
        <v>0.8</v>
      </c>
      <c r="V2799" s="11" t="n">
        <v>0.8</v>
      </c>
    </row>
    <row r="2800" customFormat="false" ht="15" hidden="false" customHeight="false" outlineLevel="0" collapsed="false">
      <c r="A2800" s="6" t="s">
        <v>54</v>
      </c>
      <c r="B2800" s="6" t="s">
        <v>43</v>
      </c>
      <c r="C2800" s="6" t="s">
        <v>49</v>
      </c>
      <c r="D2800" s="6" t="s">
        <v>117</v>
      </c>
      <c r="E2800" s="6" t="n">
        <v>16</v>
      </c>
      <c r="F2800" s="6" t="n">
        <v>5</v>
      </c>
      <c r="G2800" s="6" t="s">
        <v>72</v>
      </c>
      <c r="H2800" s="11" t="n">
        <v>0.001</v>
      </c>
      <c r="I2800" s="6" t="n">
        <v>20</v>
      </c>
      <c r="J2800" s="6" t="n">
        <v>0</v>
      </c>
      <c r="K2800" s="6" t="n">
        <v>20</v>
      </c>
      <c r="L2800" s="6" t="n">
        <v>0</v>
      </c>
      <c r="M2800" s="6" t="n">
        <v>20</v>
      </c>
      <c r="N2800" s="11" t="n">
        <f aca="false">J2800/(J2800+K2800)</f>
        <v>0</v>
      </c>
      <c r="O2800" s="11" t="str">
        <f aca="false">IF(J2800+L2800=0,"",J2800/(J2800+L2800))</f>
        <v/>
      </c>
      <c r="P2800" s="11" t="n">
        <f aca="false">2*J2800/(2*J2800+L2800+K2800)</f>
        <v>0</v>
      </c>
      <c r="Q2800" s="11" t="n">
        <f aca="false">L2800/(L2800+M2800)</f>
        <v>0</v>
      </c>
      <c r="R2800" s="6" t="n">
        <v>0</v>
      </c>
      <c r="S2800" s="11"/>
      <c r="T2800" s="11" t="n">
        <v>0</v>
      </c>
      <c r="U2800" s="11" t="n">
        <v>0.9</v>
      </c>
      <c r="V2800" s="11" t="n">
        <v>0.9</v>
      </c>
    </row>
    <row r="2801" customFormat="false" ht="15" hidden="false" customHeight="false" outlineLevel="0" collapsed="false">
      <c r="A2801" s="6" t="s">
        <v>54</v>
      </c>
      <c r="B2801" s="6" t="s">
        <v>43</v>
      </c>
      <c r="C2801" s="6" t="s">
        <v>49</v>
      </c>
      <c r="D2801" s="6" t="s">
        <v>117</v>
      </c>
      <c r="E2801" s="6" t="n">
        <v>16</v>
      </c>
      <c r="F2801" s="6" t="n">
        <v>5</v>
      </c>
      <c r="G2801" s="6" t="s">
        <v>73</v>
      </c>
      <c r="H2801" s="11" t="n">
        <v>0.001</v>
      </c>
      <c r="I2801" s="6" t="n">
        <v>20</v>
      </c>
      <c r="J2801" s="6" t="n">
        <v>0</v>
      </c>
      <c r="K2801" s="6" t="n">
        <v>20</v>
      </c>
      <c r="L2801" s="6" t="n">
        <v>0</v>
      </c>
      <c r="M2801" s="6" t="n">
        <v>20</v>
      </c>
      <c r="N2801" s="11" t="n">
        <f aca="false">J2801/(J2801+K2801)</f>
        <v>0</v>
      </c>
      <c r="O2801" s="11" t="str">
        <f aca="false">IF(J2801+L2801=0,"",J2801/(J2801+L2801))</f>
        <v/>
      </c>
      <c r="P2801" s="11" t="n">
        <f aca="false">2*J2801/(2*J2801+L2801+K2801)</f>
        <v>0</v>
      </c>
      <c r="Q2801" s="11" t="n">
        <f aca="false">L2801/(L2801+M2801)</f>
        <v>0</v>
      </c>
      <c r="R2801" s="6" t="n">
        <v>0</v>
      </c>
      <c r="S2801" s="11"/>
      <c r="T2801" s="11" t="n">
        <v>0</v>
      </c>
      <c r="U2801" s="11" t="n">
        <v>0.65</v>
      </c>
      <c r="V2801" s="11" t="n">
        <v>0.65</v>
      </c>
    </row>
    <row r="2802" customFormat="false" ht="15" hidden="false" customHeight="false" outlineLevel="0" collapsed="false">
      <c r="A2802" s="6" t="s">
        <v>54</v>
      </c>
      <c r="B2802" s="6" t="s">
        <v>43</v>
      </c>
      <c r="C2802" s="6" t="s">
        <v>49</v>
      </c>
      <c r="D2802" s="6" t="s">
        <v>117</v>
      </c>
      <c r="E2802" s="6" t="n">
        <v>16</v>
      </c>
      <c r="F2802" s="6" t="n">
        <v>5</v>
      </c>
      <c r="G2802" s="6" t="s">
        <v>74</v>
      </c>
      <c r="H2802" s="11" t="n">
        <v>0.001</v>
      </c>
      <c r="I2802" s="6" t="n">
        <v>20</v>
      </c>
      <c r="J2802" s="6" t="n">
        <v>0</v>
      </c>
      <c r="K2802" s="6" t="n">
        <v>20</v>
      </c>
      <c r="L2802" s="6" t="n">
        <v>0</v>
      </c>
      <c r="M2802" s="6" t="n">
        <v>20</v>
      </c>
      <c r="N2802" s="11" t="n">
        <f aca="false">J2802/(J2802+K2802)</f>
        <v>0</v>
      </c>
      <c r="O2802" s="11" t="str">
        <f aca="false">IF(J2802+L2802=0,"",J2802/(J2802+L2802))</f>
        <v/>
      </c>
      <c r="P2802" s="11" t="n">
        <f aca="false">2*J2802/(2*J2802+L2802+K2802)</f>
        <v>0</v>
      </c>
      <c r="Q2802" s="11" t="n">
        <f aca="false">L2802/(L2802+M2802)</f>
        <v>0</v>
      </c>
      <c r="R2802" s="6" t="n">
        <v>0</v>
      </c>
      <c r="S2802" s="11"/>
      <c r="T2802" s="11" t="n">
        <v>0</v>
      </c>
      <c r="U2802" s="11" t="n">
        <v>0.85</v>
      </c>
      <c r="V2802" s="11" t="n">
        <v>0.85</v>
      </c>
    </row>
    <row r="2803" customFormat="false" ht="15" hidden="false" customHeight="false" outlineLevel="0" collapsed="false">
      <c r="A2803" s="6" t="s">
        <v>54</v>
      </c>
      <c r="B2803" s="6" t="s">
        <v>43</v>
      </c>
      <c r="C2803" s="6" t="s">
        <v>49</v>
      </c>
      <c r="D2803" s="6" t="s">
        <v>117</v>
      </c>
      <c r="E2803" s="6" t="n">
        <v>16</v>
      </c>
      <c r="F2803" s="6" t="n">
        <v>5</v>
      </c>
      <c r="G2803" s="6" t="s">
        <v>75</v>
      </c>
      <c r="H2803" s="11" t="n">
        <v>0.001</v>
      </c>
      <c r="I2803" s="6" t="n">
        <v>20</v>
      </c>
      <c r="J2803" s="6" t="n">
        <v>0</v>
      </c>
      <c r="K2803" s="6" t="n">
        <v>20</v>
      </c>
      <c r="L2803" s="6" t="n">
        <v>0</v>
      </c>
      <c r="M2803" s="6" t="n">
        <v>20</v>
      </c>
      <c r="N2803" s="11" t="n">
        <f aca="false">J2803/(J2803+K2803)</f>
        <v>0</v>
      </c>
      <c r="O2803" s="11" t="str">
        <f aca="false">IF(J2803+L2803=0,"",J2803/(J2803+L2803))</f>
        <v/>
      </c>
      <c r="P2803" s="11" t="n">
        <f aca="false">2*J2803/(2*J2803+L2803+K2803)</f>
        <v>0</v>
      </c>
      <c r="Q2803" s="11" t="n">
        <f aca="false">L2803/(L2803+M2803)</f>
        <v>0</v>
      </c>
      <c r="R2803" s="6" t="n">
        <v>0</v>
      </c>
      <c r="S2803" s="11"/>
      <c r="T2803" s="11" t="n">
        <v>0</v>
      </c>
      <c r="U2803" s="11" t="n">
        <v>0.9</v>
      </c>
      <c r="V2803" s="11" t="n">
        <v>0.9</v>
      </c>
    </row>
    <row r="2804" customFormat="false" ht="15" hidden="false" customHeight="false" outlineLevel="0" collapsed="false">
      <c r="A2804" s="6" t="s">
        <v>54</v>
      </c>
      <c r="B2804" s="6" t="s">
        <v>43</v>
      </c>
      <c r="C2804" s="6" t="s">
        <v>49</v>
      </c>
      <c r="D2804" s="6" t="s">
        <v>117</v>
      </c>
      <c r="E2804" s="6" t="n">
        <v>16</v>
      </c>
      <c r="F2804" s="6" t="n">
        <v>5</v>
      </c>
      <c r="G2804" s="6" t="s">
        <v>76</v>
      </c>
      <c r="H2804" s="11" t="n">
        <v>0.001</v>
      </c>
      <c r="I2804" s="6" t="n">
        <v>20</v>
      </c>
      <c r="J2804" s="6" t="n">
        <v>0</v>
      </c>
      <c r="K2804" s="6" t="n">
        <v>20</v>
      </c>
      <c r="L2804" s="6" t="n">
        <v>0</v>
      </c>
      <c r="M2804" s="6" t="n">
        <v>20</v>
      </c>
      <c r="N2804" s="11" t="n">
        <f aca="false">J2804/(J2804+K2804)</f>
        <v>0</v>
      </c>
      <c r="O2804" s="11" t="str">
        <f aca="false">IF(J2804+L2804=0,"",J2804/(J2804+L2804))</f>
        <v/>
      </c>
      <c r="P2804" s="11" t="n">
        <f aca="false">2*J2804/(2*J2804+L2804+K2804)</f>
        <v>0</v>
      </c>
      <c r="Q2804" s="11" t="n">
        <f aca="false">L2804/(L2804+M2804)</f>
        <v>0</v>
      </c>
      <c r="R2804" s="6" t="n">
        <v>0</v>
      </c>
      <c r="S2804" s="11"/>
      <c r="T2804" s="11" t="n">
        <v>0</v>
      </c>
      <c r="U2804" s="11" t="n">
        <v>0.95</v>
      </c>
      <c r="V2804" s="11" t="n">
        <v>0.95</v>
      </c>
    </row>
    <row r="2805" customFormat="false" ht="15" hidden="false" customHeight="false" outlineLevel="0" collapsed="false">
      <c r="A2805" s="6" t="s">
        <v>54</v>
      </c>
      <c r="B2805" s="6" t="s">
        <v>43</v>
      </c>
      <c r="C2805" s="6" t="s">
        <v>49</v>
      </c>
      <c r="D2805" s="6" t="s">
        <v>117</v>
      </c>
      <c r="E2805" s="6" t="n">
        <v>16</v>
      </c>
      <c r="F2805" s="6" t="n">
        <v>5</v>
      </c>
      <c r="G2805" s="6" t="s">
        <v>77</v>
      </c>
      <c r="H2805" s="11" t="n">
        <v>0.001</v>
      </c>
      <c r="I2805" s="6" t="n">
        <v>20</v>
      </c>
      <c r="J2805" s="6" t="n">
        <v>0</v>
      </c>
      <c r="K2805" s="6" t="n">
        <v>20</v>
      </c>
      <c r="L2805" s="6" t="n">
        <v>0</v>
      </c>
      <c r="M2805" s="6" t="n">
        <v>20</v>
      </c>
      <c r="N2805" s="11" t="n">
        <f aca="false">J2805/(J2805+K2805)</f>
        <v>0</v>
      </c>
      <c r="O2805" s="11" t="str">
        <f aca="false">IF(J2805+L2805=0,"",J2805/(J2805+L2805))</f>
        <v/>
      </c>
      <c r="P2805" s="11" t="n">
        <f aca="false">2*J2805/(2*J2805+L2805+K2805)</f>
        <v>0</v>
      </c>
      <c r="Q2805" s="11" t="n">
        <f aca="false">L2805/(L2805+M2805)</f>
        <v>0</v>
      </c>
      <c r="R2805" s="6" t="n">
        <v>0</v>
      </c>
      <c r="S2805" s="11"/>
      <c r="T2805" s="11" t="n">
        <v>0</v>
      </c>
      <c r="U2805" s="11" t="n">
        <v>1</v>
      </c>
      <c r="V2805" s="11" t="n">
        <v>1</v>
      </c>
    </row>
    <row r="2806" customFormat="false" ht="15" hidden="false" customHeight="false" outlineLevel="0" collapsed="false">
      <c r="A2806" s="6" t="s">
        <v>54</v>
      </c>
      <c r="B2806" s="6" t="s">
        <v>43</v>
      </c>
      <c r="C2806" s="6" t="s">
        <v>49</v>
      </c>
      <c r="D2806" s="6" t="s">
        <v>117</v>
      </c>
      <c r="E2806" s="6" t="n">
        <v>16</v>
      </c>
      <c r="F2806" s="6" t="n">
        <v>5</v>
      </c>
      <c r="G2806" s="6" t="s">
        <v>78</v>
      </c>
      <c r="H2806" s="11" t="n">
        <v>0.001</v>
      </c>
      <c r="I2806" s="6" t="n">
        <v>200</v>
      </c>
      <c r="J2806" s="6" t="n">
        <v>0</v>
      </c>
      <c r="K2806" s="6" t="n">
        <v>200</v>
      </c>
      <c r="L2806" s="6" t="n">
        <v>0</v>
      </c>
      <c r="M2806" s="6" t="n">
        <v>200</v>
      </c>
      <c r="N2806" s="11" t="n">
        <f aca="false">J2806/(J2806+K2806)</f>
        <v>0</v>
      </c>
      <c r="O2806" s="11" t="str">
        <f aca="false">IF(J2806+L2806=0,"",J2806/(J2806+L2806))</f>
        <v/>
      </c>
      <c r="P2806" s="11" t="n">
        <f aca="false">2*J2806/(2*J2806+L2806+K2806)</f>
        <v>0</v>
      </c>
      <c r="Q2806" s="11" t="n">
        <f aca="false">L2806/(L2806+M2806)</f>
        <v>0</v>
      </c>
      <c r="R2806" s="6" t="n">
        <v>0</v>
      </c>
      <c r="S2806" s="11"/>
      <c r="T2806" s="11" t="n">
        <v>0</v>
      </c>
      <c r="U2806" s="11" t="n">
        <v>0.88</v>
      </c>
      <c r="V2806" s="11" t="n">
        <v>0.88</v>
      </c>
    </row>
    <row r="2807" customFormat="false" ht="15" hidden="false" customHeight="false" outlineLevel="0" collapsed="false">
      <c r="A2807" s="6" t="s">
        <v>54</v>
      </c>
      <c r="B2807" s="6" t="s">
        <v>43</v>
      </c>
      <c r="C2807" s="6" t="s">
        <v>49</v>
      </c>
      <c r="D2807" s="6" t="s">
        <v>117</v>
      </c>
      <c r="E2807" s="6" t="n">
        <v>16</v>
      </c>
      <c r="F2807" s="6" t="n">
        <v>6</v>
      </c>
      <c r="G2807" s="6" t="s">
        <v>68</v>
      </c>
      <c r="H2807" s="11" t="n">
        <v>0.001</v>
      </c>
      <c r="I2807" s="6" t="n">
        <v>20</v>
      </c>
      <c r="J2807" s="6" t="n">
        <v>0</v>
      </c>
      <c r="K2807" s="6" t="n">
        <v>20</v>
      </c>
      <c r="L2807" s="6" t="n">
        <v>0</v>
      </c>
      <c r="M2807" s="6" t="n">
        <v>20</v>
      </c>
      <c r="N2807" s="11" t="n">
        <f aca="false">J2807/(J2807+K2807)</f>
        <v>0</v>
      </c>
      <c r="O2807" s="11" t="str">
        <f aca="false">IF(J2807+L2807=0,"",J2807/(J2807+L2807))</f>
        <v/>
      </c>
      <c r="P2807" s="11" t="n">
        <f aca="false">2*J2807/(2*J2807+L2807+K2807)</f>
        <v>0</v>
      </c>
      <c r="Q2807" s="11" t="n">
        <f aca="false">L2807/(L2807+M2807)</f>
        <v>0</v>
      </c>
      <c r="R2807" s="6" t="n">
        <v>0</v>
      </c>
      <c r="S2807" s="11"/>
      <c r="T2807" s="11" t="n">
        <v>0</v>
      </c>
      <c r="U2807" s="11" t="n">
        <v>0.85</v>
      </c>
      <c r="V2807" s="11" t="n">
        <v>0.85</v>
      </c>
    </row>
    <row r="2808" customFormat="false" ht="15" hidden="false" customHeight="false" outlineLevel="0" collapsed="false">
      <c r="A2808" s="6" t="s">
        <v>54</v>
      </c>
      <c r="B2808" s="6" t="s">
        <v>43</v>
      </c>
      <c r="C2808" s="6" t="s">
        <v>49</v>
      </c>
      <c r="D2808" s="6" t="s">
        <v>117</v>
      </c>
      <c r="E2808" s="6" t="n">
        <v>16</v>
      </c>
      <c r="F2808" s="6" t="n">
        <v>6</v>
      </c>
      <c r="G2808" s="6" t="s">
        <v>69</v>
      </c>
      <c r="H2808" s="11" t="n">
        <v>0.001</v>
      </c>
      <c r="I2808" s="6" t="n">
        <v>20</v>
      </c>
      <c r="J2808" s="6" t="n">
        <v>0</v>
      </c>
      <c r="K2808" s="6" t="n">
        <v>20</v>
      </c>
      <c r="L2808" s="6" t="n">
        <v>0</v>
      </c>
      <c r="M2808" s="6" t="n">
        <v>20</v>
      </c>
      <c r="N2808" s="11" t="n">
        <f aca="false">J2808/(J2808+K2808)</f>
        <v>0</v>
      </c>
      <c r="O2808" s="11" t="str">
        <f aca="false">IF(J2808+L2808=0,"",J2808/(J2808+L2808))</f>
        <v/>
      </c>
      <c r="P2808" s="11" t="n">
        <f aca="false">2*J2808/(2*J2808+L2808+K2808)</f>
        <v>0</v>
      </c>
      <c r="Q2808" s="11" t="n">
        <f aca="false">L2808/(L2808+M2808)</f>
        <v>0</v>
      </c>
      <c r="R2808" s="6" t="n">
        <v>0</v>
      </c>
      <c r="S2808" s="11"/>
      <c r="T2808" s="11" t="n">
        <v>0</v>
      </c>
      <c r="U2808" s="11" t="n">
        <v>1</v>
      </c>
      <c r="V2808" s="11" t="n">
        <v>1</v>
      </c>
    </row>
    <row r="2809" customFormat="false" ht="15" hidden="false" customHeight="false" outlineLevel="0" collapsed="false">
      <c r="A2809" s="6" t="s">
        <v>54</v>
      </c>
      <c r="B2809" s="6" t="s">
        <v>43</v>
      </c>
      <c r="C2809" s="6" t="s">
        <v>49</v>
      </c>
      <c r="D2809" s="6" t="s">
        <v>117</v>
      </c>
      <c r="E2809" s="6" t="n">
        <v>16</v>
      </c>
      <c r="F2809" s="6" t="n">
        <v>6</v>
      </c>
      <c r="G2809" s="6" t="s">
        <v>70</v>
      </c>
      <c r="H2809" s="11" t="n">
        <v>0.001</v>
      </c>
      <c r="I2809" s="6" t="n">
        <v>20</v>
      </c>
      <c r="J2809" s="6" t="n">
        <v>0</v>
      </c>
      <c r="K2809" s="6" t="n">
        <v>20</v>
      </c>
      <c r="L2809" s="6" t="n">
        <v>0</v>
      </c>
      <c r="M2809" s="6" t="n">
        <v>20</v>
      </c>
      <c r="N2809" s="11" t="n">
        <f aca="false">J2809/(J2809+K2809)</f>
        <v>0</v>
      </c>
      <c r="O2809" s="11" t="str">
        <f aca="false">IF(J2809+L2809=0,"",J2809/(J2809+L2809))</f>
        <v/>
      </c>
      <c r="P2809" s="11" t="n">
        <f aca="false">2*J2809/(2*J2809+L2809+K2809)</f>
        <v>0</v>
      </c>
      <c r="Q2809" s="11" t="n">
        <f aca="false">L2809/(L2809+M2809)</f>
        <v>0</v>
      </c>
      <c r="R2809" s="6" t="n">
        <v>0</v>
      </c>
      <c r="S2809" s="11"/>
      <c r="T2809" s="11" t="n">
        <v>0</v>
      </c>
      <c r="U2809" s="11" t="n">
        <v>0.9</v>
      </c>
      <c r="V2809" s="11" t="n">
        <v>0.9</v>
      </c>
    </row>
    <row r="2810" customFormat="false" ht="15" hidden="false" customHeight="false" outlineLevel="0" collapsed="false">
      <c r="A2810" s="6" t="s">
        <v>54</v>
      </c>
      <c r="B2810" s="6" t="s">
        <v>43</v>
      </c>
      <c r="C2810" s="6" t="s">
        <v>49</v>
      </c>
      <c r="D2810" s="6" t="s">
        <v>117</v>
      </c>
      <c r="E2810" s="6" t="n">
        <v>16</v>
      </c>
      <c r="F2810" s="6" t="n">
        <v>6</v>
      </c>
      <c r="G2810" s="6" t="s">
        <v>71</v>
      </c>
      <c r="H2810" s="11" t="n">
        <v>0.001</v>
      </c>
      <c r="I2810" s="6" t="n">
        <v>20</v>
      </c>
      <c r="J2810" s="6" t="n">
        <v>0</v>
      </c>
      <c r="K2810" s="6" t="n">
        <v>20</v>
      </c>
      <c r="L2810" s="6" t="n">
        <v>0</v>
      </c>
      <c r="M2810" s="6" t="n">
        <v>20</v>
      </c>
      <c r="N2810" s="11" t="n">
        <f aca="false">J2810/(J2810+K2810)</f>
        <v>0</v>
      </c>
      <c r="O2810" s="11" t="str">
        <f aca="false">IF(J2810+L2810=0,"",J2810/(J2810+L2810))</f>
        <v/>
      </c>
      <c r="P2810" s="11" t="n">
        <f aca="false">2*J2810/(2*J2810+L2810+K2810)</f>
        <v>0</v>
      </c>
      <c r="Q2810" s="11" t="n">
        <f aca="false">L2810/(L2810+M2810)</f>
        <v>0</v>
      </c>
      <c r="R2810" s="6" t="n">
        <v>0</v>
      </c>
      <c r="S2810" s="11"/>
      <c r="T2810" s="11" t="n">
        <v>0</v>
      </c>
      <c r="U2810" s="11" t="n">
        <v>0.8</v>
      </c>
      <c r="V2810" s="11" t="n">
        <v>0.8</v>
      </c>
    </row>
    <row r="2811" customFormat="false" ht="15" hidden="false" customHeight="false" outlineLevel="0" collapsed="false">
      <c r="A2811" s="6" t="s">
        <v>54</v>
      </c>
      <c r="B2811" s="6" t="s">
        <v>43</v>
      </c>
      <c r="C2811" s="6" t="s">
        <v>49</v>
      </c>
      <c r="D2811" s="6" t="s">
        <v>117</v>
      </c>
      <c r="E2811" s="6" t="n">
        <v>16</v>
      </c>
      <c r="F2811" s="6" t="n">
        <v>6</v>
      </c>
      <c r="G2811" s="6" t="s">
        <v>72</v>
      </c>
      <c r="H2811" s="11" t="n">
        <v>0.001</v>
      </c>
      <c r="I2811" s="6" t="n">
        <v>20</v>
      </c>
      <c r="J2811" s="6" t="n">
        <v>0</v>
      </c>
      <c r="K2811" s="6" t="n">
        <v>20</v>
      </c>
      <c r="L2811" s="6" t="n">
        <v>0</v>
      </c>
      <c r="M2811" s="6" t="n">
        <v>20</v>
      </c>
      <c r="N2811" s="11" t="n">
        <f aca="false">J2811/(J2811+K2811)</f>
        <v>0</v>
      </c>
      <c r="O2811" s="11" t="str">
        <f aca="false">IF(J2811+L2811=0,"",J2811/(J2811+L2811))</f>
        <v/>
      </c>
      <c r="P2811" s="11" t="n">
        <f aca="false">2*J2811/(2*J2811+L2811+K2811)</f>
        <v>0</v>
      </c>
      <c r="Q2811" s="11" t="n">
        <f aca="false">L2811/(L2811+M2811)</f>
        <v>0</v>
      </c>
      <c r="R2811" s="6" t="n">
        <v>0</v>
      </c>
      <c r="S2811" s="11"/>
      <c r="T2811" s="11" t="n">
        <v>0</v>
      </c>
      <c r="U2811" s="11" t="n">
        <v>0.9</v>
      </c>
      <c r="V2811" s="11" t="n">
        <v>0.9</v>
      </c>
    </row>
    <row r="2812" customFormat="false" ht="15" hidden="false" customHeight="false" outlineLevel="0" collapsed="false">
      <c r="A2812" s="6" t="s">
        <v>54</v>
      </c>
      <c r="B2812" s="6" t="s">
        <v>43</v>
      </c>
      <c r="C2812" s="6" t="s">
        <v>49</v>
      </c>
      <c r="D2812" s="6" t="s">
        <v>117</v>
      </c>
      <c r="E2812" s="6" t="n">
        <v>16</v>
      </c>
      <c r="F2812" s="6" t="n">
        <v>6</v>
      </c>
      <c r="G2812" s="6" t="s">
        <v>73</v>
      </c>
      <c r="H2812" s="11" t="n">
        <v>0.001</v>
      </c>
      <c r="I2812" s="6" t="n">
        <v>20</v>
      </c>
      <c r="J2812" s="6" t="n">
        <v>0</v>
      </c>
      <c r="K2812" s="6" t="n">
        <v>20</v>
      </c>
      <c r="L2812" s="6" t="n">
        <v>0</v>
      </c>
      <c r="M2812" s="6" t="n">
        <v>20</v>
      </c>
      <c r="N2812" s="11" t="n">
        <f aca="false">J2812/(J2812+K2812)</f>
        <v>0</v>
      </c>
      <c r="O2812" s="11" t="str">
        <f aca="false">IF(J2812+L2812=0,"",J2812/(J2812+L2812))</f>
        <v/>
      </c>
      <c r="P2812" s="11" t="n">
        <f aca="false">2*J2812/(2*J2812+L2812+K2812)</f>
        <v>0</v>
      </c>
      <c r="Q2812" s="11" t="n">
        <f aca="false">L2812/(L2812+M2812)</f>
        <v>0</v>
      </c>
      <c r="R2812" s="6" t="n">
        <v>0</v>
      </c>
      <c r="S2812" s="11"/>
      <c r="T2812" s="11" t="n">
        <v>0</v>
      </c>
      <c r="U2812" s="11" t="n">
        <v>0.65</v>
      </c>
      <c r="V2812" s="11" t="n">
        <v>0.65</v>
      </c>
    </row>
    <row r="2813" customFormat="false" ht="15" hidden="false" customHeight="false" outlineLevel="0" collapsed="false">
      <c r="A2813" s="6" t="s">
        <v>54</v>
      </c>
      <c r="B2813" s="6" t="s">
        <v>43</v>
      </c>
      <c r="C2813" s="6" t="s">
        <v>49</v>
      </c>
      <c r="D2813" s="6" t="s">
        <v>117</v>
      </c>
      <c r="E2813" s="6" t="n">
        <v>16</v>
      </c>
      <c r="F2813" s="6" t="n">
        <v>6</v>
      </c>
      <c r="G2813" s="6" t="s">
        <v>74</v>
      </c>
      <c r="H2813" s="11" t="n">
        <v>0.001</v>
      </c>
      <c r="I2813" s="6" t="n">
        <v>20</v>
      </c>
      <c r="J2813" s="6" t="n">
        <v>0</v>
      </c>
      <c r="K2813" s="6" t="n">
        <v>20</v>
      </c>
      <c r="L2813" s="6" t="n">
        <v>0</v>
      </c>
      <c r="M2813" s="6" t="n">
        <v>20</v>
      </c>
      <c r="N2813" s="11" t="n">
        <f aca="false">J2813/(J2813+K2813)</f>
        <v>0</v>
      </c>
      <c r="O2813" s="11" t="str">
        <f aca="false">IF(J2813+L2813=0,"",J2813/(J2813+L2813))</f>
        <v/>
      </c>
      <c r="P2813" s="11" t="n">
        <f aca="false">2*J2813/(2*J2813+L2813+K2813)</f>
        <v>0</v>
      </c>
      <c r="Q2813" s="11" t="n">
        <f aca="false">L2813/(L2813+M2813)</f>
        <v>0</v>
      </c>
      <c r="R2813" s="6" t="n">
        <v>0</v>
      </c>
      <c r="S2813" s="11"/>
      <c r="T2813" s="11" t="n">
        <v>0</v>
      </c>
      <c r="U2813" s="11" t="n">
        <v>0.85</v>
      </c>
      <c r="V2813" s="11" t="n">
        <v>0.85</v>
      </c>
    </row>
    <row r="2814" customFormat="false" ht="15" hidden="false" customHeight="false" outlineLevel="0" collapsed="false">
      <c r="A2814" s="6" t="s">
        <v>54</v>
      </c>
      <c r="B2814" s="6" t="s">
        <v>43</v>
      </c>
      <c r="C2814" s="6" t="s">
        <v>49</v>
      </c>
      <c r="D2814" s="6" t="s">
        <v>117</v>
      </c>
      <c r="E2814" s="6" t="n">
        <v>16</v>
      </c>
      <c r="F2814" s="6" t="n">
        <v>6</v>
      </c>
      <c r="G2814" s="6" t="s">
        <v>75</v>
      </c>
      <c r="H2814" s="11" t="n">
        <v>0.001</v>
      </c>
      <c r="I2814" s="6" t="n">
        <v>20</v>
      </c>
      <c r="J2814" s="6" t="n">
        <v>0</v>
      </c>
      <c r="K2814" s="6" t="n">
        <v>20</v>
      </c>
      <c r="L2814" s="6" t="n">
        <v>0</v>
      </c>
      <c r="M2814" s="6" t="n">
        <v>20</v>
      </c>
      <c r="N2814" s="11" t="n">
        <f aca="false">J2814/(J2814+K2814)</f>
        <v>0</v>
      </c>
      <c r="O2814" s="11" t="str">
        <f aca="false">IF(J2814+L2814=0,"",J2814/(J2814+L2814))</f>
        <v/>
      </c>
      <c r="P2814" s="11" t="n">
        <f aca="false">2*J2814/(2*J2814+L2814+K2814)</f>
        <v>0</v>
      </c>
      <c r="Q2814" s="11" t="n">
        <f aca="false">L2814/(L2814+M2814)</f>
        <v>0</v>
      </c>
      <c r="R2814" s="6" t="n">
        <v>0</v>
      </c>
      <c r="S2814" s="11"/>
      <c r="T2814" s="11" t="n">
        <v>0</v>
      </c>
      <c r="U2814" s="11" t="n">
        <v>0.9</v>
      </c>
      <c r="V2814" s="11" t="n">
        <v>0.9</v>
      </c>
    </row>
    <row r="2815" customFormat="false" ht="15" hidden="false" customHeight="false" outlineLevel="0" collapsed="false">
      <c r="A2815" s="6" t="s">
        <v>54</v>
      </c>
      <c r="B2815" s="6" t="s">
        <v>43</v>
      </c>
      <c r="C2815" s="6" t="s">
        <v>49</v>
      </c>
      <c r="D2815" s="6" t="s">
        <v>117</v>
      </c>
      <c r="E2815" s="6" t="n">
        <v>16</v>
      </c>
      <c r="F2815" s="6" t="n">
        <v>6</v>
      </c>
      <c r="G2815" s="6" t="s">
        <v>76</v>
      </c>
      <c r="H2815" s="11" t="n">
        <v>0.001</v>
      </c>
      <c r="I2815" s="6" t="n">
        <v>20</v>
      </c>
      <c r="J2815" s="6" t="n">
        <v>0</v>
      </c>
      <c r="K2815" s="6" t="n">
        <v>20</v>
      </c>
      <c r="L2815" s="6" t="n">
        <v>0</v>
      </c>
      <c r="M2815" s="6" t="n">
        <v>20</v>
      </c>
      <c r="N2815" s="11" t="n">
        <f aca="false">J2815/(J2815+K2815)</f>
        <v>0</v>
      </c>
      <c r="O2815" s="11" t="str">
        <f aca="false">IF(J2815+L2815=0,"",J2815/(J2815+L2815))</f>
        <v/>
      </c>
      <c r="P2815" s="11" t="n">
        <f aca="false">2*J2815/(2*J2815+L2815+K2815)</f>
        <v>0</v>
      </c>
      <c r="Q2815" s="11" t="n">
        <f aca="false">L2815/(L2815+M2815)</f>
        <v>0</v>
      </c>
      <c r="R2815" s="6" t="n">
        <v>0</v>
      </c>
      <c r="S2815" s="11"/>
      <c r="T2815" s="11" t="n">
        <v>0</v>
      </c>
      <c r="U2815" s="11" t="n">
        <v>0.95</v>
      </c>
      <c r="V2815" s="11" t="n">
        <v>0.95</v>
      </c>
    </row>
    <row r="2816" customFormat="false" ht="15" hidden="false" customHeight="false" outlineLevel="0" collapsed="false">
      <c r="A2816" s="6" t="s">
        <v>54</v>
      </c>
      <c r="B2816" s="6" t="s">
        <v>43</v>
      </c>
      <c r="C2816" s="6" t="s">
        <v>49</v>
      </c>
      <c r="D2816" s="6" t="s">
        <v>117</v>
      </c>
      <c r="E2816" s="6" t="n">
        <v>16</v>
      </c>
      <c r="F2816" s="6" t="n">
        <v>6</v>
      </c>
      <c r="G2816" s="6" t="s">
        <v>77</v>
      </c>
      <c r="H2816" s="11" t="n">
        <v>0.001</v>
      </c>
      <c r="I2816" s="6" t="n">
        <v>20</v>
      </c>
      <c r="J2816" s="6" t="n">
        <v>0</v>
      </c>
      <c r="K2816" s="6" t="n">
        <v>20</v>
      </c>
      <c r="L2816" s="6" t="n">
        <v>0</v>
      </c>
      <c r="M2816" s="6" t="n">
        <v>20</v>
      </c>
      <c r="N2816" s="11" t="n">
        <f aca="false">J2816/(J2816+K2816)</f>
        <v>0</v>
      </c>
      <c r="O2816" s="11" t="str">
        <f aca="false">IF(J2816+L2816=0,"",J2816/(J2816+L2816))</f>
        <v/>
      </c>
      <c r="P2816" s="11" t="n">
        <f aca="false">2*J2816/(2*J2816+L2816+K2816)</f>
        <v>0</v>
      </c>
      <c r="Q2816" s="11" t="n">
        <f aca="false">L2816/(L2816+M2816)</f>
        <v>0</v>
      </c>
      <c r="R2816" s="6" t="n">
        <v>0</v>
      </c>
      <c r="S2816" s="11"/>
      <c r="T2816" s="11" t="n">
        <v>0</v>
      </c>
      <c r="U2816" s="11" t="n">
        <v>1</v>
      </c>
      <c r="V2816" s="11" t="n">
        <v>1</v>
      </c>
    </row>
    <row r="2817" customFormat="false" ht="15" hidden="false" customHeight="false" outlineLevel="0" collapsed="false">
      <c r="A2817" s="6" t="s">
        <v>54</v>
      </c>
      <c r="B2817" s="6" t="s">
        <v>43</v>
      </c>
      <c r="C2817" s="6" t="s">
        <v>49</v>
      </c>
      <c r="D2817" s="6" t="s">
        <v>117</v>
      </c>
      <c r="E2817" s="6" t="n">
        <v>16</v>
      </c>
      <c r="F2817" s="6" t="n">
        <v>6</v>
      </c>
      <c r="G2817" s="6" t="s">
        <v>78</v>
      </c>
      <c r="H2817" s="11" t="n">
        <v>0.001</v>
      </c>
      <c r="I2817" s="6" t="n">
        <v>200</v>
      </c>
      <c r="J2817" s="6" t="n">
        <v>0</v>
      </c>
      <c r="K2817" s="6" t="n">
        <v>200</v>
      </c>
      <c r="L2817" s="6" t="n">
        <v>0</v>
      </c>
      <c r="M2817" s="6" t="n">
        <v>200</v>
      </c>
      <c r="N2817" s="11" t="n">
        <f aca="false">J2817/(J2817+K2817)</f>
        <v>0</v>
      </c>
      <c r="O2817" s="11" t="str">
        <f aca="false">IF(J2817+L2817=0,"",J2817/(J2817+L2817))</f>
        <v/>
      </c>
      <c r="P2817" s="11" t="n">
        <f aca="false">2*J2817/(2*J2817+L2817+K2817)</f>
        <v>0</v>
      </c>
      <c r="Q2817" s="11" t="n">
        <f aca="false">L2817/(L2817+M2817)</f>
        <v>0</v>
      </c>
      <c r="R2817" s="6" t="n">
        <v>0</v>
      </c>
      <c r="S2817" s="11"/>
      <c r="T2817" s="11" t="n">
        <v>0</v>
      </c>
      <c r="U2817" s="11" t="n">
        <v>0.88</v>
      </c>
      <c r="V2817" s="11" t="n">
        <v>0.88</v>
      </c>
    </row>
    <row r="2818" customFormat="false" ht="15" hidden="false" customHeight="false" outlineLevel="0" collapsed="false">
      <c r="A2818" s="6" t="s">
        <v>54</v>
      </c>
      <c r="B2818" s="6" t="s">
        <v>43</v>
      </c>
      <c r="C2818" s="6" t="s">
        <v>49</v>
      </c>
      <c r="D2818" s="6" t="s">
        <v>117</v>
      </c>
      <c r="E2818" s="6" t="n">
        <v>16</v>
      </c>
      <c r="F2818" s="6" t="n">
        <v>7</v>
      </c>
      <c r="G2818" s="6" t="s">
        <v>68</v>
      </c>
      <c r="H2818" s="11" t="n">
        <v>0.001</v>
      </c>
      <c r="I2818" s="6" t="n">
        <v>20</v>
      </c>
      <c r="J2818" s="6" t="n">
        <v>0</v>
      </c>
      <c r="K2818" s="6" t="n">
        <v>20</v>
      </c>
      <c r="L2818" s="6" t="n">
        <v>0</v>
      </c>
      <c r="M2818" s="6" t="n">
        <v>20</v>
      </c>
      <c r="N2818" s="11" t="n">
        <f aca="false">J2818/(J2818+K2818)</f>
        <v>0</v>
      </c>
      <c r="O2818" s="11" t="str">
        <f aca="false">IF(J2818+L2818=0,"",J2818/(J2818+L2818))</f>
        <v/>
      </c>
      <c r="P2818" s="11" t="n">
        <f aca="false">2*J2818/(2*J2818+L2818+K2818)</f>
        <v>0</v>
      </c>
      <c r="Q2818" s="11" t="n">
        <f aca="false">L2818/(L2818+M2818)</f>
        <v>0</v>
      </c>
      <c r="R2818" s="6" t="n">
        <v>0</v>
      </c>
      <c r="S2818" s="11"/>
      <c r="T2818" s="11" t="n">
        <v>0</v>
      </c>
      <c r="U2818" s="11" t="n">
        <v>0.85</v>
      </c>
      <c r="V2818" s="11" t="n">
        <v>0.85</v>
      </c>
    </row>
    <row r="2819" customFormat="false" ht="15" hidden="false" customHeight="false" outlineLevel="0" collapsed="false">
      <c r="A2819" s="6" t="s">
        <v>54</v>
      </c>
      <c r="B2819" s="6" t="s">
        <v>43</v>
      </c>
      <c r="C2819" s="6" t="s">
        <v>49</v>
      </c>
      <c r="D2819" s="6" t="s">
        <v>117</v>
      </c>
      <c r="E2819" s="6" t="n">
        <v>16</v>
      </c>
      <c r="F2819" s="6" t="n">
        <v>7</v>
      </c>
      <c r="G2819" s="6" t="s">
        <v>69</v>
      </c>
      <c r="H2819" s="11" t="n">
        <v>0.001</v>
      </c>
      <c r="I2819" s="6" t="n">
        <v>20</v>
      </c>
      <c r="J2819" s="6" t="n">
        <v>0</v>
      </c>
      <c r="K2819" s="6" t="n">
        <v>20</v>
      </c>
      <c r="L2819" s="6" t="n">
        <v>0</v>
      </c>
      <c r="M2819" s="6" t="n">
        <v>20</v>
      </c>
      <c r="N2819" s="11" t="n">
        <f aca="false">J2819/(J2819+K2819)</f>
        <v>0</v>
      </c>
      <c r="O2819" s="11" t="str">
        <f aca="false">IF(J2819+L2819=0,"",J2819/(J2819+L2819))</f>
        <v/>
      </c>
      <c r="P2819" s="11" t="n">
        <f aca="false">2*J2819/(2*J2819+L2819+K2819)</f>
        <v>0</v>
      </c>
      <c r="Q2819" s="11" t="n">
        <f aca="false">L2819/(L2819+M2819)</f>
        <v>0</v>
      </c>
      <c r="R2819" s="6" t="n">
        <v>0</v>
      </c>
      <c r="S2819" s="11"/>
      <c r="T2819" s="11" t="n">
        <v>0</v>
      </c>
      <c r="U2819" s="11" t="n">
        <v>1</v>
      </c>
      <c r="V2819" s="11" t="n">
        <v>1</v>
      </c>
    </row>
    <row r="2820" customFormat="false" ht="15" hidden="false" customHeight="false" outlineLevel="0" collapsed="false">
      <c r="A2820" s="6" t="s">
        <v>54</v>
      </c>
      <c r="B2820" s="6" t="s">
        <v>43</v>
      </c>
      <c r="C2820" s="6" t="s">
        <v>49</v>
      </c>
      <c r="D2820" s="6" t="s">
        <v>117</v>
      </c>
      <c r="E2820" s="6" t="n">
        <v>16</v>
      </c>
      <c r="F2820" s="6" t="n">
        <v>7</v>
      </c>
      <c r="G2820" s="6" t="s">
        <v>70</v>
      </c>
      <c r="H2820" s="11" t="n">
        <v>0.001</v>
      </c>
      <c r="I2820" s="6" t="n">
        <v>20</v>
      </c>
      <c r="J2820" s="6" t="n">
        <v>0</v>
      </c>
      <c r="K2820" s="6" t="n">
        <v>20</v>
      </c>
      <c r="L2820" s="6" t="n">
        <v>0</v>
      </c>
      <c r="M2820" s="6" t="n">
        <v>20</v>
      </c>
      <c r="N2820" s="11" t="n">
        <f aca="false">J2820/(J2820+K2820)</f>
        <v>0</v>
      </c>
      <c r="O2820" s="11" t="str">
        <f aca="false">IF(J2820+L2820=0,"",J2820/(J2820+L2820))</f>
        <v/>
      </c>
      <c r="P2820" s="11" t="n">
        <f aca="false">2*J2820/(2*J2820+L2820+K2820)</f>
        <v>0</v>
      </c>
      <c r="Q2820" s="11" t="n">
        <f aca="false">L2820/(L2820+M2820)</f>
        <v>0</v>
      </c>
      <c r="R2820" s="6" t="n">
        <v>0</v>
      </c>
      <c r="S2820" s="11"/>
      <c r="T2820" s="11" t="n">
        <v>0</v>
      </c>
      <c r="U2820" s="11" t="n">
        <v>0.9</v>
      </c>
      <c r="V2820" s="11" t="n">
        <v>0.9</v>
      </c>
    </row>
    <row r="2821" customFormat="false" ht="15" hidden="false" customHeight="false" outlineLevel="0" collapsed="false">
      <c r="A2821" s="6" t="s">
        <v>54</v>
      </c>
      <c r="B2821" s="6" t="s">
        <v>43</v>
      </c>
      <c r="C2821" s="6" t="s">
        <v>49</v>
      </c>
      <c r="D2821" s="6" t="s">
        <v>117</v>
      </c>
      <c r="E2821" s="6" t="n">
        <v>16</v>
      </c>
      <c r="F2821" s="6" t="n">
        <v>7</v>
      </c>
      <c r="G2821" s="6" t="s">
        <v>71</v>
      </c>
      <c r="H2821" s="11" t="n">
        <v>0.001</v>
      </c>
      <c r="I2821" s="6" t="n">
        <v>20</v>
      </c>
      <c r="J2821" s="6" t="n">
        <v>0</v>
      </c>
      <c r="K2821" s="6" t="n">
        <v>20</v>
      </c>
      <c r="L2821" s="6" t="n">
        <v>0</v>
      </c>
      <c r="M2821" s="6" t="n">
        <v>20</v>
      </c>
      <c r="N2821" s="11" t="n">
        <f aca="false">J2821/(J2821+K2821)</f>
        <v>0</v>
      </c>
      <c r="O2821" s="11" t="str">
        <f aca="false">IF(J2821+L2821=0,"",J2821/(J2821+L2821))</f>
        <v/>
      </c>
      <c r="P2821" s="11" t="n">
        <f aca="false">2*J2821/(2*J2821+L2821+K2821)</f>
        <v>0</v>
      </c>
      <c r="Q2821" s="11" t="n">
        <f aca="false">L2821/(L2821+M2821)</f>
        <v>0</v>
      </c>
      <c r="R2821" s="6" t="n">
        <v>0</v>
      </c>
      <c r="S2821" s="11"/>
      <c r="T2821" s="11" t="n">
        <v>0</v>
      </c>
      <c r="U2821" s="11" t="n">
        <v>0.8</v>
      </c>
      <c r="V2821" s="11" t="n">
        <v>0.8</v>
      </c>
    </row>
    <row r="2822" customFormat="false" ht="15" hidden="false" customHeight="false" outlineLevel="0" collapsed="false">
      <c r="A2822" s="6" t="s">
        <v>54</v>
      </c>
      <c r="B2822" s="6" t="s">
        <v>43</v>
      </c>
      <c r="C2822" s="6" t="s">
        <v>49</v>
      </c>
      <c r="D2822" s="6" t="s">
        <v>117</v>
      </c>
      <c r="E2822" s="6" t="n">
        <v>16</v>
      </c>
      <c r="F2822" s="6" t="n">
        <v>7</v>
      </c>
      <c r="G2822" s="6" t="s">
        <v>72</v>
      </c>
      <c r="H2822" s="11" t="n">
        <v>0.001</v>
      </c>
      <c r="I2822" s="6" t="n">
        <v>20</v>
      </c>
      <c r="J2822" s="6" t="n">
        <v>0</v>
      </c>
      <c r="K2822" s="6" t="n">
        <v>20</v>
      </c>
      <c r="L2822" s="6" t="n">
        <v>0</v>
      </c>
      <c r="M2822" s="6" t="n">
        <v>20</v>
      </c>
      <c r="N2822" s="11" t="n">
        <f aca="false">J2822/(J2822+K2822)</f>
        <v>0</v>
      </c>
      <c r="O2822" s="11" t="str">
        <f aca="false">IF(J2822+L2822=0,"",J2822/(J2822+L2822))</f>
        <v/>
      </c>
      <c r="P2822" s="11" t="n">
        <f aca="false">2*J2822/(2*J2822+L2822+K2822)</f>
        <v>0</v>
      </c>
      <c r="Q2822" s="11" t="n">
        <f aca="false">L2822/(L2822+M2822)</f>
        <v>0</v>
      </c>
      <c r="R2822" s="6" t="n">
        <v>0</v>
      </c>
      <c r="S2822" s="11"/>
      <c r="T2822" s="11" t="n">
        <v>0</v>
      </c>
      <c r="U2822" s="11" t="n">
        <v>0.9</v>
      </c>
      <c r="V2822" s="11" t="n">
        <v>0.9</v>
      </c>
    </row>
    <row r="2823" customFormat="false" ht="15" hidden="false" customHeight="false" outlineLevel="0" collapsed="false">
      <c r="A2823" s="6" t="s">
        <v>54</v>
      </c>
      <c r="B2823" s="6" t="s">
        <v>43</v>
      </c>
      <c r="C2823" s="6" t="s">
        <v>49</v>
      </c>
      <c r="D2823" s="6" t="s">
        <v>117</v>
      </c>
      <c r="E2823" s="6" t="n">
        <v>16</v>
      </c>
      <c r="F2823" s="6" t="n">
        <v>7</v>
      </c>
      <c r="G2823" s="6" t="s">
        <v>73</v>
      </c>
      <c r="H2823" s="11" t="n">
        <v>0.001</v>
      </c>
      <c r="I2823" s="6" t="n">
        <v>20</v>
      </c>
      <c r="J2823" s="6" t="n">
        <v>0</v>
      </c>
      <c r="K2823" s="6" t="n">
        <v>20</v>
      </c>
      <c r="L2823" s="6" t="n">
        <v>0</v>
      </c>
      <c r="M2823" s="6" t="n">
        <v>20</v>
      </c>
      <c r="N2823" s="11" t="n">
        <f aca="false">J2823/(J2823+K2823)</f>
        <v>0</v>
      </c>
      <c r="O2823" s="11" t="str">
        <f aca="false">IF(J2823+L2823=0,"",J2823/(J2823+L2823))</f>
        <v/>
      </c>
      <c r="P2823" s="11" t="n">
        <f aca="false">2*J2823/(2*J2823+L2823+K2823)</f>
        <v>0</v>
      </c>
      <c r="Q2823" s="11" t="n">
        <f aca="false">L2823/(L2823+M2823)</f>
        <v>0</v>
      </c>
      <c r="R2823" s="6" t="n">
        <v>1</v>
      </c>
      <c r="S2823" s="11" t="n">
        <v>0</v>
      </c>
      <c r="T2823" s="11" t="n">
        <v>0</v>
      </c>
      <c r="U2823" s="11" t="n">
        <v>0.65</v>
      </c>
      <c r="V2823" s="11" t="n">
        <v>0.65</v>
      </c>
    </row>
    <row r="2824" customFormat="false" ht="15" hidden="false" customHeight="false" outlineLevel="0" collapsed="false">
      <c r="A2824" s="6" t="s">
        <v>54</v>
      </c>
      <c r="B2824" s="6" t="s">
        <v>43</v>
      </c>
      <c r="C2824" s="6" t="s">
        <v>49</v>
      </c>
      <c r="D2824" s="6" t="s">
        <v>117</v>
      </c>
      <c r="E2824" s="6" t="n">
        <v>16</v>
      </c>
      <c r="F2824" s="6" t="n">
        <v>7</v>
      </c>
      <c r="G2824" s="6" t="s">
        <v>74</v>
      </c>
      <c r="H2824" s="11" t="n">
        <v>0.001</v>
      </c>
      <c r="I2824" s="6" t="n">
        <v>20</v>
      </c>
      <c r="J2824" s="6" t="n">
        <v>0</v>
      </c>
      <c r="K2824" s="6" t="n">
        <v>20</v>
      </c>
      <c r="L2824" s="6" t="n">
        <v>0</v>
      </c>
      <c r="M2824" s="6" t="n">
        <v>20</v>
      </c>
      <c r="N2824" s="11" t="n">
        <f aca="false">J2824/(J2824+K2824)</f>
        <v>0</v>
      </c>
      <c r="O2824" s="11" t="str">
        <f aca="false">IF(J2824+L2824=0,"",J2824/(J2824+L2824))</f>
        <v/>
      </c>
      <c r="P2824" s="11" t="n">
        <f aca="false">2*J2824/(2*J2824+L2824+K2824)</f>
        <v>0</v>
      </c>
      <c r="Q2824" s="11" t="n">
        <f aca="false">L2824/(L2824+M2824)</f>
        <v>0</v>
      </c>
      <c r="R2824" s="6" t="n">
        <v>0</v>
      </c>
      <c r="S2824" s="11"/>
      <c r="T2824" s="11" t="n">
        <v>0</v>
      </c>
      <c r="U2824" s="11" t="n">
        <v>0.85</v>
      </c>
      <c r="V2824" s="11" t="n">
        <v>0.85</v>
      </c>
    </row>
    <row r="2825" customFormat="false" ht="15" hidden="false" customHeight="false" outlineLevel="0" collapsed="false">
      <c r="A2825" s="6" t="s">
        <v>54</v>
      </c>
      <c r="B2825" s="6" t="s">
        <v>43</v>
      </c>
      <c r="C2825" s="6" t="s">
        <v>49</v>
      </c>
      <c r="D2825" s="6" t="s">
        <v>117</v>
      </c>
      <c r="E2825" s="6" t="n">
        <v>16</v>
      </c>
      <c r="F2825" s="6" t="n">
        <v>7</v>
      </c>
      <c r="G2825" s="6" t="s">
        <v>75</v>
      </c>
      <c r="H2825" s="11" t="n">
        <v>0.001</v>
      </c>
      <c r="I2825" s="6" t="n">
        <v>20</v>
      </c>
      <c r="J2825" s="6" t="n">
        <v>0</v>
      </c>
      <c r="K2825" s="6" t="n">
        <v>20</v>
      </c>
      <c r="L2825" s="6" t="n">
        <v>0</v>
      </c>
      <c r="M2825" s="6" t="n">
        <v>20</v>
      </c>
      <c r="N2825" s="11" t="n">
        <f aca="false">J2825/(J2825+K2825)</f>
        <v>0</v>
      </c>
      <c r="O2825" s="11" t="str">
        <f aca="false">IF(J2825+L2825=0,"",J2825/(J2825+L2825))</f>
        <v/>
      </c>
      <c r="P2825" s="11" t="n">
        <f aca="false">2*J2825/(2*J2825+L2825+K2825)</f>
        <v>0</v>
      </c>
      <c r="Q2825" s="11" t="n">
        <f aca="false">L2825/(L2825+M2825)</f>
        <v>0</v>
      </c>
      <c r="R2825" s="6" t="n">
        <v>0</v>
      </c>
      <c r="S2825" s="11"/>
      <c r="T2825" s="11" t="n">
        <v>0</v>
      </c>
      <c r="U2825" s="11" t="n">
        <v>0.9</v>
      </c>
      <c r="V2825" s="11" t="n">
        <v>0.9</v>
      </c>
    </row>
    <row r="2826" customFormat="false" ht="15" hidden="false" customHeight="false" outlineLevel="0" collapsed="false">
      <c r="A2826" s="6" t="s">
        <v>54</v>
      </c>
      <c r="B2826" s="6" t="s">
        <v>43</v>
      </c>
      <c r="C2826" s="6" t="s">
        <v>49</v>
      </c>
      <c r="D2826" s="6" t="s">
        <v>117</v>
      </c>
      <c r="E2826" s="6" t="n">
        <v>16</v>
      </c>
      <c r="F2826" s="6" t="n">
        <v>7</v>
      </c>
      <c r="G2826" s="6" t="s">
        <v>76</v>
      </c>
      <c r="H2826" s="11" t="n">
        <v>0.001</v>
      </c>
      <c r="I2826" s="6" t="n">
        <v>20</v>
      </c>
      <c r="J2826" s="6" t="n">
        <v>0</v>
      </c>
      <c r="K2826" s="6" t="n">
        <v>20</v>
      </c>
      <c r="L2826" s="6" t="n">
        <v>0</v>
      </c>
      <c r="M2826" s="6" t="n">
        <v>20</v>
      </c>
      <c r="N2826" s="11" t="n">
        <f aca="false">J2826/(J2826+K2826)</f>
        <v>0</v>
      </c>
      <c r="O2826" s="11" t="str">
        <f aca="false">IF(J2826+L2826=0,"",J2826/(J2826+L2826))</f>
        <v/>
      </c>
      <c r="P2826" s="11" t="n">
        <f aca="false">2*J2826/(2*J2826+L2826+K2826)</f>
        <v>0</v>
      </c>
      <c r="Q2826" s="11" t="n">
        <f aca="false">L2826/(L2826+M2826)</f>
        <v>0</v>
      </c>
      <c r="R2826" s="6" t="n">
        <v>0</v>
      </c>
      <c r="S2826" s="11"/>
      <c r="T2826" s="11" t="n">
        <v>0</v>
      </c>
      <c r="U2826" s="11" t="n">
        <v>0.95</v>
      </c>
      <c r="V2826" s="11" t="n">
        <v>0.95</v>
      </c>
    </row>
    <row r="2827" customFormat="false" ht="15" hidden="false" customHeight="false" outlineLevel="0" collapsed="false">
      <c r="A2827" s="6" t="s">
        <v>54</v>
      </c>
      <c r="B2827" s="6" t="s">
        <v>43</v>
      </c>
      <c r="C2827" s="6" t="s">
        <v>49</v>
      </c>
      <c r="D2827" s="6" t="s">
        <v>117</v>
      </c>
      <c r="E2827" s="6" t="n">
        <v>16</v>
      </c>
      <c r="F2827" s="6" t="n">
        <v>7</v>
      </c>
      <c r="G2827" s="6" t="s">
        <v>77</v>
      </c>
      <c r="H2827" s="11" t="n">
        <v>0.001</v>
      </c>
      <c r="I2827" s="6" t="n">
        <v>20</v>
      </c>
      <c r="J2827" s="6" t="n">
        <v>0</v>
      </c>
      <c r="K2827" s="6" t="n">
        <v>20</v>
      </c>
      <c r="L2827" s="6" t="n">
        <v>0</v>
      </c>
      <c r="M2827" s="6" t="n">
        <v>20</v>
      </c>
      <c r="N2827" s="11" t="n">
        <f aca="false">J2827/(J2827+K2827)</f>
        <v>0</v>
      </c>
      <c r="O2827" s="11" t="str">
        <f aca="false">IF(J2827+L2827=0,"",J2827/(J2827+L2827))</f>
        <v/>
      </c>
      <c r="P2827" s="11" t="n">
        <f aca="false">2*J2827/(2*J2827+L2827+K2827)</f>
        <v>0</v>
      </c>
      <c r="Q2827" s="11" t="n">
        <f aca="false">L2827/(L2827+M2827)</f>
        <v>0</v>
      </c>
      <c r="R2827" s="6" t="n">
        <v>0</v>
      </c>
      <c r="S2827" s="11"/>
      <c r="T2827" s="11" t="n">
        <v>0</v>
      </c>
      <c r="U2827" s="11" t="n">
        <v>1</v>
      </c>
      <c r="V2827" s="11" t="n">
        <v>1</v>
      </c>
    </row>
    <row r="2828" customFormat="false" ht="15" hidden="false" customHeight="false" outlineLevel="0" collapsed="false">
      <c r="A2828" s="6" t="s">
        <v>54</v>
      </c>
      <c r="B2828" s="6" t="s">
        <v>43</v>
      </c>
      <c r="C2828" s="6" t="s">
        <v>49</v>
      </c>
      <c r="D2828" s="6" t="s">
        <v>117</v>
      </c>
      <c r="E2828" s="6" t="n">
        <v>16</v>
      </c>
      <c r="F2828" s="6" t="n">
        <v>7</v>
      </c>
      <c r="G2828" s="6" t="s">
        <v>78</v>
      </c>
      <c r="H2828" s="11" t="n">
        <v>0.001</v>
      </c>
      <c r="I2828" s="6" t="n">
        <v>200</v>
      </c>
      <c r="J2828" s="6" t="n">
        <v>0</v>
      </c>
      <c r="K2828" s="6" t="n">
        <v>200</v>
      </c>
      <c r="L2828" s="6" t="n">
        <v>0</v>
      </c>
      <c r="M2828" s="6" t="n">
        <v>200</v>
      </c>
      <c r="N2828" s="11" t="n">
        <f aca="false">J2828/(J2828+K2828)</f>
        <v>0</v>
      </c>
      <c r="O2828" s="11" t="str">
        <f aca="false">IF(J2828+L2828=0,"",J2828/(J2828+L2828))</f>
        <v/>
      </c>
      <c r="P2828" s="11" t="n">
        <f aca="false">2*J2828/(2*J2828+L2828+K2828)</f>
        <v>0</v>
      </c>
      <c r="Q2828" s="11" t="n">
        <f aca="false">L2828/(L2828+M2828)</f>
        <v>0</v>
      </c>
      <c r="R2828" s="6" t="n">
        <v>1</v>
      </c>
      <c r="S2828" s="11" t="n">
        <v>0</v>
      </c>
      <c r="T2828" s="11" t="n">
        <v>0</v>
      </c>
      <c r="U2828" s="11" t="n">
        <v>0.88</v>
      </c>
      <c r="V2828" s="11" t="n">
        <v>0.88</v>
      </c>
    </row>
    <row r="2829" customFormat="false" ht="15" hidden="false" customHeight="false" outlineLevel="0" collapsed="false">
      <c r="A2829" s="6" t="s">
        <v>54</v>
      </c>
      <c r="B2829" s="6" t="s">
        <v>43</v>
      </c>
      <c r="C2829" s="6" t="s">
        <v>49</v>
      </c>
      <c r="D2829" s="6" t="s">
        <v>117</v>
      </c>
      <c r="E2829" s="6" t="n">
        <v>16</v>
      </c>
      <c r="F2829" s="6" t="n">
        <v>8</v>
      </c>
      <c r="G2829" s="6" t="s">
        <v>68</v>
      </c>
      <c r="H2829" s="11" t="n">
        <v>0.001</v>
      </c>
      <c r="I2829" s="6" t="n">
        <v>20</v>
      </c>
      <c r="J2829" s="6" t="n">
        <v>0</v>
      </c>
      <c r="K2829" s="6" t="n">
        <v>20</v>
      </c>
      <c r="L2829" s="6" t="n">
        <v>0</v>
      </c>
      <c r="M2829" s="6" t="n">
        <v>20</v>
      </c>
      <c r="N2829" s="11" t="n">
        <f aca="false">J2829/(J2829+K2829)</f>
        <v>0</v>
      </c>
      <c r="O2829" s="11" t="str">
        <f aca="false">IF(J2829+L2829=0,"",J2829/(J2829+L2829))</f>
        <v/>
      </c>
      <c r="P2829" s="11" t="n">
        <f aca="false">2*J2829/(2*J2829+L2829+K2829)</f>
        <v>0</v>
      </c>
      <c r="Q2829" s="11" t="n">
        <f aca="false">L2829/(L2829+M2829)</f>
        <v>0</v>
      </c>
      <c r="R2829" s="6" t="n">
        <v>0</v>
      </c>
      <c r="S2829" s="11"/>
      <c r="T2829" s="11" t="n">
        <v>0</v>
      </c>
      <c r="U2829" s="11" t="n">
        <v>0.85</v>
      </c>
      <c r="V2829" s="11" t="n">
        <v>0.85</v>
      </c>
    </row>
    <row r="2830" customFormat="false" ht="15" hidden="false" customHeight="false" outlineLevel="0" collapsed="false">
      <c r="A2830" s="6" t="s">
        <v>54</v>
      </c>
      <c r="B2830" s="6" t="s">
        <v>43</v>
      </c>
      <c r="C2830" s="6" t="s">
        <v>49</v>
      </c>
      <c r="D2830" s="6" t="s">
        <v>117</v>
      </c>
      <c r="E2830" s="6" t="n">
        <v>16</v>
      </c>
      <c r="F2830" s="6" t="n">
        <v>8</v>
      </c>
      <c r="G2830" s="6" t="s">
        <v>69</v>
      </c>
      <c r="H2830" s="11" t="n">
        <v>0.001</v>
      </c>
      <c r="I2830" s="6" t="n">
        <v>20</v>
      </c>
      <c r="J2830" s="6" t="n">
        <v>0</v>
      </c>
      <c r="K2830" s="6" t="n">
        <v>20</v>
      </c>
      <c r="L2830" s="6" t="n">
        <v>0</v>
      </c>
      <c r="M2830" s="6" t="n">
        <v>20</v>
      </c>
      <c r="N2830" s="11" t="n">
        <f aca="false">J2830/(J2830+K2830)</f>
        <v>0</v>
      </c>
      <c r="O2830" s="11" t="str">
        <f aca="false">IF(J2830+L2830=0,"",J2830/(J2830+L2830))</f>
        <v/>
      </c>
      <c r="P2830" s="11" t="n">
        <f aca="false">2*J2830/(2*J2830+L2830+K2830)</f>
        <v>0</v>
      </c>
      <c r="Q2830" s="11" t="n">
        <f aca="false">L2830/(L2830+M2830)</f>
        <v>0</v>
      </c>
      <c r="R2830" s="6" t="n">
        <v>0</v>
      </c>
      <c r="S2830" s="11"/>
      <c r="T2830" s="11" t="n">
        <v>0</v>
      </c>
      <c r="U2830" s="11" t="n">
        <v>1</v>
      </c>
      <c r="V2830" s="11" t="n">
        <v>1</v>
      </c>
    </row>
    <row r="2831" customFormat="false" ht="15" hidden="false" customHeight="false" outlineLevel="0" collapsed="false">
      <c r="A2831" s="6" t="s">
        <v>54</v>
      </c>
      <c r="B2831" s="6" t="s">
        <v>43</v>
      </c>
      <c r="C2831" s="6" t="s">
        <v>49</v>
      </c>
      <c r="D2831" s="6" t="s">
        <v>117</v>
      </c>
      <c r="E2831" s="6" t="n">
        <v>16</v>
      </c>
      <c r="F2831" s="6" t="n">
        <v>8</v>
      </c>
      <c r="G2831" s="6" t="s">
        <v>70</v>
      </c>
      <c r="H2831" s="11" t="n">
        <v>0.001</v>
      </c>
      <c r="I2831" s="6" t="n">
        <v>20</v>
      </c>
      <c r="J2831" s="6" t="n">
        <v>0</v>
      </c>
      <c r="K2831" s="6" t="n">
        <v>20</v>
      </c>
      <c r="L2831" s="6" t="n">
        <v>0</v>
      </c>
      <c r="M2831" s="6" t="n">
        <v>20</v>
      </c>
      <c r="N2831" s="11" t="n">
        <f aca="false">J2831/(J2831+K2831)</f>
        <v>0</v>
      </c>
      <c r="O2831" s="11" t="str">
        <f aca="false">IF(J2831+L2831=0,"",J2831/(J2831+L2831))</f>
        <v/>
      </c>
      <c r="P2831" s="11" t="n">
        <f aca="false">2*J2831/(2*J2831+L2831+K2831)</f>
        <v>0</v>
      </c>
      <c r="Q2831" s="11" t="n">
        <f aca="false">L2831/(L2831+M2831)</f>
        <v>0</v>
      </c>
      <c r="R2831" s="6" t="n">
        <v>0</v>
      </c>
      <c r="S2831" s="11"/>
      <c r="T2831" s="11" t="n">
        <v>0</v>
      </c>
      <c r="U2831" s="11" t="n">
        <v>0.9</v>
      </c>
      <c r="V2831" s="11" t="n">
        <v>0.9</v>
      </c>
    </row>
    <row r="2832" customFormat="false" ht="15" hidden="false" customHeight="false" outlineLevel="0" collapsed="false">
      <c r="A2832" s="6" t="s">
        <v>54</v>
      </c>
      <c r="B2832" s="6" t="s">
        <v>43</v>
      </c>
      <c r="C2832" s="6" t="s">
        <v>49</v>
      </c>
      <c r="D2832" s="6" t="s">
        <v>117</v>
      </c>
      <c r="E2832" s="6" t="n">
        <v>16</v>
      </c>
      <c r="F2832" s="6" t="n">
        <v>8</v>
      </c>
      <c r="G2832" s="6" t="s">
        <v>71</v>
      </c>
      <c r="H2832" s="11" t="n">
        <v>0.001</v>
      </c>
      <c r="I2832" s="6" t="n">
        <v>20</v>
      </c>
      <c r="J2832" s="6" t="n">
        <v>0</v>
      </c>
      <c r="K2832" s="6" t="n">
        <v>20</v>
      </c>
      <c r="L2832" s="6" t="n">
        <v>0</v>
      </c>
      <c r="M2832" s="6" t="n">
        <v>20</v>
      </c>
      <c r="N2832" s="11" t="n">
        <f aca="false">J2832/(J2832+K2832)</f>
        <v>0</v>
      </c>
      <c r="O2832" s="11" t="str">
        <f aca="false">IF(J2832+L2832=0,"",J2832/(J2832+L2832))</f>
        <v/>
      </c>
      <c r="P2832" s="11" t="n">
        <f aca="false">2*J2832/(2*J2832+L2832+K2832)</f>
        <v>0</v>
      </c>
      <c r="Q2832" s="11" t="n">
        <f aca="false">L2832/(L2832+M2832)</f>
        <v>0</v>
      </c>
      <c r="R2832" s="6" t="n">
        <v>0</v>
      </c>
      <c r="S2832" s="11"/>
      <c r="T2832" s="11" t="n">
        <v>0</v>
      </c>
      <c r="U2832" s="11" t="n">
        <v>0.8</v>
      </c>
      <c r="V2832" s="11" t="n">
        <v>0.8</v>
      </c>
    </row>
    <row r="2833" customFormat="false" ht="15" hidden="false" customHeight="false" outlineLevel="0" collapsed="false">
      <c r="A2833" s="6" t="s">
        <v>54</v>
      </c>
      <c r="B2833" s="6" t="s">
        <v>43</v>
      </c>
      <c r="C2833" s="6" t="s">
        <v>49</v>
      </c>
      <c r="D2833" s="6" t="s">
        <v>117</v>
      </c>
      <c r="E2833" s="6" t="n">
        <v>16</v>
      </c>
      <c r="F2833" s="6" t="n">
        <v>8</v>
      </c>
      <c r="G2833" s="6" t="s">
        <v>72</v>
      </c>
      <c r="H2833" s="11" t="n">
        <v>0.001</v>
      </c>
      <c r="I2833" s="6" t="n">
        <v>20</v>
      </c>
      <c r="J2833" s="6" t="n">
        <v>0</v>
      </c>
      <c r="K2833" s="6" t="n">
        <v>20</v>
      </c>
      <c r="L2833" s="6" t="n">
        <v>0</v>
      </c>
      <c r="M2833" s="6" t="n">
        <v>20</v>
      </c>
      <c r="N2833" s="11" t="n">
        <f aca="false">J2833/(J2833+K2833)</f>
        <v>0</v>
      </c>
      <c r="O2833" s="11" t="str">
        <f aca="false">IF(J2833+L2833=0,"",J2833/(J2833+L2833))</f>
        <v/>
      </c>
      <c r="P2833" s="11" t="n">
        <f aca="false">2*J2833/(2*J2833+L2833+K2833)</f>
        <v>0</v>
      </c>
      <c r="Q2833" s="11" t="n">
        <f aca="false">L2833/(L2833+M2833)</f>
        <v>0</v>
      </c>
      <c r="R2833" s="6" t="n">
        <v>0</v>
      </c>
      <c r="S2833" s="11"/>
      <c r="T2833" s="11" t="n">
        <v>0</v>
      </c>
      <c r="U2833" s="11" t="n">
        <v>0.9</v>
      </c>
      <c r="V2833" s="11" t="n">
        <v>0.9</v>
      </c>
    </row>
    <row r="2834" customFormat="false" ht="15" hidden="false" customHeight="false" outlineLevel="0" collapsed="false">
      <c r="A2834" s="6" t="s">
        <v>54</v>
      </c>
      <c r="B2834" s="6" t="s">
        <v>43</v>
      </c>
      <c r="C2834" s="6" t="s">
        <v>49</v>
      </c>
      <c r="D2834" s="6" t="s">
        <v>117</v>
      </c>
      <c r="E2834" s="6" t="n">
        <v>16</v>
      </c>
      <c r="F2834" s="6" t="n">
        <v>8</v>
      </c>
      <c r="G2834" s="6" t="s">
        <v>73</v>
      </c>
      <c r="H2834" s="11" t="n">
        <v>0.001</v>
      </c>
      <c r="I2834" s="6" t="n">
        <v>20</v>
      </c>
      <c r="J2834" s="6" t="n">
        <v>0</v>
      </c>
      <c r="K2834" s="6" t="n">
        <v>20</v>
      </c>
      <c r="L2834" s="6" t="n">
        <v>0</v>
      </c>
      <c r="M2834" s="6" t="n">
        <v>20</v>
      </c>
      <c r="N2834" s="11" t="n">
        <f aca="false">J2834/(J2834+K2834)</f>
        <v>0</v>
      </c>
      <c r="O2834" s="11" t="str">
        <f aca="false">IF(J2834+L2834=0,"",J2834/(J2834+L2834))</f>
        <v/>
      </c>
      <c r="P2834" s="11" t="n">
        <f aca="false">2*J2834/(2*J2834+L2834+K2834)</f>
        <v>0</v>
      </c>
      <c r="Q2834" s="11" t="n">
        <f aca="false">L2834/(L2834+M2834)</f>
        <v>0</v>
      </c>
      <c r="R2834" s="6" t="n">
        <v>0</v>
      </c>
      <c r="S2834" s="11"/>
      <c r="T2834" s="11" t="n">
        <v>0</v>
      </c>
      <c r="U2834" s="11" t="n">
        <v>0.65</v>
      </c>
      <c r="V2834" s="11" t="n">
        <v>0.65</v>
      </c>
    </row>
    <row r="2835" customFormat="false" ht="15" hidden="false" customHeight="false" outlineLevel="0" collapsed="false">
      <c r="A2835" s="6" t="s">
        <v>54</v>
      </c>
      <c r="B2835" s="6" t="s">
        <v>43</v>
      </c>
      <c r="C2835" s="6" t="s">
        <v>49</v>
      </c>
      <c r="D2835" s="6" t="s">
        <v>117</v>
      </c>
      <c r="E2835" s="6" t="n">
        <v>16</v>
      </c>
      <c r="F2835" s="6" t="n">
        <v>8</v>
      </c>
      <c r="G2835" s="6" t="s">
        <v>74</v>
      </c>
      <c r="H2835" s="11" t="n">
        <v>0.001</v>
      </c>
      <c r="I2835" s="6" t="n">
        <v>20</v>
      </c>
      <c r="J2835" s="6" t="n">
        <v>0</v>
      </c>
      <c r="K2835" s="6" t="n">
        <v>20</v>
      </c>
      <c r="L2835" s="6" t="n">
        <v>0</v>
      </c>
      <c r="M2835" s="6" t="n">
        <v>20</v>
      </c>
      <c r="N2835" s="11" t="n">
        <f aca="false">J2835/(J2835+K2835)</f>
        <v>0</v>
      </c>
      <c r="O2835" s="11" t="str">
        <f aca="false">IF(J2835+L2835=0,"",J2835/(J2835+L2835))</f>
        <v/>
      </c>
      <c r="P2835" s="11" t="n">
        <f aca="false">2*J2835/(2*J2835+L2835+K2835)</f>
        <v>0</v>
      </c>
      <c r="Q2835" s="11" t="n">
        <f aca="false">L2835/(L2835+M2835)</f>
        <v>0</v>
      </c>
      <c r="R2835" s="6" t="n">
        <v>0</v>
      </c>
      <c r="S2835" s="11"/>
      <c r="T2835" s="11" t="n">
        <v>0</v>
      </c>
      <c r="U2835" s="11" t="n">
        <v>0.85</v>
      </c>
      <c r="V2835" s="11" t="n">
        <v>0.85</v>
      </c>
    </row>
    <row r="2836" customFormat="false" ht="15" hidden="false" customHeight="false" outlineLevel="0" collapsed="false">
      <c r="A2836" s="6" t="s">
        <v>54</v>
      </c>
      <c r="B2836" s="6" t="s">
        <v>43</v>
      </c>
      <c r="C2836" s="6" t="s">
        <v>49</v>
      </c>
      <c r="D2836" s="6" t="s">
        <v>117</v>
      </c>
      <c r="E2836" s="6" t="n">
        <v>16</v>
      </c>
      <c r="F2836" s="6" t="n">
        <v>8</v>
      </c>
      <c r="G2836" s="6" t="s">
        <v>75</v>
      </c>
      <c r="H2836" s="11" t="n">
        <v>0.001</v>
      </c>
      <c r="I2836" s="6" t="n">
        <v>20</v>
      </c>
      <c r="J2836" s="6" t="n">
        <v>0</v>
      </c>
      <c r="K2836" s="6" t="n">
        <v>20</v>
      </c>
      <c r="L2836" s="6" t="n">
        <v>0</v>
      </c>
      <c r="M2836" s="6" t="n">
        <v>20</v>
      </c>
      <c r="N2836" s="11" t="n">
        <f aca="false">J2836/(J2836+K2836)</f>
        <v>0</v>
      </c>
      <c r="O2836" s="11" t="str">
        <f aca="false">IF(J2836+L2836=0,"",J2836/(J2836+L2836))</f>
        <v/>
      </c>
      <c r="P2836" s="11" t="n">
        <f aca="false">2*J2836/(2*J2836+L2836+K2836)</f>
        <v>0</v>
      </c>
      <c r="Q2836" s="11" t="n">
        <f aca="false">L2836/(L2836+M2836)</f>
        <v>0</v>
      </c>
      <c r="R2836" s="6" t="n">
        <v>0</v>
      </c>
      <c r="S2836" s="11"/>
      <c r="T2836" s="11" t="n">
        <v>0</v>
      </c>
      <c r="U2836" s="11" t="n">
        <v>0.9</v>
      </c>
      <c r="V2836" s="11" t="n">
        <v>0.9</v>
      </c>
    </row>
    <row r="2837" customFormat="false" ht="15" hidden="false" customHeight="false" outlineLevel="0" collapsed="false">
      <c r="A2837" s="6" t="s">
        <v>54</v>
      </c>
      <c r="B2837" s="6" t="s">
        <v>43</v>
      </c>
      <c r="C2837" s="6" t="s">
        <v>49</v>
      </c>
      <c r="D2837" s="6" t="s">
        <v>117</v>
      </c>
      <c r="E2837" s="6" t="n">
        <v>16</v>
      </c>
      <c r="F2837" s="6" t="n">
        <v>8</v>
      </c>
      <c r="G2837" s="6" t="s">
        <v>76</v>
      </c>
      <c r="H2837" s="11" t="n">
        <v>0.001</v>
      </c>
      <c r="I2837" s="6" t="n">
        <v>20</v>
      </c>
      <c r="J2837" s="6" t="n">
        <v>0</v>
      </c>
      <c r="K2837" s="6" t="n">
        <v>20</v>
      </c>
      <c r="L2837" s="6" t="n">
        <v>0</v>
      </c>
      <c r="M2837" s="6" t="n">
        <v>20</v>
      </c>
      <c r="N2837" s="11" t="n">
        <f aca="false">J2837/(J2837+K2837)</f>
        <v>0</v>
      </c>
      <c r="O2837" s="11" t="str">
        <f aca="false">IF(J2837+L2837=0,"",J2837/(J2837+L2837))</f>
        <v/>
      </c>
      <c r="P2837" s="11" t="n">
        <f aca="false">2*J2837/(2*J2837+L2837+K2837)</f>
        <v>0</v>
      </c>
      <c r="Q2837" s="11" t="n">
        <f aca="false">L2837/(L2837+M2837)</f>
        <v>0</v>
      </c>
      <c r="R2837" s="6" t="n">
        <v>0</v>
      </c>
      <c r="S2837" s="11"/>
      <c r="T2837" s="11" t="n">
        <v>0</v>
      </c>
      <c r="U2837" s="11" t="n">
        <v>0.95</v>
      </c>
      <c r="V2837" s="11" t="n">
        <v>0.95</v>
      </c>
    </row>
    <row r="2838" customFormat="false" ht="15" hidden="false" customHeight="false" outlineLevel="0" collapsed="false">
      <c r="A2838" s="6" t="s">
        <v>54</v>
      </c>
      <c r="B2838" s="6" t="s">
        <v>43</v>
      </c>
      <c r="C2838" s="6" t="s">
        <v>49</v>
      </c>
      <c r="D2838" s="6" t="s">
        <v>117</v>
      </c>
      <c r="E2838" s="6" t="n">
        <v>16</v>
      </c>
      <c r="F2838" s="6" t="n">
        <v>8</v>
      </c>
      <c r="G2838" s="6" t="s">
        <v>77</v>
      </c>
      <c r="H2838" s="11" t="n">
        <v>0.001</v>
      </c>
      <c r="I2838" s="6" t="n">
        <v>20</v>
      </c>
      <c r="J2838" s="6" t="n">
        <v>0</v>
      </c>
      <c r="K2838" s="6" t="n">
        <v>20</v>
      </c>
      <c r="L2838" s="6" t="n">
        <v>0</v>
      </c>
      <c r="M2838" s="6" t="n">
        <v>20</v>
      </c>
      <c r="N2838" s="11" t="n">
        <f aca="false">J2838/(J2838+K2838)</f>
        <v>0</v>
      </c>
      <c r="O2838" s="11" t="str">
        <f aca="false">IF(J2838+L2838=0,"",J2838/(J2838+L2838))</f>
        <v/>
      </c>
      <c r="P2838" s="11" t="n">
        <f aca="false">2*J2838/(2*J2838+L2838+K2838)</f>
        <v>0</v>
      </c>
      <c r="Q2838" s="11" t="n">
        <f aca="false">L2838/(L2838+M2838)</f>
        <v>0</v>
      </c>
      <c r="R2838" s="6" t="n">
        <v>0</v>
      </c>
      <c r="S2838" s="11"/>
      <c r="T2838" s="11" t="n">
        <v>0</v>
      </c>
      <c r="U2838" s="11" t="n">
        <v>1</v>
      </c>
      <c r="V2838" s="11" t="n">
        <v>1</v>
      </c>
    </row>
    <row r="2839" customFormat="false" ht="15" hidden="false" customHeight="false" outlineLevel="0" collapsed="false">
      <c r="A2839" s="6" t="s">
        <v>54</v>
      </c>
      <c r="B2839" s="6" t="s">
        <v>43</v>
      </c>
      <c r="C2839" s="6" t="s">
        <v>49</v>
      </c>
      <c r="D2839" s="6" t="s">
        <v>117</v>
      </c>
      <c r="E2839" s="6" t="n">
        <v>16</v>
      </c>
      <c r="F2839" s="6" t="n">
        <v>8</v>
      </c>
      <c r="G2839" s="6" t="s">
        <v>78</v>
      </c>
      <c r="H2839" s="11" t="n">
        <v>0.001</v>
      </c>
      <c r="I2839" s="6" t="n">
        <v>200</v>
      </c>
      <c r="J2839" s="6" t="n">
        <v>0</v>
      </c>
      <c r="K2839" s="6" t="n">
        <v>200</v>
      </c>
      <c r="L2839" s="6" t="n">
        <v>0</v>
      </c>
      <c r="M2839" s="6" t="n">
        <v>200</v>
      </c>
      <c r="N2839" s="11" t="n">
        <f aca="false">J2839/(J2839+K2839)</f>
        <v>0</v>
      </c>
      <c r="O2839" s="11" t="str">
        <f aca="false">IF(J2839+L2839=0,"",J2839/(J2839+L2839))</f>
        <v/>
      </c>
      <c r="P2839" s="11" t="n">
        <f aca="false">2*J2839/(2*J2839+L2839+K2839)</f>
        <v>0</v>
      </c>
      <c r="Q2839" s="11" t="n">
        <f aca="false">L2839/(L2839+M2839)</f>
        <v>0</v>
      </c>
      <c r="R2839" s="6" t="n">
        <v>0</v>
      </c>
      <c r="S2839" s="11"/>
      <c r="T2839" s="11" t="n">
        <v>0</v>
      </c>
      <c r="U2839" s="11" t="n">
        <v>0.88</v>
      </c>
      <c r="V2839" s="11" t="n">
        <v>0.88</v>
      </c>
    </row>
    <row r="2840" customFormat="false" ht="15" hidden="false" customHeight="false" outlineLevel="0" collapsed="false">
      <c r="A2840" s="6" t="s">
        <v>54</v>
      </c>
      <c r="B2840" s="6" t="s">
        <v>43</v>
      </c>
      <c r="C2840" s="6" t="s">
        <v>49</v>
      </c>
      <c r="D2840" s="6" t="s">
        <v>117</v>
      </c>
      <c r="E2840" s="6" t="n">
        <v>16</v>
      </c>
      <c r="F2840" s="6" t="n">
        <v>9</v>
      </c>
      <c r="G2840" s="6" t="s">
        <v>68</v>
      </c>
      <c r="H2840" s="11" t="n">
        <v>0.001</v>
      </c>
      <c r="I2840" s="6" t="n">
        <v>20</v>
      </c>
      <c r="J2840" s="6" t="n">
        <v>0</v>
      </c>
      <c r="K2840" s="6" t="n">
        <v>20</v>
      </c>
      <c r="L2840" s="6" t="n">
        <v>0</v>
      </c>
      <c r="M2840" s="6" t="n">
        <v>20</v>
      </c>
      <c r="N2840" s="11" t="n">
        <f aca="false">J2840/(J2840+K2840)</f>
        <v>0</v>
      </c>
      <c r="O2840" s="11" t="str">
        <f aca="false">IF(J2840+L2840=0,"",J2840/(J2840+L2840))</f>
        <v/>
      </c>
      <c r="P2840" s="11" t="n">
        <f aca="false">2*J2840/(2*J2840+L2840+K2840)</f>
        <v>0</v>
      </c>
      <c r="Q2840" s="11" t="n">
        <f aca="false">L2840/(L2840+M2840)</f>
        <v>0</v>
      </c>
      <c r="R2840" s="6" t="n">
        <v>0</v>
      </c>
      <c r="S2840" s="11"/>
      <c r="T2840" s="11" t="n">
        <v>0</v>
      </c>
      <c r="U2840" s="11" t="n">
        <v>0.85</v>
      </c>
      <c r="V2840" s="11" t="n">
        <v>0.85</v>
      </c>
    </row>
    <row r="2841" customFormat="false" ht="15" hidden="false" customHeight="false" outlineLevel="0" collapsed="false">
      <c r="A2841" s="6" t="s">
        <v>54</v>
      </c>
      <c r="B2841" s="6" t="s">
        <v>43</v>
      </c>
      <c r="C2841" s="6" t="s">
        <v>49</v>
      </c>
      <c r="D2841" s="6" t="s">
        <v>117</v>
      </c>
      <c r="E2841" s="6" t="n">
        <v>16</v>
      </c>
      <c r="F2841" s="6" t="n">
        <v>9</v>
      </c>
      <c r="G2841" s="6" t="s">
        <v>69</v>
      </c>
      <c r="H2841" s="11" t="n">
        <v>0.001</v>
      </c>
      <c r="I2841" s="6" t="n">
        <v>20</v>
      </c>
      <c r="J2841" s="6" t="n">
        <v>0</v>
      </c>
      <c r="K2841" s="6" t="n">
        <v>20</v>
      </c>
      <c r="L2841" s="6" t="n">
        <v>0</v>
      </c>
      <c r="M2841" s="6" t="n">
        <v>20</v>
      </c>
      <c r="N2841" s="11" t="n">
        <f aca="false">J2841/(J2841+K2841)</f>
        <v>0</v>
      </c>
      <c r="O2841" s="11" t="str">
        <f aca="false">IF(J2841+L2841=0,"",J2841/(J2841+L2841))</f>
        <v/>
      </c>
      <c r="P2841" s="11" t="n">
        <f aca="false">2*J2841/(2*J2841+L2841+K2841)</f>
        <v>0</v>
      </c>
      <c r="Q2841" s="11" t="n">
        <f aca="false">L2841/(L2841+M2841)</f>
        <v>0</v>
      </c>
      <c r="R2841" s="6" t="n">
        <v>0</v>
      </c>
      <c r="S2841" s="11"/>
      <c r="T2841" s="11" t="n">
        <v>0</v>
      </c>
      <c r="U2841" s="11" t="n">
        <v>1</v>
      </c>
      <c r="V2841" s="11" t="n">
        <v>1</v>
      </c>
    </row>
    <row r="2842" customFormat="false" ht="15" hidden="false" customHeight="false" outlineLevel="0" collapsed="false">
      <c r="A2842" s="6" t="s">
        <v>54</v>
      </c>
      <c r="B2842" s="6" t="s">
        <v>43</v>
      </c>
      <c r="C2842" s="6" t="s">
        <v>49</v>
      </c>
      <c r="D2842" s="6" t="s">
        <v>117</v>
      </c>
      <c r="E2842" s="6" t="n">
        <v>16</v>
      </c>
      <c r="F2842" s="6" t="n">
        <v>9</v>
      </c>
      <c r="G2842" s="6" t="s">
        <v>70</v>
      </c>
      <c r="H2842" s="11" t="n">
        <v>0.001</v>
      </c>
      <c r="I2842" s="6" t="n">
        <v>20</v>
      </c>
      <c r="J2842" s="6" t="n">
        <v>0</v>
      </c>
      <c r="K2842" s="6" t="n">
        <v>20</v>
      </c>
      <c r="L2842" s="6" t="n">
        <v>0</v>
      </c>
      <c r="M2842" s="6" t="n">
        <v>20</v>
      </c>
      <c r="N2842" s="11" t="n">
        <f aca="false">J2842/(J2842+K2842)</f>
        <v>0</v>
      </c>
      <c r="O2842" s="11" t="str">
        <f aca="false">IF(J2842+L2842=0,"",J2842/(J2842+L2842))</f>
        <v/>
      </c>
      <c r="P2842" s="11" t="n">
        <f aca="false">2*J2842/(2*J2842+L2842+K2842)</f>
        <v>0</v>
      </c>
      <c r="Q2842" s="11" t="n">
        <f aca="false">L2842/(L2842+M2842)</f>
        <v>0</v>
      </c>
      <c r="R2842" s="6" t="n">
        <v>0</v>
      </c>
      <c r="S2842" s="11"/>
      <c r="T2842" s="11" t="n">
        <v>0</v>
      </c>
      <c r="U2842" s="11" t="n">
        <v>0.9</v>
      </c>
      <c r="V2842" s="11" t="n">
        <v>0.9</v>
      </c>
    </row>
    <row r="2843" customFormat="false" ht="15" hidden="false" customHeight="false" outlineLevel="0" collapsed="false">
      <c r="A2843" s="6" t="s">
        <v>54</v>
      </c>
      <c r="B2843" s="6" t="s">
        <v>43</v>
      </c>
      <c r="C2843" s="6" t="s">
        <v>49</v>
      </c>
      <c r="D2843" s="6" t="s">
        <v>117</v>
      </c>
      <c r="E2843" s="6" t="n">
        <v>16</v>
      </c>
      <c r="F2843" s="6" t="n">
        <v>9</v>
      </c>
      <c r="G2843" s="6" t="s">
        <v>71</v>
      </c>
      <c r="H2843" s="11" t="n">
        <v>0.001</v>
      </c>
      <c r="I2843" s="6" t="n">
        <v>20</v>
      </c>
      <c r="J2843" s="6" t="n">
        <v>0</v>
      </c>
      <c r="K2843" s="6" t="n">
        <v>20</v>
      </c>
      <c r="L2843" s="6" t="n">
        <v>0</v>
      </c>
      <c r="M2843" s="6" t="n">
        <v>20</v>
      </c>
      <c r="N2843" s="11" t="n">
        <f aca="false">J2843/(J2843+K2843)</f>
        <v>0</v>
      </c>
      <c r="O2843" s="11" t="str">
        <f aca="false">IF(J2843+L2843=0,"",J2843/(J2843+L2843))</f>
        <v/>
      </c>
      <c r="P2843" s="11" t="n">
        <f aca="false">2*J2843/(2*J2843+L2843+K2843)</f>
        <v>0</v>
      </c>
      <c r="Q2843" s="11" t="n">
        <f aca="false">L2843/(L2843+M2843)</f>
        <v>0</v>
      </c>
      <c r="R2843" s="6" t="n">
        <v>0</v>
      </c>
      <c r="S2843" s="11"/>
      <c r="T2843" s="11" t="n">
        <v>0</v>
      </c>
      <c r="U2843" s="11" t="n">
        <v>0.8</v>
      </c>
      <c r="V2843" s="11" t="n">
        <v>0.8</v>
      </c>
    </row>
    <row r="2844" customFormat="false" ht="15" hidden="false" customHeight="false" outlineLevel="0" collapsed="false">
      <c r="A2844" s="6" t="s">
        <v>54</v>
      </c>
      <c r="B2844" s="6" t="s">
        <v>43</v>
      </c>
      <c r="C2844" s="6" t="s">
        <v>49</v>
      </c>
      <c r="D2844" s="6" t="s">
        <v>117</v>
      </c>
      <c r="E2844" s="6" t="n">
        <v>16</v>
      </c>
      <c r="F2844" s="6" t="n">
        <v>9</v>
      </c>
      <c r="G2844" s="6" t="s">
        <v>72</v>
      </c>
      <c r="H2844" s="11" t="n">
        <v>0.001</v>
      </c>
      <c r="I2844" s="6" t="n">
        <v>20</v>
      </c>
      <c r="J2844" s="6" t="n">
        <v>0</v>
      </c>
      <c r="K2844" s="6" t="n">
        <v>20</v>
      </c>
      <c r="L2844" s="6" t="n">
        <v>0</v>
      </c>
      <c r="M2844" s="6" t="n">
        <v>20</v>
      </c>
      <c r="N2844" s="11" t="n">
        <f aca="false">J2844/(J2844+K2844)</f>
        <v>0</v>
      </c>
      <c r="O2844" s="11" t="str">
        <f aca="false">IF(J2844+L2844=0,"",J2844/(J2844+L2844))</f>
        <v/>
      </c>
      <c r="P2844" s="11" t="n">
        <f aca="false">2*J2844/(2*J2844+L2844+K2844)</f>
        <v>0</v>
      </c>
      <c r="Q2844" s="11" t="n">
        <f aca="false">L2844/(L2844+M2844)</f>
        <v>0</v>
      </c>
      <c r="R2844" s="6" t="n">
        <v>0</v>
      </c>
      <c r="S2844" s="11"/>
      <c r="T2844" s="11" t="n">
        <v>0</v>
      </c>
      <c r="U2844" s="11" t="n">
        <v>0.9</v>
      </c>
      <c r="V2844" s="11" t="n">
        <v>0.9</v>
      </c>
    </row>
    <row r="2845" customFormat="false" ht="15" hidden="false" customHeight="false" outlineLevel="0" collapsed="false">
      <c r="A2845" s="6" t="s">
        <v>54</v>
      </c>
      <c r="B2845" s="6" t="s">
        <v>43</v>
      </c>
      <c r="C2845" s="6" t="s">
        <v>49</v>
      </c>
      <c r="D2845" s="6" t="s">
        <v>117</v>
      </c>
      <c r="E2845" s="6" t="n">
        <v>16</v>
      </c>
      <c r="F2845" s="6" t="n">
        <v>9</v>
      </c>
      <c r="G2845" s="6" t="s">
        <v>73</v>
      </c>
      <c r="H2845" s="11" t="n">
        <v>0.001</v>
      </c>
      <c r="I2845" s="6" t="n">
        <v>20</v>
      </c>
      <c r="J2845" s="6" t="n">
        <v>0</v>
      </c>
      <c r="K2845" s="6" t="n">
        <v>20</v>
      </c>
      <c r="L2845" s="6" t="n">
        <v>0</v>
      </c>
      <c r="M2845" s="6" t="n">
        <v>20</v>
      </c>
      <c r="N2845" s="11" t="n">
        <f aca="false">J2845/(J2845+K2845)</f>
        <v>0</v>
      </c>
      <c r="O2845" s="11" t="str">
        <f aca="false">IF(J2845+L2845=0,"",J2845/(J2845+L2845))</f>
        <v/>
      </c>
      <c r="P2845" s="11" t="n">
        <f aca="false">2*J2845/(2*J2845+L2845+K2845)</f>
        <v>0</v>
      </c>
      <c r="Q2845" s="11" t="n">
        <f aca="false">L2845/(L2845+M2845)</f>
        <v>0</v>
      </c>
      <c r="R2845" s="6" t="n">
        <v>0</v>
      </c>
      <c r="S2845" s="11"/>
      <c r="T2845" s="11" t="n">
        <v>0</v>
      </c>
      <c r="U2845" s="11" t="n">
        <v>0.65</v>
      </c>
      <c r="V2845" s="11" t="n">
        <v>0.65</v>
      </c>
    </row>
    <row r="2846" customFormat="false" ht="15" hidden="false" customHeight="false" outlineLevel="0" collapsed="false">
      <c r="A2846" s="6" t="s">
        <v>54</v>
      </c>
      <c r="B2846" s="6" t="s">
        <v>43</v>
      </c>
      <c r="C2846" s="6" t="s">
        <v>49</v>
      </c>
      <c r="D2846" s="6" t="s">
        <v>117</v>
      </c>
      <c r="E2846" s="6" t="n">
        <v>16</v>
      </c>
      <c r="F2846" s="6" t="n">
        <v>9</v>
      </c>
      <c r="G2846" s="6" t="s">
        <v>74</v>
      </c>
      <c r="H2846" s="11" t="n">
        <v>0.001</v>
      </c>
      <c r="I2846" s="6" t="n">
        <v>20</v>
      </c>
      <c r="J2846" s="6" t="n">
        <v>0</v>
      </c>
      <c r="K2846" s="6" t="n">
        <v>20</v>
      </c>
      <c r="L2846" s="6" t="n">
        <v>0</v>
      </c>
      <c r="M2846" s="6" t="n">
        <v>20</v>
      </c>
      <c r="N2846" s="11" t="n">
        <f aca="false">J2846/(J2846+K2846)</f>
        <v>0</v>
      </c>
      <c r="O2846" s="11" t="str">
        <f aca="false">IF(J2846+L2846=0,"",J2846/(J2846+L2846))</f>
        <v/>
      </c>
      <c r="P2846" s="11" t="n">
        <f aca="false">2*J2846/(2*J2846+L2846+K2846)</f>
        <v>0</v>
      </c>
      <c r="Q2846" s="11" t="n">
        <f aca="false">L2846/(L2846+M2846)</f>
        <v>0</v>
      </c>
      <c r="R2846" s="6" t="n">
        <v>0</v>
      </c>
      <c r="S2846" s="11"/>
      <c r="T2846" s="11" t="n">
        <v>0</v>
      </c>
      <c r="U2846" s="11" t="n">
        <v>0.85</v>
      </c>
      <c r="V2846" s="11" t="n">
        <v>0.85</v>
      </c>
    </row>
    <row r="2847" customFormat="false" ht="15" hidden="false" customHeight="false" outlineLevel="0" collapsed="false">
      <c r="A2847" s="6" t="s">
        <v>54</v>
      </c>
      <c r="B2847" s="6" t="s">
        <v>43</v>
      </c>
      <c r="C2847" s="6" t="s">
        <v>49</v>
      </c>
      <c r="D2847" s="6" t="s">
        <v>117</v>
      </c>
      <c r="E2847" s="6" t="n">
        <v>16</v>
      </c>
      <c r="F2847" s="6" t="n">
        <v>9</v>
      </c>
      <c r="G2847" s="6" t="s">
        <v>75</v>
      </c>
      <c r="H2847" s="11" t="n">
        <v>0.001</v>
      </c>
      <c r="I2847" s="6" t="n">
        <v>20</v>
      </c>
      <c r="J2847" s="6" t="n">
        <v>0</v>
      </c>
      <c r="K2847" s="6" t="n">
        <v>20</v>
      </c>
      <c r="L2847" s="6" t="n">
        <v>0</v>
      </c>
      <c r="M2847" s="6" t="n">
        <v>20</v>
      </c>
      <c r="N2847" s="11" t="n">
        <f aca="false">J2847/(J2847+K2847)</f>
        <v>0</v>
      </c>
      <c r="O2847" s="11" t="str">
        <f aca="false">IF(J2847+L2847=0,"",J2847/(J2847+L2847))</f>
        <v/>
      </c>
      <c r="P2847" s="11" t="n">
        <f aca="false">2*J2847/(2*J2847+L2847+K2847)</f>
        <v>0</v>
      </c>
      <c r="Q2847" s="11" t="n">
        <f aca="false">L2847/(L2847+M2847)</f>
        <v>0</v>
      </c>
      <c r="R2847" s="6" t="n">
        <v>0</v>
      </c>
      <c r="S2847" s="11"/>
      <c r="T2847" s="11" t="n">
        <v>0</v>
      </c>
      <c r="U2847" s="11" t="n">
        <v>0.9</v>
      </c>
      <c r="V2847" s="11" t="n">
        <v>0.9</v>
      </c>
    </row>
    <row r="2848" customFormat="false" ht="15" hidden="false" customHeight="false" outlineLevel="0" collapsed="false">
      <c r="A2848" s="6" t="s">
        <v>54</v>
      </c>
      <c r="B2848" s="6" t="s">
        <v>43</v>
      </c>
      <c r="C2848" s="6" t="s">
        <v>49</v>
      </c>
      <c r="D2848" s="6" t="s">
        <v>117</v>
      </c>
      <c r="E2848" s="6" t="n">
        <v>16</v>
      </c>
      <c r="F2848" s="6" t="n">
        <v>9</v>
      </c>
      <c r="G2848" s="6" t="s">
        <v>76</v>
      </c>
      <c r="H2848" s="11" t="n">
        <v>0.001</v>
      </c>
      <c r="I2848" s="6" t="n">
        <v>20</v>
      </c>
      <c r="J2848" s="6" t="n">
        <v>0</v>
      </c>
      <c r="K2848" s="6" t="n">
        <v>20</v>
      </c>
      <c r="L2848" s="6" t="n">
        <v>0</v>
      </c>
      <c r="M2848" s="6" t="n">
        <v>20</v>
      </c>
      <c r="N2848" s="11" t="n">
        <f aca="false">J2848/(J2848+K2848)</f>
        <v>0</v>
      </c>
      <c r="O2848" s="11" t="str">
        <f aca="false">IF(J2848+L2848=0,"",J2848/(J2848+L2848))</f>
        <v/>
      </c>
      <c r="P2848" s="11" t="n">
        <f aca="false">2*J2848/(2*J2848+L2848+K2848)</f>
        <v>0</v>
      </c>
      <c r="Q2848" s="11" t="n">
        <f aca="false">L2848/(L2848+M2848)</f>
        <v>0</v>
      </c>
      <c r="R2848" s="6" t="n">
        <v>0</v>
      </c>
      <c r="S2848" s="11"/>
      <c r="T2848" s="11" t="n">
        <v>0</v>
      </c>
      <c r="U2848" s="11" t="n">
        <v>0.95</v>
      </c>
      <c r="V2848" s="11" t="n">
        <v>0.95</v>
      </c>
    </row>
    <row r="2849" customFormat="false" ht="15" hidden="false" customHeight="false" outlineLevel="0" collapsed="false">
      <c r="A2849" s="6" t="s">
        <v>54</v>
      </c>
      <c r="B2849" s="6" t="s">
        <v>43</v>
      </c>
      <c r="C2849" s="6" t="s">
        <v>49</v>
      </c>
      <c r="D2849" s="6" t="s">
        <v>117</v>
      </c>
      <c r="E2849" s="6" t="n">
        <v>16</v>
      </c>
      <c r="F2849" s="6" t="n">
        <v>9</v>
      </c>
      <c r="G2849" s="6" t="s">
        <v>77</v>
      </c>
      <c r="H2849" s="11" t="n">
        <v>0.001</v>
      </c>
      <c r="I2849" s="6" t="n">
        <v>20</v>
      </c>
      <c r="J2849" s="6" t="n">
        <v>0</v>
      </c>
      <c r="K2849" s="6" t="n">
        <v>20</v>
      </c>
      <c r="L2849" s="6" t="n">
        <v>0</v>
      </c>
      <c r="M2849" s="6" t="n">
        <v>20</v>
      </c>
      <c r="N2849" s="11" t="n">
        <f aca="false">J2849/(J2849+K2849)</f>
        <v>0</v>
      </c>
      <c r="O2849" s="11" t="str">
        <f aca="false">IF(J2849+L2849=0,"",J2849/(J2849+L2849))</f>
        <v/>
      </c>
      <c r="P2849" s="11" t="n">
        <f aca="false">2*J2849/(2*J2849+L2849+K2849)</f>
        <v>0</v>
      </c>
      <c r="Q2849" s="11" t="n">
        <f aca="false">L2849/(L2849+M2849)</f>
        <v>0</v>
      </c>
      <c r="R2849" s="6" t="n">
        <v>0</v>
      </c>
      <c r="S2849" s="11"/>
      <c r="T2849" s="11" t="n">
        <v>0</v>
      </c>
      <c r="U2849" s="11" t="n">
        <v>1</v>
      </c>
      <c r="V2849" s="11" t="n">
        <v>1</v>
      </c>
    </row>
    <row r="2850" customFormat="false" ht="15" hidden="false" customHeight="false" outlineLevel="0" collapsed="false">
      <c r="A2850" s="6" t="s">
        <v>54</v>
      </c>
      <c r="B2850" s="6" t="s">
        <v>43</v>
      </c>
      <c r="C2850" s="6" t="s">
        <v>49</v>
      </c>
      <c r="D2850" s="6" t="s">
        <v>117</v>
      </c>
      <c r="E2850" s="6" t="n">
        <v>16</v>
      </c>
      <c r="F2850" s="6" t="n">
        <v>9</v>
      </c>
      <c r="G2850" s="6" t="s">
        <v>78</v>
      </c>
      <c r="H2850" s="11" t="n">
        <v>0.001</v>
      </c>
      <c r="I2850" s="6" t="n">
        <v>200</v>
      </c>
      <c r="J2850" s="6" t="n">
        <v>0</v>
      </c>
      <c r="K2850" s="6" t="n">
        <v>200</v>
      </c>
      <c r="L2850" s="6" t="n">
        <v>0</v>
      </c>
      <c r="M2850" s="6" t="n">
        <v>200</v>
      </c>
      <c r="N2850" s="11" t="n">
        <f aca="false">J2850/(J2850+K2850)</f>
        <v>0</v>
      </c>
      <c r="O2850" s="11" t="str">
        <f aca="false">IF(J2850+L2850=0,"",J2850/(J2850+L2850))</f>
        <v/>
      </c>
      <c r="P2850" s="11" t="n">
        <f aca="false">2*J2850/(2*J2850+L2850+K2850)</f>
        <v>0</v>
      </c>
      <c r="Q2850" s="11" t="n">
        <f aca="false">L2850/(L2850+M2850)</f>
        <v>0</v>
      </c>
      <c r="R2850" s="6" t="n">
        <v>0</v>
      </c>
      <c r="S2850" s="11"/>
      <c r="T2850" s="11" t="n">
        <v>0</v>
      </c>
      <c r="U2850" s="11" t="n">
        <v>0.88</v>
      </c>
      <c r="V2850" s="11" t="n">
        <v>0.88</v>
      </c>
    </row>
    <row r="2851" customFormat="false" ht="15" hidden="false" customHeight="false" outlineLevel="0" collapsed="false">
      <c r="A2851" s="6" t="s">
        <v>54</v>
      </c>
      <c r="B2851" s="6" t="s">
        <v>43</v>
      </c>
      <c r="C2851" s="6" t="s">
        <v>49</v>
      </c>
      <c r="D2851" s="6" t="s">
        <v>117</v>
      </c>
      <c r="E2851" s="6" t="n">
        <v>16</v>
      </c>
      <c r="F2851" s="6" t="n">
        <v>10</v>
      </c>
      <c r="G2851" s="6" t="s">
        <v>68</v>
      </c>
      <c r="H2851" s="11" t="n">
        <v>0.001</v>
      </c>
      <c r="I2851" s="6" t="n">
        <v>20</v>
      </c>
      <c r="J2851" s="6" t="n">
        <v>0</v>
      </c>
      <c r="K2851" s="6" t="n">
        <v>20</v>
      </c>
      <c r="L2851" s="6" t="n">
        <v>0</v>
      </c>
      <c r="M2851" s="6" t="n">
        <v>20</v>
      </c>
      <c r="N2851" s="11" t="n">
        <f aca="false">J2851/(J2851+K2851)</f>
        <v>0</v>
      </c>
      <c r="O2851" s="11" t="str">
        <f aca="false">IF(J2851+L2851=0,"",J2851/(J2851+L2851))</f>
        <v/>
      </c>
      <c r="P2851" s="11" t="n">
        <f aca="false">2*J2851/(2*J2851+L2851+K2851)</f>
        <v>0</v>
      </c>
      <c r="Q2851" s="11" t="n">
        <f aca="false">L2851/(L2851+M2851)</f>
        <v>0</v>
      </c>
      <c r="R2851" s="6" t="n">
        <v>0</v>
      </c>
      <c r="S2851" s="11"/>
      <c r="T2851" s="11" t="n">
        <v>0</v>
      </c>
      <c r="U2851" s="11" t="n">
        <v>0.85</v>
      </c>
      <c r="V2851" s="11" t="n">
        <v>0.85</v>
      </c>
    </row>
    <row r="2852" customFormat="false" ht="15" hidden="false" customHeight="false" outlineLevel="0" collapsed="false">
      <c r="A2852" s="6" t="s">
        <v>54</v>
      </c>
      <c r="B2852" s="6" t="s">
        <v>43</v>
      </c>
      <c r="C2852" s="6" t="s">
        <v>49</v>
      </c>
      <c r="D2852" s="6" t="s">
        <v>117</v>
      </c>
      <c r="E2852" s="6" t="n">
        <v>16</v>
      </c>
      <c r="F2852" s="6" t="n">
        <v>10</v>
      </c>
      <c r="G2852" s="6" t="s">
        <v>69</v>
      </c>
      <c r="H2852" s="11" t="n">
        <v>0.001</v>
      </c>
      <c r="I2852" s="6" t="n">
        <v>20</v>
      </c>
      <c r="J2852" s="6" t="n">
        <v>0</v>
      </c>
      <c r="K2852" s="6" t="n">
        <v>20</v>
      </c>
      <c r="L2852" s="6" t="n">
        <v>0</v>
      </c>
      <c r="M2852" s="6" t="n">
        <v>20</v>
      </c>
      <c r="N2852" s="11" t="n">
        <f aca="false">J2852/(J2852+K2852)</f>
        <v>0</v>
      </c>
      <c r="O2852" s="11" t="str">
        <f aca="false">IF(J2852+L2852=0,"",J2852/(J2852+L2852))</f>
        <v/>
      </c>
      <c r="P2852" s="11" t="n">
        <f aca="false">2*J2852/(2*J2852+L2852+K2852)</f>
        <v>0</v>
      </c>
      <c r="Q2852" s="11" t="n">
        <f aca="false">L2852/(L2852+M2852)</f>
        <v>0</v>
      </c>
      <c r="R2852" s="6" t="n">
        <v>0</v>
      </c>
      <c r="S2852" s="11"/>
      <c r="T2852" s="11" t="n">
        <v>0</v>
      </c>
      <c r="U2852" s="11" t="n">
        <v>1</v>
      </c>
      <c r="V2852" s="11" t="n">
        <v>1</v>
      </c>
    </row>
    <row r="2853" customFormat="false" ht="15" hidden="false" customHeight="false" outlineLevel="0" collapsed="false">
      <c r="A2853" s="6" t="s">
        <v>54</v>
      </c>
      <c r="B2853" s="6" t="s">
        <v>43</v>
      </c>
      <c r="C2853" s="6" t="s">
        <v>49</v>
      </c>
      <c r="D2853" s="6" t="s">
        <v>117</v>
      </c>
      <c r="E2853" s="6" t="n">
        <v>16</v>
      </c>
      <c r="F2853" s="6" t="n">
        <v>10</v>
      </c>
      <c r="G2853" s="6" t="s">
        <v>70</v>
      </c>
      <c r="H2853" s="11" t="n">
        <v>0.001</v>
      </c>
      <c r="I2853" s="6" t="n">
        <v>20</v>
      </c>
      <c r="J2853" s="6" t="n">
        <v>0</v>
      </c>
      <c r="K2853" s="6" t="n">
        <v>20</v>
      </c>
      <c r="L2853" s="6" t="n">
        <v>0</v>
      </c>
      <c r="M2853" s="6" t="n">
        <v>20</v>
      </c>
      <c r="N2853" s="11" t="n">
        <f aca="false">J2853/(J2853+K2853)</f>
        <v>0</v>
      </c>
      <c r="O2853" s="11" t="str">
        <f aca="false">IF(J2853+L2853=0,"",J2853/(J2853+L2853))</f>
        <v/>
      </c>
      <c r="P2853" s="11" t="n">
        <f aca="false">2*J2853/(2*J2853+L2853+K2853)</f>
        <v>0</v>
      </c>
      <c r="Q2853" s="11" t="n">
        <f aca="false">L2853/(L2853+M2853)</f>
        <v>0</v>
      </c>
      <c r="R2853" s="6" t="n">
        <v>0</v>
      </c>
      <c r="S2853" s="11"/>
      <c r="T2853" s="11" t="n">
        <v>0</v>
      </c>
      <c r="U2853" s="11" t="n">
        <v>0.9</v>
      </c>
      <c r="V2853" s="11" t="n">
        <v>0.9</v>
      </c>
    </row>
    <row r="2854" customFormat="false" ht="15" hidden="false" customHeight="false" outlineLevel="0" collapsed="false">
      <c r="A2854" s="6" t="s">
        <v>54</v>
      </c>
      <c r="B2854" s="6" t="s">
        <v>43</v>
      </c>
      <c r="C2854" s="6" t="s">
        <v>49</v>
      </c>
      <c r="D2854" s="6" t="s">
        <v>117</v>
      </c>
      <c r="E2854" s="6" t="n">
        <v>16</v>
      </c>
      <c r="F2854" s="6" t="n">
        <v>10</v>
      </c>
      <c r="G2854" s="6" t="s">
        <v>71</v>
      </c>
      <c r="H2854" s="11" t="n">
        <v>0.001</v>
      </c>
      <c r="I2854" s="6" t="n">
        <v>20</v>
      </c>
      <c r="J2854" s="6" t="n">
        <v>0</v>
      </c>
      <c r="K2854" s="6" t="n">
        <v>20</v>
      </c>
      <c r="L2854" s="6" t="n">
        <v>0</v>
      </c>
      <c r="M2854" s="6" t="n">
        <v>20</v>
      </c>
      <c r="N2854" s="11" t="n">
        <f aca="false">J2854/(J2854+K2854)</f>
        <v>0</v>
      </c>
      <c r="O2854" s="11" t="str">
        <f aca="false">IF(J2854+L2854=0,"",J2854/(J2854+L2854))</f>
        <v/>
      </c>
      <c r="P2854" s="11" t="n">
        <f aca="false">2*J2854/(2*J2854+L2854+K2854)</f>
        <v>0</v>
      </c>
      <c r="Q2854" s="11" t="n">
        <f aca="false">L2854/(L2854+M2854)</f>
        <v>0</v>
      </c>
      <c r="R2854" s="6" t="n">
        <v>0</v>
      </c>
      <c r="S2854" s="11"/>
      <c r="T2854" s="11" t="n">
        <v>0</v>
      </c>
      <c r="U2854" s="11" t="n">
        <v>0.8</v>
      </c>
      <c r="V2854" s="11" t="n">
        <v>0.8</v>
      </c>
    </row>
    <row r="2855" customFormat="false" ht="15" hidden="false" customHeight="false" outlineLevel="0" collapsed="false">
      <c r="A2855" s="6" t="s">
        <v>54</v>
      </c>
      <c r="B2855" s="6" t="s">
        <v>43</v>
      </c>
      <c r="C2855" s="6" t="s">
        <v>49</v>
      </c>
      <c r="D2855" s="6" t="s">
        <v>117</v>
      </c>
      <c r="E2855" s="6" t="n">
        <v>16</v>
      </c>
      <c r="F2855" s="6" t="n">
        <v>10</v>
      </c>
      <c r="G2855" s="6" t="s">
        <v>72</v>
      </c>
      <c r="H2855" s="11" t="n">
        <v>0.001</v>
      </c>
      <c r="I2855" s="6" t="n">
        <v>20</v>
      </c>
      <c r="J2855" s="6" t="n">
        <v>0</v>
      </c>
      <c r="K2855" s="6" t="n">
        <v>20</v>
      </c>
      <c r="L2855" s="6" t="n">
        <v>0</v>
      </c>
      <c r="M2855" s="6" t="n">
        <v>20</v>
      </c>
      <c r="N2855" s="11" t="n">
        <f aca="false">J2855/(J2855+K2855)</f>
        <v>0</v>
      </c>
      <c r="O2855" s="11" t="str">
        <f aca="false">IF(J2855+L2855=0,"",J2855/(J2855+L2855))</f>
        <v/>
      </c>
      <c r="P2855" s="11" t="n">
        <f aca="false">2*J2855/(2*J2855+L2855+K2855)</f>
        <v>0</v>
      </c>
      <c r="Q2855" s="11" t="n">
        <f aca="false">L2855/(L2855+M2855)</f>
        <v>0</v>
      </c>
      <c r="R2855" s="6" t="n">
        <v>0</v>
      </c>
      <c r="S2855" s="11"/>
      <c r="T2855" s="11" t="n">
        <v>0</v>
      </c>
      <c r="U2855" s="11" t="n">
        <v>0.9</v>
      </c>
      <c r="V2855" s="11" t="n">
        <v>0.9</v>
      </c>
    </row>
    <row r="2856" customFormat="false" ht="15" hidden="false" customHeight="false" outlineLevel="0" collapsed="false">
      <c r="A2856" s="6" t="s">
        <v>54</v>
      </c>
      <c r="B2856" s="6" t="s">
        <v>43</v>
      </c>
      <c r="C2856" s="6" t="s">
        <v>49</v>
      </c>
      <c r="D2856" s="6" t="s">
        <v>117</v>
      </c>
      <c r="E2856" s="6" t="n">
        <v>16</v>
      </c>
      <c r="F2856" s="6" t="n">
        <v>10</v>
      </c>
      <c r="G2856" s="6" t="s">
        <v>73</v>
      </c>
      <c r="H2856" s="11" t="n">
        <v>0.001</v>
      </c>
      <c r="I2856" s="6" t="n">
        <v>20</v>
      </c>
      <c r="J2856" s="6" t="n">
        <v>0</v>
      </c>
      <c r="K2856" s="6" t="n">
        <v>20</v>
      </c>
      <c r="L2856" s="6" t="n">
        <v>0</v>
      </c>
      <c r="M2856" s="6" t="n">
        <v>20</v>
      </c>
      <c r="N2856" s="11" t="n">
        <f aca="false">J2856/(J2856+K2856)</f>
        <v>0</v>
      </c>
      <c r="O2856" s="11" t="str">
        <f aca="false">IF(J2856+L2856=0,"",J2856/(J2856+L2856))</f>
        <v/>
      </c>
      <c r="P2856" s="11" t="n">
        <f aca="false">2*J2856/(2*J2856+L2856+K2856)</f>
        <v>0</v>
      </c>
      <c r="Q2856" s="11" t="n">
        <f aca="false">L2856/(L2856+M2856)</f>
        <v>0</v>
      </c>
      <c r="R2856" s="6" t="n">
        <v>0</v>
      </c>
      <c r="S2856" s="11"/>
      <c r="T2856" s="11" t="n">
        <v>0</v>
      </c>
      <c r="U2856" s="11" t="n">
        <v>0.65</v>
      </c>
      <c r="V2856" s="11" t="n">
        <v>0.65</v>
      </c>
    </row>
    <row r="2857" customFormat="false" ht="15" hidden="false" customHeight="false" outlineLevel="0" collapsed="false">
      <c r="A2857" s="6" t="s">
        <v>54</v>
      </c>
      <c r="B2857" s="6" t="s">
        <v>43</v>
      </c>
      <c r="C2857" s="6" t="s">
        <v>49</v>
      </c>
      <c r="D2857" s="6" t="s">
        <v>117</v>
      </c>
      <c r="E2857" s="6" t="n">
        <v>16</v>
      </c>
      <c r="F2857" s="6" t="n">
        <v>10</v>
      </c>
      <c r="G2857" s="6" t="s">
        <v>74</v>
      </c>
      <c r="H2857" s="11" t="n">
        <v>0.001</v>
      </c>
      <c r="I2857" s="6" t="n">
        <v>20</v>
      </c>
      <c r="J2857" s="6" t="n">
        <v>0</v>
      </c>
      <c r="K2857" s="6" t="n">
        <v>20</v>
      </c>
      <c r="L2857" s="6" t="n">
        <v>0</v>
      </c>
      <c r="M2857" s="6" t="n">
        <v>20</v>
      </c>
      <c r="N2857" s="11" t="n">
        <f aca="false">J2857/(J2857+K2857)</f>
        <v>0</v>
      </c>
      <c r="O2857" s="11" t="str">
        <f aca="false">IF(J2857+L2857=0,"",J2857/(J2857+L2857))</f>
        <v/>
      </c>
      <c r="P2857" s="11" t="n">
        <f aca="false">2*J2857/(2*J2857+L2857+K2857)</f>
        <v>0</v>
      </c>
      <c r="Q2857" s="11" t="n">
        <f aca="false">L2857/(L2857+M2857)</f>
        <v>0</v>
      </c>
      <c r="R2857" s="6" t="n">
        <v>0</v>
      </c>
      <c r="S2857" s="11"/>
      <c r="T2857" s="11" t="n">
        <v>0</v>
      </c>
      <c r="U2857" s="11" t="n">
        <v>0.85</v>
      </c>
      <c r="V2857" s="11" t="n">
        <v>0.85</v>
      </c>
    </row>
    <row r="2858" customFormat="false" ht="15" hidden="false" customHeight="false" outlineLevel="0" collapsed="false">
      <c r="A2858" s="6" t="s">
        <v>54</v>
      </c>
      <c r="B2858" s="6" t="s">
        <v>43</v>
      </c>
      <c r="C2858" s="6" t="s">
        <v>49</v>
      </c>
      <c r="D2858" s="6" t="s">
        <v>117</v>
      </c>
      <c r="E2858" s="6" t="n">
        <v>16</v>
      </c>
      <c r="F2858" s="6" t="n">
        <v>10</v>
      </c>
      <c r="G2858" s="6" t="s">
        <v>75</v>
      </c>
      <c r="H2858" s="11" t="n">
        <v>0.001</v>
      </c>
      <c r="I2858" s="6" t="n">
        <v>20</v>
      </c>
      <c r="J2858" s="6" t="n">
        <v>0</v>
      </c>
      <c r="K2858" s="6" t="n">
        <v>20</v>
      </c>
      <c r="L2858" s="6" t="n">
        <v>0</v>
      </c>
      <c r="M2858" s="6" t="n">
        <v>20</v>
      </c>
      <c r="N2858" s="11" t="n">
        <f aca="false">J2858/(J2858+K2858)</f>
        <v>0</v>
      </c>
      <c r="O2858" s="11" t="str">
        <f aca="false">IF(J2858+L2858=0,"",J2858/(J2858+L2858))</f>
        <v/>
      </c>
      <c r="P2858" s="11" t="n">
        <f aca="false">2*J2858/(2*J2858+L2858+K2858)</f>
        <v>0</v>
      </c>
      <c r="Q2858" s="11" t="n">
        <f aca="false">L2858/(L2858+M2858)</f>
        <v>0</v>
      </c>
      <c r="R2858" s="6" t="n">
        <v>0</v>
      </c>
      <c r="S2858" s="11"/>
      <c r="T2858" s="11" t="n">
        <v>0</v>
      </c>
      <c r="U2858" s="11" t="n">
        <v>0.9</v>
      </c>
      <c r="V2858" s="11" t="n">
        <v>0.9</v>
      </c>
    </row>
    <row r="2859" customFormat="false" ht="15" hidden="false" customHeight="false" outlineLevel="0" collapsed="false">
      <c r="A2859" s="6" t="s">
        <v>54</v>
      </c>
      <c r="B2859" s="6" t="s">
        <v>43</v>
      </c>
      <c r="C2859" s="6" t="s">
        <v>49</v>
      </c>
      <c r="D2859" s="6" t="s">
        <v>117</v>
      </c>
      <c r="E2859" s="6" t="n">
        <v>16</v>
      </c>
      <c r="F2859" s="6" t="n">
        <v>10</v>
      </c>
      <c r="G2859" s="6" t="s">
        <v>76</v>
      </c>
      <c r="H2859" s="11" t="n">
        <v>0.001</v>
      </c>
      <c r="I2859" s="6" t="n">
        <v>20</v>
      </c>
      <c r="J2859" s="6" t="n">
        <v>0</v>
      </c>
      <c r="K2859" s="6" t="n">
        <v>20</v>
      </c>
      <c r="L2859" s="6" t="n">
        <v>0</v>
      </c>
      <c r="M2859" s="6" t="n">
        <v>20</v>
      </c>
      <c r="N2859" s="11" t="n">
        <f aca="false">J2859/(J2859+K2859)</f>
        <v>0</v>
      </c>
      <c r="O2859" s="11" t="str">
        <f aca="false">IF(J2859+L2859=0,"",J2859/(J2859+L2859))</f>
        <v/>
      </c>
      <c r="P2859" s="11" t="n">
        <f aca="false">2*J2859/(2*J2859+L2859+K2859)</f>
        <v>0</v>
      </c>
      <c r="Q2859" s="11" t="n">
        <f aca="false">L2859/(L2859+M2859)</f>
        <v>0</v>
      </c>
      <c r="R2859" s="6" t="n">
        <v>0</v>
      </c>
      <c r="S2859" s="11"/>
      <c r="T2859" s="11" t="n">
        <v>0</v>
      </c>
      <c r="U2859" s="11" t="n">
        <v>0.95</v>
      </c>
      <c r="V2859" s="11" t="n">
        <v>0.95</v>
      </c>
    </row>
    <row r="2860" customFormat="false" ht="15" hidden="false" customHeight="false" outlineLevel="0" collapsed="false">
      <c r="A2860" s="6" t="s">
        <v>54</v>
      </c>
      <c r="B2860" s="6" t="s">
        <v>43</v>
      </c>
      <c r="C2860" s="6" t="s">
        <v>49</v>
      </c>
      <c r="D2860" s="6" t="s">
        <v>117</v>
      </c>
      <c r="E2860" s="6" t="n">
        <v>16</v>
      </c>
      <c r="F2860" s="6" t="n">
        <v>10</v>
      </c>
      <c r="G2860" s="6" t="s">
        <v>77</v>
      </c>
      <c r="H2860" s="11" t="n">
        <v>0.001</v>
      </c>
      <c r="I2860" s="6" t="n">
        <v>20</v>
      </c>
      <c r="J2860" s="6" t="n">
        <v>0</v>
      </c>
      <c r="K2860" s="6" t="n">
        <v>20</v>
      </c>
      <c r="L2860" s="6" t="n">
        <v>0</v>
      </c>
      <c r="M2860" s="6" t="n">
        <v>20</v>
      </c>
      <c r="N2860" s="11" t="n">
        <f aca="false">J2860/(J2860+K2860)</f>
        <v>0</v>
      </c>
      <c r="O2860" s="11" t="str">
        <f aca="false">IF(J2860+L2860=0,"",J2860/(J2860+L2860))</f>
        <v/>
      </c>
      <c r="P2860" s="11" t="n">
        <f aca="false">2*J2860/(2*J2860+L2860+K2860)</f>
        <v>0</v>
      </c>
      <c r="Q2860" s="11" t="n">
        <f aca="false">L2860/(L2860+M2860)</f>
        <v>0</v>
      </c>
      <c r="R2860" s="6" t="n">
        <v>0</v>
      </c>
      <c r="S2860" s="11"/>
      <c r="T2860" s="11" t="n">
        <v>0</v>
      </c>
      <c r="U2860" s="11" t="n">
        <v>1</v>
      </c>
      <c r="V2860" s="11" t="n">
        <v>1</v>
      </c>
    </row>
    <row r="2861" customFormat="false" ht="15" hidden="false" customHeight="false" outlineLevel="0" collapsed="false">
      <c r="A2861" s="6" t="s">
        <v>54</v>
      </c>
      <c r="B2861" s="6" t="s">
        <v>43</v>
      </c>
      <c r="C2861" s="6" t="s">
        <v>49</v>
      </c>
      <c r="D2861" s="6" t="s">
        <v>117</v>
      </c>
      <c r="E2861" s="6" t="n">
        <v>16</v>
      </c>
      <c r="F2861" s="6" t="n">
        <v>10</v>
      </c>
      <c r="G2861" s="6" t="s">
        <v>78</v>
      </c>
      <c r="H2861" s="11" t="n">
        <v>0.001</v>
      </c>
      <c r="I2861" s="6" t="n">
        <v>200</v>
      </c>
      <c r="J2861" s="6" t="n">
        <v>0</v>
      </c>
      <c r="K2861" s="6" t="n">
        <v>200</v>
      </c>
      <c r="L2861" s="6" t="n">
        <v>0</v>
      </c>
      <c r="M2861" s="6" t="n">
        <v>200</v>
      </c>
      <c r="N2861" s="11" t="n">
        <f aca="false">J2861/(J2861+K2861)</f>
        <v>0</v>
      </c>
      <c r="O2861" s="11" t="str">
        <f aca="false">IF(J2861+L2861=0,"",J2861/(J2861+L2861))</f>
        <v/>
      </c>
      <c r="P2861" s="11" t="n">
        <f aca="false">2*J2861/(2*J2861+L2861+K2861)</f>
        <v>0</v>
      </c>
      <c r="Q2861" s="11" t="n">
        <f aca="false">L2861/(L2861+M2861)</f>
        <v>0</v>
      </c>
      <c r="R2861" s="6" t="n">
        <v>0</v>
      </c>
      <c r="S2861" s="11"/>
      <c r="T2861" s="11" t="n">
        <v>0</v>
      </c>
      <c r="U2861" s="11" t="n">
        <v>0.88</v>
      </c>
      <c r="V2861" s="11" t="n">
        <v>0.88</v>
      </c>
    </row>
    <row r="2862" customFormat="false" ht="15" hidden="false" customHeight="false" outlineLevel="0" collapsed="false">
      <c r="A2862" s="6" t="s">
        <v>56</v>
      </c>
      <c r="B2862" s="6" t="s">
        <v>43</v>
      </c>
      <c r="C2862" s="6" t="s">
        <v>51</v>
      </c>
      <c r="D2862" s="6" t="s">
        <v>118</v>
      </c>
      <c r="E2862" s="6" t="n">
        <v>16</v>
      </c>
      <c r="F2862" s="6" t="n">
        <v>1</v>
      </c>
      <c r="G2862" s="6" t="s">
        <v>68</v>
      </c>
      <c r="H2862" s="11" t="n">
        <v>0.001</v>
      </c>
      <c r="I2862" s="6" t="n">
        <v>20</v>
      </c>
      <c r="J2862" s="6" t="n">
        <v>0</v>
      </c>
      <c r="K2862" s="6" t="n">
        <v>20</v>
      </c>
      <c r="L2862" s="6" t="n">
        <v>0</v>
      </c>
      <c r="M2862" s="6" t="n">
        <v>20</v>
      </c>
      <c r="N2862" s="11" t="n">
        <f aca="false">J2862/(J2862+K2862)</f>
        <v>0</v>
      </c>
      <c r="O2862" s="11" t="str">
        <f aca="false">IF(J2862+L2862=0,"",J2862/(J2862+L2862))</f>
        <v/>
      </c>
      <c r="P2862" s="11" t="n">
        <f aca="false">2*J2862/(2*J2862+L2862+K2862)</f>
        <v>0</v>
      </c>
      <c r="Q2862" s="11" t="n">
        <f aca="false">L2862/(L2862+M2862)</f>
        <v>0</v>
      </c>
      <c r="R2862" s="6" t="n">
        <v>0</v>
      </c>
      <c r="S2862" s="11"/>
      <c r="T2862" s="11" t="n">
        <v>0</v>
      </c>
      <c r="U2862" s="11" t="n">
        <v>0.85</v>
      </c>
      <c r="V2862" s="11" t="n">
        <v>0.85</v>
      </c>
    </row>
    <row r="2863" customFormat="false" ht="15" hidden="false" customHeight="false" outlineLevel="0" collapsed="false">
      <c r="A2863" s="6" t="s">
        <v>56</v>
      </c>
      <c r="B2863" s="6" t="s">
        <v>43</v>
      </c>
      <c r="C2863" s="6" t="s">
        <v>51</v>
      </c>
      <c r="D2863" s="6" t="s">
        <v>118</v>
      </c>
      <c r="E2863" s="6" t="n">
        <v>16</v>
      </c>
      <c r="F2863" s="6" t="n">
        <v>1</v>
      </c>
      <c r="G2863" s="6" t="s">
        <v>69</v>
      </c>
      <c r="H2863" s="11" t="n">
        <v>0.001</v>
      </c>
      <c r="I2863" s="6" t="n">
        <v>20</v>
      </c>
      <c r="J2863" s="6" t="n">
        <v>0</v>
      </c>
      <c r="K2863" s="6" t="n">
        <v>20</v>
      </c>
      <c r="L2863" s="6" t="n">
        <v>0</v>
      </c>
      <c r="M2863" s="6" t="n">
        <v>20</v>
      </c>
      <c r="N2863" s="11" t="n">
        <f aca="false">J2863/(J2863+K2863)</f>
        <v>0</v>
      </c>
      <c r="O2863" s="11" t="str">
        <f aca="false">IF(J2863+L2863=0,"",J2863/(J2863+L2863))</f>
        <v/>
      </c>
      <c r="P2863" s="11" t="n">
        <f aca="false">2*J2863/(2*J2863+L2863+K2863)</f>
        <v>0</v>
      </c>
      <c r="Q2863" s="11" t="n">
        <f aca="false">L2863/(L2863+M2863)</f>
        <v>0</v>
      </c>
      <c r="R2863" s="6" t="n">
        <v>0</v>
      </c>
      <c r="S2863" s="11"/>
      <c r="T2863" s="11" t="n">
        <v>0</v>
      </c>
      <c r="U2863" s="11" t="n">
        <v>1</v>
      </c>
      <c r="V2863" s="11" t="n">
        <v>1</v>
      </c>
    </row>
    <row r="2864" customFormat="false" ht="15" hidden="false" customHeight="false" outlineLevel="0" collapsed="false">
      <c r="A2864" s="6" t="s">
        <v>56</v>
      </c>
      <c r="B2864" s="6" t="s">
        <v>43</v>
      </c>
      <c r="C2864" s="6" t="s">
        <v>51</v>
      </c>
      <c r="D2864" s="6" t="s">
        <v>118</v>
      </c>
      <c r="E2864" s="6" t="n">
        <v>16</v>
      </c>
      <c r="F2864" s="6" t="n">
        <v>1</v>
      </c>
      <c r="G2864" s="6" t="s">
        <v>70</v>
      </c>
      <c r="H2864" s="11" t="n">
        <v>0.001</v>
      </c>
      <c r="I2864" s="6" t="n">
        <v>20</v>
      </c>
      <c r="J2864" s="6" t="n">
        <v>0</v>
      </c>
      <c r="K2864" s="6" t="n">
        <v>20</v>
      </c>
      <c r="L2864" s="6" t="n">
        <v>0</v>
      </c>
      <c r="M2864" s="6" t="n">
        <v>20</v>
      </c>
      <c r="N2864" s="11" t="n">
        <f aca="false">J2864/(J2864+K2864)</f>
        <v>0</v>
      </c>
      <c r="O2864" s="11" t="str">
        <f aca="false">IF(J2864+L2864=0,"",J2864/(J2864+L2864))</f>
        <v/>
      </c>
      <c r="P2864" s="11" t="n">
        <f aca="false">2*J2864/(2*J2864+L2864+K2864)</f>
        <v>0</v>
      </c>
      <c r="Q2864" s="11" t="n">
        <f aca="false">L2864/(L2864+M2864)</f>
        <v>0</v>
      </c>
      <c r="R2864" s="6" t="n">
        <v>0</v>
      </c>
      <c r="S2864" s="11"/>
      <c r="T2864" s="11" t="n">
        <v>0</v>
      </c>
      <c r="U2864" s="11" t="n">
        <v>0.9</v>
      </c>
      <c r="V2864" s="11" t="n">
        <v>0.9</v>
      </c>
    </row>
    <row r="2865" customFormat="false" ht="15" hidden="false" customHeight="false" outlineLevel="0" collapsed="false">
      <c r="A2865" s="6" t="s">
        <v>56</v>
      </c>
      <c r="B2865" s="6" t="s">
        <v>43</v>
      </c>
      <c r="C2865" s="6" t="s">
        <v>51</v>
      </c>
      <c r="D2865" s="6" t="s">
        <v>118</v>
      </c>
      <c r="E2865" s="6" t="n">
        <v>16</v>
      </c>
      <c r="F2865" s="6" t="n">
        <v>1</v>
      </c>
      <c r="G2865" s="6" t="s">
        <v>71</v>
      </c>
      <c r="H2865" s="11" t="n">
        <v>0.001</v>
      </c>
      <c r="I2865" s="6" t="n">
        <v>20</v>
      </c>
      <c r="J2865" s="6" t="n">
        <v>0</v>
      </c>
      <c r="K2865" s="6" t="n">
        <v>20</v>
      </c>
      <c r="L2865" s="6" t="n">
        <v>0</v>
      </c>
      <c r="M2865" s="6" t="n">
        <v>20</v>
      </c>
      <c r="N2865" s="11" t="n">
        <f aca="false">J2865/(J2865+K2865)</f>
        <v>0</v>
      </c>
      <c r="O2865" s="11" t="str">
        <f aca="false">IF(J2865+L2865=0,"",J2865/(J2865+L2865))</f>
        <v/>
      </c>
      <c r="P2865" s="11" t="n">
        <f aca="false">2*J2865/(2*J2865+L2865+K2865)</f>
        <v>0</v>
      </c>
      <c r="Q2865" s="11" t="n">
        <f aca="false">L2865/(L2865+M2865)</f>
        <v>0</v>
      </c>
      <c r="R2865" s="6" t="n">
        <v>0</v>
      </c>
      <c r="S2865" s="11"/>
      <c r="T2865" s="11" t="n">
        <v>0</v>
      </c>
      <c r="U2865" s="11" t="n">
        <v>0.8</v>
      </c>
      <c r="V2865" s="11" t="n">
        <v>0.8</v>
      </c>
    </row>
    <row r="2866" customFormat="false" ht="15" hidden="false" customHeight="false" outlineLevel="0" collapsed="false">
      <c r="A2866" s="6" t="s">
        <v>56</v>
      </c>
      <c r="B2866" s="6" t="s">
        <v>43</v>
      </c>
      <c r="C2866" s="6" t="s">
        <v>51</v>
      </c>
      <c r="D2866" s="6" t="s">
        <v>118</v>
      </c>
      <c r="E2866" s="6" t="n">
        <v>16</v>
      </c>
      <c r="F2866" s="6" t="n">
        <v>1</v>
      </c>
      <c r="G2866" s="6" t="s">
        <v>72</v>
      </c>
      <c r="H2866" s="11" t="n">
        <v>0.001</v>
      </c>
      <c r="I2866" s="6" t="n">
        <v>20</v>
      </c>
      <c r="J2866" s="6" t="n">
        <v>0</v>
      </c>
      <c r="K2866" s="6" t="n">
        <v>20</v>
      </c>
      <c r="L2866" s="6" t="n">
        <v>0</v>
      </c>
      <c r="M2866" s="6" t="n">
        <v>20</v>
      </c>
      <c r="N2866" s="11" t="n">
        <f aca="false">J2866/(J2866+K2866)</f>
        <v>0</v>
      </c>
      <c r="O2866" s="11" t="str">
        <f aca="false">IF(J2866+L2866=0,"",J2866/(J2866+L2866))</f>
        <v/>
      </c>
      <c r="P2866" s="11" t="n">
        <f aca="false">2*J2866/(2*J2866+L2866+K2866)</f>
        <v>0</v>
      </c>
      <c r="Q2866" s="11" t="n">
        <f aca="false">L2866/(L2866+M2866)</f>
        <v>0</v>
      </c>
      <c r="R2866" s="6" t="n">
        <v>0</v>
      </c>
      <c r="S2866" s="11"/>
      <c r="T2866" s="11" t="n">
        <v>0</v>
      </c>
      <c r="U2866" s="11" t="n">
        <v>0.9</v>
      </c>
      <c r="V2866" s="11" t="n">
        <v>0.9</v>
      </c>
    </row>
    <row r="2867" customFormat="false" ht="15" hidden="false" customHeight="false" outlineLevel="0" collapsed="false">
      <c r="A2867" s="6" t="s">
        <v>56</v>
      </c>
      <c r="B2867" s="6" t="s">
        <v>43</v>
      </c>
      <c r="C2867" s="6" t="s">
        <v>51</v>
      </c>
      <c r="D2867" s="6" t="s">
        <v>118</v>
      </c>
      <c r="E2867" s="6" t="n">
        <v>16</v>
      </c>
      <c r="F2867" s="6" t="n">
        <v>1</v>
      </c>
      <c r="G2867" s="6" t="s">
        <v>73</v>
      </c>
      <c r="H2867" s="11" t="n">
        <v>0.001</v>
      </c>
      <c r="I2867" s="6" t="n">
        <v>20</v>
      </c>
      <c r="J2867" s="6" t="n">
        <v>0</v>
      </c>
      <c r="K2867" s="6" t="n">
        <v>20</v>
      </c>
      <c r="L2867" s="6" t="n">
        <v>0</v>
      </c>
      <c r="M2867" s="6" t="n">
        <v>20</v>
      </c>
      <c r="N2867" s="11" t="n">
        <f aca="false">J2867/(J2867+K2867)</f>
        <v>0</v>
      </c>
      <c r="O2867" s="11" t="str">
        <f aca="false">IF(J2867+L2867=0,"",J2867/(J2867+L2867))</f>
        <v/>
      </c>
      <c r="P2867" s="11" t="n">
        <f aca="false">2*J2867/(2*J2867+L2867+K2867)</f>
        <v>0</v>
      </c>
      <c r="Q2867" s="11" t="n">
        <f aca="false">L2867/(L2867+M2867)</f>
        <v>0</v>
      </c>
      <c r="R2867" s="6" t="n">
        <v>0</v>
      </c>
      <c r="S2867" s="11"/>
      <c r="T2867" s="11" t="n">
        <v>0</v>
      </c>
      <c r="U2867" s="11" t="n">
        <v>0.65</v>
      </c>
      <c r="V2867" s="11" t="n">
        <v>0.65</v>
      </c>
    </row>
    <row r="2868" customFormat="false" ht="15" hidden="false" customHeight="false" outlineLevel="0" collapsed="false">
      <c r="A2868" s="6" t="s">
        <v>56</v>
      </c>
      <c r="B2868" s="6" t="s">
        <v>43</v>
      </c>
      <c r="C2868" s="6" t="s">
        <v>51</v>
      </c>
      <c r="D2868" s="6" t="s">
        <v>118</v>
      </c>
      <c r="E2868" s="6" t="n">
        <v>16</v>
      </c>
      <c r="F2868" s="6" t="n">
        <v>1</v>
      </c>
      <c r="G2868" s="6" t="s">
        <v>74</v>
      </c>
      <c r="H2868" s="11" t="n">
        <v>0.001</v>
      </c>
      <c r="I2868" s="6" t="n">
        <v>20</v>
      </c>
      <c r="J2868" s="6" t="n">
        <v>0</v>
      </c>
      <c r="K2868" s="6" t="n">
        <v>20</v>
      </c>
      <c r="L2868" s="6" t="n">
        <v>0</v>
      </c>
      <c r="M2868" s="6" t="n">
        <v>20</v>
      </c>
      <c r="N2868" s="11" t="n">
        <f aca="false">J2868/(J2868+K2868)</f>
        <v>0</v>
      </c>
      <c r="O2868" s="11" t="str">
        <f aca="false">IF(J2868+L2868=0,"",J2868/(J2868+L2868))</f>
        <v/>
      </c>
      <c r="P2868" s="11" t="n">
        <f aca="false">2*J2868/(2*J2868+L2868+K2868)</f>
        <v>0</v>
      </c>
      <c r="Q2868" s="11" t="n">
        <f aca="false">L2868/(L2868+M2868)</f>
        <v>0</v>
      </c>
      <c r="R2868" s="6" t="n">
        <v>0</v>
      </c>
      <c r="S2868" s="11"/>
      <c r="T2868" s="11" t="n">
        <v>0</v>
      </c>
      <c r="U2868" s="11" t="n">
        <v>0.85</v>
      </c>
      <c r="V2868" s="11" t="n">
        <v>0.85</v>
      </c>
    </row>
    <row r="2869" customFormat="false" ht="15" hidden="false" customHeight="false" outlineLevel="0" collapsed="false">
      <c r="A2869" s="6" t="s">
        <v>56</v>
      </c>
      <c r="B2869" s="6" t="s">
        <v>43</v>
      </c>
      <c r="C2869" s="6" t="s">
        <v>51</v>
      </c>
      <c r="D2869" s="6" t="s">
        <v>118</v>
      </c>
      <c r="E2869" s="6" t="n">
        <v>16</v>
      </c>
      <c r="F2869" s="6" t="n">
        <v>1</v>
      </c>
      <c r="G2869" s="6" t="s">
        <v>75</v>
      </c>
      <c r="H2869" s="11" t="n">
        <v>0.001</v>
      </c>
      <c r="I2869" s="6" t="n">
        <v>20</v>
      </c>
      <c r="J2869" s="6" t="n">
        <v>0</v>
      </c>
      <c r="K2869" s="6" t="n">
        <v>20</v>
      </c>
      <c r="L2869" s="6" t="n">
        <v>0</v>
      </c>
      <c r="M2869" s="6" t="n">
        <v>20</v>
      </c>
      <c r="N2869" s="11" t="n">
        <f aca="false">J2869/(J2869+K2869)</f>
        <v>0</v>
      </c>
      <c r="O2869" s="11" t="str">
        <f aca="false">IF(J2869+L2869=0,"",J2869/(J2869+L2869))</f>
        <v/>
      </c>
      <c r="P2869" s="11" t="n">
        <f aca="false">2*J2869/(2*J2869+L2869+K2869)</f>
        <v>0</v>
      </c>
      <c r="Q2869" s="11" t="n">
        <f aca="false">L2869/(L2869+M2869)</f>
        <v>0</v>
      </c>
      <c r="R2869" s="6" t="n">
        <v>0</v>
      </c>
      <c r="S2869" s="11"/>
      <c r="T2869" s="11" t="n">
        <v>0</v>
      </c>
      <c r="U2869" s="11" t="n">
        <v>0.9</v>
      </c>
      <c r="V2869" s="11" t="n">
        <v>0.9</v>
      </c>
    </row>
    <row r="2870" customFormat="false" ht="15" hidden="false" customHeight="false" outlineLevel="0" collapsed="false">
      <c r="A2870" s="6" t="s">
        <v>56</v>
      </c>
      <c r="B2870" s="6" t="s">
        <v>43</v>
      </c>
      <c r="C2870" s="6" t="s">
        <v>51</v>
      </c>
      <c r="D2870" s="6" t="s">
        <v>118</v>
      </c>
      <c r="E2870" s="6" t="n">
        <v>16</v>
      </c>
      <c r="F2870" s="6" t="n">
        <v>1</v>
      </c>
      <c r="G2870" s="6" t="s">
        <v>76</v>
      </c>
      <c r="H2870" s="11" t="n">
        <v>0.001</v>
      </c>
      <c r="I2870" s="6" t="n">
        <v>20</v>
      </c>
      <c r="J2870" s="6" t="n">
        <v>0</v>
      </c>
      <c r="K2870" s="6" t="n">
        <v>20</v>
      </c>
      <c r="L2870" s="6" t="n">
        <v>0</v>
      </c>
      <c r="M2870" s="6" t="n">
        <v>20</v>
      </c>
      <c r="N2870" s="11" t="n">
        <f aca="false">J2870/(J2870+K2870)</f>
        <v>0</v>
      </c>
      <c r="O2870" s="11" t="str">
        <f aca="false">IF(J2870+L2870=0,"",J2870/(J2870+L2870))</f>
        <v/>
      </c>
      <c r="P2870" s="11" t="n">
        <f aca="false">2*J2870/(2*J2870+L2870+K2870)</f>
        <v>0</v>
      </c>
      <c r="Q2870" s="11" t="n">
        <f aca="false">L2870/(L2870+M2870)</f>
        <v>0</v>
      </c>
      <c r="R2870" s="6" t="n">
        <v>0</v>
      </c>
      <c r="S2870" s="11"/>
      <c r="T2870" s="11" t="n">
        <v>0</v>
      </c>
      <c r="U2870" s="11" t="n">
        <v>0.95</v>
      </c>
      <c r="V2870" s="11" t="n">
        <v>0.95</v>
      </c>
    </row>
    <row r="2871" customFormat="false" ht="15" hidden="false" customHeight="false" outlineLevel="0" collapsed="false">
      <c r="A2871" s="6" t="s">
        <v>56</v>
      </c>
      <c r="B2871" s="6" t="s">
        <v>43</v>
      </c>
      <c r="C2871" s="6" t="s">
        <v>51</v>
      </c>
      <c r="D2871" s="6" t="s">
        <v>118</v>
      </c>
      <c r="E2871" s="6" t="n">
        <v>16</v>
      </c>
      <c r="F2871" s="6" t="n">
        <v>1</v>
      </c>
      <c r="G2871" s="6" t="s">
        <v>77</v>
      </c>
      <c r="H2871" s="11" t="n">
        <v>0.001</v>
      </c>
      <c r="I2871" s="6" t="n">
        <v>20</v>
      </c>
      <c r="J2871" s="6" t="n">
        <v>0</v>
      </c>
      <c r="K2871" s="6" t="n">
        <v>20</v>
      </c>
      <c r="L2871" s="6" t="n">
        <v>0</v>
      </c>
      <c r="M2871" s="6" t="n">
        <v>20</v>
      </c>
      <c r="N2871" s="11" t="n">
        <f aca="false">J2871/(J2871+K2871)</f>
        <v>0</v>
      </c>
      <c r="O2871" s="11" t="str">
        <f aca="false">IF(J2871+L2871=0,"",J2871/(J2871+L2871))</f>
        <v/>
      </c>
      <c r="P2871" s="11" t="n">
        <f aca="false">2*J2871/(2*J2871+L2871+K2871)</f>
        <v>0</v>
      </c>
      <c r="Q2871" s="11" t="n">
        <f aca="false">L2871/(L2871+M2871)</f>
        <v>0</v>
      </c>
      <c r="R2871" s="6" t="n">
        <v>0</v>
      </c>
      <c r="S2871" s="11"/>
      <c r="T2871" s="11" t="n">
        <v>0</v>
      </c>
      <c r="U2871" s="11" t="n">
        <v>1</v>
      </c>
      <c r="V2871" s="11" t="n">
        <v>1</v>
      </c>
    </row>
    <row r="2872" customFormat="false" ht="15" hidden="false" customHeight="false" outlineLevel="0" collapsed="false">
      <c r="A2872" s="6" t="s">
        <v>56</v>
      </c>
      <c r="B2872" s="6" t="s">
        <v>43</v>
      </c>
      <c r="C2872" s="6" t="s">
        <v>51</v>
      </c>
      <c r="D2872" s="6" t="s">
        <v>118</v>
      </c>
      <c r="E2872" s="6" t="n">
        <v>16</v>
      </c>
      <c r="F2872" s="6" t="n">
        <v>1</v>
      </c>
      <c r="G2872" s="6" t="s">
        <v>78</v>
      </c>
      <c r="H2872" s="11" t="n">
        <v>0.001</v>
      </c>
      <c r="I2872" s="6" t="n">
        <v>200</v>
      </c>
      <c r="J2872" s="6" t="n">
        <v>0</v>
      </c>
      <c r="K2872" s="6" t="n">
        <v>200</v>
      </c>
      <c r="L2872" s="6" t="n">
        <v>0</v>
      </c>
      <c r="M2872" s="6" t="n">
        <v>200</v>
      </c>
      <c r="N2872" s="11" t="n">
        <f aca="false">J2872/(J2872+K2872)</f>
        <v>0</v>
      </c>
      <c r="O2872" s="11" t="str">
        <f aca="false">IF(J2872+L2872=0,"",J2872/(J2872+L2872))</f>
        <v/>
      </c>
      <c r="P2872" s="11" t="n">
        <f aca="false">2*J2872/(2*J2872+L2872+K2872)</f>
        <v>0</v>
      </c>
      <c r="Q2872" s="11" t="n">
        <f aca="false">L2872/(L2872+M2872)</f>
        <v>0</v>
      </c>
      <c r="R2872" s="6" t="n">
        <v>0</v>
      </c>
      <c r="S2872" s="11"/>
      <c r="T2872" s="11" t="n">
        <v>0</v>
      </c>
      <c r="U2872" s="11" t="n">
        <v>0.88</v>
      </c>
      <c r="V2872" s="11" t="n">
        <v>0.88</v>
      </c>
    </row>
    <row r="2873" customFormat="false" ht="15" hidden="false" customHeight="false" outlineLevel="0" collapsed="false">
      <c r="A2873" s="6" t="s">
        <v>56</v>
      </c>
      <c r="B2873" s="6" t="s">
        <v>43</v>
      </c>
      <c r="C2873" s="6" t="s">
        <v>51</v>
      </c>
      <c r="D2873" s="6" t="s">
        <v>118</v>
      </c>
      <c r="E2873" s="6" t="n">
        <v>16</v>
      </c>
      <c r="F2873" s="6" t="n">
        <v>2</v>
      </c>
      <c r="G2873" s="6" t="s">
        <v>68</v>
      </c>
      <c r="H2873" s="11" t="n">
        <v>0.001</v>
      </c>
      <c r="I2873" s="6" t="n">
        <v>20</v>
      </c>
      <c r="J2873" s="6" t="n">
        <v>0</v>
      </c>
      <c r="K2873" s="6" t="n">
        <v>20</v>
      </c>
      <c r="L2873" s="6" t="n">
        <v>0</v>
      </c>
      <c r="M2873" s="6" t="n">
        <v>20</v>
      </c>
      <c r="N2873" s="11" t="n">
        <f aca="false">J2873/(J2873+K2873)</f>
        <v>0</v>
      </c>
      <c r="O2873" s="11" t="str">
        <f aca="false">IF(J2873+L2873=0,"",J2873/(J2873+L2873))</f>
        <v/>
      </c>
      <c r="P2873" s="11" t="n">
        <f aca="false">2*J2873/(2*J2873+L2873+K2873)</f>
        <v>0</v>
      </c>
      <c r="Q2873" s="11" t="n">
        <f aca="false">L2873/(L2873+M2873)</f>
        <v>0</v>
      </c>
      <c r="R2873" s="6" t="n">
        <v>0</v>
      </c>
      <c r="S2873" s="11"/>
      <c r="T2873" s="11" t="n">
        <v>0</v>
      </c>
      <c r="U2873" s="11" t="n">
        <v>0.85</v>
      </c>
      <c r="V2873" s="11" t="n">
        <v>0.85</v>
      </c>
    </row>
    <row r="2874" customFormat="false" ht="15" hidden="false" customHeight="false" outlineLevel="0" collapsed="false">
      <c r="A2874" s="6" t="s">
        <v>56</v>
      </c>
      <c r="B2874" s="6" t="s">
        <v>43</v>
      </c>
      <c r="C2874" s="6" t="s">
        <v>51</v>
      </c>
      <c r="D2874" s="6" t="s">
        <v>118</v>
      </c>
      <c r="E2874" s="6" t="n">
        <v>16</v>
      </c>
      <c r="F2874" s="6" t="n">
        <v>2</v>
      </c>
      <c r="G2874" s="6" t="s">
        <v>69</v>
      </c>
      <c r="H2874" s="11" t="n">
        <v>0.001</v>
      </c>
      <c r="I2874" s="6" t="n">
        <v>20</v>
      </c>
      <c r="J2874" s="6" t="n">
        <v>0</v>
      </c>
      <c r="K2874" s="6" t="n">
        <v>20</v>
      </c>
      <c r="L2874" s="6" t="n">
        <v>0</v>
      </c>
      <c r="M2874" s="6" t="n">
        <v>20</v>
      </c>
      <c r="N2874" s="11" t="n">
        <f aca="false">J2874/(J2874+K2874)</f>
        <v>0</v>
      </c>
      <c r="O2874" s="11" t="str">
        <f aca="false">IF(J2874+L2874=0,"",J2874/(J2874+L2874))</f>
        <v/>
      </c>
      <c r="P2874" s="11" t="n">
        <f aca="false">2*J2874/(2*J2874+L2874+K2874)</f>
        <v>0</v>
      </c>
      <c r="Q2874" s="11" t="n">
        <f aca="false">L2874/(L2874+M2874)</f>
        <v>0</v>
      </c>
      <c r="R2874" s="6" t="n">
        <v>0</v>
      </c>
      <c r="S2874" s="11"/>
      <c r="T2874" s="11" t="n">
        <v>0</v>
      </c>
      <c r="U2874" s="11" t="n">
        <v>1</v>
      </c>
      <c r="V2874" s="11" t="n">
        <v>1</v>
      </c>
    </row>
    <row r="2875" customFormat="false" ht="15" hidden="false" customHeight="false" outlineLevel="0" collapsed="false">
      <c r="A2875" s="6" t="s">
        <v>56</v>
      </c>
      <c r="B2875" s="6" t="s">
        <v>43</v>
      </c>
      <c r="C2875" s="6" t="s">
        <v>51</v>
      </c>
      <c r="D2875" s="6" t="s">
        <v>118</v>
      </c>
      <c r="E2875" s="6" t="n">
        <v>16</v>
      </c>
      <c r="F2875" s="6" t="n">
        <v>2</v>
      </c>
      <c r="G2875" s="6" t="s">
        <v>70</v>
      </c>
      <c r="H2875" s="11" t="n">
        <v>0.001</v>
      </c>
      <c r="I2875" s="6" t="n">
        <v>20</v>
      </c>
      <c r="J2875" s="6" t="n">
        <v>0</v>
      </c>
      <c r="K2875" s="6" t="n">
        <v>20</v>
      </c>
      <c r="L2875" s="6" t="n">
        <v>0</v>
      </c>
      <c r="M2875" s="6" t="n">
        <v>20</v>
      </c>
      <c r="N2875" s="11" t="n">
        <f aca="false">J2875/(J2875+K2875)</f>
        <v>0</v>
      </c>
      <c r="O2875" s="11" t="str">
        <f aca="false">IF(J2875+L2875=0,"",J2875/(J2875+L2875))</f>
        <v/>
      </c>
      <c r="P2875" s="11" t="n">
        <f aca="false">2*J2875/(2*J2875+L2875+K2875)</f>
        <v>0</v>
      </c>
      <c r="Q2875" s="11" t="n">
        <f aca="false">L2875/(L2875+M2875)</f>
        <v>0</v>
      </c>
      <c r="R2875" s="6" t="n">
        <v>0</v>
      </c>
      <c r="S2875" s="11"/>
      <c r="T2875" s="11" t="n">
        <v>0</v>
      </c>
      <c r="U2875" s="11" t="n">
        <v>0.9</v>
      </c>
      <c r="V2875" s="11" t="n">
        <v>0.9</v>
      </c>
    </row>
    <row r="2876" customFormat="false" ht="15" hidden="false" customHeight="false" outlineLevel="0" collapsed="false">
      <c r="A2876" s="6" t="s">
        <v>56</v>
      </c>
      <c r="B2876" s="6" t="s">
        <v>43</v>
      </c>
      <c r="C2876" s="6" t="s">
        <v>51</v>
      </c>
      <c r="D2876" s="6" t="s">
        <v>118</v>
      </c>
      <c r="E2876" s="6" t="n">
        <v>16</v>
      </c>
      <c r="F2876" s="6" t="n">
        <v>2</v>
      </c>
      <c r="G2876" s="6" t="s">
        <v>71</v>
      </c>
      <c r="H2876" s="11" t="n">
        <v>0.001</v>
      </c>
      <c r="I2876" s="6" t="n">
        <v>20</v>
      </c>
      <c r="J2876" s="6" t="n">
        <v>0</v>
      </c>
      <c r="K2876" s="6" t="n">
        <v>20</v>
      </c>
      <c r="L2876" s="6" t="n">
        <v>0</v>
      </c>
      <c r="M2876" s="6" t="n">
        <v>20</v>
      </c>
      <c r="N2876" s="11" t="n">
        <f aca="false">J2876/(J2876+K2876)</f>
        <v>0</v>
      </c>
      <c r="O2876" s="11" t="str">
        <f aca="false">IF(J2876+L2876=0,"",J2876/(J2876+L2876))</f>
        <v/>
      </c>
      <c r="P2876" s="11" t="n">
        <f aca="false">2*J2876/(2*J2876+L2876+K2876)</f>
        <v>0</v>
      </c>
      <c r="Q2876" s="11" t="n">
        <f aca="false">L2876/(L2876+M2876)</f>
        <v>0</v>
      </c>
      <c r="R2876" s="6" t="n">
        <v>0</v>
      </c>
      <c r="S2876" s="11"/>
      <c r="T2876" s="11" t="n">
        <v>0</v>
      </c>
      <c r="U2876" s="11" t="n">
        <v>0.8</v>
      </c>
      <c r="V2876" s="11" t="n">
        <v>0.8</v>
      </c>
    </row>
    <row r="2877" customFormat="false" ht="15" hidden="false" customHeight="false" outlineLevel="0" collapsed="false">
      <c r="A2877" s="6" t="s">
        <v>56</v>
      </c>
      <c r="B2877" s="6" t="s">
        <v>43</v>
      </c>
      <c r="C2877" s="6" t="s">
        <v>51</v>
      </c>
      <c r="D2877" s="6" t="s">
        <v>118</v>
      </c>
      <c r="E2877" s="6" t="n">
        <v>16</v>
      </c>
      <c r="F2877" s="6" t="n">
        <v>2</v>
      </c>
      <c r="G2877" s="6" t="s">
        <v>72</v>
      </c>
      <c r="H2877" s="11" t="n">
        <v>0.001</v>
      </c>
      <c r="I2877" s="6" t="n">
        <v>20</v>
      </c>
      <c r="J2877" s="6" t="n">
        <v>0</v>
      </c>
      <c r="K2877" s="6" t="n">
        <v>20</v>
      </c>
      <c r="L2877" s="6" t="n">
        <v>0</v>
      </c>
      <c r="M2877" s="6" t="n">
        <v>20</v>
      </c>
      <c r="N2877" s="11" t="n">
        <f aca="false">J2877/(J2877+K2877)</f>
        <v>0</v>
      </c>
      <c r="O2877" s="11" t="str">
        <f aca="false">IF(J2877+L2877=0,"",J2877/(J2877+L2877))</f>
        <v/>
      </c>
      <c r="P2877" s="11" t="n">
        <f aca="false">2*J2877/(2*J2877+L2877+K2877)</f>
        <v>0</v>
      </c>
      <c r="Q2877" s="11" t="n">
        <f aca="false">L2877/(L2877+M2877)</f>
        <v>0</v>
      </c>
      <c r="R2877" s="6" t="n">
        <v>0</v>
      </c>
      <c r="S2877" s="11"/>
      <c r="T2877" s="11" t="n">
        <v>0</v>
      </c>
      <c r="U2877" s="11" t="n">
        <v>0.9</v>
      </c>
      <c r="V2877" s="11" t="n">
        <v>0.9</v>
      </c>
    </row>
    <row r="2878" customFormat="false" ht="15" hidden="false" customHeight="false" outlineLevel="0" collapsed="false">
      <c r="A2878" s="6" t="s">
        <v>56</v>
      </c>
      <c r="B2878" s="6" t="s">
        <v>43</v>
      </c>
      <c r="C2878" s="6" t="s">
        <v>51</v>
      </c>
      <c r="D2878" s="6" t="s">
        <v>118</v>
      </c>
      <c r="E2878" s="6" t="n">
        <v>16</v>
      </c>
      <c r="F2878" s="6" t="n">
        <v>2</v>
      </c>
      <c r="G2878" s="6" t="s">
        <v>73</v>
      </c>
      <c r="H2878" s="11" t="n">
        <v>0.001</v>
      </c>
      <c r="I2878" s="6" t="n">
        <v>20</v>
      </c>
      <c r="J2878" s="6" t="n">
        <v>0</v>
      </c>
      <c r="K2878" s="6" t="n">
        <v>20</v>
      </c>
      <c r="L2878" s="6" t="n">
        <v>0</v>
      </c>
      <c r="M2878" s="6" t="n">
        <v>20</v>
      </c>
      <c r="N2878" s="11" t="n">
        <f aca="false">J2878/(J2878+K2878)</f>
        <v>0</v>
      </c>
      <c r="O2878" s="11" t="str">
        <f aca="false">IF(J2878+L2878=0,"",J2878/(J2878+L2878))</f>
        <v/>
      </c>
      <c r="P2878" s="11" t="n">
        <f aca="false">2*J2878/(2*J2878+L2878+K2878)</f>
        <v>0</v>
      </c>
      <c r="Q2878" s="11" t="n">
        <f aca="false">L2878/(L2878+M2878)</f>
        <v>0</v>
      </c>
      <c r="R2878" s="6" t="n">
        <v>0</v>
      </c>
      <c r="S2878" s="11"/>
      <c r="T2878" s="11" t="n">
        <v>0</v>
      </c>
      <c r="U2878" s="11" t="n">
        <v>0.65</v>
      </c>
      <c r="V2878" s="11" t="n">
        <v>0.65</v>
      </c>
    </row>
    <row r="2879" customFormat="false" ht="15" hidden="false" customHeight="false" outlineLevel="0" collapsed="false">
      <c r="A2879" s="6" t="s">
        <v>56</v>
      </c>
      <c r="B2879" s="6" t="s">
        <v>43</v>
      </c>
      <c r="C2879" s="6" t="s">
        <v>51</v>
      </c>
      <c r="D2879" s="6" t="s">
        <v>118</v>
      </c>
      <c r="E2879" s="6" t="n">
        <v>16</v>
      </c>
      <c r="F2879" s="6" t="n">
        <v>2</v>
      </c>
      <c r="G2879" s="6" t="s">
        <v>74</v>
      </c>
      <c r="H2879" s="11" t="n">
        <v>0.001</v>
      </c>
      <c r="I2879" s="6" t="n">
        <v>20</v>
      </c>
      <c r="J2879" s="6" t="n">
        <v>0</v>
      </c>
      <c r="K2879" s="6" t="n">
        <v>20</v>
      </c>
      <c r="L2879" s="6" t="n">
        <v>0</v>
      </c>
      <c r="M2879" s="6" t="n">
        <v>20</v>
      </c>
      <c r="N2879" s="11" t="n">
        <f aca="false">J2879/(J2879+K2879)</f>
        <v>0</v>
      </c>
      <c r="O2879" s="11" t="str">
        <f aca="false">IF(J2879+L2879=0,"",J2879/(J2879+L2879))</f>
        <v/>
      </c>
      <c r="P2879" s="11" t="n">
        <f aca="false">2*J2879/(2*J2879+L2879+K2879)</f>
        <v>0</v>
      </c>
      <c r="Q2879" s="11" t="n">
        <f aca="false">L2879/(L2879+M2879)</f>
        <v>0</v>
      </c>
      <c r="R2879" s="6" t="n">
        <v>0</v>
      </c>
      <c r="S2879" s="11"/>
      <c r="T2879" s="11" t="n">
        <v>0</v>
      </c>
      <c r="U2879" s="11" t="n">
        <v>0.85</v>
      </c>
      <c r="V2879" s="11" t="n">
        <v>0.85</v>
      </c>
    </row>
    <row r="2880" customFormat="false" ht="15" hidden="false" customHeight="false" outlineLevel="0" collapsed="false">
      <c r="A2880" s="6" t="s">
        <v>56</v>
      </c>
      <c r="B2880" s="6" t="s">
        <v>43</v>
      </c>
      <c r="C2880" s="6" t="s">
        <v>51</v>
      </c>
      <c r="D2880" s="6" t="s">
        <v>118</v>
      </c>
      <c r="E2880" s="6" t="n">
        <v>16</v>
      </c>
      <c r="F2880" s="6" t="n">
        <v>2</v>
      </c>
      <c r="G2880" s="6" t="s">
        <v>75</v>
      </c>
      <c r="H2880" s="11" t="n">
        <v>0.001</v>
      </c>
      <c r="I2880" s="6" t="n">
        <v>20</v>
      </c>
      <c r="J2880" s="6" t="n">
        <v>0</v>
      </c>
      <c r="K2880" s="6" t="n">
        <v>20</v>
      </c>
      <c r="L2880" s="6" t="n">
        <v>0</v>
      </c>
      <c r="M2880" s="6" t="n">
        <v>20</v>
      </c>
      <c r="N2880" s="11" t="n">
        <f aca="false">J2880/(J2880+K2880)</f>
        <v>0</v>
      </c>
      <c r="O2880" s="11" t="str">
        <f aca="false">IF(J2880+L2880=0,"",J2880/(J2880+L2880))</f>
        <v/>
      </c>
      <c r="P2880" s="11" t="n">
        <f aca="false">2*J2880/(2*J2880+L2880+K2880)</f>
        <v>0</v>
      </c>
      <c r="Q2880" s="11" t="n">
        <f aca="false">L2880/(L2880+M2880)</f>
        <v>0</v>
      </c>
      <c r="R2880" s="6" t="n">
        <v>0</v>
      </c>
      <c r="S2880" s="11"/>
      <c r="T2880" s="11" t="n">
        <v>0</v>
      </c>
      <c r="U2880" s="11" t="n">
        <v>0.9</v>
      </c>
      <c r="V2880" s="11" t="n">
        <v>0.9</v>
      </c>
    </row>
    <row r="2881" customFormat="false" ht="15" hidden="false" customHeight="false" outlineLevel="0" collapsed="false">
      <c r="A2881" s="6" t="s">
        <v>56</v>
      </c>
      <c r="B2881" s="6" t="s">
        <v>43</v>
      </c>
      <c r="C2881" s="6" t="s">
        <v>51</v>
      </c>
      <c r="D2881" s="6" t="s">
        <v>118</v>
      </c>
      <c r="E2881" s="6" t="n">
        <v>16</v>
      </c>
      <c r="F2881" s="6" t="n">
        <v>2</v>
      </c>
      <c r="G2881" s="6" t="s">
        <v>76</v>
      </c>
      <c r="H2881" s="11" t="n">
        <v>0.001</v>
      </c>
      <c r="I2881" s="6" t="n">
        <v>20</v>
      </c>
      <c r="J2881" s="6" t="n">
        <v>0</v>
      </c>
      <c r="K2881" s="6" t="n">
        <v>20</v>
      </c>
      <c r="L2881" s="6" t="n">
        <v>0</v>
      </c>
      <c r="M2881" s="6" t="n">
        <v>20</v>
      </c>
      <c r="N2881" s="11" t="n">
        <f aca="false">J2881/(J2881+K2881)</f>
        <v>0</v>
      </c>
      <c r="O2881" s="11" t="str">
        <f aca="false">IF(J2881+L2881=0,"",J2881/(J2881+L2881))</f>
        <v/>
      </c>
      <c r="P2881" s="11" t="n">
        <f aca="false">2*J2881/(2*J2881+L2881+K2881)</f>
        <v>0</v>
      </c>
      <c r="Q2881" s="11" t="n">
        <f aca="false">L2881/(L2881+M2881)</f>
        <v>0</v>
      </c>
      <c r="R2881" s="6" t="n">
        <v>0</v>
      </c>
      <c r="S2881" s="11"/>
      <c r="T2881" s="11" t="n">
        <v>0</v>
      </c>
      <c r="U2881" s="11" t="n">
        <v>0.95</v>
      </c>
      <c r="V2881" s="11" t="n">
        <v>0.95</v>
      </c>
    </row>
    <row r="2882" customFormat="false" ht="15" hidden="false" customHeight="false" outlineLevel="0" collapsed="false">
      <c r="A2882" s="6" t="s">
        <v>56</v>
      </c>
      <c r="B2882" s="6" t="s">
        <v>43</v>
      </c>
      <c r="C2882" s="6" t="s">
        <v>51</v>
      </c>
      <c r="D2882" s="6" t="s">
        <v>118</v>
      </c>
      <c r="E2882" s="6" t="n">
        <v>16</v>
      </c>
      <c r="F2882" s="6" t="n">
        <v>2</v>
      </c>
      <c r="G2882" s="6" t="s">
        <v>77</v>
      </c>
      <c r="H2882" s="11" t="n">
        <v>0.001</v>
      </c>
      <c r="I2882" s="6" t="n">
        <v>20</v>
      </c>
      <c r="J2882" s="6" t="n">
        <v>0</v>
      </c>
      <c r="K2882" s="6" t="n">
        <v>20</v>
      </c>
      <c r="L2882" s="6" t="n">
        <v>0</v>
      </c>
      <c r="M2882" s="6" t="n">
        <v>20</v>
      </c>
      <c r="N2882" s="11" t="n">
        <f aca="false">J2882/(J2882+K2882)</f>
        <v>0</v>
      </c>
      <c r="O2882" s="11" t="str">
        <f aca="false">IF(J2882+L2882=0,"",J2882/(J2882+L2882))</f>
        <v/>
      </c>
      <c r="P2882" s="11" t="n">
        <f aca="false">2*J2882/(2*J2882+L2882+K2882)</f>
        <v>0</v>
      </c>
      <c r="Q2882" s="11" t="n">
        <f aca="false">L2882/(L2882+M2882)</f>
        <v>0</v>
      </c>
      <c r="R2882" s="6" t="n">
        <v>0</v>
      </c>
      <c r="S2882" s="11"/>
      <c r="T2882" s="11" t="n">
        <v>0</v>
      </c>
      <c r="U2882" s="11" t="n">
        <v>1</v>
      </c>
      <c r="V2882" s="11" t="n">
        <v>1</v>
      </c>
    </row>
    <row r="2883" customFormat="false" ht="15" hidden="false" customHeight="false" outlineLevel="0" collapsed="false">
      <c r="A2883" s="6" t="s">
        <v>56</v>
      </c>
      <c r="B2883" s="6" t="s">
        <v>43</v>
      </c>
      <c r="C2883" s="6" t="s">
        <v>51</v>
      </c>
      <c r="D2883" s="6" t="s">
        <v>118</v>
      </c>
      <c r="E2883" s="6" t="n">
        <v>16</v>
      </c>
      <c r="F2883" s="6" t="n">
        <v>2</v>
      </c>
      <c r="G2883" s="6" t="s">
        <v>78</v>
      </c>
      <c r="H2883" s="11" t="n">
        <v>0.001</v>
      </c>
      <c r="I2883" s="6" t="n">
        <v>200</v>
      </c>
      <c r="J2883" s="6" t="n">
        <v>0</v>
      </c>
      <c r="K2883" s="6" t="n">
        <v>200</v>
      </c>
      <c r="L2883" s="6" t="n">
        <v>0</v>
      </c>
      <c r="M2883" s="6" t="n">
        <v>200</v>
      </c>
      <c r="N2883" s="11" t="n">
        <f aca="false">J2883/(J2883+K2883)</f>
        <v>0</v>
      </c>
      <c r="O2883" s="11" t="str">
        <f aca="false">IF(J2883+L2883=0,"",J2883/(J2883+L2883))</f>
        <v/>
      </c>
      <c r="P2883" s="11" t="n">
        <f aca="false">2*J2883/(2*J2883+L2883+K2883)</f>
        <v>0</v>
      </c>
      <c r="Q2883" s="11" t="n">
        <f aca="false">L2883/(L2883+M2883)</f>
        <v>0</v>
      </c>
      <c r="R2883" s="6" t="n">
        <v>0</v>
      </c>
      <c r="S2883" s="11"/>
      <c r="T2883" s="11" t="n">
        <v>0</v>
      </c>
      <c r="U2883" s="11" t="n">
        <v>0.88</v>
      </c>
      <c r="V2883" s="11" t="n">
        <v>0.88</v>
      </c>
    </row>
    <row r="2884" customFormat="false" ht="15" hidden="false" customHeight="false" outlineLevel="0" collapsed="false">
      <c r="A2884" s="6" t="s">
        <v>56</v>
      </c>
      <c r="B2884" s="6" t="s">
        <v>43</v>
      </c>
      <c r="C2884" s="6" t="s">
        <v>51</v>
      </c>
      <c r="D2884" s="6" t="s">
        <v>118</v>
      </c>
      <c r="E2884" s="6" t="n">
        <v>16</v>
      </c>
      <c r="F2884" s="6" t="n">
        <v>3</v>
      </c>
      <c r="G2884" s="6" t="s">
        <v>68</v>
      </c>
      <c r="H2884" s="11" t="n">
        <v>0.001</v>
      </c>
      <c r="I2884" s="6" t="n">
        <v>20</v>
      </c>
      <c r="J2884" s="6" t="n">
        <v>0</v>
      </c>
      <c r="K2884" s="6" t="n">
        <v>20</v>
      </c>
      <c r="L2884" s="6" t="n">
        <v>0</v>
      </c>
      <c r="M2884" s="6" t="n">
        <v>20</v>
      </c>
      <c r="N2884" s="11" t="n">
        <f aca="false">J2884/(J2884+K2884)</f>
        <v>0</v>
      </c>
      <c r="O2884" s="11" t="str">
        <f aca="false">IF(J2884+L2884=0,"",J2884/(J2884+L2884))</f>
        <v/>
      </c>
      <c r="P2884" s="11" t="n">
        <f aca="false">2*J2884/(2*J2884+L2884+K2884)</f>
        <v>0</v>
      </c>
      <c r="Q2884" s="11" t="n">
        <f aca="false">L2884/(L2884+M2884)</f>
        <v>0</v>
      </c>
      <c r="R2884" s="6" t="n">
        <v>0</v>
      </c>
      <c r="S2884" s="11"/>
      <c r="T2884" s="11" t="n">
        <v>0</v>
      </c>
      <c r="U2884" s="11" t="n">
        <v>0.85</v>
      </c>
      <c r="V2884" s="11" t="n">
        <v>0.85</v>
      </c>
    </row>
    <row r="2885" customFormat="false" ht="15" hidden="false" customHeight="false" outlineLevel="0" collapsed="false">
      <c r="A2885" s="6" t="s">
        <v>56</v>
      </c>
      <c r="B2885" s="6" t="s">
        <v>43</v>
      </c>
      <c r="C2885" s="6" t="s">
        <v>51</v>
      </c>
      <c r="D2885" s="6" t="s">
        <v>118</v>
      </c>
      <c r="E2885" s="6" t="n">
        <v>16</v>
      </c>
      <c r="F2885" s="6" t="n">
        <v>3</v>
      </c>
      <c r="G2885" s="6" t="s">
        <v>69</v>
      </c>
      <c r="H2885" s="11" t="n">
        <v>0.001</v>
      </c>
      <c r="I2885" s="6" t="n">
        <v>20</v>
      </c>
      <c r="J2885" s="6" t="n">
        <v>0</v>
      </c>
      <c r="K2885" s="6" t="n">
        <v>20</v>
      </c>
      <c r="L2885" s="6" t="n">
        <v>0</v>
      </c>
      <c r="M2885" s="6" t="n">
        <v>20</v>
      </c>
      <c r="N2885" s="11" t="n">
        <f aca="false">J2885/(J2885+K2885)</f>
        <v>0</v>
      </c>
      <c r="O2885" s="11" t="str">
        <f aca="false">IF(J2885+L2885=0,"",J2885/(J2885+L2885))</f>
        <v/>
      </c>
      <c r="P2885" s="11" t="n">
        <f aca="false">2*J2885/(2*J2885+L2885+K2885)</f>
        <v>0</v>
      </c>
      <c r="Q2885" s="11" t="n">
        <f aca="false">L2885/(L2885+M2885)</f>
        <v>0</v>
      </c>
      <c r="R2885" s="6" t="n">
        <v>0</v>
      </c>
      <c r="S2885" s="11"/>
      <c r="T2885" s="11" t="n">
        <v>0</v>
      </c>
      <c r="U2885" s="11" t="n">
        <v>1</v>
      </c>
      <c r="V2885" s="11" t="n">
        <v>1</v>
      </c>
    </row>
    <row r="2886" customFormat="false" ht="15" hidden="false" customHeight="false" outlineLevel="0" collapsed="false">
      <c r="A2886" s="6" t="s">
        <v>56</v>
      </c>
      <c r="B2886" s="6" t="s">
        <v>43</v>
      </c>
      <c r="C2886" s="6" t="s">
        <v>51</v>
      </c>
      <c r="D2886" s="6" t="s">
        <v>118</v>
      </c>
      <c r="E2886" s="6" t="n">
        <v>16</v>
      </c>
      <c r="F2886" s="6" t="n">
        <v>3</v>
      </c>
      <c r="G2886" s="6" t="s">
        <v>70</v>
      </c>
      <c r="H2886" s="11" t="n">
        <v>0.001</v>
      </c>
      <c r="I2886" s="6" t="n">
        <v>20</v>
      </c>
      <c r="J2886" s="6" t="n">
        <v>0</v>
      </c>
      <c r="K2886" s="6" t="n">
        <v>20</v>
      </c>
      <c r="L2886" s="6" t="n">
        <v>0</v>
      </c>
      <c r="M2886" s="6" t="n">
        <v>20</v>
      </c>
      <c r="N2886" s="11" t="n">
        <f aca="false">J2886/(J2886+K2886)</f>
        <v>0</v>
      </c>
      <c r="O2886" s="11" t="str">
        <f aca="false">IF(J2886+L2886=0,"",J2886/(J2886+L2886))</f>
        <v/>
      </c>
      <c r="P2886" s="11" t="n">
        <f aca="false">2*J2886/(2*J2886+L2886+K2886)</f>
        <v>0</v>
      </c>
      <c r="Q2886" s="11" t="n">
        <f aca="false">L2886/(L2886+M2886)</f>
        <v>0</v>
      </c>
      <c r="R2886" s="6" t="n">
        <v>0</v>
      </c>
      <c r="S2886" s="11"/>
      <c r="T2886" s="11" t="n">
        <v>0</v>
      </c>
      <c r="U2886" s="11" t="n">
        <v>0.9</v>
      </c>
      <c r="V2886" s="11" t="n">
        <v>0.9</v>
      </c>
    </row>
    <row r="2887" customFormat="false" ht="15" hidden="false" customHeight="false" outlineLevel="0" collapsed="false">
      <c r="A2887" s="6" t="s">
        <v>56</v>
      </c>
      <c r="B2887" s="6" t="s">
        <v>43</v>
      </c>
      <c r="C2887" s="6" t="s">
        <v>51</v>
      </c>
      <c r="D2887" s="6" t="s">
        <v>118</v>
      </c>
      <c r="E2887" s="6" t="n">
        <v>16</v>
      </c>
      <c r="F2887" s="6" t="n">
        <v>3</v>
      </c>
      <c r="G2887" s="6" t="s">
        <v>71</v>
      </c>
      <c r="H2887" s="11" t="n">
        <v>0.001</v>
      </c>
      <c r="I2887" s="6" t="n">
        <v>20</v>
      </c>
      <c r="J2887" s="6" t="n">
        <v>0</v>
      </c>
      <c r="K2887" s="6" t="n">
        <v>20</v>
      </c>
      <c r="L2887" s="6" t="n">
        <v>0</v>
      </c>
      <c r="M2887" s="6" t="n">
        <v>20</v>
      </c>
      <c r="N2887" s="11" t="n">
        <f aca="false">J2887/(J2887+K2887)</f>
        <v>0</v>
      </c>
      <c r="O2887" s="11" t="str">
        <f aca="false">IF(J2887+L2887=0,"",J2887/(J2887+L2887))</f>
        <v/>
      </c>
      <c r="P2887" s="11" t="n">
        <f aca="false">2*J2887/(2*J2887+L2887+K2887)</f>
        <v>0</v>
      </c>
      <c r="Q2887" s="11" t="n">
        <f aca="false">L2887/(L2887+M2887)</f>
        <v>0</v>
      </c>
      <c r="R2887" s="6" t="n">
        <v>0</v>
      </c>
      <c r="S2887" s="11"/>
      <c r="T2887" s="11" t="n">
        <v>0</v>
      </c>
      <c r="U2887" s="11" t="n">
        <v>0.8</v>
      </c>
      <c r="V2887" s="11" t="n">
        <v>0.8</v>
      </c>
    </row>
    <row r="2888" customFormat="false" ht="15" hidden="false" customHeight="false" outlineLevel="0" collapsed="false">
      <c r="A2888" s="6" t="s">
        <v>56</v>
      </c>
      <c r="B2888" s="6" t="s">
        <v>43</v>
      </c>
      <c r="C2888" s="6" t="s">
        <v>51</v>
      </c>
      <c r="D2888" s="6" t="s">
        <v>118</v>
      </c>
      <c r="E2888" s="6" t="n">
        <v>16</v>
      </c>
      <c r="F2888" s="6" t="n">
        <v>3</v>
      </c>
      <c r="G2888" s="6" t="s">
        <v>72</v>
      </c>
      <c r="H2888" s="11" t="n">
        <v>0.001</v>
      </c>
      <c r="I2888" s="6" t="n">
        <v>20</v>
      </c>
      <c r="J2888" s="6" t="n">
        <v>0</v>
      </c>
      <c r="K2888" s="6" t="n">
        <v>20</v>
      </c>
      <c r="L2888" s="6" t="n">
        <v>0</v>
      </c>
      <c r="M2888" s="6" t="n">
        <v>20</v>
      </c>
      <c r="N2888" s="11" t="n">
        <f aca="false">J2888/(J2888+K2888)</f>
        <v>0</v>
      </c>
      <c r="O2888" s="11" t="str">
        <f aca="false">IF(J2888+L2888=0,"",J2888/(J2888+L2888))</f>
        <v/>
      </c>
      <c r="P2888" s="11" t="n">
        <f aca="false">2*J2888/(2*J2888+L2888+K2888)</f>
        <v>0</v>
      </c>
      <c r="Q2888" s="11" t="n">
        <f aca="false">L2888/(L2888+M2888)</f>
        <v>0</v>
      </c>
      <c r="R2888" s="6" t="n">
        <v>0</v>
      </c>
      <c r="S2888" s="11"/>
      <c r="T2888" s="11" t="n">
        <v>0</v>
      </c>
      <c r="U2888" s="11" t="n">
        <v>0.9</v>
      </c>
      <c r="V2888" s="11" t="n">
        <v>0.9</v>
      </c>
    </row>
    <row r="2889" customFormat="false" ht="15" hidden="false" customHeight="false" outlineLevel="0" collapsed="false">
      <c r="A2889" s="6" t="s">
        <v>56</v>
      </c>
      <c r="B2889" s="6" t="s">
        <v>43</v>
      </c>
      <c r="C2889" s="6" t="s">
        <v>51</v>
      </c>
      <c r="D2889" s="6" t="s">
        <v>118</v>
      </c>
      <c r="E2889" s="6" t="n">
        <v>16</v>
      </c>
      <c r="F2889" s="6" t="n">
        <v>3</v>
      </c>
      <c r="G2889" s="6" t="s">
        <v>73</v>
      </c>
      <c r="H2889" s="11" t="n">
        <v>0.001</v>
      </c>
      <c r="I2889" s="6" t="n">
        <v>20</v>
      </c>
      <c r="J2889" s="6" t="n">
        <v>0</v>
      </c>
      <c r="K2889" s="6" t="n">
        <v>20</v>
      </c>
      <c r="L2889" s="6" t="n">
        <v>0</v>
      </c>
      <c r="M2889" s="6" t="n">
        <v>20</v>
      </c>
      <c r="N2889" s="11" t="n">
        <f aca="false">J2889/(J2889+K2889)</f>
        <v>0</v>
      </c>
      <c r="O2889" s="11" t="str">
        <f aca="false">IF(J2889+L2889=0,"",J2889/(J2889+L2889))</f>
        <v/>
      </c>
      <c r="P2889" s="11" t="n">
        <f aca="false">2*J2889/(2*J2889+L2889+K2889)</f>
        <v>0</v>
      </c>
      <c r="Q2889" s="11" t="n">
        <f aca="false">L2889/(L2889+M2889)</f>
        <v>0</v>
      </c>
      <c r="R2889" s="6" t="n">
        <v>0</v>
      </c>
      <c r="S2889" s="11"/>
      <c r="T2889" s="11" t="n">
        <v>0</v>
      </c>
      <c r="U2889" s="11" t="n">
        <v>0.65</v>
      </c>
      <c r="V2889" s="11" t="n">
        <v>0.65</v>
      </c>
    </row>
    <row r="2890" customFormat="false" ht="15" hidden="false" customHeight="false" outlineLevel="0" collapsed="false">
      <c r="A2890" s="6" t="s">
        <v>56</v>
      </c>
      <c r="B2890" s="6" t="s">
        <v>43</v>
      </c>
      <c r="C2890" s="6" t="s">
        <v>51</v>
      </c>
      <c r="D2890" s="6" t="s">
        <v>118</v>
      </c>
      <c r="E2890" s="6" t="n">
        <v>16</v>
      </c>
      <c r="F2890" s="6" t="n">
        <v>3</v>
      </c>
      <c r="G2890" s="6" t="s">
        <v>74</v>
      </c>
      <c r="H2890" s="11" t="n">
        <v>0.001</v>
      </c>
      <c r="I2890" s="6" t="n">
        <v>20</v>
      </c>
      <c r="J2890" s="6" t="n">
        <v>0</v>
      </c>
      <c r="K2890" s="6" t="n">
        <v>20</v>
      </c>
      <c r="L2890" s="6" t="n">
        <v>0</v>
      </c>
      <c r="M2890" s="6" t="n">
        <v>20</v>
      </c>
      <c r="N2890" s="11" t="n">
        <f aca="false">J2890/(J2890+K2890)</f>
        <v>0</v>
      </c>
      <c r="O2890" s="11" t="str">
        <f aca="false">IF(J2890+L2890=0,"",J2890/(J2890+L2890))</f>
        <v/>
      </c>
      <c r="P2890" s="11" t="n">
        <f aca="false">2*J2890/(2*J2890+L2890+K2890)</f>
        <v>0</v>
      </c>
      <c r="Q2890" s="11" t="n">
        <f aca="false">L2890/(L2890+M2890)</f>
        <v>0</v>
      </c>
      <c r="R2890" s="6" t="n">
        <v>0</v>
      </c>
      <c r="S2890" s="11"/>
      <c r="T2890" s="11" t="n">
        <v>0</v>
      </c>
      <c r="U2890" s="11" t="n">
        <v>0.85</v>
      </c>
      <c r="V2890" s="11" t="n">
        <v>0.85</v>
      </c>
    </row>
    <row r="2891" customFormat="false" ht="15" hidden="false" customHeight="false" outlineLevel="0" collapsed="false">
      <c r="A2891" s="6" t="s">
        <v>56</v>
      </c>
      <c r="B2891" s="6" t="s">
        <v>43</v>
      </c>
      <c r="C2891" s="6" t="s">
        <v>51</v>
      </c>
      <c r="D2891" s="6" t="s">
        <v>118</v>
      </c>
      <c r="E2891" s="6" t="n">
        <v>16</v>
      </c>
      <c r="F2891" s="6" t="n">
        <v>3</v>
      </c>
      <c r="G2891" s="6" t="s">
        <v>75</v>
      </c>
      <c r="H2891" s="11" t="n">
        <v>0.001</v>
      </c>
      <c r="I2891" s="6" t="n">
        <v>20</v>
      </c>
      <c r="J2891" s="6" t="n">
        <v>0</v>
      </c>
      <c r="K2891" s="6" t="n">
        <v>20</v>
      </c>
      <c r="L2891" s="6" t="n">
        <v>0</v>
      </c>
      <c r="M2891" s="6" t="n">
        <v>20</v>
      </c>
      <c r="N2891" s="11" t="n">
        <f aca="false">J2891/(J2891+K2891)</f>
        <v>0</v>
      </c>
      <c r="O2891" s="11" t="str">
        <f aca="false">IF(J2891+L2891=0,"",J2891/(J2891+L2891))</f>
        <v/>
      </c>
      <c r="P2891" s="11" t="n">
        <f aca="false">2*J2891/(2*J2891+L2891+K2891)</f>
        <v>0</v>
      </c>
      <c r="Q2891" s="11" t="n">
        <f aca="false">L2891/(L2891+M2891)</f>
        <v>0</v>
      </c>
      <c r="R2891" s="6" t="n">
        <v>0</v>
      </c>
      <c r="S2891" s="11"/>
      <c r="T2891" s="11" t="n">
        <v>0</v>
      </c>
      <c r="U2891" s="11" t="n">
        <v>0.9</v>
      </c>
      <c r="V2891" s="11" t="n">
        <v>0.9</v>
      </c>
    </row>
    <row r="2892" customFormat="false" ht="15" hidden="false" customHeight="false" outlineLevel="0" collapsed="false">
      <c r="A2892" s="6" t="s">
        <v>56</v>
      </c>
      <c r="B2892" s="6" t="s">
        <v>43</v>
      </c>
      <c r="C2892" s="6" t="s">
        <v>51</v>
      </c>
      <c r="D2892" s="6" t="s">
        <v>118</v>
      </c>
      <c r="E2892" s="6" t="n">
        <v>16</v>
      </c>
      <c r="F2892" s="6" t="n">
        <v>3</v>
      </c>
      <c r="G2892" s="6" t="s">
        <v>76</v>
      </c>
      <c r="H2892" s="11" t="n">
        <v>0.001</v>
      </c>
      <c r="I2892" s="6" t="n">
        <v>20</v>
      </c>
      <c r="J2892" s="6" t="n">
        <v>0</v>
      </c>
      <c r="K2892" s="6" t="n">
        <v>20</v>
      </c>
      <c r="L2892" s="6" t="n">
        <v>0</v>
      </c>
      <c r="M2892" s="6" t="n">
        <v>20</v>
      </c>
      <c r="N2892" s="11" t="n">
        <f aca="false">J2892/(J2892+K2892)</f>
        <v>0</v>
      </c>
      <c r="O2892" s="11" t="str">
        <f aca="false">IF(J2892+L2892=0,"",J2892/(J2892+L2892))</f>
        <v/>
      </c>
      <c r="P2892" s="11" t="n">
        <f aca="false">2*J2892/(2*J2892+L2892+K2892)</f>
        <v>0</v>
      </c>
      <c r="Q2892" s="11" t="n">
        <f aca="false">L2892/(L2892+M2892)</f>
        <v>0</v>
      </c>
      <c r="R2892" s="6" t="n">
        <v>0</v>
      </c>
      <c r="S2892" s="11"/>
      <c r="T2892" s="11" t="n">
        <v>0</v>
      </c>
      <c r="U2892" s="11" t="n">
        <v>0.95</v>
      </c>
      <c r="V2892" s="11" t="n">
        <v>0.95</v>
      </c>
    </row>
    <row r="2893" customFormat="false" ht="15" hidden="false" customHeight="false" outlineLevel="0" collapsed="false">
      <c r="A2893" s="6" t="s">
        <v>56</v>
      </c>
      <c r="B2893" s="6" t="s">
        <v>43</v>
      </c>
      <c r="C2893" s="6" t="s">
        <v>51</v>
      </c>
      <c r="D2893" s="6" t="s">
        <v>118</v>
      </c>
      <c r="E2893" s="6" t="n">
        <v>16</v>
      </c>
      <c r="F2893" s="6" t="n">
        <v>3</v>
      </c>
      <c r="G2893" s="6" t="s">
        <v>77</v>
      </c>
      <c r="H2893" s="11" t="n">
        <v>0.001</v>
      </c>
      <c r="I2893" s="6" t="n">
        <v>20</v>
      </c>
      <c r="J2893" s="6" t="n">
        <v>0</v>
      </c>
      <c r="K2893" s="6" t="n">
        <v>20</v>
      </c>
      <c r="L2893" s="6" t="n">
        <v>0</v>
      </c>
      <c r="M2893" s="6" t="n">
        <v>20</v>
      </c>
      <c r="N2893" s="11" t="n">
        <f aca="false">J2893/(J2893+K2893)</f>
        <v>0</v>
      </c>
      <c r="O2893" s="11" t="str">
        <f aca="false">IF(J2893+L2893=0,"",J2893/(J2893+L2893))</f>
        <v/>
      </c>
      <c r="P2893" s="11" t="n">
        <f aca="false">2*J2893/(2*J2893+L2893+K2893)</f>
        <v>0</v>
      </c>
      <c r="Q2893" s="11" t="n">
        <f aca="false">L2893/(L2893+M2893)</f>
        <v>0</v>
      </c>
      <c r="R2893" s="6" t="n">
        <v>0</v>
      </c>
      <c r="S2893" s="11"/>
      <c r="T2893" s="11" t="n">
        <v>0</v>
      </c>
      <c r="U2893" s="11" t="n">
        <v>1</v>
      </c>
      <c r="V2893" s="11" t="n">
        <v>1</v>
      </c>
    </row>
    <row r="2894" customFormat="false" ht="15" hidden="false" customHeight="false" outlineLevel="0" collapsed="false">
      <c r="A2894" s="6" t="s">
        <v>56</v>
      </c>
      <c r="B2894" s="6" t="s">
        <v>43</v>
      </c>
      <c r="C2894" s="6" t="s">
        <v>51</v>
      </c>
      <c r="D2894" s="6" t="s">
        <v>118</v>
      </c>
      <c r="E2894" s="6" t="n">
        <v>16</v>
      </c>
      <c r="F2894" s="6" t="n">
        <v>3</v>
      </c>
      <c r="G2894" s="6" t="s">
        <v>78</v>
      </c>
      <c r="H2894" s="11" t="n">
        <v>0.001</v>
      </c>
      <c r="I2894" s="6" t="n">
        <v>200</v>
      </c>
      <c r="J2894" s="6" t="n">
        <v>0</v>
      </c>
      <c r="K2894" s="6" t="n">
        <v>200</v>
      </c>
      <c r="L2894" s="6" t="n">
        <v>0</v>
      </c>
      <c r="M2894" s="6" t="n">
        <v>200</v>
      </c>
      <c r="N2894" s="11" t="n">
        <f aca="false">J2894/(J2894+K2894)</f>
        <v>0</v>
      </c>
      <c r="O2894" s="11" t="str">
        <f aca="false">IF(J2894+L2894=0,"",J2894/(J2894+L2894))</f>
        <v/>
      </c>
      <c r="P2894" s="11" t="n">
        <f aca="false">2*J2894/(2*J2894+L2894+K2894)</f>
        <v>0</v>
      </c>
      <c r="Q2894" s="11" t="n">
        <f aca="false">L2894/(L2894+M2894)</f>
        <v>0</v>
      </c>
      <c r="R2894" s="6" t="n">
        <v>0</v>
      </c>
      <c r="S2894" s="11"/>
      <c r="T2894" s="11" t="n">
        <v>0</v>
      </c>
      <c r="U2894" s="11" t="n">
        <v>0.88</v>
      </c>
      <c r="V2894" s="11" t="n">
        <v>0.88</v>
      </c>
    </row>
    <row r="2895" customFormat="false" ht="15" hidden="false" customHeight="false" outlineLevel="0" collapsed="false">
      <c r="A2895" s="6" t="s">
        <v>56</v>
      </c>
      <c r="B2895" s="6" t="s">
        <v>43</v>
      </c>
      <c r="C2895" s="6" t="s">
        <v>51</v>
      </c>
      <c r="D2895" s="6" t="s">
        <v>118</v>
      </c>
      <c r="E2895" s="6" t="n">
        <v>16</v>
      </c>
      <c r="F2895" s="6" t="n">
        <v>4</v>
      </c>
      <c r="G2895" s="6" t="s">
        <v>68</v>
      </c>
      <c r="H2895" s="11" t="n">
        <v>0.001</v>
      </c>
      <c r="I2895" s="6" t="n">
        <v>20</v>
      </c>
      <c r="J2895" s="6" t="n">
        <v>0</v>
      </c>
      <c r="K2895" s="6" t="n">
        <v>20</v>
      </c>
      <c r="L2895" s="6" t="n">
        <v>0</v>
      </c>
      <c r="M2895" s="6" t="n">
        <v>20</v>
      </c>
      <c r="N2895" s="11" t="n">
        <f aca="false">J2895/(J2895+K2895)</f>
        <v>0</v>
      </c>
      <c r="O2895" s="11" t="str">
        <f aca="false">IF(J2895+L2895=0,"",J2895/(J2895+L2895))</f>
        <v/>
      </c>
      <c r="P2895" s="11" t="n">
        <f aca="false">2*J2895/(2*J2895+L2895+K2895)</f>
        <v>0</v>
      </c>
      <c r="Q2895" s="11" t="n">
        <f aca="false">L2895/(L2895+M2895)</f>
        <v>0</v>
      </c>
      <c r="R2895" s="6" t="n">
        <v>0</v>
      </c>
      <c r="S2895" s="11"/>
      <c r="T2895" s="11" t="n">
        <v>0</v>
      </c>
      <c r="U2895" s="11" t="n">
        <v>0.85</v>
      </c>
      <c r="V2895" s="11" t="n">
        <v>0.85</v>
      </c>
    </row>
    <row r="2896" customFormat="false" ht="15" hidden="false" customHeight="false" outlineLevel="0" collapsed="false">
      <c r="A2896" s="6" t="s">
        <v>56</v>
      </c>
      <c r="B2896" s="6" t="s">
        <v>43</v>
      </c>
      <c r="C2896" s="6" t="s">
        <v>51</v>
      </c>
      <c r="D2896" s="6" t="s">
        <v>118</v>
      </c>
      <c r="E2896" s="6" t="n">
        <v>16</v>
      </c>
      <c r="F2896" s="6" t="n">
        <v>4</v>
      </c>
      <c r="G2896" s="6" t="s">
        <v>69</v>
      </c>
      <c r="H2896" s="11" t="n">
        <v>0.001</v>
      </c>
      <c r="I2896" s="6" t="n">
        <v>20</v>
      </c>
      <c r="J2896" s="6" t="n">
        <v>0</v>
      </c>
      <c r="K2896" s="6" t="n">
        <v>20</v>
      </c>
      <c r="L2896" s="6" t="n">
        <v>0</v>
      </c>
      <c r="M2896" s="6" t="n">
        <v>20</v>
      </c>
      <c r="N2896" s="11" t="n">
        <f aca="false">J2896/(J2896+K2896)</f>
        <v>0</v>
      </c>
      <c r="O2896" s="11" t="str">
        <f aca="false">IF(J2896+L2896=0,"",J2896/(J2896+L2896))</f>
        <v/>
      </c>
      <c r="P2896" s="11" t="n">
        <f aca="false">2*J2896/(2*J2896+L2896+K2896)</f>
        <v>0</v>
      </c>
      <c r="Q2896" s="11" t="n">
        <f aca="false">L2896/(L2896+M2896)</f>
        <v>0</v>
      </c>
      <c r="R2896" s="6" t="n">
        <v>0</v>
      </c>
      <c r="S2896" s="11"/>
      <c r="T2896" s="11" t="n">
        <v>0</v>
      </c>
      <c r="U2896" s="11" t="n">
        <v>1</v>
      </c>
      <c r="V2896" s="11" t="n">
        <v>1</v>
      </c>
    </row>
    <row r="2897" customFormat="false" ht="15" hidden="false" customHeight="false" outlineLevel="0" collapsed="false">
      <c r="A2897" s="6" t="s">
        <v>56</v>
      </c>
      <c r="B2897" s="6" t="s">
        <v>43</v>
      </c>
      <c r="C2897" s="6" t="s">
        <v>51</v>
      </c>
      <c r="D2897" s="6" t="s">
        <v>118</v>
      </c>
      <c r="E2897" s="6" t="n">
        <v>16</v>
      </c>
      <c r="F2897" s="6" t="n">
        <v>4</v>
      </c>
      <c r="G2897" s="6" t="s">
        <v>70</v>
      </c>
      <c r="H2897" s="11" t="n">
        <v>0.001</v>
      </c>
      <c r="I2897" s="6" t="n">
        <v>20</v>
      </c>
      <c r="J2897" s="6" t="n">
        <v>0</v>
      </c>
      <c r="K2897" s="6" t="n">
        <v>20</v>
      </c>
      <c r="L2897" s="6" t="n">
        <v>0</v>
      </c>
      <c r="M2897" s="6" t="n">
        <v>20</v>
      </c>
      <c r="N2897" s="11" t="n">
        <f aca="false">J2897/(J2897+K2897)</f>
        <v>0</v>
      </c>
      <c r="O2897" s="11" t="str">
        <f aca="false">IF(J2897+L2897=0,"",J2897/(J2897+L2897))</f>
        <v/>
      </c>
      <c r="P2897" s="11" t="n">
        <f aca="false">2*J2897/(2*J2897+L2897+K2897)</f>
        <v>0</v>
      </c>
      <c r="Q2897" s="11" t="n">
        <f aca="false">L2897/(L2897+M2897)</f>
        <v>0</v>
      </c>
      <c r="R2897" s="6" t="n">
        <v>0</v>
      </c>
      <c r="S2897" s="11"/>
      <c r="T2897" s="11" t="n">
        <v>0</v>
      </c>
      <c r="U2897" s="11" t="n">
        <v>0.9</v>
      </c>
      <c r="V2897" s="11" t="n">
        <v>0.9</v>
      </c>
    </row>
    <row r="2898" customFormat="false" ht="15" hidden="false" customHeight="false" outlineLevel="0" collapsed="false">
      <c r="A2898" s="6" t="s">
        <v>56</v>
      </c>
      <c r="B2898" s="6" t="s">
        <v>43</v>
      </c>
      <c r="C2898" s="6" t="s">
        <v>51</v>
      </c>
      <c r="D2898" s="6" t="s">
        <v>118</v>
      </c>
      <c r="E2898" s="6" t="n">
        <v>16</v>
      </c>
      <c r="F2898" s="6" t="n">
        <v>4</v>
      </c>
      <c r="G2898" s="6" t="s">
        <v>71</v>
      </c>
      <c r="H2898" s="11" t="n">
        <v>0.001</v>
      </c>
      <c r="I2898" s="6" t="n">
        <v>20</v>
      </c>
      <c r="J2898" s="6" t="n">
        <v>0</v>
      </c>
      <c r="K2898" s="6" t="n">
        <v>20</v>
      </c>
      <c r="L2898" s="6" t="n">
        <v>0</v>
      </c>
      <c r="M2898" s="6" t="n">
        <v>20</v>
      </c>
      <c r="N2898" s="11" t="n">
        <f aca="false">J2898/(J2898+K2898)</f>
        <v>0</v>
      </c>
      <c r="O2898" s="11" t="str">
        <f aca="false">IF(J2898+L2898=0,"",J2898/(J2898+L2898))</f>
        <v/>
      </c>
      <c r="P2898" s="11" t="n">
        <f aca="false">2*J2898/(2*J2898+L2898+K2898)</f>
        <v>0</v>
      </c>
      <c r="Q2898" s="11" t="n">
        <f aca="false">L2898/(L2898+M2898)</f>
        <v>0</v>
      </c>
      <c r="R2898" s="6" t="n">
        <v>0</v>
      </c>
      <c r="S2898" s="11"/>
      <c r="T2898" s="11" t="n">
        <v>0</v>
      </c>
      <c r="U2898" s="11" t="n">
        <v>0.8</v>
      </c>
      <c r="V2898" s="11" t="n">
        <v>0.8</v>
      </c>
    </row>
    <row r="2899" customFormat="false" ht="15" hidden="false" customHeight="false" outlineLevel="0" collapsed="false">
      <c r="A2899" s="6" t="s">
        <v>56</v>
      </c>
      <c r="B2899" s="6" t="s">
        <v>43</v>
      </c>
      <c r="C2899" s="6" t="s">
        <v>51</v>
      </c>
      <c r="D2899" s="6" t="s">
        <v>118</v>
      </c>
      <c r="E2899" s="6" t="n">
        <v>16</v>
      </c>
      <c r="F2899" s="6" t="n">
        <v>4</v>
      </c>
      <c r="G2899" s="6" t="s">
        <v>72</v>
      </c>
      <c r="H2899" s="11" t="n">
        <v>0.001</v>
      </c>
      <c r="I2899" s="6" t="n">
        <v>20</v>
      </c>
      <c r="J2899" s="6" t="n">
        <v>0</v>
      </c>
      <c r="K2899" s="6" t="n">
        <v>20</v>
      </c>
      <c r="L2899" s="6" t="n">
        <v>0</v>
      </c>
      <c r="M2899" s="6" t="n">
        <v>20</v>
      </c>
      <c r="N2899" s="11" t="n">
        <f aca="false">J2899/(J2899+K2899)</f>
        <v>0</v>
      </c>
      <c r="O2899" s="11" t="str">
        <f aca="false">IF(J2899+L2899=0,"",J2899/(J2899+L2899))</f>
        <v/>
      </c>
      <c r="P2899" s="11" t="n">
        <f aca="false">2*J2899/(2*J2899+L2899+K2899)</f>
        <v>0</v>
      </c>
      <c r="Q2899" s="11" t="n">
        <f aca="false">L2899/(L2899+M2899)</f>
        <v>0</v>
      </c>
      <c r="R2899" s="6" t="n">
        <v>0</v>
      </c>
      <c r="S2899" s="11"/>
      <c r="T2899" s="11" t="n">
        <v>0</v>
      </c>
      <c r="U2899" s="11" t="n">
        <v>0.9</v>
      </c>
      <c r="V2899" s="11" t="n">
        <v>0.9</v>
      </c>
    </row>
    <row r="2900" customFormat="false" ht="15" hidden="false" customHeight="false" outlineLevel="0" collapsed="false">
      <c r="A2900" s="6" t="s">
        <v>56</v>
      </c>
      <c r="B2900" s="6" t="s">
        <v>43</v>
      </c>
      <c r="C2900" s="6" t="s">
        <v>51</v>
      </c>
      <c r="D2900" s="6" t="s">
        <v>118</v>
      </c>
      <c r="E2900" s="6" t="n">
        <v>16</v>
      </c>
      <c r="F2900" s="6" t="n">
        <v>4</v>
      </c>
      <c r="G2900" s="6" t="s">
        <v>73</v>
      </c>
      <c r="H2900" s="11" t="n">
        <v>0.001</v>
      </c>
      <c r="I2900" s="6" t="n">
        <v>20</v>
      </c>
      <c r="J2900" s="6" t="n">
        <v>0</v>
      </c>
      <c r="K2900" s="6" t="n">
        <v>20</v>
      </c>
      <c r="L2900" s="6" t="n">
        <v>0</v>
      </c>
      <c r="M2900" s="6" t="n">
        <v>20</v>
      </c>
      <c r="N2900" s="11" t="n">
        <f aca="false">J2900/(J2900+K2900)</f>
        <v>0</v>
      </c>
      <c r="O2900" s="11" t="str">
        <f aca="false">IF(J2900+L2900=0,"",J2900/(J2900+L2900))</f>
        <v/>
      </c>
      <c r="P2900" s="11" t="n">
        <f aca="false">2*J2900/(2*J2900+L2900+K2900)</f>
        <v>0</v>
      </c>
      <c r="Q2900" s="11" t="n">
        <f aca="false">L2900/(L2900+M2900)</f>
        <v>0</v>
      </c>
      <c r="R2900" s="6" t="n">
        <v>0</v>
      </c>
      <c r="S2900" s="11"/>
      <c r="T2900" s="11" t="n">
        <v>0</v>
      </c>
      <c r="U2900" s="11" t="n">
        <v>0.65</v>
      </c>
      <c r="V2900" s="11" t="n">
        <v>0.65</v>
      </c>
    </row>
    <row r="2901" customFormat="false" ht="15" hidden="false" customHeight="false" outlineLevel="0" collapsed="false">
      <c r="A2901" s="6" t="s">
        <v>56</v>
      </c>
      <c r="B2901" s="6" t="s">
        <v>43</v>
      </c>
      <c r="C2901" s="6" t="s">
        <v>51</v>
      </c>
      <c r="D2901" s="6" t="s">
        <v>118</v>
      </c>
      <c r="E2901" s="6" t="n">
        <v>16</v>
      </c>
      <c r="F2901" s="6" t="n">
        <v>4</v>
      </c>
      <c r="G2901" s="6" t="s">
        <v>74</v>
      </c>
      <c r="H2901" s="11" t="n">
        <v>0.001</v>
      </c>
      <c r="I2901" s="6" t="n">
        <v>20</v>
      </c>
      <c r="J2901" s="6" t="n">
        <v>0</v>
      </c>
      <c r="K2901" s="6" t="n">
        <v>20</v>
      </c>
      <c r="L2901" s="6" t="n">
        <v>0</v>
      </c>
      <c r="M2901" s="6" t="n">
        <v>20</v>
      </c>
      <c r="N2901" s="11" t="n">
        <f aca="false">J2901/(J2901+K2901)</f>
        <v>0</v>
      </c>
      <c r="O2901" s="11" t="str">
        <f aca="false">IF(J2901+L2901=0,"",J2901/(J2901+L2901))</f>
        <v/>
      </c>
      <c r="P2901" s="11" t="n">
        <f aca="false">2*J2901/(2*J2901+L2901+K2901)</f>
        <v>0</v>
      </c>
      <c r="Q2901" s="11" t="n">
        <f aca="false">L2901/(L2901+M2901)</f>
        <v>0</v>
      </c>
      <c r="R2901" s="6" t="n">
        <v>0</v>
      </c>
      <c r="S2901" s="11"/>
      <c r="T2901" s="11" t="n">
        <v>0</v>
      </c>
      <c r="U2901" s="11" t="n">
        <v>0.85</v>
      </c>
      <c r="V2901" s="11" t="n">
        <v>0.85</v>
      </c>
    </row>
    <row r="2902" customFormat="false" ht="15" hidden="false" customHeight="false" outlineLevel="0" collapsed="false">
      <c r="A2902" s="6" t="s">
        <v>56</v>
      </c>
      <c r="B2902" s="6" t="s">
        <v>43</v>
      </c>
      <c r="C2902" s="6" t="s">
        <v>51</v>
      </c>
      <c r="D2902" s="6" t="s">
        <v>118</v>
      </c>
      <c r="E2902" s="6" t="n">
        <v>16</v>
      </c>
      <c r="F2902" s="6" t="n">
        <v>4</v>
      </c>
      <c r="G2902" s="6" t="s">
        <v>75</v>
      </c>
      <c r="H2902" s="11" t="n">
        <v>0.001</v>
      </c>
      <c r="I2902" s="6" t="n">
        <v>20</v>
      </c>
      <c r="J2902" s="6" t="n">
        <v>0</v>
      </c>
      <c r="K2902" s="6" t="n">
        <v>20</v>
      </c>
      <c r="L2902" s="6" t="n">
        <v>0</v>
      </c>
      <c r="M2902" s="6" t="n">
        <v>20</v>
      </c>
      <c r="N2902" s="11" t="n">
        <f aca="false">J2902/(J2902+K2902)</f>
        <v>0</v>
      </c>
      <c r="O2902" s="11" t="str">
        <f aca="false">IF(J2902+L2902=0,"",J2902/(J2902+L2902))</f>
        <v/>
      </c>
      <c r="P2902" s="11" t="n">
        <f aca="false">2*J2902/(2*J2902+L2902+K2902)</f>
        <v>0</v>
      </c>
      <c r="Q2902" s="11" t="n">
        <f aca="false">L2902/(L2902+M2902)</f>
        <v>0</v>
      </c>
      <c r="R2902" s="6" t="n">
        <v>0</v>
      </c>
      <c r="S2902" s="11"/>
      <c r="T2902" s="11" t="n">
        <v>0</v>
      </c>
      <c r="U2902" s="11" t="n">
        <v>0.9</v>
      </c>
      <c r="V2902" s="11" t="n">
        <v>0.9</v>
      </c>
    </row>
    <row r="2903" customFormat="false" ht="15" hidden="false" customHeight="false" outlineLevel="0" collapsed="false">
      <c r="A2903" s="6" t="s">
        <v>56</v>
      </c>
      <c r="B2903" s="6" t="s">
        <v>43</v>
      </c>
      <c r="C2903" s="6" t="s">
        <v>51</v>
      </c>
      <c r="D2903" s="6" t="s">
        <v>118</v>
      </c>
      <c r="E2903" s="6" t="n">
        <v>16</v>
      </c>
      <c r="F2903" s="6" t="n">
        <v>4</v>
      </c>
      <c r="G2903" s="6" t="s">
        <v>76</v>
      </c>
      <c r="H2903" s="11" t="n">
        <v>0.001</v>
      </c>
      <c r="I2903" s="6" t="n">
        <v>20</v>
      </c>
      <c r="J2903" s="6" t="n">
        <v>0</v>
      </c>
      <c r="K2903" s="6" t="n">
        <v>20</v>
      </c>
      <c r="L2903" s="6" t="n">
        <v>0</v>
      </c>
      <c r="M2903" s="6" t="n">
        <v>20</v>
      </c>
      <c r="N2903" s="11" t="n">
        <f aca="false">J2903/(J2903+K2903)</f>
        <v>0</v>
      </c>
      <c r="O2903" s="11" t="str">
        <f aca="false">IF(J2903+L2903=0,"",J2903/(J2903+L2903))</f>
        <v/>
      </c>
      <c r="P2903" s="11" t="n">
        <f aca="false">2*J2903/(2*J2903+L2903+K2903)</f>
        <v>0</v>
      </c>
      <c r="Q2903" s="11" t="n">
        <f aca="false">L2903/(L2903+M2903)</f>
        <v>0</v>
      </c>
      <c r="R2903" s="6" t="n">
        <v>0</v>
      </c>
      <c r="S2903" s="11"/>
      <c r="T2903" s="11" t="n">
        <v>0</v>
      </c>
      <c r="U2903" s="11" t="n">
        <v>0.95</v>
      </c>
      <c r="V2903" s="11" t="n">
        <v>0.95</v>
      </c>
    </row>
    <row r="2904" customFormat="false" ht="15" hidden="false" customHeight="false" outlineLevel="0" collapsed="false">
      <c r="A2904" s="6" t="s">
        <v>56</v>
      </c>
      <c r="B2904" s="6" t="s">
        <v>43</v>
      </c>
      <c r="C2904" s="6" t="s">
        <v>51</v>
      </c>
      <c r="D2904" s="6" t="s">
        <v>118</v>
      </c>
      <c r="E2904" s="6" t="n">
        <v>16</v>
      </c>
      <c r="F2904" s="6" t="n">
        <v>4</v>
      </c>
      <c r="G2904" s="6" t="s">
        <v>77</v>
      </c>
      <c r="H2904" s="11" t="n">
        <v>0.001</v>
      </c>
      <c r="I2904" s="6" t="n">
        <v>20</v>
      </c>
      <c r="J2904" s="6" t="n">
        <v>0</v>
      </c>
      <c r="K2904" s="6" t="n">
        <v>20</v>
      </c>
      <c r="L2904" s="6" t="n">
        <v>0</v>
      </c>
      <c r="M2904" s="6" t="n">
        <v>20</v>
      </c>
      <c r="N2904" s="11" t="n">
        <f aca="false">J2904/(J2904+K2904)</f>
        <v>0</v>
      </c>
      <c r="O2904" s="11" t="str">
        <f aca="false">IF(J2904+L2904=0,"",J2904/(J2904+L2904))</f>
        <v/>
      </c>
      <c r="P2904" s="11" t="n">
        <f aca="false">2*J2904/(2*J2904+L2904+K2904)</f>
        <v>0</v>
      </c>
      <c r="Q2904" s="11" t="n">
        <f aca="false">L2904/(L2904+M2904)</f>
        <v>0</v>
      </c>
      <c r="R2904" s="6" t="n">
        <v>0</v>
      </c>
      <c r="S2904" s="11"/>
      <c r="T2904" s="11" t="n">
        <v>0</v>
      </c>
      <c r="U2904" s="11" t="n">
        <v>1</v>
      </c>
      <c r="V2904" s="11" t="n">
        <v>1</v>
      </c>
    </row>
    <row r="2905" customFormat="false" ht="15" hidden="false" customHeight="false" outlineLevel="0" collapsed="false">
      <c r="A2905" s="6" t="s">
        <v>56</v>
      </c>
      <c r="B2905" s="6" t="s">
        <v>43</v>
      </c>
      <c r="C2905" s="6" t="s">
        <v>51</v>
      </c>
      <c r="D2905" s="6" t="s">
        <v>118</v>
      </c>
      <c r="E2905" s="6" t="n">
        <v>16</v>
      </c>
      <c r="F2905" s="6" t="n">
        <v>4</v>
      </c>
      <c r="G2905" s="6" t="s">
        <v>78</v>
      </c>
      <c r="H2905" s="11" t="n">
        <v>0.001</v>
      </c>
      <c r="I2905" s="6" t="n">
        <v>200</v>
      </c>
      <c r="J2905" s="6" t="n">
        <v>0</v>
      </c>
      <c r="K2905" s="6" t="n">
        <v>200</v>
      </c>
      <c r="L2905" s="6" t="n">
        <v>0</v>
      </c>
      <c r="M2905" s="6" t="n">
        <v>200</v>
      </c>
      <c r="N2905" s="11" t="n">
        <f aca="false">J2905/(J2905+K2905)</f>
        <v>0</v>
      </c>
      <c r="O2905" s="11" t="str">
        <f aca="false">IF(J2905+L2905=0,"",J2905/(J2905+L2905))</f>
        <v/>
      </c>
      <c r="P2905" s="11" t="n">
        <f aca="false">2*J2905/(2*J2905+L2905+K2905)</f>
        <v>0</v>
      </c>
      <c r="Q2905" s="11" t="n">
        <f aca="false">L2905/(L2905+M2905)</f>
        <v>0</v>
      </c>
      <c r="R2905" s="6" t="n">
        <v>0</v>
      </c>
      <c r="S2905" s="11"/>
      <c r="T2905" s="11" t="n">
        <v>0</v>
      </c>
      <c r="U2905" s="11" t="n">
        <v>0.88</v>
      </c>
      <c r="V2905" s="11" t="n">
        <v>0.88</v>
      </c>
    </row>
    <row r="2906" customFormat="false" ht="15" hidden="false" customHeight="false" outlineLevel="0" collapsed="false">
      <c r="A2906" s="6" t="s">
        <v>56</v>
      </c>
      <c r="B2906" s="6" t="s">
        <v>43</v>
      </c>
      <c r="C2906" s="6" t="s">
        <v>51</v>
      </c>
      <c r="D2906" s="6" t="s">
        <v>118</v>
      </c>
      <c r="E2906" s="6" t="n">
        <v>16</v>
      </c>
      <c r="F2906" s="6" t="n">
        <v>5</v>
      </c>
      <c r="G2906" s="6" t="s">
        <v>68</v>
      </c>
      <c r="H2906" s="11" t="n">
        <v>0.001</v>
      </c>
      <c r="I2906" s="6" t="n">
        <v>20</v>
      </c>
      <c r="J2906" s="6" t="n">
        <v>0</v>
      </c>
      <c r="K2906" s="6" t="n">
        <v>20</v>
      </c>
      <c r="L2906" s="6" t="n">
        <v>0</v>
      </c>
      <c r="M2906" s="6" t="n">
        <v>20</v>
      </c>
      <c r="N2906" s="11" t="n">
        <f aca="false">J2906/(J2906+K2906)</f>
        <v>0</v>
      </c>
      <c r="O2906" s="11" t="str">
        <f aca="false">IF(J2906+L2906=0,"",J2906/(J2906+L2906))</f>
        <v/>
      </c>
      <c r="P2906" s="11" t="n">
        <f aca="false">2*J2906/(2*J2906+L2906+K2906)</f>
        <v>0</v>
      </c>
      <c r="Q2906" s="11" t="n">
        <f aca="false">L2906/(L2906+M2906)</f>
        <v>0</v>
      </c>
      <c r="R2906" s="6" t="n">
        <v>0</v>
      </c>
      <c r="S2906" s="11"/>
      <c r="T2906" s="11" t="n">
        <v>0</v>
      </c>
      <c r="U2906" s="11" t="n">
        <v>0.85</v>
      </c>
      <c r="V2906" s="11" t="n">
        <v>0.85</v>
      </c>
    </row>
    <row r="2907" customFormat="false" ht="15" hidden="false" customHeight="false" outlineLevel="0" collapsed="false">
      <c r="A2907" s="6" t="s">
        <v>56</v>
      </c>
      <c r="B2907" s="6" t="s">
        <v>43</v>
      </c>
      <c r="C2907" s="6" t="s">
        <v>51</v>
      </c>
      <c r="D2907" s="6" t="s">
        <v>118</v>
      </c>
      <c r="E2907" s="6" t="n">
        <v>16</v>
      </c>
      <c r="F2907" s="6" t="n">
        <v>5</v>
      </c>
      <c r="G2907" s="6" t="s">
        <v>69</v>
      </c>
      <c r="H2907" s="11" t="n">
        <v>0.001</v>
      </c>
      <c r="I2907" s="6" t="n">
        <v>20</v>
      </c>
      <c r="J2907" s="6" t="n">
        <v>0</v>
      </c>
      <c r="K2907" s="6" t="n">
        <v>20</v>
      </c>
      <c r="L2907" s="6" t="n">
        <v>0</v>
      </c>
      <c r="M2907" s="6" t="n">
        <v>20</v>
      </c>
      <c r="N2907" s="11" t="n">
        <f aca="false">J2907/(J2907+K2907)</f>
        <v>0</v>
      </c>
      <c r="O2907" s="11" t="str">
        <f aca="false">IF(J2907+L2907=0,"",J2907/(J2907+L2907))</f>
        <v/>
      </c>
      <c r="P2907" s="11" t="n">
        <f aca="false">2*J2907/(2*J2907+L2907+K2907)</f>
        <v>0</v>
      </c>
      <c r="Q2907" s="11" t="n">
        <f aca="false">L2907/(L2907+M2907)</f>
        <v>0</v>
      </c>
      <c r="R2907" s="6" t="n">
        <v>0</v>
      </c>
      <c r="S2907" s="11"/>
      <c r="T2907" s="11" t="n">
        <v>0</v>
      </c>
      <c r="U2907" s="11" t="n">
        <v>1</v>
      </c>
      <c r="V2907" s="11" t="n">
        <v>1</v>
      </c>
    </row>
    <row r="2908" customFormat="false" ht="15" hidden="false" customHeight="false" outlineLevel="0" collapsed="false">
      <c r="A2908" s="6" t="s">
        <v>56</v>
      </c>
      <c r="B2908" s="6" t="s">
        <v>43</v>
      </c>
      <c r="C2908" s="6" t="s">
        <v>51</v>
      </c>
      <c r="D2908" s="6" t="s">
        <v>118</v>
      </c>
      <c r="E2908" s="6" t="n">
        <v>16</v>
      </c>
      <c r="F2908" s="6" t="n">
        <v>5</v>
      </c>
      <c r="G2908" s="6" t="s">
        <v>70</v>
      </c>
      <c r="H2908" s="11" t="n">
        <v>0.001</v>
      </c>
      <c r="I2908" s="6" t="n">
        <v>20</v>
      </c>
      <c r="J2908" s="6" t="n">
        <v>0</v>
      </c>
      <c r="K2908" s="6" t="n">
        <v>20</v>
      </c>
      <c r="L2908" s="6" t="n">
        <v>0</v>
      </c>
      <c r="M2908" s="6" t="n">
        <v>20</v>
      </c>
      <c r="N2908" s="11" t="n">
        <f aca="false">J2908/(J2908+K2908)</f>
        <v>0</v>
      </c>
      <c r="O2908" s="11" t="str">
        <f aca="false">IF(J2908+L2908=0,"",J2908/(J2908+L2908))</f>
        <v/>
      </c>
      <c r="P2908" s="11" t="n">
        <f aca="false">2*J2908/(2*J2908+L2908+K2908)</f>
        <v>0</v>
      </c>
      <c r="Q2908" s="11" t="n">
        <f aca="false">L2908/(L2908+M2908)</f>
        <v>0</v>
      </c>
      <c r="R2908" s="6" t="n">
        <v>0</v>
      </c>
      <c r="S2908" s="11"/>
      <c r="T2908" s="11" t="n">
        <v>0</v>
      </c>
      <c r="U2908" s="11" t="n">
        <v>0.9</v>
      </c>
      <c r="V2908" s="11" t="n">
        <v>0.9</v>
      </c>
    </row>
    <row r="2909" customFormat="false" ht="15" hidden="false" customHeight="false" outlineLevel="0" collapsed="false">
      <c r="A2909" s="6" t="s">
        <v>56</v>
      </c>
      <c r="B2909" s="6" t="s">
        <v>43</v>
      </c>
      <c r="C2909" s="6" t="s">
        <v>51</v>
      </c>
      <c r="D2909" s="6" t="s">
        <v>118</v>
      </c>
      <c r="E2909" s="6" t="n">
        <v>16</v>
      </c>
      <c r="F2909" s="6" t="n">
        <v>5</v>
      </c>
      <c r="G2909" s="6" t="s">
        <v>71</v>
      </c>
      <c r="H2909" s="11" t="n">
        <v>0.001</v>
      </c>
      <c r="I2909" s="6" t="n">
        <v>20</v>
      </c>
      <c r="J2909" s="6" t="n">
        <v>0</v>
      </c>
      <c r="K2909" s="6" t="n">
        <v>20</v>
      </c>
      <c r="L2909" s="6" t="n">
        <v>0</v>
      </c>
      <c r="M2909" s="6" t="n">
        <v>20</v>
      </c>
      <c r="N2909" s="11" t="n">
        <f aca="false">J2909/(J2909+K2909)</f>
        <v>0</v>
      </c>
      <c r="O2909" s="11" t="str">
        <f aca="false">IF(J2909+L2909=0,"",J2909/(J2909+L2909))</f>
        <v/>
      </c>
      <c r="P2909" s="11" t="n">
        <f aca="false">2*J2909/(2*J2909+L2909+K2909)</f>
        <v>0</v>
      </c>
      <c r="Q2909" s="11" t="n">
        <f aca="false">L2909/(L2909+M2909)</f>
        <v>0</v>
      </c>
      <c r="R2909" s="6" t="n">
        <v>0</v>
      </c>
      <c r="S2909" s="11"/>
      <c r="T2909" s="11" t="n">
        <v>0</v>
      </c>
      <c r="U2909" s="11" t="n">
        <v>0.8</v>
      </c>
      <c r="V2909" s="11" t="n">
        <v>0.8</v>
      </c>
    </row>
    <row r="2910" customFormat="false" ht="15" hidden="false" customHeight="false" outlineLevel="0" collapsed="false">
      <c r="A2910" s="6" t="s">
        <v>56</v>
      </c>
      <c r="B2910" s="6" t="s">
        <v>43</v>
      </c>
      <c r="C2910" s="6" t="s">
        <v>51</v>
      </c>
      <c r="D2910" s="6" t="s">
        <v>118</v>
      </c>
      <c r="E2910" s="6" t="n">
        <v>16</v>
      </c>
      <c r="F2910" s="6" t="n">
        <v>5</v>
      </c>
      <c r="G2910" s="6" t="s">
        <v>72</v>
      </c>
      <c r="H2910" s="11" t="n">
        <v>0.001</v>
      </c>
      <c r="I2910" s="6" t="n">
        <v>20</v>
      </c>
      <c r="J2910" s="6" t="n">
        <v>0</v>
      </c>
      <c r="K2910" s="6" t="n">
        <v>20</v>
      </c>
      <c r="L2910" s="6" t="n">
        <v>0</v>
      </c>
      <c r="M2910" s="6" t="n">
        <v>20</v>
      </c>
      <c r="N2910" s="11" t="n">
        <f aca="false">J2910/(J2910+K2910)</f>
        <v>0</v>
      </c>
      <c r="O2910" s="11" t="str">
        <f aca="false">IF(J2910+L2910=0,"",J2910/(J2910+L2910))</f>
        <v/>
      </c>
      <c r="P2910" s="11" t="n">
        <f aca="false">2*J2910/(2*J2910+L2910+K2910)</f>
        <v>0</v>
      </c>
      <c r="Q2910" s="11" t="n">
        <f aca="false">L2910/(L2910+M2910)</f>
        <v>0</v>
      </c>
      <c r="R2910" s="6" t="n">
        <v>0</v>
      </c>
      <c r="S2910" s="11"/>
      <c r="T2910" s="11" t="n">
        <v>0</v>
      </c>
      <c r="U2910" s="11" t="n">
        <v>0.9</v>
      </c>
      <c r="V2910" s="11" t="n">
        <v>0.9</v>
      </c>
    </row>
    <row r="2911" customFormat="false" ht="15" hidden="false" customHeight="false" outlineLevel="0" collapsed="false">
      <c r="A2911" s="6" t="s">
        <v>56</v>
      </c>
      <c r="B2911" s="6" t="s">
        <v>43</v>
      </c>
      <c r="C2911" s="6" t="s">
        <v>51</v>
      </c>
      <c r="D2911" s="6" t="s">
        <v>118</v>
      </c>
      <c r="E2911" s="6" t="n">
        <v>16</v>
      </c>
      <c r="F2911" s="6" t="n">
        <v>5</v>
      </c>
      <c r="G2911" s="6" t="s">
        <v>73</v>
      </c>
      <c r="H2911" s="11" t="n">
        <v>0.001</v>
      </c>
      <c r="I2911" s="6" t="n">
        <v>20</v>
      </c>
      <c r="J2911" s="6" t="n">
        <v>0</v>
      </c>
      <c r="K2911" s="6" t="n">
        <v>20</v>
      </c>
      <c r="L2911" s="6" t="n">
        <v>0</v>
      </c>
      <c r="M2911" s="6" t="n">
        <v>20</v>
      </c>
      <c r="N2911" s="11" t="n">
        <f aca="false">J2911/(J2911+K2911)</f>
        <v>0</v>
      </c>
      <c r="O2911" s="11" t="str">
        <f aca="false">IF(J2911+L2911=0,"",J2911/(J2911+L2911))</f>
        <v/>
      </c>
      <c r="P2911" s="11" t="n">
        <f aca="false">2*J2911/(2*J2911+L2911+K2911)</f>
        <v>0</v>
      </c>
      <c r="Q2911" s="11" t="n">
        <f aca="false">L2911/(L2911+M2911)</f>
        <v>0</v>
      </c>
      <c r="R2911" s="6" t="n">
        <v>0</v>
      </c>
      <c r="S2911" s="11"/>
      <c r="T2911" s="11" t="n">
        <v>0</v>
      </c>
      <c r="U2911" s="11" t="n">
        <v>0.65</v>
      </c>
      <c r="V2911" s="11" t="n">
        <v>0.65</v>
      </c>
    </row>
    <row r="2912" customFormat="false" ht="15" hidden="false" customHeight="false" outlineLevel="0" collapsed="false">
      <c r="A2912" s="6" t="s">
        <v>56</v>
      </c>
      <c r="B2912" s="6" t="s">
        <v>43</v>
      </c>
      <c r="C2912" s="6" t="s">
        <v>51</v>
      </c>
      <c r="D2912" s="6" t="s">
        <v>118</v>
      </c>
      <c r="E2912" s="6" t="n">
        <v>16</v>
      </c>
      <c r="F2912" s="6" t="n">
        <v>5</v>
      </c>
      <c r="G2912" s="6" t="s">
        <v>74</v>
      </c>
      <c r="H2912" s="11" t="n">
        <v>0.001</v>
      </c>
      <c r="I2912" s="6" t="n">
        <v>20</v>
      </c>
      <c r="J2912" s="6" t="n">
        <v>0</v>
      </c>
      <c r="K2912" s="6" t="n">
        <v>20</v>
      </c>
      <c r="L2912" s="6" t="n">
        <v>0</v>
      </c>
      <c r="M2912" s="6" t="n">
        <v>20</v>
      </c>
      <c r="N2912" s="11" t="n">
        <f aca="false">J2912/(J2912+K2912)</f>
        <v>0</v>
      </c>
      <c r="O2912" s="11" t="str">
        <f aca="false">IF(J2912+L2912=0,"",J2912/(J2912+L2912))</f>
        <v/>
      </c>
      <c r="P2912" s="11" t="n">
        <f aca="false">2*J2912/(2*J2912+L2912+K2912)</f>
        <v>0</v>
      </c>
      <c r="Q2912" s="11" t="n">
        <f aca="false">L2912/(L2912+M2912)</f>
        <v>0</v>
      </c>
      <c r="R2912" s="6" t="n">
        <v>0</v>
      </c>
      <c r="S2912" s="11"/>
      <c r="T2912" s="11" t="n">
        <v>0</v>
      </c>
      <c r="U2912" s="11" t="n">
        <v>0.85</v>
      </c>
      <c r="V2912" s="11" t="n">
        <v>0.85</v>
      </c>
    </row>
    <row r="2913" customFormat="false" ht="15" hidden="false" customHeight="false" outlineLevel="0" collapsed="false">
      <c r="A2913" s="6" t="s">
        <v>56</v>
      </c>
      <c r="B2913" s="6" t="s">
        <v>43</v>
      </c>
      <c r="C2913" s="6" t="s">
        <v>51</v>
      </c>
      <c r="D2913" s="6" t="s">
        <v>118</v>
      </c>
      <c r="E2913" s="6" t="n">
        <v>16</v>
      </c>
      <c r="F2913" s="6" t="n">
        <v>5</v>
      </c>
      <c r="G2913" s="6" t="s">
        <v>75</v>
      </c>
      <c r="H2913" s="11" t="n">
        <v>0.001</v>
      </c>
      <c r="I2913" s="6" t="n">
        <v>20</v>
      </c>
      <c r="J2913" s="6" t="n">
        <v>0</v>
      </c>
      <c r="K2913" s="6" t="n">
        <v>20</v>
      </c>
      <c r="L2913" s="6" t="n">
        <v>0</v>
      </c>
      <c r="M2913" s="6" t="n">
        <v>20</v>
      </c>
      <c r="N2913" s="11" t="n">
        <f aca="false">J2913/(J2913+K2913)</f>
        <v>0</v>
      </c>
      <c r="O2913" s="11" t="str">
        <f aca="false">IF(J2913+L2913=0,"",J2913/(J2913+L2913))</f>
        <v/>
      </c>
      <c r="P2913" s="11" t="n">
        <f aca="false">2*J2913/(2*J2913+L2913+K2913)</f>
        <v>0</v>
      </c>
      <c r="Q2913" s="11" t="n">
        <f aca="false">L2913/(L2913+M2913)</f>
        <v>0</v>
      </c>
      <c r="R2913" s="6" t="n">
        <v>0</v>
      </c>
      <c r="S2913" s="11"/>
      <c r="T2913" s="11" t="n">
        <v>0</v>
      </c>
      <c r="U2913" s="11" t="n">
        <v>0.9</v>
      </c>
      <c r="V2913" s="11" t="n">
        <v>0.9</v>
      </c>
    </row>
    <row r="2914" customFormat="false" ht="15" hidden="false" customHeight="false" outlineLevel="0" collapsed="false">
      <c r="A2914" s="6" t="s">
        <v>56</v>
      </c>
      <c r="B2914" s="6" t="s">
        <v>43</v>
      </c>
      <c r="C2914" s="6" t="s">
        <v>51</v>
      </c>
      <c r="D2914" s="6" t="s">
        <v>118</v>
      </c>
      <c r="E2914" s="6" t="n">
        <v>16</v>
      </c>
      <c r="F2914" s="6" t="n">
        <v>5</v>
      </c>
      <c r="G2914" s="6" t="s">
        <v>76</v>
      </c>
      <c r="H2914" s="11" t="n">
        <v>0.001</v>
      </c>
      <c r="I2914" s="6" t="n">
        <v>20</v>
      </c>
      <c r="J2914" s="6" t="n">
        <v>0</v>
      </c>
      <c r="K2914" s="6" t="n">
        <v>20</v>
      </c>
      <c r="L2914" s="6" t="n">
        <v>0</v>
      </c>
      <c r="M2914" s="6" t="n">
        <v>20</v>
      </c>
      <c r="N2914" s="11" t="n">
        <f aca="false">J2914/(J2914+K2914)</f>
        <v>0</v>
      </c>
      <c r="O2914" s="11" t="str">
        <f aca="false">IF(J2914+L2914=0,"",J2914/(J2914+L2914))</f>
        <v/>
      </c>
      <c r="P2914" s="11" t="n">
        <f aca="false">2*J2914/(2*J2914+L2914+K2914)</f>
        <v>0</v>
      </c>
      <c r="Q2914" s="11" t="n">
        <f aca="false">L2914/(L2914+M2914)</f>
        <v>0</v>
      </c>
      <c r="R2914" s="6" t="n">
        <v>0</v>
      </c>
      <c r="S2914" s="11"/>
      <c r="T2914" s="11" t="n">
        <v>0</v>
      </c>
      <c r="U2914" s="11" t="n">
        <v>0.95</v>
      </c>
      <c r="V2914" s="11" t="n">
        <v>0.95</v>
      </c>
    </row>
    <row r="2915" customFormat="false" ht="15" hidden="false" customHeight="false" outlineLevel="0" collapsed="false">
      <c r="A2915" s="6" t="s">
        <v>56</v>
      </c>
      <c r="B2915" s="6" t="s">
        <v>43</v>
      </c>
      <c r="C2915" s="6" t="s">
        <v>51</v>
      </c>
      <c r="D2915" s="6" t="s">
        <v>118</v>
      </c>
      <c r="E2915" s="6" t="n">
        <v>16</v>
      </c>
      <c r="F2915" s="6" t="n">
        <v>5</v>
      </c>
      <c r="G2915" s="6" t="s">
        <v>77</v>
      </c>
      <c r="H2915" s="11" t="n">
        <v>0.001</v>
      </c>
      <c r="I2915" s="6" t="n">
        <v>20</v>
      </c>
      <c r="J2915" s="6" t="n">
        <v>0</v>
      </c>
      <c r="K2915" s="6" t="n">
        <v>20</v>
      </c>
      <c r="L2915" s="6" t="n">
        <v>0</v>
      </c>
      <c r="M2915" s="6" t="n">
        <v>20</v>
      </c>
      <c r="N2915" s="11" t="n">
        <f aca="false">J2915/(J2915+K2915)</f>
        <v>0</v>
      </c>
      <c r="O2915" s="11" t="str">
        <f aca="false">IF(J2915+L2915=0,"",J2915/(J2915+L2915))</f>
        <v/>
      </c>
      <c r="P2915" s="11" t="n">
        <f aca="false">2*J2915/(2*J2915+L2915+K2915)</f>
        <v>0</v>
      </c>
      <c r="Q2915" s="11" t="n">
        <f aca="false">L2915/(L2915+M2915)</f>
        <v>0</v>
      </c>
      <c r="R2915" s="6" t="n">
        <v>0</v>
      </c>
      <c r="S2915" s="11"/>
      <c r="T2915" s="11" t="n">
        <v>0</v>
      </c>
      <c r="U2915" s="11" t="n">
        <v>1</v>
      </c>
      <c r="V2915" s="11" t="n">
        <v>1</v>
      </c>
    </row>
    <row r="2916" customFormat="false" ht="15" hidden="false" customHeight="false" outlineLevel="0" collapsed="false">
      <c r="A2916" s="6" t="s">
        <v>56</v>
      </c>
      <c r="B2916" s="6" t="s">
        <v>43</v>
      </c>
      <c r="C2916" s="6" t="s">
        <v>51</v>
      </c>
      <c r="D2916" s="6" t="s">
        <v>118</v>
      </c>
      <c r="E2916" s="6" t="n">
        <v>16</v>
      </c>
      <c r="F2916" s="6" t="n">
        <v>5</v>
      </c>
      <c r="G2916" s="6" t="s">
        <v>78</v>
      </c>
      <c r="H2916" s="11" t="n">
        <v>0.001</v>
      </c>
      <c r="I2916" s="6" t="n">
        <v>200</v>
      </c>
      <c r="J2916" s="6" t="n">
        <v>0</v>
      </c>
      <c r="K2916" s="6" t="n">
        <v>200</v>
      </c>
      <c r="L2916" s="6" t="n">
        <v>0</v>
      </c>
      <c r="M2916" s="6" t="n">
        <v>200</v>
      </c>
      <c r="N2916" s="11" t="n">
        <f aca="false">J2916/(J2916+K2916)</f>
        <v>0</v>
      </c>
      <c r="O2916" s="11" t="str">
        <f aca="false">IF(J2916+L2916=0,"",J2916/(J2916+L2916))</f>
        <v/>
      </c>
      <c r="P2916" s="11" t="n">
        <f aca="false">2*J2916/(2*J2916+L2916+K2916)</f>
        <v>0</v>
      </c>
      <c r="Q2916" s="11" t="n">
        <f aca="false">L2916/(L2916+M2916)</f>
        <v>0</v>
      </c>
      <c r="R2916" s="6" t="n">
        <v>0</v>
      </c>
      <c r="S2916" s="11"/>
      <c r="T2916" s="11" t="n">
        <v>0</v>
      </c>
      <c r="U2916" s="11" t="n">
        <v>0.88</v>
      </c>
      <c r="V2916" s="11" t="n">
        <v>0.88</v>
      </c>
    </row>
    <row r="2917" customFormat="false" ht="15" hidden="false" customHeight="false" outlineLevel="0" collapsed="false">
      <c r="A2917" s="6" t="s">
        <v>56</v>
      </c>
      <c r="B2917" s="6" t="s">
        <v>43</v>
      </c>
      <c r="C2917" s="6" t="s">
        <v>51</v>
      </c>
      <c r="D2917" s="6" t="s">
        <v>118</v>
      </c>
      <c r="E2917" s="6" t="n">
        <v>16</v>
      </c>
      <c r="F2917" s="6" t="n">
        <v>6</v>
      </c>
      <c r="G2917" s="6" t="s">
        <v>68</v>
      </c>
      <c r="H2917" s="11" t="n">
        <v>0.001</v>
      </c>
      <c r="I2917" s="6" t="n">
        <v>20</v>
      </c>
      <c r="J2917" s="6" t="n">
        <v>0</v>
      </c>
      <c r="K2917" s="6" t="n">
        <v>20</v>
      </c>
      <c r="L2917" s="6" t="n">
        <v>0</v>
      </c>
      <c r="M2917" s="6" t="n">
        <v>20</v>
      </c>
      <c r="N2917" s="11" t="n">
        <f aca="false">J2917/(J2917+K2917)</f>
        <v>0</v>
      </c>
      <c r="O2917" s="11" t="str">
        <f aca="false">IF(J2917+L2917=0,"",J2917/(J2917+L2917))</f>
        <v/>
      </c>
      <c r="P2917" s="11" t="n">
        <f aca="false">2*J2917/(2*J2917+L2917+K2917)</f>
        <v>0</v>
      </c>
      <c r="Q2917" s="11" t="n">
        <f aca="false">L2917/(L2917+M2917)</f>
        <v>0</v>
      </c>
      <c r="R2917" s="6" t="n">
        <v>0</v>
      </c>
      <c r="S2917" s="11"/>
      <c r="T2917" s="11" t="n">
        <v>0</v>
      </c>
      <c r="U2917" s="11" t="n">
        <v>0.85</v>
      </c>
      <c r="V2917" s="11" t="n">
        <v>0.85</v>
      </c>
    </row>
    <row r="2918" customFormat="false" ht="15" hidden="false" customHeight="false" outlineLevel="0" collapsed="false">
      <c r="A2918" s="6" t="s">
        <v>56</v>
      </c>
      <c r="B2918" s="6" t="s">
        <v>43</v>
      </c>
      <c r="C2918" s="6" t="s">
        <v>51</v>
      </c>
      <c r="D2918" s="6" t="s">
        <v>118</v>
      </c>
      <c r="E2918" s="6" t="n">
        <v>16</v>
      </c>
      <c r="F2918" s="6" t="n">
        <v>6</v>
      </c>
      <c r="G2918" s="6" t="s">
        <v>69</v>
      </c>
      <c r="H2918" s="11" t="n">
        <v>0.001</v>
      </c>
      <c r="I2918" s="6" t="n">
        <v>20</v>
      </c>
      <c r="J2918" s="6" t="n">
        <v>0</v>
      </c>
      <c r="K2918" s="6" t="n">
        <v>20</v>
      </c>
      <c r="L2918" s="6" t="n">
        <v>0</v>
      </c>
      <c r="M2918" s="6" t="n">
        <v>20</v>
      </c>
      <c r="N2918" s="11" t="n">
        <f aca="false">J2918/(J2918+K2918)</f>
        <v>0</v>
      </c>
      <c r="O2918" s="11" t="str">
        <f aca="false">IF(J2918+L2918=0,"",J2918/(J2918+L2918))</f>
        <v/>
      </c>
      <c r="P2918" s="11" t="n">
        <f aca="false">2*J2918/(2*J2918+L2918+K2918)</f>
        <v>0</v>
      </c>
      <c r="Q2918" s="11" t="n">
        <f aca="false">L2918/(L2918+M2918)</f>
        <v>0</v>
      </c>
      <c r="R2918" s="6" t="n">
        <v>0</v>
      </c>
      <c r="S2918" s="11"/>
      <c r="T2918" s="11" t="n">
        <v>0</v>
      </c>
      <c r="U2918" s="11" t="n">
        <v>1</v>
      </c>
      <c r="V2918" s="11" t="n">
        <v>1</v>
      </c>
    </row>
    <row r="2919" customFormat="false" ht="15" hidden="false" customHeight="false" outlineLevel="0" collapsed="false">
      <c r="A2919" s="6" t="s">
        <v>56</v>
      </c>
      <c r="B2919" s="6" t="s">
        <v>43</v>
      </c>
      <c r="C2919" s="6" t="s">
        <v>51</v>
      </c>
      <c r="D2919" s="6" t="s">
        <v>118</v>
      </c>
      <c r="E2919" s="6" t="n">
        <v>16</v>
      </c>
      <c r="F2919" s="6" t="n">
        <v>6</v>
      </c>
      <c r="G2919" s="6" t="s">
        <v>70</v>
      </c>
      <c r="H2919" s="11" t="n">
        <v>0.001</v>
      </c>
      <c r="I2919" s="6" t="n">
        <v>20</v>
      </c>
      <c r="J2919" s="6" t="n">
        <v>0</v>
      </c>
      <c r="K2919" s="6" t="n">
        <v>20</v>
      </c>
      <c r="L2919" s="6" t="n">
        <v>0</v>
      </c>
      <c r="M2919" s="6" t="n">
        <v>20</v>
      </c>
      <c r="N2919" s="11" t="n">
        <f aca="false">J2919/(J2919+K2919)</f>
        <v>0</v>
      </c>
      <c r="O2919" s="11" t="str">
        <f aca="false">IF(J2919+L2919=0,"",J2919/(J2919+L2919))</f>
        <v/>
      </c>
      <c r="P2919" s="11" t="n">
        <f aca="false">2*J2919/(2*J2919+L2919+K2919)</f>
        <v>0</v>
      </c>
      <c r="Q2919" s="11" t="n">
        <f aca="false">L2919/(L2919+M2919)</f>
        <v>0</v>
      </c>
      <c r="R2919" s="6" t="n">
        <v>0</v>
      </c>
      <c r="S2919" s="11"/>
      <c r="T2919" s="11" t="n">
        <v>0</v>
      </c>
      <c r="U2919" s="11" t="n">
        <v>0.9</v>
      </c>
      <c r="V2919" s="11" t="n">
        <v>0.9</v>
      </c>
    </row>
    <row r="2920" customFormat="false" ht="15" hidden="false" customHeight="false" outlineLevel="0" collapsed="false">
      <c r="A2920" s="6" t="s">
        <v>56</v>
      </c>
      <c r="B2920" s="6" t="s">
        <v>43</v>
      </c>
      <c r="C2920" s="6" t="s">
        <v>51</v>
      </c>
      <c r="D2920" s="6" t="s">
        <v>118</v>
      </c>
      <c r="E2920" s="6" t="n">
        <v>16</v>
      </c>
      <c r="F2920" s="6" t="n">
        <v>6</v>
      </c>
      <c r="G2920" s="6" t="s">
        <v>71</v>
      </c>
      <c r="H2920" s="11" t="n">
        <v>0.001</v>
      </c>
      <c r="I2920" s="6" t="n">
        <v>20</v>
      </c>
      <c r="J2920" s="6" t="n">
        <v>0</v>
      </c>
      <c r="K2920" s="6" t="n">
        <v>20</v>
      </c>
      <c r="L2920" s="6" t="n">
        <v>0</v>
      </c>
      <c r="M2920" s="6" t="n">
        <v>20</v>
      </c>
      <c r="N2920" s="11" t="n">
        <f aca="false">J2920/(J2920+K2920)</f>
        <v>0</v>
      </c>
      <c r="O2920" s="11" t="str">
        <f aca="false">IF(J2920+L2920=0,"",J2920/(J2920+L2920))</f>
        <v/>
      </c>
      <c r="P2920" s="11" t="n">
        <f aca="false">2*J2920/(2*J2920+L2920+K2920)</f>
        <v>0</v>
      </c>
      <c r="Q2920" s="11" t="n">
        <f aca="false">L2920/(L2920+M2920)</f>
        <v>0</v>
      </c>
      <c r="R2920" s="6" t="n">
        <v>0</v>
      </c>
      <c r="S2920" s="11"/>
      <c r="T2920" s="11" t="n">
        <v>0</v>
      </c>
      <c r="U2920" s="11" t="n">
        <v>0.8</v>
      </c>
      <c r="V2920" s="11" t="n">
        <v>0.8</v>
      </c>
    </row>
    <row r="2921" customFormat="false" ht="15" hidden="false" customHeight="false" outlineLevel="0" collapsed="false">
      <c r="A2921" s="6" t="s">
        <v>56</v>
      </c>
      <c r="B2921" s="6" t="s">
        <v>43</v>
      </c>
      <c r="C2921" s="6" t="s">
        <v>51</v>
      </c>
      <c r="D2921" s="6" t="s">
        <v>118</v>
      </c>
      <c r="E2921" s="6" t="n">
        <v>16</v>
      </c>
      <c r="F2921" s="6" t="n">
        <v>6</v>
      </c>
      <c r="G2921" s="6" t="s">
        <v>72</v>
      </c>
      <c r="H2921" s="11" t="n">
        <v>0.001</v>
      </c>
      <c r="I2921" s="6" t="n">
        <v>20</v>
      </c>
      <c r="J2921" s="6" t="n">
        <v>0</v>
      </c>
      <c r="K2921" s="6" t="n">
        <v>20</v>
      </c>
      <c r="L2921" s="6" t="n">
        <v>0</v>
      </c>
      <c r="M2921" s="6" t="n">
        <v>20</v>
      </c>
      <c r="N2921" s="11" t="n">
        <f aca="false">J2921/(J2921+K2921)</f>
        <v>0</v>
      </c>
      <c r="O2921" s="11" t="str">
        <f aca="false">IF(J2921+L2921=0,"",J2921/(J2921+L2921))</f>
        <v/>
      </c>
      <c r="P2921" s="11" t="n">
        <f aca="false">2*J2921/(2*J2921+L2921+K2921)</f>
        <v>0</v>
      </c>
      <c r="Q2921" s="11" t="n">
        <f aca="false">L2921/(L2921+M2921)</f>
        <v>0</v>
      </c>
      <c r="R2921" s="6" t="n">
        <v>0</v>
      </c>
      <c r="S2921" s="11"/>
      <c r="T2921" s="11" t="n">
        <v>0</v>
      </c>
      <c r="U2921" s="11" t="n">
        <v>0.9</v>
      </c>
      <c r="V2921" s="11" t="n">
        <v>0.9</v>
      </c>
    </row>
    <row r="2922" customFormat="false" ht="15" hidden="false" customHeight="false" outlineLevel="0" collapsed="false">
      <c r="A2922" s="6" t="s">
        <v>56</v>
      </c>
      <c r="B2922" s="6" t="s">
        <v>43</v>
      </c>
      <c r="C2922" s="6" t="s">
        <v>51</v>
      </c>
      <c r="D2922" s="6" t="s">
        <v>118</v>
      </c>
      <c r="E2922" s="6" t="n">
        <v>16</v>
      </c>
      <c r="F2922" s="6" t="n">
        <v>6</v>
      </c>
      <c r="G2922" s="6" t="s">
        <v>73</v>
      </c>
      <c r="H2922" s="11" t="n">
        <v>0.001</v>
      </c>
      <c r="I2922" s="6" t="n">
        <v>20</v>
      </c>
      <c r="J2922" s="6" t="n">
        <v>0</v>
      </c>
      <c r="K2922" s="6" t="n">
        <v>20</v>
      </c>
      <c r="L2922" s="6" t="n">
        <v>0</v>
      </c>
      <c r="M2922" s="6" t="n">
        <v>20</v>
      </c>
      <c r="N2922" s="11" t="n">
        <f aca="false">J2922/(J2922+K2922)</f>
        <v>0</v>
      </c>
      <c r="O2922" s="11" t="str">
        <f aca="false">IF(J2922+L2922=0,"",J2922/(J2922+L2922))</f>
        <v/>
      </c>
      <c r="P2922" s="11" t="n">
        <f aca="false">2*J2922/(2*J2922+L2922+K2922)</f>
        <v>0</v>
      </c>
      <c r="Q2922" s="11" t="n">
        <f aca="false">L2922/(L2922+M2922)</f>
        <v>0</v>
      </c>
      <c r="R2922" s="6" t="n">
        <v>0</v>
      </c>
      <c r="S2922" s="11"/>
      <c r="T2922" s="11" t="n">
        <v>0</v>
      </c>
      <c r="U2922" s="11" t="n">
        <v>0.65</v>
      </c>
      <c r="V2922" s="11" t="n">
        <v>0.65</v>
      </c>
    </row>
    <row r="2923" customFormat="false" ht="15" hidden="false" customHeight="false" outlineLevel="0" collapsed="false">
      <c r="A2923" s="6" t="s">
        <v>56</v>
      </c>
      <c r="B2923" s="6" t="s">
        <v>43</v>
      </c>
      <c r="C2923" s="6" t="s">
        <v>51</v>
      </c>
      <c r="D2923" s="6" t="s">
        <v>118</v>
      </c>
      <c r="E2923" s="6" t="n">
        <v>16</v>
      </c>
      <c r="F2923" s="6" t="n">
        <v>6</v>
      </c>
      <c r="G2923" s="6" t="s">
        <v>74</v>
      </c>
      <c r="H2923" s="11" t="n">
        <v>0.001</v>
      </c>
      <c r="I2923" s="6" t="n">
        <v>20</v>
      </c>
      <c r="J2923" s="6" t="n">
        <v>0</v>
      </c>
      <c r="K2923" s="6" t="n">
        <v>20</v>
      </c>
      <c r="L2923" s="6" t="n">
        <v>0</v>
      </c>
      <c r="M2923" s="6" t="n">
        <v>20</v>
      </c>
      <c r="N2923" s="11" t="n">
        <f aca="false">J2923/(J2923+K2923)</f>
        <v>0</v>
      </c>
      <c r="O2923" s="11" t="str">
        <f aca="false">IF(J2923+L2923=0,"",J2923/(J2923+L2923))</f>
        <v/>
      </c>
      <c r="P2923" s="11" t="n">
        <f aca="false">2*J2923/(2*J2923+L2923+K2923)</f>
        <v>0</v>
      </c>
      <c r="Q2923" s="11" t="n">
        <f aca="false">L2923/(L2923+M2923)</f>
        <v>0</v>
      </c>
      <c r="R2923" s="6" t="n">
        <v>0</v>
      </c>
      <c r="S2923" s="11"/>
      <c r="T2923" s="11" t="n">
        <v>0</v>
      </c>
      <c r="U2923" s="11" t="n">
        <v>0.85</v>
      </c>
      <c r="V2923" s="11" t="n">
        <v>0.85</v>
      </c>
    </row>
    <row r="2924" customFormat="false" ht="15" hidden="false" customHeight="false" outlineLevel="0" collapsed="false">
      <c r="A2924" s="6" t="s">
        <v>56</v>
      </c>
      <c r="B2924" s="6" t="s">
        <v>43</v>
      </c>
      <c r="C2924" s="6" t="s">
        <v>51</v>
      </c>
      <c r="D2924" s="6" t="s">
        <v>118</v>
      </c>
      <c r="E2924" s="6" t="n">
        <v>16</v>
      </c>
      <c r="F2924" s="6" t="n">
        <v>6</v>
      </c>
      <c r="G2924" s="6" t="s">
        <v>75</v>
      </c>
      <c r="H2924" s="11" t="n">
        <v>0.001</v>
      </c>
      <c r="I2924" s="6" t="n">
        <v>20</v>
      </c>
      <c r="J2924" s="6" t="n">
        <v>0</v>
      </c>
      <c r="K2924" s="6" t="n">
        <v>20</v>
      </c>
      <c r="L2924" s="6" t="n">
        <v>0</v>
      </c>
      <c r="M2924" s="6" t="n">
        <v>20</v>
      </c>
      <c r="N2924" s="11" t="n">
        <f aca="false">J2924/(J2924+K2924)</f>
        <v>0</v>
      </c>
      <c r="O2924" s="11" t="str">
        <f aca="false">IF(J2924+L2924=0,"",J2924/(J2924+L2924))</f>
        <v/>
      </c>
      <c r="P2924" s="11" t="n">
        <f aca="false">2*J2924/(2*J2924+L2924+K2924)</f>
        <v>0</v>
      </c>
      <c r="Q2924" s="11" t="n">
        <f aca="false">L2924/(L2924+M2924)</f>
        <v>0</v>
      </c>
      <c r="R2924" s="6" t="n">
        <v>0</v>
      </c>
      <c r="S2924" s="11"/>
      <c r="T2924" s="11" t="n">
        <v>0</v>
      </c>
      <c r="U2924" s="11" t="n">
        <v>0.9</v>
      </c>
      <c r="V2924" s="11" t="n">
        <v>0.9</v>
      </c>
    </row>
    <row r="2925" customFormat="false" ht="15" hidden="false" customHeight="false" outlineLevel="0" collapsed="false">
      <c r="A2925" s="6" t="s">
        <v>56</v>
      </c>
      <c r="B2925" s="6" t="s">
        <v>43</v>
      </c>
      <c r="C2925" s="6" t="s">
        <v>51</v>
      </c>
      <c r="D2925" s="6" t="s">
        <v>118</v>
      </c>
      <c r="E2925" s="6" t="n">
        <v>16</v>
      </c>
      <c r="F2925" s="6" t="n">
        <v>6</v>
      </c>
      <c r="G2925" s="6" t="s">
        <v>76</v>
      </c>
      <c r="H2925" s="11" t="n">
        <v>0.001</v>
      </c>
      <c r="I2925" s="6" t="n">
        <v>20</v>
      </c>
      <c r="J2925" s="6" t="n">
        <v>0</v>
      </c>
      <c r="K2925" s="6" t="n">
        <v>20</v>
      </c>
      <c r="L2925" s="6" t="n">
        <v>0</v>
      </c>
      <c r="M2925" s="6" t="n">
        <v>20</v>
      </c>
      <c r="N2925" s="11" t="n">
        <f aca="false">J2925/(J2925+K2925)</f>
        <v>0</v>
      </c>
      <c r="O2925" s="11" t="str">
        <f aca="false">IF(J2925+L2925=0,"",J2925/(J2925+L2925))</f>
        <v/>
      </c>
      <c r="P2925" s="11" t="n">
        <f aca="false">2*J2925/(2*J2925+L2925+K2925)</f>
        <v>0</v>
      </c>
      <c r="Q2925" s="11" t="n">
        <f aca="false">L2925/(L2925+M2925)</f>
        <v>0</v>
      </c>
      <c r="R2925" s="6" t="n">
        <v>0</v>
      </c>
      <c r="S2925" s="11"/>
      <c r="T2925" s="11" t="n">
        <v>0</v>
      </c>
      <c r="U2925" s="11" t="n">
        <v>0.95</v>
      </c>
      <c r="V2925" s="11" t="n">
        <v>0.95</v>
      </c>
    </row>
    <row r="2926" customFormat="false" ht="15" hidden="false" customHeight="false" outlineLevel="0" collapsed="false">
      <c r="A2926" s="6" t="s">
        <v>56</v>
      </c>
      <c r="B2926" s="6" t="s">
        <v>43</v>
      </c>
      <c r="C2926" s="6" t="s">
        <v>51</v>
      </c>
      <c r="D2926" s="6" t="s">
        <v>118</v>
      </c>
      <c r="E2926" s="6" t="n">
        <v>16</v>
      </c>
      <c r="F2926" s="6" t="n">
        <v>6</v>
      </c>
      <c r="G2926" s="6" t="s">
        <v>77</v>
      </c>
      <c r="H2926" s="11" t="n">
        <v>0.001</v>
      </c>
      <c r="I2926" s="6" t="n">
        <v>20</v>
      </c>
      <c r="J2926" s="6" t="n">
        <v>0</v>
      </c>
      <c r="K2926" s="6" t="n">
        <v>20</v>
      </c>
      <c r="L2926" s="6" t="n">
        <v>0</v>
      </c>
      <c r="M2926" s="6" t="n">
        <v>20</v>
      </c>
      <c r="N2926" s="11" t="n">
        <f aca="false">J2926/(J2926+K2926)</f>
        <v>0</v>
      </c>
      <c r="O2926" s="11" t="str">
        <f aca="false">IF(J2926+L2926=0,"",J2926/(J2926+L2926))</f>
        <v/>
      </c>
      <c r="P2926" s="11" t="n">
        <f aca="false">2*J2926/(2*J2926+L2926+K2926)</f>
        <v>0</v>
      </c>
      <c r="Q2926" s="11" t="n">
        <f aca="false">L2926/(L2926+M2926)</f>
        <v>0</v>
      </c>
      <c r="R2926" s="6" t="n">
        <v>0</v>
      </c>
      <c r="S2926" s="11"/>
      <c r="T2926" s="11" t="n">
        <v>0</v>
      </c>
      <c r="U2926" s="11" t="n">
        <v>1</v>
      </c>
      <c r="V2926" s="11" t="n">
        <v>1</v>
      </c>
    </row>
    <row r="2927" customFormat="false" ht="15" hidden="false" customHeight="false" outlineLevel="0" collapsed="false">
      <c r="A2927" s="6" t="s">
        <v>56</v>
      </c>
      <c r="B2927" s="6" t="s">
        <v>43</v>
      </c>
      <c r="C2927" s="6" t="s">
        <v>51</v>
      </c>
      <c r="D2927" s="6" t="s">
        <v>118</v>
      </c>
      <c r="E2927" s="6" t="n">
        <v>16</v>
      </c>
      <c r="F2927" s="6" t="n">
        <v>6</v>
      </c>
      <c r="G2927" s="6" t="s">
        <v>78</v>
      </c>
      <c r="H2927" s="11" t="n">
        <v>0.001</v>
      </c>
      <c r="I2927" s="6" t="n">
        <v>200</v>
      </c>
      <c r="J2927" s="6" t="n">
        <v>0</v>
      </c>
      <c r="K2927" s="6" t="n">
        <v>200</v>
      </c>
      <c r="L2927" s="6" t="n">
        <v>0</v>
      </c>
      <c r="M2927" s="6" t="n">
        <v>200</v>
      </c>
      <c r="N2927" s="11" t="n">
        <f aca="false">J2927/(J2927+K2927)</f>
        <v>0</v>
      </c>
      <c r="O2927" s="11" t="str">
        <f aca="false">IF(J2927+L2927=0,"",J2927/(J2927+L2927))</f>
        <v/>
      </c>
      <c r="P2927" s="11" t="n">
        <f aca="false">2*J2927/(2*J2927+L2927+K2927)</f>
        <v>0</v>
      </c>
      <c r="Q2927" s="11" t="n">
        <f aca="false">L2927/(L2927+M2927)</f>
        <v>0</v>
      </c>
      <c r="R2927" s="6" t="n">
        <v>0</v>
      </c>
      <c r="S2927" s="11"/>
      <c r="T2927" s="11" t="n">
        <v>0</v>
      </c>
      <c r="U2927" s="11" t="n">
        <v>0.88</v>
      </c>
      <c r="V2927" s="11" t="n">
        <v>0.88</v>
      </c>
    </row>
    <row r="2928" customFormat="false" ht="15" hidden="false" customHeight="false" outlineLevel="0" collapsed="false">
      <c r="A2928" s="6" t="s">
        <v>56</v>
      </c>
      <c r="B2928" s="6" t="s">
        <v>43</v>
      </c>
      <c r="C2928" s="6" t="s">
        <v>51</v>
      </c>
      <c r="D2928" s="6" t="s">
        <v>118</v>
      </c>
      <c r="E2928" s="6" t="n">
        <v>16</v>
      </c>
      <c r="F2928" s="6" t="n">
        <v>7</v>
      </c>
      <c r="G2928" s="6" t="s">
        <v>68</v>
      </c>
      <c r="H2928" s="11" t="n">
        <v>0.001</v>
      </c>
      <c r="I2928" s="6" t="n">
        <v>20</v>
      </c>
      <c r="J2928" s="6" t="n">
        <v>0</v>
      </c>
      <c r="K2928" s="6" t="n">
        <v>20</v>
      </c>
      <c r="L2928" s="6" t="n">
        <v>0</v>
      </c>
      <c r="M2928" s="6" t="n">
        <v>20</v>
      </c>
      <c r="N2928" s="11" t="n">
        <f aca="false">J2928/(J2928+K2928)</f>
        <v>0</v>
      </c>
      <c r="O2928" s="11" t="str">
        <f aca="false">IF(J2928+L2928=0,"",J2928/(J2928+L2928))</f>
        <v/>
      </c>
      <c r="P2928" s="11" t="n">
        <f aca="false">2*J2928/(2*J2928+L2928+K2928)</f>
        <v>0</v>
      </c>
      <c r="Q2928" s="11" t="n">
        <f aca="false">L2928/(L2928+M2928)</f>
        <v>0</v>
      </c>
      <c r="R2928" s="6" t="n">
        <v>0</v>
      </c>
      <c r="S2928" s="11"/>
      <c r="T2928" s="11" t="n">
        <v>0</v>
      </c>
      <c r="U2928" s="11" t="n">
        <v>0.85</v>
      </c>
      <c r="V2928" s="11" t="n">
        <v>0.85</v>
      </c>
    </row>
    <row r="2929" customFormat="false" ht="15" hidden="false" customHeight="false" outlineLevel="0" collapsed="false">
      <c r="A2929" s="6" t="s">
        <v>56</v>
      </c>
      <c r="B2929" s="6" t="s">
        <v>43</v>
      </c>
      <c r="C2929" s="6" t="s">
        <v>51</v>
      </c>
      <c r="D2929" s="6" t="s">
        <v>118</v>
      </c>
      <c r="E2929" s="6" t="n">
        <v>16</v>
      </c>
      <c r="F2929" s="6" t="n">
        <v>7</v>
      </c>
      <c r="G2929" s="6" t="s">
        <v>69</v>
      </c>
      <c r="H2929" s="11" t="n">
        <v>0.001</v>
      </c>
      <c r="I2929" s="6" t="n">
        <v>20</v>
      </c>
      <c r="J2929" s="6" t="n">
        <v>0</v>
      </c>
      <c r="K2929" s="6" t="n">
        <v>20</v>
      </c>
      <c r="L2929" s="6" t="n">
        <v>0</v>
      </c>
      <c r="M2929" s="6" t="n">
        <v>20</v>
      </c>
      <c r="N2929" s="11" t="n">
        <f aca="false">J2929/(J2929+K2929)</f>
        <v>0</v>
      </c>
      <c r="O2929" s="11" t="str">
        <f aca="false">IF(J2929+L2929=0,"",J2929/(J2929+L2929))</f>
        <v/>
      </c>
      <c r="P2929" s="11" t="n">
        <f aca="false">2*J2929/(2*J2929+L2929+K2929)</f>
        <v>0</v>
      </c>
      <c r="Q2929" s="11" t="n">
        <f aca="false">L2929/(L2929+M2929)</f>
        <v>0</v>
      </c>
      <c r="R2929" s="6" t="n">
        <v>0</v>
      </c>
      <c r="S2929" s="11"/>
      <c r="T2929" s="11" t="n">
        <v>0</v>
      </c>
      <c r="U2929" s="11" t="n">
        <v>1</v>
      </c>
      <c r="V2929" s="11" t="n">
        <v>1</v>
      </c>
    </row>
    <row r="2930" customFormat="false" ht="15" hidden="false" customHeight="false" outlineLevel="0" collapsed="false">
      <c r="A2930" s="6" t="s">
        <v>56</v>
      </c>
      <c r="B2930" s="6" t="s">
        <v>43</v>
      </c>
      <c r="C2930" s="6" t="s">
        <v>51</v>
      </c>
      <c r="D2930" s="6" t="s">
        <v>118</v>
      </c>
      <c r="E2930" s="6" t="n">
        <v>16</v>
      </c>
      <c r="F2930" s="6" t="n">
        <v>7</v>
      </c>
      <c r="G2930" s="6" t="s">
        <v>70</v>
      </c>
      <c r="H2930" s="11" t="n">
        <v>0.001</v>
      </c>
      <c r="I2930" s="6" t="n">
        <v>20</v>
      </c>
      <c r="J2930" s="6" t="n">
        <v>0</v>
      </c>
      <c r="K2930" s="6" t="n">
        <v>20</v>
      </c>
      <c r="L2930" s="6" t="n">
        <v>0</v>
      </c>
      <c r="M2930" s="6" t="n">
        <v>20</v>
      </c>
      <c r="N2930" s="11" t="n">
        <f aca="false">J2930/(J2930+K2930)</f>
        <v>0</v>
      </c>
      <c r="O2930" s="11" t="str">
        <f aca="false">IF(J2930+L2930=0,"",J2930/(J2930+L2930))</f>
        <v/>
      </c>
      <c r="P2930" s="11" t="n">
        <f aca="false">2*J2930/(2*J2930+L2930+K2930)</f>
        <v>0</v>
      </c>
      <c r="Q2930" s="11" t="n">
        <f aca="false">L2930/(L2930+M2930)</f>
        <v>0</v>
      </c>
      <c r="R2930" s="6" t="n">
        <v>0</v>
      </c>
      <c r="S2930" s="11"/>
      <c r="T2930" s="11" t="n">
        <v>0</v>
      </c>
      <c r="U2930" s="11" t="n">
        <v>0.9</v>
      </c>
      <c r="V2930" s="11" t="n">
        <v>0.9</v>
      </c>
    </row>
    <row r="2931" customFormat="false" ht="15" hidden="false" customHeight="false" outlineLevel="0" collapsed="false">
      <c r="A2931" s="6" t="s">
        <v>56</v>
      </c>
      <c r="B2931" s="6" t="s">
        <v>43</v>
      </c>
      <c r="C2931" s="6" t="s">
        <v>51</v>
      </c>
      <c r="D2931" s="6" t="s">
        <v>118</v>
      </c>
      <c r="E2931" s="6" t="n">
        <v>16</v>
      </c>
      <c r="F2931" s="6" t="n">
        <v>7</v>
      </c>
      <c r="G2931" s="6" t="s">
        <v>71</v>
      </c>
      <c r="H2931" s="11" t="n">
        <v>0.001</v>
      </c>
      <c r="I2931" s="6" t="n">
        <v>20</v>
      </c>
      <c r="J2931" s="6" t="n">
        <v>0</v>
      </c>
      <c r="K2931" s="6" t="n">
        <v>20</v>
      </c>
      <c r="L2931" s="6" t="n">
        <v>0</v>
      </c>
      <c r="M2931" s="6" t="n">
        <v>20</v>
      </c>
      <c r="N2931" s="11" t="n">
        <f aca="false">J2931/(J2931+K2931)</f>
        <v>0</v>
      </c>
      <c r="O2931" s="11" t="str">
        <f aca="false">IF(J2931+L2931=0,"",J2931/(J2931+L2931))</f>
        <v/>
      </c>
      <c r="P2931" s="11" t="n">
        <f aca="false">2*J2931/(2*J2931+L2931+K2931)</f>
        <v>0</v>
      </c>
      <c r="Q2931" s="11" t="n">
        <f aca="false">L2931/(L2931+M2931)</f>
        <v>0</v>
      </c>
      <c r="R2931" s="6" t="n">
        <v>0</v>
      </c>
      <c r="S2931" s="11"/>
      <c r="T2931" s="11" t="n">
        <v>0</v>
      </c>
      <c r="U2931" s="11" t="n">
        <v>0.8</v>
      </c>
      <c r="V2931" s="11" t="n">
        <v>0.8</v>
      </c>
    </row>
    <row r="2932" customFormat="false" ht="15" hidden="false" customHeight="false" outlineLevel="0" collapsed="false">
      <c r="A2932" s="6" t="s">
        <v>56</v>
      </c>
      <c r="B2932" s="6" t="s">
        <v>43</v>
      </c>
      <c r="C2932" s="6" t="s">
        <v>51</v>
      </c>
      <c r="D2932" s="6" t="s">
        <v>118</v>
      </c>
      <c r="E2932" s="6" t="n">
        <v>16</v>
      </c>
      <c r="F2932" s="6" t="n">
        <v>7</v>
      </c>
      <c r="G2932" s="6" t="s">
        <v>72</v>
      </c>
      <c r="H2932" s="11" t="n">
        <v>0.001</v>
      </c>
      <c r="I2932" s="6" t="n">
        <v>20</v>
      </c>
      <c r="J2932" s="6" t="n">
        <v>0</v>
      </c>
      <c r="K2932" s="6" t="n">
        <v>20</v>
      </c>
      <c r="L2932" s="6" t="n">
        <v>0</v>
      </c>
      <c r="M2932" s="6" t="n">
        <v>20</v>
      </c>
      <c r="N2932" s="11" t="n">
        <f aca="false">J2932/(J2932+K2932)</f>
        <v>0</v>
      </c>
      <c r="O2932" s="11" t="str">
        <f aca="false">IF(J2932+L2932=0,"",J2932/(J2932+L2932))</f>
        <v/>
      </c>
      <c r="P2932" s="11" t="n">
        <f aca="false">2*J2932/(2*J2932+L2932+K2932)</f>
        <v>0</v>
      </c>
      <c r="Q2932" s="11" t="n">
        <f aca="false">L2932/(L2932+M2932)</f>
        <v>0</v>
      </c>
      <c r="R2932" s="6" t="n">
        <v>0</v>
      </c>
      <c r="S2932" s="11"/>
      <c r="T2932" s="11" t="n">
        <v>0</v>
      </c>
      <c r="U2932" s="11" t="n">
        <v>0.9</v>
      </c>
      <c r="V2932" s="11" t="n">
        <v>0.9</v>
      </c>
    </row>
    <row r="2933" customFormat="false" ht="15" hidden="false" customHeight="false" outlineLevel="0" collapsed="false">
      <c r="A2933" s="6" t="s">
        <v>56</v>
      </c>
      <c r="B2933" s="6" t="s">
        <v>43</v>
      </c>
      <c r="C2933" s="6" t="s">
        <v>51</v>
      </c>
      <c r="D2933" s="6" t="s">
        <v>118</v>
      </c>
      <c r="E2933" s="6" t="n">
        <v>16</v>
      </c>
      <c r="F2933" s="6" t="n">
        <v>7</v>
      </c>
      <c r="G2933" s="6" t="s">
        <v>73</v>
      </c>
      <c r="H2933" s="11" t="n">
        <v>0.001</v>
      </c>
      <c r="I2933" s="6" t="n">
        <v>20</v>
      </c>
      <c r="J2933" s="6" t="n">
        <v>0</v>
      </c>
      <c r="K2933" s="6" t="n">
        <v>20</v>
      </c>
      <c r="L2933" s="6" t="n">
        <v>0</v>
      </c>
      <c r="M2933" s="6" t="n">
        <v>20</v>
      </c>
      <c r="N2933" s="11" t="n">
        <f aca="false">J2933/(J2933+K2933)</f>
        <v>0</v>
      </c>
      <c r="O2933" s="11" t="str">
        <f aca="false">IF(J2933+L2933=0,"",J2933/(J2933+L2933))</f>
        <v/>
      </c>
      <c r="P2933" s="11" t="n">
        <f aca="false">2*J2933/(2*J2933+L2933+K2933)</f>
        <v>0</v>
      </c>
      <c r="Q2933" s="11" t="n">
        <f aca="false">L2933/(L2933+M2933)</f>
        <v>0</v>
      </c>
      <c r="R2933" s="6" t="n">
        <v>0</v>
      </c>
      <c r="S2933" s="11"/>
      <c r="T2933" s="11" t="n">
        <v>0</v>
      </c>
      <c r="U2933" s="11" t="n">
        <v>0.65</v>
      </c>
      <c r="V2933" s="11" t="n">
        <v>0.65</v>
      </c>
    </row>
    <row r="2934" customFormat="false" ht="15" hidden="false" customHeight="false" outlineLevel="0" collapsed="false">
      <c r="A2934" s="6" t="s">
        <v>56</v>
      </c>
      <c r="B2934" s="6" t="s">
        <v>43</v>
      </c>
      <c r="C2934" s="6" t="s">
        <v>51</v>
      </c>
      <c r="D2934" s="6" t="s">
        <v>118</v>
      </c>
      <c r="E2934" s="6" t="n">
        <v>16</v>
      </c>
      <c r="F2934" s="6" t="n">
        <v>7</v>
      </c>
      <c r="G2934" s="6" t="s">
        <v>74</v>
      </c>
      <c r="H2934" s="11" t="n">
        <v>0.001</v>
      </c>
      <c r="I2934" s="6" t="n">
        <v>20</v>
      </c>
      <c r="J2934" s="6" t="n">
        <v>0</v>
      </c>
      <c r="K2934" s="6" t="n">
        <v>20</v>
      </c>
      <c r="L2934" s="6" t="n">
        <v>0</v>
      </c>
      <c r="M2934" s="6" t="n">
        <v>20</v>
      </c>
      <c r="N2934" s="11" t="n">
        <f aca="false">J2934/(J2934+K2934)</f>
        <v>0</v>
      </c>
      <c r="O2934" s="11" t="str">
        <f aca="false">IF(J2934+L2934=0,"",J2934/(J2934+L2934))</f>
        <v/>
      </c>
      <c r="P2934" s="11" t="n">
        <f aca="false">2*J2934/(2*J2934+L2934+K2934)</f>
        <v>0</v>
      </c>
      <c r="Q2934" s="11" t="n">
        <f aca="false">L2934/(L2934+M2934)</f>
        <v>0</v>
      </c>
      <c r="R2934" s="6" t="n">
        <v>0</v>
      </c>
      <c r="S2934" s="11"/>
      <c r="T2934" s="11" t="n">
        <v>0</v>
      </c>
      <c r="U2934" s="11" t="n">
        <v>0.85</v>
      </c>
      <c r="V2934" s="11" t="n">
        <v>0.85</v>
      </c>
    </row>
    <row r="2935" customFormat="false" ht="15" hidden="false" customHeight="false" outlineLevel="0" collapsed="false">
      <c r="A2935" s="6" t="s">
        <v>56</v>
      </c>
      <c r="B2935" s="6" t="s">
        <v>43</v>
      </c>
      <c r="C2935" s="6" t="s">
        <v>51</v>
      </c>
      <c r="D2935" s="6" t="s">
        <v>118</v>
      </c>
      <c r="E2935" s="6" t="n">
        <v>16</v>
      </c>
      <c r="F2935" s="6" t="n">
        <v>7</v>
      </c>
      <c r="G2935" s="6" t="s">
        <v>75</v>
      </c>
      <c r="H2935" s="11" t="n">
        <v>0.001</v>
      </c>
      <c r="I2935" s="6" t="n">
        <v>20</v>
      </c>
      <c r="J2935" s="6" t="n">
        <v>0</v>
      </c>
      <c r="K2935" s="6" t="n">
        <v>20</v>
      </c>
      <c r="L2935" s="6" t="n">
        <v>0</v>
      </c>
      <c r="M2935" s="6" t="n">
        <v>20</v>
      </c>
      <c r="N2935" s="11" t="n">
        <f aca="false">J2935/(J2935+K2935)</f>
        <v>0</v>
      </c>
      <c r="O2935" s="11" t="str">
        <f aca="false">IF(J2935+L2935=0,"",J2935/(J2935+L2935))</f>
        <v/>
      </c>
      <c r="P2935" s="11" t="n">
        <f aca="false">2*J2935/(2*J2935+L2935+K2935)</f>
        <v>0</v>
      </c>
      <c r="Q2935" s="11" t="n">
        <f aca="false">L2935/(L2935+M2935)</f>
        <v>0</v>
      </c>
      <c r="R2935" s="6" t="n">
        <v>0</v>
      </c>
      <c r="S2935" s="11"/>
      <c r="T2935" s="11" t="n">
        <v>0</v>
      </c>
      <c r="U2935" s="11" t="n">
        <v>0.9</v>
      </c>
      <c r="V2935" s="11" t="n">
        <v>0.9</v>
      </c>
    </row>
    <row r="2936" customFormat="false" ht="15" hidden="false" customHeight="false" outlineLevel="0" collapsed="false">
      <c r="A2936" s="6" t="s">
        <v>56</v>
      </c>
      <c r="B2936" s="6" t="s">
        <v>43</v>
      </c>
      <c r="C2936" s="6" t="s">
        <v>51</v>
      </c>
      <c r="D2936" s="6" t="s">
        <v>118</v>
      </c>
      <c r="E2936" s="6" t="n">
        <v>16</v>
      </c>
      <c r="F2936" s="6" t="n">
        <v>7</v>
      </c>
      <c r="G2936" s="6" t="s">
        <v>76</v>
      </c>
      <c r="H2936" s="11" t="n">
        <v>0.001</v>
      </c>
      <c r="I2936" s="6" t="n">
        <v>20</v>
      </c>
      <c r="J2936" s="6" t="n">
        <v>0</v>
      </c>
      <c r="K2936" s="6" t="n">
        <v>20</v>
      </c>
      <c r="L2936" s="6" t="n">
        <v>0</v>
      </c>
      <c r="M2936" s="6" t="n">
        <v>20</v>
      </c>
      <c r="N2936" s="11" t="n">
        <f aca="false">J2936/(J2936+K2936)</f>
        <v>0</v>
      </c>
      <c r="O2936" s="11" t="str">
        <f aca="false">IF(J2936+L2936=0,"",J2936/(J2936+L2936))</f>
        <v/>
      </c>
      <c r="P2936" s="11" t="n">
        <f aca="false">2*J2936/(2*J2936+L2936+K2936)</f>
        <v>0</v>
      </c>
      <c r="Q2936" s="11" t="n">
        <f aca="false">L2936/(L2936+M2936)</f>
        <v>0</v>
      </c>
      <c r="R2936" s="6" t="n">
        <v>0</v>
      </c>
      <c r="S2936" s="11"/>
      <c r="T2936" s="11" t="n">
        <v>0</v>
      </c>
      <c r="U2936" s="11" t="n">
        <v>0.95</v>
      </c>
      <c r="V2936" s="11" t="n">
        <v>0.95</v>
      </c>
    </row>
    <row r="2937" customFormat="false" ht="15" hidden="false" customHeight="false" outlineLevel="0" collapsed="false">
      <c r="A2937" s="6" t="s">
        <v>56</v>
      </c>
      <c r="B2937" s="6" t="s">
        <v>43</v>
      </c>
      <c r="C2937" s="6" t="s">
        <v>51</v>
      </c>
      <c r="D2937" s="6" t="s">
        <v>118</v>
      </c>
      <c r="E2937" s="6" t="n">
        <v>16</v>
      </c>
      <c r="F2937" s="6" t="n">
        <v>7</v>
      </c>
      <c r="G2937" s="6" t="s">
        <v>77</v>
      </c>
      <c r="H2937" s="11" t="n">
        <v>0.001</v>
      </c>
      <c r="I2937" s="6" t="n">
        <v>20</v>
      </c>
      <c r="J2937" s="6" t="n">
        <v>0</v>
      </c>
      <c r="K2937" s="6" t="n">
        <v>20</v>
      </c>
      <c r="L2937" s="6" t="n">
        <v>0</v>
      </c>
      <c r="M2937" s="6" t="n">
        <v>20</v>
      </c>
      <c r="N2937" s="11" t="n">
        <f aca="false">J2937/(J2937+K2937)</f>
        <v>0</v>
      </c>
      <c r="O2937" s="11" t="str">
        <f aca="false">IF(J2937+L2937=0,"",J2937/(J2937+L2937))</f>
        <v/>
      </c>
      <c r="P2937" s="11" t="n">
        <f aca="false">2*J2937/(2*J2937+L2937+K2937)</f>
        <v>0</v>
      </c>
      <c r="Q2937" s="11" t="n">
        <f aca="false">L2937/(L2937+M2937)</f>
        <v>0</v>
      </c>
      <c r="R2937" s="6" t="n">
        <v>0</v>
      </c>
      <c r="S2937" s="11"/>
      <c r="T2937" s="11" t="n">
        <v>0</v>
      </c>
      <c r="U2937" s="11" t="n">
        <v>1</v>
      </c>
      <c r="V2937" s="11" t="n">
        <v>1</v>
      </c>
    </row>
    <row r="2938" customFormat="false" ht="15" hidden="false" customHeight="false" outlineLevel="0" collapsed="false">
      <c r="A2938" s="6" t="s">
        <v>56</v>
      </c>
      <c r="B2938" s="6" t="s">
        <v>43</v>
      </c>
      <c r="C2938" s="6" t="s">
        <v>51</v>
      </c>
      <c r="D2938" s="6" t="s">
        <v>118</v>
      </c>
      <c r="E2938" s="6" t="n">
        <v>16</v>
      </c>
      <c r="F2938" s="6" t="n">
        <v>7</v>
      </c>
      <c r="G2938" s="6" t="s">
        <v>78</v>
      </c>
      <c r="H2938" s="11" t="n">
        <v>0.001</v>
      </c>
      <c r="I2938" s="6" t="n">
        <v>200</v>
      </c>
      <c r="J2938" s="6" t="n">
        <v>0</v>
      </c>
      <c r="K2938" s="6" t="n">
        <v>200</v>
      </c>
      <c r="L2938" s="6" t="n">
        <v>0</v>
      </c>
      <c r="M2938" s="6" t="n">
        <v>200</v>
      </c>
      <c r="N2938" s="11" t="n">
        <f aca="false">J2938/(J2938+K2938)</f>
        <v>0</v>
      </c>
      <c r="O2938" s="11" t="str">
        <f aca="false">IF(J2938+L2938=0,"",J2938/(J2938+L2938))</f>
        <v/>
      </c>
      <c r="P2938" s="11" t="n">
        <f aca="false">2*J2938/(2*J2938+L2938+K2938)</f>
        <v>0</v>
      </c>
      <c r="Q2938" s="11" t="n">
        <f aca="false">L2938/(L2938+M2938)</f>
        <v>0</v>
      </c>
      <c r="R2938" s="6" t="n">
        <v>0</v>
      </c>
      <c r="S2938" s="11"/>
      <c r="T2938" s="11" t="n">
        <v>0</v>
      </c>
      <c r="U2938" s="11" t="n">
        <v>0.88</v>
      </c>
      <c r="V2938" s="11" t="n">
        <v>0.88</v>
      </c>
    </row>
    <row r="2939" customFormat="false" ht="15" hidden="false" customHeight="false" outlineLevel="0" collapsed="false">
      <c r="A2939" s="6" t="s">
        <v>56</v>
      </c>
      <c r="B2939" s="6" t="s">
        <v>43</v>
      </c>
      <c r="C2939" s="6" t="s">
        <v>51</v>
      </c>
      <c r="D2939" s="6" t="s">
        <v>118</v>
      </c>
      <c r="E2939" s="6" t="n">
        <v>16</v>
      </c>
      <c r="F2939" s="6" t="n">
        <v>8</v>
      </c>
      <c r="G2939" s="6" t="s">
        <v>68</v>
      </c>
      <c r="H2939" s="11" t="n">
        <v>0.001</v>
      </c>
      <c r="I2939" s="6" t="n">
        <v>20</v>
      </c>
      <c r="J2939" s="6" t="n">
        <v>0</v>
      </c>
      <c r="K2939" s="6" t="n">
        <v>20</v>
      </c>
      <c r="L2939" s="6" t="n">
        <v>0</v>
      </c>
      <c r="M2939" s="6" t="n">
        <v>20</v>
      </c>
      <c r="N2939" s="11" t="n">
        <f aca="false">J2939/(J2939+K2939)</f>
        <v>0</v>
      </c>
      <c r="O2939" s="11" t="str">
        <f aca="false">IF(J2939+L2939=0,"",J2939/(J2939+L2939))</f>
        <v/>
      </c>
      <c r="P2939" s="11" t="n">
        <f aca="false">2*J2939/(2*J2939+L2939+K2939)</f>
        <v>0</v>
      </c>
      <c r="Q2939" s="11" t="n">
        <f aca="false">L2939/(L2939+M2939)</f>
        <v>0</v>
      </c>
      <c r="R2939" s="6" t="n">
        <v>0</v>
      </c>
      <c r="S2939" s="11"/>
      <c r="T2939" s="11" t="n">
        <v>0</v>
      </c>
      <c r="U2939" s="11" t="n">
        <v>0.85</v>
      </c>
      <c r="V2939" s="11" t="n">
        <v>0.85</v>
      </c>
    </row>
    <row r="2940" customFormat="false" ht="15" hidden="false" customHeight="false" outlineLevel="0" collapsed="false">
      <c r="A2940" s="6" t="s">
        <v>56</v>
      </c>
      <c r="B2940" s="6" t="s">
        <v>43</v>
      </c>
      <c r="C2940" s="6" t="s">
        <v>51</v>
      </c>
      <c r="D2940" s="6" t="s">
        <v>118</v>
      </c>
      <c r="E2940" s="6" t="n">
        <v>16</v>
      </c>
      <c r="F2940" s="6" t="n">
        <v>8</v>
      </c>
      <c r="G2940" s="6" t="s">
        <v>69</v>
      </c>
      <c r="H2940" s="11" t="n">
        <v>0.001</v>
      </c>
      <c r="I2940" s="6" t="n">
        <v>20</v>
      </c>
      <c r="J2940" s="6" t="n">
        <v>0</v>
      </c>
      <c r="K2940" s="6" t="n">
        <v>20</v>
      </c>
      <c r="L2940" s="6" t="n">
        <v>0</v>
      </c>
      <c r="M2940" s="6" t="n">
        <v>20</v>
      </c>
      <c r="N2940" s="11" t="n">
        <f aca="false">J2940/(J2940+K2940)</f>
        <v>0</v>
      </c>
      <c r="O2940" s="11" t="str">
        <f aca="false">IF(J2940+L2940=0,"",J2940/(J2940+L2940))</f>
        <v/>
      </c>
      <c r="P2940" s="11" t="n">
        <f aca="false">2*J2940/(2*J2940+L2940+K2940)</f>
        <v>0</v>
      </c>
      <c r="Q2940" s="11" t="n">
        <f aca="false">L2940/(L2940+M2940)</f>
        <v>0</v>
      </c>
      <c r="R2940" s="6" t="n">
        <v>0</v>
      </c>
      <c r="S2940" s="11"/>
      <c r="T2940" s="11" t="n">
        <v>0</v>
      </c>
      <c r="U2940" s="11" t="n">
        <v>1</v>
      </c>
      <c r="V2940" s="11" t="n">
        <v>1</v>
      </c>
    </row>
    <row r="2941" customFormat="false" ht="15" hidden="false" customHeight="false" outlineLevel="0" collapsed="false">
      <c r="A2941" s="6" t="s">
        <v>56</v>
      </c>
      <c r="B2941" s="6" t="s">
        <v>43</v>
      </c>
      <c r="C2941" s="6" t="s">
        <v>51</v>
      </c>
      <c r="D2941" s="6" t="s">
        <v>118</v>
      </c>
      <c r="E2941" s="6" t="n">
        <v>16</v>
      </c>
      <c r="F2941" s="6" t="n">
        <v>8</v>
      </c>
      <c r="G2941" s="6" t="s">
        <v>70</v>
      </c>
      <c r="H2941" s="11" t="n">
        <v>0.001</v>
      </c>
      <c r="I2941" s="6" t="n">
        <v>20</v>
      </c>
      <c r="J2941" s="6" t="n">
        <v>0</v>
      </c>
      <c r="K2941" s="6" t="n">
        <v>20</v>
      </c>
      <c r="L2941" s="6" t="n">
        <v>0</v>
      </c>
      <c r="M2941" s="6" t="n">
        <v>20</v>
      </c>
      <c r="N2941" s="11" t="n">
        <f aca="false">J2941/(J2941+K2941)</f>
        <v>0</v>
      </c>
      <c r="O2941" s="11" t="str">
        <f aca="false">IF(J2941+L2941=0,"",J2941/(J2941+L2941))</f>
        <v/>
      </c>
      <c r="P2941" s="11" t="n">
        <f aca="false">2*J2941/(2*J2941+L2941+K2941)</f>
        <v>0</v>
      </c>
      <c r="Q2941" s="11" t="n">
        <f aca="false">L2941/(L2941+M2941)</f>
        <v>0</v>
      </c>
      <c r="R2941" s="6" t="n">
        <v>0</v>
      </c>
      <c r="S2941" s="11"/>
      <c r="T2941" s="11" t="n">
        <v>0</v>
      </c>
      <c r="U2941" s="11" t="n">
        <v>0.9</v>
      </c>
      <c r="V2941" s="11" t="n">
        <v>0.9</v>
      </c>
    </row>
    <row r="2942" customFormat="false" ht="15" hidden="false" customHeight="false" outlineLevel="0" collapsed="false">
      <c r="A2942" s="6" t="s">
        <v>56</v>
      </c>
      <c r="B2942" s="6" t="s">
        <v>43</v>
      </c>
      <c r="C2942" s="6" t="s">
        <v>51</v>
      </c>
      <c r="D2942" s="6" t="s">
        <v>118</v>
      </c>
      <c r="E2942" s="6" t="n">
        <v>16</v>
      </c>
      <c r="F2942" s="6" t="n">
        <v>8</v>
      </c>
      <c r="G2942" s="6" t="s">
        <v>71</v>
      </c>
      <c r="H2942" s="11" t="n">
        <v>0.001</v>
      </c>
      <c r="I2942" s="6" t="n">
        <v>20</v>
      </c>
      <c r="J2942" s="6" t="n">
        <v>0</v>
      </c>
      <c r="K2942" s="6" t="n">
        <v>20</v>
      </c>
      <c r="L2942" s="6" t="n">
        <v>0</v>
      </c>
      <c r="M2942" s="6" t="n">
        <v>20</v>
      </c>
      <c r="N2942" s="11" t="n">
        <f aca="false">J2942/(J2942+K2942)</f>
        <v>0</v>
      </c>
      <c r="O2942" s="11" t="str">
        <f aca="false">IF(J2942+L2942=0,"",J2942/(J2942+L2942))</f>
        <v/>
      </c>
      <c r="P2942" s="11" t="n">
        <f aca="false">2*J2942/(2*J2942+L2942+K2942)</f>
        <v>0</v>
      </c>
      <c r="Q2942" s="11" t="n">
        <f aca="false">L2942/(L2942+M2942)</f>
        <v>0</v>
      </c>
      <c r="R2942" s="6" t="n">
        <v>0</v>
      </c>
      <c r="S2942" s="11"/>
      <c r="T2942" s="11" t="n">
        <v>0</v>
      </c>
      <c r="U2942" s="11" t="n">
        <v>0.8</v>
      </c>
      <c r="V2942" s="11" t="n">
        <v>0.8</v>
      </c>
    </row>
    <row r="2943" customFormat="false" ht="15" hidden="false" customHeight="false" outlineLevel="0" collapsed="false">
      <c r="A2943" s="6" t="s">
        <v>56</v>
      </c>
      <c r="B2943" s="6" t="s">
        <v>43</v>
      </c>
      <c r="C2943" s="6" t="s">
        <v>51</v>
      </c>
      <c r="D2943" s="6" t="s">
        <v>118</v>
      </c>
      <c r="E2943" s="6" t="n">
        <v>16</v>
      </c>
      <c r="F2943" s="6" t="n">
        <v>8</v>
      </c>
      <c r="G2943" s="6" t="s">
        <v>72</v>
      </c>
      <c r="H2943" s="11" t="n">
        <v>0.001</v>
      </c>
      <c r="I2943" s="6" t="n">
        <v>20</v>
      </c>
      <c r="J2943" s="6" t="n">
        <v>0</v>
      </c>
      <c r="K2943" s="6" t="n">
        <v>20</v>
      </c>
      <c r="L2943" s="6" t="n">
        <v>0</v>
      </c>
      <c r="M2943" s="6" t="n">
        <v>20</v>
      </c>
      <c r="N2943" s="11" t="n">
        <f aca="false">J2943/(J2943+K2943)</f>
        <v>0</v>
      </c>
      <c r="O2943" s="11" t="str">
        <f aca="false">IF(J2943+L2943=0,"",J2943/(J2943+L2943))</f>
        <v/>
      </c>
      <c r="P2943" s="11" t="n">
        <f aca="false">2*J2943/(2*J2943+L2943+K2943)</f>
        <v>0</v>
      </c>
      <c r="Q2943" s="11" t="n">
        <f aca="false">L2943/(L2943+M2943)</f>
        <v>0</v>
      </c>
      <c r="R2943" s="6" t="n">
        <v>0</v>
      </c>
      <c r="S2943" s="11"/>
      <c r="T2943" s="11" t="n">
        <v>0</v>
      </c>
      <c r="U2943" s="11" t="n">
        <v>0.9</v>
      </c>
      <c r="V2943" s="11" t="n">
        <v>0.9</v>
      </c>
    </row>
    <row r="2944" customFormat="false" ht="15" hidden="false" customHeight="false" outlineLevel="0" collapsed="false">
      <c r="A2944" s="6" t="s">
        <v>56</v>
      </c>
      <c r="B2944" s="6" t="s">
        <v>43</v>
      </c>
      <c r="C2944" s="6" t="s">
        <v>51</v>
      </c>
      <c r="D2944" s="6" t="s">
        <v>118</v>
      </c>
      <c r="E2944" s="6" t="n">
        <v>16</v>
      </c>
      <c r="F2944" s="6" t="n">
        <v>8</v>
      </c>
      <c r="G2944" s="6" t="s">
        <v>73</v>
      </c>
      <c r="H2944" s="11" t="n">
        <v>0.001</v>
      </c>
      <c r="I2944" s="6" t="n">
        <v>20</v>
      </c>
      <c r="J2944" s="6" t="n">
        <v>0</v>
      </c>
      <c r="K2944" s="6" t="n">
        <v>20</v>
      </c>
      <c r="L2944" s="6" t="n">
        <v>0</v>
      </c>
      <c r="M2944" s="6" t="n">
        <v>20</v>
      </c>
      <c r="N2944" s="11" t="n">
        <f aca="false">J2944/(J2944+K2944)</f>
        <v>0</v>
      </c>
      <c r="O2944" s="11" t="str">
        <f aca="false">IF(J2944+L2944=0,"",J2944/(J2944+L2944))</f>
        <v/>
      </c>
      <c r="P2944" s="11" t="n">
        <f aca="false">2*J2944/(2*J2944+L2944+K2944)</f>
        <v>0</v>
      </c>
      <c r="Q2944" s="11" t="n">
        <f aca="false">L2944/(L2944+M2944)</f>
        <v>0</v>
      </c>
      <c r="R2944" s="6" t="n">
        <v>0</v>
      </c>
      <c r="S2944" s="11"/>
      <c r="T2944" s="11" t="n">
        <v>0</v>
      </c>
      <c r="U2944" s="11" t="n">
        <v>0.65</v>
      </c>
      <c r="V2944" s="11" t="n">
        <v>0.65</v>
      </c>
    </row>
    <row r="2945" customFormat="false" ht="15" hidden="false" customHeight="false" outlineLevel="0" collapsed="false">
      <c r="A2945" s="6" t="s">
        <v>56</v>
      </c>
      <c r="B2945" s="6" t="s">
        <v>43</v>
      </c>
      <c r="C2945" s="6" t="s">
        <v>51</v>
      </c>
      <c r="D2945" s="6" t="s">
        <v>118</v>
      </c>
      <c r="E2945" s="6" t="n">
        <v>16</v>
      </c>
      <c r="F2945" s="6" t="n">
        <v>8</v>
      </c>
      <c r="G2945" s="6" t="s">
        <v>74</v>
      </c>
      <c r="H2945" s="11" t="n">
        <v>0.001</v>
      </c>
      <c r="I2945" s="6" t="n">
        <v>20</v>
      </c>
      <c r="J2945" s="6" t="n">
        <v>0</v>
      </c>
      <c r="K2945" s="6" t="n">
        <v>20</v>
      </c>
      <c r="L2945" s="6" t="n">
        <v>0</v>
      </c>
      <c r="M2945" s="6" t="n">
        <v>20</v>
      </c>
      <c r="N2945" s="11" t="n">
        <f aca="false">J2945/(J2945+K2945)</f>
        <v>0</v>
      </c>
      <c r="O2945" s="11" t="str">
        <f aca="false">IF(J2945+L2945=0,"",J2945/(J2945+L2945))</f>
        <v/>
      </c>
      <c r="P2945" s="11" t="n">
        <f aca="false">2*J2945/(2*J2945+L2945+K2945)</f>
        <v>0</v>
      </c>
      <c r="Q2945" s="11" t="n">
        <f aca="false">L2945/(L2945+M2945)</f>
        <v>0</v>
      </c>
      <c r="R2945" s="6" t="n">
        <v>0</v>
      </c>
      <c r="S2945" s="11"/>
      <c r="T2945" s="11" t="n">
        <v>0</v>
      </c>
      <c r="U2945" s="11" t="n">
        <v>0.85</v>
      </c>
      <c r="V2945" s="11" t="n">
        <v>0.85</v>
      </c>
    </row>
    <row r="2946" customFormat="false" ht="15" hidden="false" customHeight="false" outlineLevel="0" collapsed="false">
      <c r="A2946" s="6" t="s">
        <v>56</v>
      </c>
      <c r="B2946" s="6" t="s">
        <v>43</v>
      </c>
      <c r="C2946" s="6" t="s">
        <v>51</v>
      </c>
      <c r="D2946" s="6" t="s">
        <v>118</v>
      </c>
      <c r="E2946" s="6" t="n">
        <v>16</v>
      </c>
      <c r="F2946" s="6" t="n">
        <v>8</v>
      </c>
      <c r="G2946" s="6" t="s">
        <v>75</v>
      </c>
      <c r="H2946" s="11" t="n">
        <v>0.001</v>
      </c>
      <c r="I2946" s="6" t="n">
        <v>20</v>
      </c>
      <c r="J2946" s="6" t="n">
        <v>0</v>
      </c>
      <c r="K2946" s="6" t="n">
        <v>20</v>
      </c>
      <c r="L2946" s="6" t="n">
        <v>0</v>
      </c>
      <c r="M2946" s="6" t="n">
        <v>20</v>
      </c>
      <c r="N2946" s="11" t="n">
        <f aca="false">J2946/(J2946+K2946)</f>
        <v>0</v>
      </c>
      <c r="O2946" s="11" t="str">
        <f aca="false">IF(J2946+L2946=0,"",J2946/(J2946+L2946))</f>
        <v/>
      </c>
      <c r="P2946" s="11" t="n">
        <f aca="false">2*J2946/(2*J2946+L2946+K2946)</f>
        <v>0</v>
      </c>
      <c r="Q2946" s="11" t="n">
        <f aca="false">L2946/(L2946+M2946)</f>
        <v>0</v>
      </c>
      <c r="R2946" s="6" t="n">
        <v>0</v>
      </c>
      <c r="S2946" s="11"/>
      <c r="T2946" s="11" t="n">
        <v>0</v>
      </c>
      <c r="U2946" s="11" t="n">
        <v>0.9</v>
      </c>
      <c r="V2946" s="11" t="n">
        <v>0.9</v>
      </c>
    </row>
    <row r="2947" customFormat="false" ht="15" hidden="false" customHeight="false" outlineLevel="0" collapsed="false">
      <c r="A2947" s="6" t="s">
        <v>56</v>
      </c>
      <c r="B2947" s="6" t="s">
        <v>43</v>
      </c>
      <c r="C2947" s="6" t="s">
        <v>51</v>
      </c>
      <c r="D2947" s="6" t="s">
        <v>118</v>
      </c>
      <c r="E2947" s="6" t="n">
        <v>16</v>
      </c>
      <c r="F2947" s="6" t="n">
        <v>8</v>
      </c>
      <c r="G2947" s="6" t="s">
        <v>76</v>
      </c>
      <c r="H2947" s="11" t="n">
        <v>0.001</v>
      </c>
      <c r="I2947" s="6" t="n">
        <v>20</v>
      </c>
      <c r="J2947" s="6" t="n">
        <v>0</v>
      </c>
      <c r="K2947" s="6" t="n">
        <v>20</v>
      </c>
      <c r="L2947" s="6" t="n">
        <v>0</v>
      </c>
      <c r="M2947" s="6" t="n">
        <v>20</v>
      </c>
      <c r="N2947" s="11" t="n">
        <f aca="false">J2947/(J2947+K2947)</f>
        <v>0</v>
      </c>
      <c r="O2947" s="11" t="str">
        <f aca="false">IF(J2947+L2947=0,"",J2947/(J2947+L2947))</f>
        <v/>
      </c>
      <c r="P2947" s="11" t="n">
        <f aca="false">2*J2947/(2*J2947+L2947+K2947)</f>
        <v>0</v>
      </c>
      <c r="Q2947" s="11" t="n">
        <f aca="false">L2947/(L2947+M2947)</f>
        <v>0</v>
      </c>
      <c r="R2947" s="6" t="n">
        <v>0</v>
      </c>
      <c r="S2947" s="11"/>
      <c r="T2947" s="11" t="n">
        <v>0</v>
      </c>
      <c r="U2947" s="11" t="n">
        <v>0.95</v>
      </c>
      <c r="V2947" s="11" t="n">
        <v>0.95</v>
      </c>
    </row>
    <row r="2948" customFormat="false" ht="15" hidden="false" customHeight="false" outlineLevel="0" collapsed="false">
      <c r="A2948" s="6" t="s">
        <v>56</v>
      </c>
      <c r="B2948" s="6" t="s">
        <v>43</v>
      </c>
      <c r="C2948" s="6" t="s">
        <v>51</v>
      </c>
      <c r="D2948" s="6" t="s">
        <v>118</v>
      </c>
      <c r="E2948" s="6" t="n">
        <v>16</v>
      </c>
      <c r="F2948" s="6" t="n">
        <v>8</v>
      </c>
      <c r="G2948" s="6" t="s">
        <v>77</v>
      </c>
      <c r="H2948" s="11" t="n">
        <v>0.001</v>
      </c>
      <c r="I2948" s="6" t="n">
        <v>20</v>
      </c>
      <c r="J2948" s="6" t="n">
        <v>0</v>
      </c>
      <c r="K2948" s="6" t="n">
        <v>20</v>
      </c>
      <c r="L2948" s="6" t="n">
        <v>0</v>
      </c>
      <c r="M2948" s="6" t="n">
        <v>20</v>
      </c>
      <c r="N2948" s="11" t="n">
        <f aca="false">J2948/(J2948+K2948)</f>
        <v>0</v>
      </c>
      <c r="O2948" s="11" t="str">
        <f aca="false">IF(J2948+L2948=0,"",J2948/(J2948+L2948))</f>
        <v/>
      </c>
      <c r="P2948" s="11" t="n">
        <f aca="false">2*J2948/(2*J2948+L2948+K2948)</f>
        <v>0</v>
      </c>
      <c r="Q2948" s="11" t="n">
        <f aca="false">L2948/(L2948+M2948)</f>
        <v>0</v>
      </c>
      <c r="R2948" s="6" t="n">
        <v>0</v>
      </c>
      <c r="S2948" s="11"/>
      <c r="T2948" s="11" t="n">
        <v>0</v>
      </c>
      <c r="U2948" s="11" t="n">
        <v>1</v>
      </c>
      <c r="V2948" s="11" t="n">
        <v>1</v>
      </c>
    </row>
    <row r="2949" customFormat="false" ht="15" hidden="false" customHeight="false" outlineLevel="0" collapsed="false">
      <c r="A2949" s="6" t="s">
        <v>56</v>
      </c>
      <c r="B2949" s="6" t="s">
        <v>43</v>
      </c>
      <c r="C2949" s="6" t="s">
        <v>51</v>
      </c>
      <c r="D2949" s="6" t="s">
        <v>118</v>
      </c>
      <c r="E2949" s="6" t="n">
        <v>16</v>
      </c>
      <c r="F2949" s="6" t="n">
        <v>8</v>
      </c>
      <c r="G2949" s="6" t="s">
        <v>78</v>
      </c>
      <c r="H2949" s="11" t="n">
        <v>0.001</v>
      </c>
      <c r="I2949" s="6" t="n">
        <v>200</v>
      </c>
      <c r="J2949" s="6" t="n">
        <v>0</v>
      </c>
      <c r="K2949" s="6" t="n">
        <v>200</v>
      </c>
      <c r="L2949" s="6" t="n">
        <v>0</v>
      </c>
      <c r="M2949" s="6" t="n">
        <v>200</v>
      </c>
      <c r="N2949" s="11" t="n">
        <f aca="false">J2949/(J2949+K2949)</f>
        <v>0</v>
      </c>
      <c r="O2949" s="11" t="str">
        <f aca="false">IF(J2949+L2949=0,"",J2949/(J2949+L2949))</f>
        <v/>
      </c>
      <c r="P2949" s="11" t="n">
        <f aca="false">2*J2949/(2*J2949+L2949+K2949)</f>
        <v>0</v>
      </c>
      <c r="Q2949" s="11" t="n">
        <f aca="false">L2949/(L2949+M2949)</f>
        <v>0</v>
      </c>
      <c r="R2949" s="6" t="n">
        <v>0</v>
      </c>
      <c r="S2949" s="11"/>
      <c r="T2949" s="11" t="n">
        <v>0</v>
      </c>
      <c r="U2949" s="11" t="n">
        <v>0.88</v>
      </c>
      <c r="V2949" s="11" t="n">
        <v>0.88</v>
      </c>
    </row>
    <row r="2950" customFormat="false" ht="15" hidden="false" customHeight="false" outlineLevel="0" collapsed="false">
      <c r="A2950" s="6" t="s">
        <v>56</v>
      </c>
      <c r="B2950" s="6" t="s">
        <v>43</v>
      </c>
      <c r="C2950" s="6" t="s">
        <v>51</v>
      </c>
      <c r="D2950" s="6" t="s">
        <v>118</v>
      </c>
      <c r="E2950" s="6" t="n">
        <v>16</v>
      </c>
      <c r="F2950" s="6" t="n">
        <v>9</v>
      </c>
      <c r="G2950" s="6" t="s">
        <v>68</v>
      </c>
      <c r="H2950" s="11" t="n">
        <v>0.001</v>
      </c>
      <c r="I2950" s="6" t="n">
        <v>20</v>
      </c>
      <c r="J2950" s="6" t="n">
        <v>0</v>
      </c>
      <c r="K2950" s="6" t="n">
        <v>20</v>
      </c>
      <c r="L2950" s="6" t="n">
        <v>0</v>
      </c>
      <c r="M2950" s="6" t="n">
        <v>20</v>
      </c>
      <c r="N2950" s="11" t="n">
        <f aca="false">J2950/(J2950+K2950)</f>
        <v>0</v>
      </c>
      <c r="O2950" s="11" t="str">
        <f aca="false">IF(J2950+L2950=0,"",J2950/(J2950+L2950))</f>
        <v/>
      </c>
      <c r="P2950" s="11" t="n">
        <f aca="false">2*J2950/(2*J2950+L2950+K2950)</f>
        <v>0</v>
      </c>
      <c r="Q2950" s="11" t="n">
        <f aca="false">L2950/(L2950+M2950)</f>
        <v>0</v>
      </c>
      <c r="R2950" s="6" t="n">
        <v>0</v>
      </c>
      <c r="S2950" s="11"/>
      <c r="T2950" s="11" t="n">
        <v>0</v>
      </c>
      <c r="U2950" s="11" t="n">
        <v>0.85</v>
      </c>
      <c r="V2950" s="11" t="n">
        <v>0.85</v>
      </c>
    </row>
    <row r="2951" customFormat="false" ht="15" hidden="false" customHeight="false" outlineLevel="0" collapsed="false">
      <c r="A2951" s="6" t="s">
        <v>56</v>
      </c>
      <c r="B2951" s="6" t="s">
        <v>43</v>
      </c>
      <c r="C2951" s="6" t="s">
        <v>51</v>
      </c>
      <c r="D2951" s="6" t="s">
        <v>118</v>
      </c>
      <c r="E2951" s="6" t="n">
        <v>16</v>
      </c>
      <c r="F2951" s="6" t="n">
        <v>9</v>
      </c>
      <c r="G2951" s="6" t="s">
        <v>69</v>
      </c>
      <c r="H2951" s="11" t="n">
        <v>0.001</v>
      </c>
      <c r="I2951" s="6" t="n">
        <v>20</v>
      </c>
      <c r="J2951" s="6" t="n">
        <v>0</v>
      </c>
      <c r="K2951" s="6" t="n">
        <v>20</v>
      </c>
      <c r="L2951" s="6" t="n">
        <v>0</v>
      </c>
      <c r="M2951" s="6" t="n">
        <v>20</v>
      </c>
      <c r="N2951" s="11" t="n">
        <f aca="false">J2951/(J2951+K2951)</f>
        <v>0</v>
      </c>
      <c r="O2951" s="11" t="str">
        <f aca="false">IF(J2951+L2951=0,"",J2951/(J2951+L2951))</f>
        <v/>
      </c>
      <c r="P2951" s="11" t="n">
        <f aca="false">2*J2951/(2*J2951+L2951+K2951)</f>
        <v>0</v>
      </c>
      <c r="Q2951" s="11" t="n">
        <f aca="false">L2951/(L2951+M2951)</f>
        <v>0</v>
      </c>
      <c r="R2951" s="6" t="n">
        <v>0</v>
      </c>
      <c r="S2951" s="11"/>
      <c r="T2951" s="11" t="n">
        <v>0</v>
      </c>
      <c r="U2951" s="11" t="n">
        <v>1</v>
      </c>
      <c r="V2951" s="11" t="n">
        <v>1</v>
      </c>
    </row>
    <row r="2952" customFormat="false" ht="15" hidden="false" customHeight="false" outlineLevel="0" collapsed="false">
      <c r="A2952" s="6" t="s">
        <v>56</v>
      </c>
      <c r="B2952" s="6" t="s">
        <v>43</v>
      </c>
      <c r="C2952" s="6" t="s">
        <v>51</v>
      </c>
      <c r="D2952" s="6" t="s">
        <v>118</v>
      </c>
      <c r="E2952" s="6" t="n">
        <v>16</v>
      </c>
      <c r="F2952" s="6" t="n">
        <v>9</v>
      </c>
      <c r="G2952" s="6" t="s">
        <v>70</v>
      </c>
      <c r="H2952" s="11" t="n">
        <v>0.001</v>
      </c>
      <c r="I2952" s="6" t="n">
        <v>20</v>
      </c>
      <c r="J2952" s="6" t="n">
        <v>0</v>
      </c>
      <c r="K2952" s="6" t="n">
        <v>20</v>
      </c>
      <c r="L2952" s="6" t="n">
        <v>0</v>
      </c>
      <c r="M2952" s="6" t="n">
        <v>20</v>
      </c>
      <c r="N2952" s="11" t="n">
        <f aca="false">J2952/(J2952+K2952)</f>
        <v>0</v>
      </c>
      <c r="O2952" s="11" t="str">
        <f aca="false">IF(J2952+L2952=0,"",J2952/(J2952+L2952))</f>
        <v/>
      </c>
      <c r="P2952" s="11" t="n">
        <f aca="false">2*J2952/(2*J2952+L2952+K2952)</f>
        <v>0</v>
      </c>
      <c r="Q2952" s="11" t="n">
        <f aca="false">L2952/(L2952+M2952)</f>
        <v>0</v>
      </c>
      <c r="R2952" s="6" t="n">
        <v>0</v>
      </c>
      <c r="S2952" s="11"/>
      <c r="T2952" s="11" t="n">
        <v>0</v>
      </c>
      <c r="U2952" s="11" t="n">
        <v>0.9</v>
      </c>
      <c r="V2952" s="11" t="n">
        <v>0.9</v>
      </c>
    </row>
    <row r="2953" customFormat="false" ht="15" hidden="false" customHeight="false" outlineLevel="0" collapsed="false">
      <c r="A2953" s="6" t="s">
        <v>56</v>
      </c>
      <c r="B2953" s="6" t="s">
        <v>43</v>
      </c>
      <c r="C2953" s="6" t="s">
        <v>51</v>
      </c>
      <c r="D2953" s="6" t="s">
        <v>118</v>
      </c>
      <c r="E2953" s="6" t="n">
        <v>16</v>
      </c>
      <c r="F2953" s="6" t="n">
        <v>9</v>
      </c>
      <c r="G2953" s="6" t="s">
        <v>71</v>
      </c>
      <c r="H2953" s="11" t="n">
        <v>0.001</v>
      </c>
      <c r="I2953" s="6" t="n">
        <v>20</v>
      </c>
      <c r="J2953" s="6" t="n">
        <v>0</v>
      </c>
      <c r="K2953" s="6" t="n">
        <v>20</v>
      </c>
      <c r="L2953" s="6" t="n">
        <v>0</v>
      </c>
      <c r="M2953" s="6" t="n">
        <v>20</v>
      </c>
      <c r="N2953" s="11" t="n">
        <f aca="false">J2953/(J2953+K2953)</f>
        <v>0</v>
      </c>
      <c r="O2953" s="11" t="str">
        <f aca="false">IF(J2953+L2953=0,"",J2953/(J2953+L2953))</f>
        <v/>
      </c>
      <c r="P2953" s="11" t="n">
        <f aca="false">2*J2953/(2*J2953+L2953+K2953)</f>
        <v>0</v>
      </c>
      <c r="Q2953" s="11" t="n">
        <f aca="false">L2953/(L2953+M2953)</f>
        <v>0</v>
      </c>
      <c r="R2953" s="6" t="n">
        <v>0</v>
      </c>
      <c r="S2953" s="11"/>
      <c r="T2953" s="11" t="n">
        <v>0</v>
      </c>
      <c r="U2953" s="11" t="n">
        <v>0.8</v>
      </c>
      <c r="V2953" s="11" t="n">
        <v>0.8</v>
      </c>
    </row>
    <row r="2954" customFormat="false" ht="15" hidden="false" customHeight="false" outlineLevel="0" collapsed="false">
      <c r="A2954" s="6" t="s">
        <v>56</v>
      </c>
      <c r="B2954" s="6" t="s">
        <v>43</v>
      </c>
      <c r="C2954" s="6" t="s">
        <v>51</v>
      </c>
      <c r="D2954" s="6" t="s">
        <v>118</v>
      </c>
      <c r="E2954" s="6" t="n">
        <v>16</v>
      </c>
      <c r="F2954" s="6" t="n">
        <v>9</v>
      </c>
      <c r="G2954" s="6" t="s">
        <v>72</v>
      </c>
      <c r="H2954" s="11" t="n">
        <v>0.001</v>
      </c>
      <c r="I2954" s="6" t="n">
        <v>20</v>
      </c>
      <c r="J2954" s="6" t="n">
        <v>0</v>
      </c>
      <c r="K2954" s="6" t="n">
        <v>20</v>
      </c>
      <c r="L2954" s="6" t="n">
        <v>0</v>
      </c>
      <c r="M2954" s="6" t="n">
        <v>20</v>
      </c>
      <c r="N2954" s="11" t="n">
        <f aca="false">J2954/(J2954+K2954)</f>
        <v>0</v>
      </c>
      <c r="O2954" s="11" t="str">
        <f aca="false">IF(J2954+L2954=0,"",J2954/(J2954+L2954))</f>
        <v/>
      </c>
      <c r="P2954" s="11" t="n">
        <f aca="false">2*J2954/(2*J2954+L2954+K2954)</f>
        <v>0</v>
      </c>
      <c r="Q2954" s="11" t="n">
        <f aca="false">L2954/(L2954+M2954)</f>
        <v>0</v>
      </c>
      <c r="R2954" s="6" t="n">
        <v>0</v>
      </c>
      <c r="S2954" s="11"/>
      <c r="T2954" s="11" t="n">
        <v>0</v>
      </c>
      <c r="U2954" s="11" t="n">
        <v>0.9</v>
      </c>
      <c r="V2954" s="11" t="n">
        <v>0.9</v>
      </c>
    </row>
    <row r="2955" customFormat="false" ht="15" hidden="false" customHeight="false" outlineLevel="0" collapsed="false">
      <c r="A2955" s="6" t="s">
        <v>56</v>
      </c>
      <c r="B2955" s="6" t="s">
        <v>43</v>
      </c>
      <c r="C2955" s="6" t="s">
        <v>51</v>
      </c>
      <c r="D2955" s="6" t="s">
        <v>118</v>
      </c>
      <c r="E2955" s="6" t="n">
        <v>16</v>
      </c>
      <c r="F2955" s="6" t="n">
        <v>9</v>
      </c>
      <c r="G2955" s="6" t="s">
        <v>73</v>
      </c>
      <c r="H2955" s="11" t="n">
        <v>0.001</v>
      </c>
      <c r="I2955" s="6" t="n">
        <v>20</v>
      </c>
      <c r="J2955" s="6" t="n">
        <v>0</v>
      </c>
      <c r="K2955" s="6" t="n">
        <v>20</v>
      </c>
      <c r="L2955" s="6" t="n">
        <v>0</v>
      </c>
      <c r="M2955" s="6" t="n">
        <v>20</v>
      </c>
      <c r="N2955" s="11" t="n">
        <f aca="false">J2955/(J2955+K2955)</f>
        <v>0</v>
      </c>
      <c r="O2955" s="11" t="str">
        <f aca="false">IF(J2955+L2955=0,"",J2955/(J2955+L2955))</f>
        <v/>
      </c>
      <c r="P2955" s="11" t="n">
        <f aca="false">2*J2955/(2*J2955+L2955+K2955)</f>
        <v>0</v>
      </c>
      <c r="Q2955" s="11" t="n">
        <f aca="false">L2955/(L2955+M2955)</f>
        <v>0</v>
      </c>
      <c r="R2955" s="6" t="n">
        <v>0</v>
      </c>
      <c r="S2955" s="11"/>
      <c r="T2955" s="11" t="n">
        <v>0</v>
      </c>
      <c r="U2955" s="11" t="n">
        <v>0.65</v>
      </c>
      <c r="V2955" s="11" t="n">
        <v>0.65</v>
      </c>
    </row>
    <row r="2956" customFormat="false" ht="15" hidden="false" customHeight="false" outlineLevel="0" collapsed="false">
      <c r="A2956" s="6" t="s">
        <v>56</v>
      </c>
      <c r="B2956" s="6" t="s">
        <v>43</v>
      </c>
      <c r="C2956" s="6" t="s">
        <v>51</v>
      </c>
      <c r="D2956" s="6" t="s">
        <v>118</v>
      </c>
      <c r="E2956" s="6" t="n">
        <v>16</v>
      </c>
      <c r="F2956" s="6" t="n">
        <v>9</v>
      </c>
      <c r="G2956" s="6" t="s">
        <v>74</v>
      </c>
      <c r="H2956" s="11" t="n">
        <v>0.001</v>
      </c>
      <c r="I2956" s="6" t="n">
        <v>20</v>
      </c>
      <c r="J2956" s="6" t="n">
        <v>0</v>
      </c>
      <c r="K2956" s="6" t="n">
        <v>20</v>
      </c>
      <c r="L2956" s="6" t="n">
        <v>0</v>
      </c>
      <c r="M2956" s="6" t="n">
        <v>20</v>
      </c>
      <c r="N2956" s="11" t="n">
        <f aca="false">J2956/(J2956+K2956)</f>
        <v>0</v>
      </c>
      <c r="O2956" s="11" t="str">
        <f aca="false">IF(J2956+L2956=0,"",J2956/(J2956+L2956))</f>
        <v/>
      </c>
      <c r="P2956" s="11" t="n">
        <f aca="false">2*J2956/(2*J2956+L2956+K2956)</f>
        <v>0</v>
      </c>
      <c r="Q2956" s="11" t="n">
        <f aca="false">L2956/(L2956+M2956)</f>
        <v>0</v>
      </c>
      <c r="R2956" s="6" t="n">
        <v>0</v>
      </c>
      <c r="S2956" s="11"/>
      <c r="T2956" s="11" t="n">
        <v>0</v>
      </c>
      <c r="U2956" s="11" t="n">
        <v>0.85</v>
      </c>
      <c r="V2956" s="11" t="n">
        <v>0.85</v>
      </c>
    </row>
    <row r="2957" customFormat="false" ht="15" hidden="false" customHeight="false" outlineLevel="0" collapsed="false">
      <c r="A2957" s="6" t="s">
        <v>56</v>
      </c>
      <c r="B2957" s="6" t="s">
        <v>43</v>
      </c>
      <c r="C2957" s="6" t="s">
        <v>51</v>
      </c>
      <c r="D2957" s="6" t="s">
        <v>118</v>
      </c>
      <c r="E2957" s="6" t="n">
        <v>16</v>
      </c>
      <c r="F2957" s="6" t="n">
        <v>9</v>
      </c>
      <c r="G2957" s="6" t="s">
        <v>75</v>
      </c>
      <c r="H2957" s="11" t="n">
        <v>0.001</v>
      </c>
      <c r="I2957" s="6" t="n">
        <v>20</v>
      </c>
      <c r="J2957" s="6" t="n">
        <v>0</v>
      </c>
      <c r="K2957" s="6" t="n">
        <v>20</v>
      </c>
      <c r="L2957" s="6" t="n">
        <v>0</v>
      </c>
      <c r="M2957" s="6" t="n">
        <v>20</v>
      </c>
      <c r="N2957" s="11" t="n">
        <f aca="false">J2957/(J2957+K2957)</f>
        <v>0</v>
      </c>
      <c r="O2957" s="11" t="str">
        <f aca="false">IF(J2957+L2957=0,"",J2957/(J2957+L2957))</f>
        <v/>
      </c>
      <c r="P2957" s="11" t="n">
        <f aca="false">2*J2957/(2*J2957+L2957+K2957)</f>
        <v>0</v>
      </c>
      <c r="Q2957" s="11" t="n">
        <f aca="false">L2957/(L2957+M2957)</f>
        <v>0</v>
      </c>
      <c r="R2957" s="6" t="n">
        <v>0</v>
      </c>
      <c r="S2957" s="11"/>
      <c r="T2957" s="11" t="n">
        <v>0</v>
      </c>
      <c r="U2957" s="11" t="n">
        <v>0.9</v>
      </c>
      <c r="V2957" s="11" t="n">
        <v>0.9</v>
      </c>
    </row>
    <row r="2958" customFormat="false" ht="15" hidden="false" customHeight="false" outlineLevel="0" collapsed="false">
      <c r="A2958" s="6" t="s">
        <v>56</v>
      </c>
      <c r="B2958" s="6" t="s">
        <v>43</v>
      </c>
      <c r="C2958" s="6" t="s">
        <v>51</v>
      </c>
      <c r="D2958" s="6" t="s">
        <v>118</v>
      </c>
      <c r="E2958" s="6" t="n">
        <v>16</v>
      </c>
      <c r="F2958" s="6" t="n">
        <v>9</v>
      </c>
      <c r="G2958" s="6" t="s">
        <v>76</v>
      </c>
      <c r="H2958" s="11" t="n">
        <v>0.001</v>
      </c>
      <c r="I2958" s="6" t="n">
        <v>20</v>
      </c>
      <c r="J2958" s="6" t="n">
        <v>0</v>
      </c>
      <c r="K2958" s="6" t="n">
        <v>20</v>
      </c>
      <c r="L2958" s="6" t="n">
        <v>0</v>
      </c>
      <c r="M2958" s="6" t="n">
        <v>20</v>
      </c>
      <c r="N2958" s="11" t="n">
        <f aca="false">J2958/(J2958+K2958)</f>
        <v>0</v>
      </c>
      <c r="O2958" s="11" t="str">
        <f aca="false">IF(J2958+L2958=0,"",J2958/(J2958+L2958))</f>
        <v/>
      </c>
      <c r="P2958" s="11" t="n">
        <f aca="false">2*J2958/(2*J2958+L2958+K2958)</f>
        <v>0</v>
      </c>
      <c r="Q2958" s="11" t="n">
        <f aca="false">L2958/(L2958+M2958)</f>
        <v>0</v>
      </c>
      <c r="R2958" s="6" t="n">
        <v>0</v>
      </c>
      <c r="S2958" s="11"/>
      <c r="T2958" s="11" t="n">
        <v>0</v>
      </c>
      <c r="U2958" s="11" t="n">
        <v>0.95</v>
      </c>
      <c r="V2958" s="11" t="n">
        <v>0.95</v>
      </c>
    </row>
    <row r="2959" customFormat="false" ht="15" hidden="false" customHeight="false" outlineLevel="0" collapsed="false">
      <c r="A2959" s="6" t="s">
        <v>56</v>
      </c>
      <c r="B2959" s="6" t="s">
        <v>43</v>
      </c>
      <c r="C2959" s="6" t="s">
        <v>51</v>
      </c>
      <c r="D2959" s="6" t="s">
        <v>118</v>
      </c>
      <c r="E2959" s="6" t="n">
        <v>16</v>
      </c>
      <c r="F2959" s="6" t="n">
        <v>9</v>
      </c>
      <c r="G2959" s="6" t="s">
        <v>77</v>
      </c>
      <c r="H2959" s="11" t="n">
        <v>0.001</v>
      </c>
      <c r="I2959" s="6" t="n">
        <v>20</v>
      </c>
      <c r="J2959" s="6" t="n">
        <v>0</v>
      </c>
      <c r="K2959" s="6" t="n">
        <v>20</v>
      </c>
      <c r="L2959" s="6" t="n">
        <v>0</v>
      </c>
      <c r="M2959" s="6" t="n">
        <v>20</v>
      </c>
      <c r="N2959" s="11" t="n">
        <f aca="false">J2959/(J2959+K2959)</f>
        <v>0</v>
      </c>
      <c r="O2959" s="11" t="str">
        <f aca="false">IF(J2959+L2959=0,"",J2959/(J2959+L2959))</f>
        <v/>
      </c>
      <c r="P2959" s="11" t="n">
        <f aca="false">2*J2959/(2*J2959+L2959+K2959)</f>
        <v>0</v>
      </c>
      <c r="Q2959" s="11" t="n">
        <f aca="false">L2959/(L2959+M2959)</f>
        <v>0</v>
      </c>
      <c r="R2959" s="6" t="n">
        <v>0</v>
      </c>
      <c r="S2959" s="11"/>
      <c r="T2959" s="11" t="n">
        <v>0</v>
      </c>
      <c r="U2959" s="11" t="n">
        <v>1</v>
      </c>
      <c r="V2959" s="11" t="n">
        <v>1</v>
      </c>
    </row>
    <row r="2960" customFormat="false" ht="15" hidden="false" customHeight="false" outlineLevel="0" collapsed="false">
      <c r="A2960" s="6" t="s">
        <v>56</v>
      </c>
      <c r="B2960" s="6" t="s">
        <v>43</v>
      </c>
      <c r="C2960" s="6" t="s">
        <v>51</v>
      </c>
      <c r="D2960" s="6" t="s">
        <v>118</v>
      </c>
      <c r="E2960" s="6" t="n">
        <v>16</v>
      </c>
      <c r="F2960" s="6" t="n">
        <v>9</v>
      </c>
      <c r="G2960" s="6" t="s">
        <v>78</v>
      </c>
      <c r="H2960" s="11" t="n">
        <v>0.001</v>
      </c>
      <c r="I2960" s="6" t="n">
        <v>200</v>
      </c>
      <c r="J2960" s="6" t="n">
        <v>0</v>
      </c>
      <c r="K2960" s="6" t="n">
        <v>200</v>
      </c>
      <c r="L2960" s="6" t="n">
        <v>0</v>
      </c>
      <c r="M2960" s="6" t="n">
        <v>200</v>
      </c>
      <c r="N2960" s="11" t="n">
        <f aca="false">J2960/(J2960+K2960)</f>
        <v>0</v>
      </c>
      <c r="O2960" s="11" t="str">
        <f aca="false">IF(J2960+L2960=0,"",J2960/(J2960+L2960))</f>
        <v/>
      </c>
      <c r="P2960" s="11" t="n">
        <f aca="false">2*J2960/(2*J2960+L2960+K2960)</f>
        <v>0</v>
      </c>
      <c r="Q2960" s="11" t="n">
        <f aca="false">L2960/(L2960+M2960)</f>
        <v>0</v>
      </c>
      <c r="R2960" s="6" t="n">
        <v>0</v>
      </c>
      <c r="S2960" s="11"/>
      <c r="T2960" s="11" t="n">
        <v>0</v>
      </c>
      <c r="U2960" s="11" t="n">
        <v>0.88</v>
      </c>
      <c r="V2960" s="11" t="n">
        <v>0.88</v>
      </c>
    </row>
    <row r="2961" customFormat="false" ht="15" hidden="false" customHeight="false" outlineLevel="0" collapsed="false">
      <c r="A2961" s="6" t="s">
        <v>56</v>
      </c>
      <c r="B2961" s="6" t="s">
        <v>43</v>
      </c>
      <c r="C2961" s="6" t="s">
        <v>51</v>
      </c>
      <c r="D2961" s="6" t="s">
        <v>118</v>
      </c>
      <c r="E2961" s="6" t="n">
        <v>16</v>
      </c>
      <c r="F2961" s="6" t="n">
        <v>10</v>
      </c>
      <c r="G2961" s="6" t="s">
        <v>68</v>
      </c>
      <c r="H2961" s="11" t="n">
        <v>0.001</v>
      </c>
      <c r="I2961" s="6" t="n">
        <v>20</v>
      </c>
      <c r="J2961" s="6" t="n">
        <v>0</v>
      </c>
      <c r="K2961" s="6" t="n">
        <v>20</v>
      </c>
      <c r="L2961" s="6" t="n">
        <v>0</v>
      </c>
      <c r="M2961" s="6" t="n">
        <v>20</v>
      </c>
      <c r="N2961" s="11" t="n">
        <f aca="false">J2961/(J2961+K2961)</f>
        <v>0</v>
      </c>
      <c r="O2961" s="11" t="str">
        <f aca="false">IF(J2961+L2961=0,"",J2961/(J2961+L2961))</f>
        <v/>
      </c>
      <c r="P2961" s="11" t="n">
        <f aca="false">2*J2961/(2*J2961+L2961+K2961)</f>
        <v>0</v>
      </c>
      <c r="Q2961" s="11" t="n">
        <f aca="false">L2961/(L2961+M2961)</f>
        <v>0</v>
      </c>
      <c r="R2961" s="6" t="n">
        <v>0</v>
      </c>
      <c r="S2961" s="11"/>
      <c r="T2961" s="11" t="n">
        <v>0</v>
      </c>
      <c r="U2961" s="11" t="n">
        <v>0.85</v>
      </c>
      <c r="V2961" s="11" t="n">
        <v>0.85</v>
      </c>
    </row>
    <row r="2962" customFormat="false" ht="15" hidden="false" customHeight="false" outlineLevel="0" collapsed="false">
      <c r="A2962" s="6" t="s">
        <v>56</v>
      </c>
      <c r="B2962" s="6" t="s">
        <v>43</v>
      </c>
      <c r="C2962" s="6" t="s">
        <v>51</v>
      </c>
      <c r="D2962" s="6" t="s">
        <v>118</v>
      </c>
      <c r="E2962" s="6" t="n">
        <v>16</v>
      </c>
      <c r="F2962" s="6" t="n">
        <v>10</v>
      </c>
      <c r="G2962" s="6" t="s">
        <v>69</v>
      </c>
      <c r="H2962" s="11" t="n">
        <v>0.001</v>
      </c>
      <c r="I2962" s="6" t="n">
        <v>20</v>
      </c>
      <c r="J2962" s="6" t="n">
        <v>0</v>
      </c>
      <c r="K2962" s="6" t="n">
        <v>20</v>
      </c>
      <c r="L2962" s="6" t="n">
        <v>0</v>
      </c>
      <c r="M2962" s="6" t="n">
        <v>20</v>
      </c>
      <c r="N2962" s="11" t="n">
        <f aca="false">J2962/(J2962+K2962)</f>
        <v>0</v>
      </c>
      <c r="O2962" s="11" t="str">
        <f aca="false">IF(J2962+L2962=0,"",J2962/(J2962+L2962))</f>
        <v/>
      </c>
      <c r="P2962" s="11" t="n">
        <f aca="false">2*J2962/(2*J2962+L2962+K2962)</f>
        <v>0</v>
      </c>
      <c r="Q2962" s="11" t="n">
        <f aca="false">L2962/(L2962+M2962)</f>
        <v>0</v>
      </c>
      <c r="R2962" s="6" t="n">
        <v>0</v>
      </c>
      <c r="S2962" s="11"/>
      <c r="T2962" s="11" t="n">
        <v>0</v>
      </c>
      <c r="U2962" s="11" t="n">
        <v>1</v>
      </c>
      <c r="V2962" s="11" t="n">
        <v>1</v>
      </c>
    </row>
    <row r="2963" customFormat="false" ht="15" hidden="false" customHeight="false" outlineLevel="0" collapsed="false">
      <c r="A2963" s="6" t="s">
        <v>56</v>
      </c>
      <c r="B2963" s="6" t="s">
        <v>43</v>
      </c>
      <c r="C2963" s="6" t="s">
        <v>51</v>
      </c>
      <c r="D2963" s="6" t="s">
        <v>118</v>
      </c>
      <c r="E2963" s="6" t="n">
        <v>16</v>
      </c>
      <c r="F2963" s="6" t="n">
        <v>10</v>
      </c>
      <c r="G2963" s="6" t="s">
        <v>70</v>
      </c>
      <c r="H2963" s="11" t="n">
        <v>0.001</v>
      </c>
      <c r="I2963" s="6" t="n">
        <v>20</v>
      </c>
      <c r="J2963" s="6" t="n">
        <v>0</v>
      </c>
      <c r="K2963" s="6" t="n">
        <v>20</v>
      </c>
      <c r="L2963" s="6" t="n">
        <v>0</v>
      </c>
      <c r="M2963" s="6" t="n">
        <v>20</v>
      </c>
      <c r="N2963" s="11" t="n">
        <f aca="false">J2963/(J2963+K2963)</f>
        <v>0</v>
      </c>
      <c r="O2963" s="11" t="str">
        <f aca="false">IF(J2963+L2963=0,"",J2963/(J2963+L2963))</f>
        <v/>
      </c>
      <c r="P2963" s="11" t="n">
        <f aca="false">2*J2963/(2*J2963+L2963+K2963)</f>
        <v>0</v>
      </c>
      <c r="Q2963" s="11" t="n">
        <f aca="false">L2963/(L2963+M2963)</f>
        <v>0</v>
      </c>
      <c r="R2963" s="6" t="n">
        <v>0</v>
      </c>
      <c r="S2963" s="11"/>
      <c r="T2963" s="11" t="n">
        <v>0</v>
      </c>
      <c r="U2963" s="11" t="n">
        <v>0.9</v>
      </c>
      <c r="V2963" s="11" t="n">
        <v>0.9</v>
      </c>
    </row>
    <row r="2964" customFormat="false" ht="15" hidden="false" customHeight="false" outlineLevel="0" collapsed="false">
      <c r="A2964" s="6" t="s">
        <v>56</v>
      </c>
      <c r="B2964" s="6" t="s">
        <v>43</v>
      </c>
      <c r="C2964" s="6" t="s">
        <v>51</v>
      </c>
      <c r="D2964" s="6" t="s">
        <v>118</v>
      </c>
      <c r="E2964" s="6" t="n">
        <v>16</v>
      </c>
      <c r="F2964" s="6" t="n">
        <v>10</v>
      </c>
      <c r="G2964" s="6" t="s">
        <v>71</v>
      </c>
      <c r="H2964" s="11" t="n">
        <v>0.001</v>
      </c>
      <c r="I2964" s="6" t="n">
        <v>20</v>
      </c>
      <c r="J2964" s="6" t="n">
        <v>0</v>
      </c>
      <c r="K2964" s="6" t="n">
        <v>20</v>
      </c>
      <c r="L2964" s="6" t="n">
        <v>0</v>
      </c>
      <c r="M2964" s="6" t="n">
        <v>20</v>
      </c>
      <c r="N2964" s="11" t="n">
        <f aca="false">J2964/(J2964+K2964)</f>
        <v>0</v>
      </c>
      <c r="O2964" s="11" t="str">
        <f aca="false">IF(J2964+L2964=0,"",J2964/(J2964+L2964))</f>
        <v/>
      </c>
      <c r="P2964" s="11" t="n">
        <f aca="false">2*J2964/(2*J2964+L2964+K2964)</f>
        <v>0</v>
      </c>
      <c r="Q2964" s="11" t="n">
        <f aca="false">L2964/(L2964+M2964)</f>
        <v>0</v>
      </c>
      <c r="R2964" s="6" t="n">
        <v>0</v>
      </c>
      <c r="S2964" s="11"/>
      <c r="T2964" s="11" t="n">
        <v>0</v>
      </c>
      <c r="U2964" s="11" t="n">
        <v>0.8</v>
      </c>
      <c r="V2964" s="11" t="n">
        <v>0.8</v>
      </c>
    </row>
    <row r="2965" customFormat="false" ht="15" hidden="false" customHeight="false" outlineLevel="0" collapsed="false">
      <c r="A2965" s="6" t="s">
        <v>56</v>
      </c>
      <c r="B2965" s="6" t="s">
        <v>43</v>
      </c>
      <c r="C2965" s="6" t="s">
        <v>51</v>
      </c>
      <c r="D2965" s="6" t="s">
        <v>118</v>
      </c>
      <c r="E2965" s="6" t="n">
        <v>16</v>
      </c>
      <c r="F2965" s="6" t="n">
        <v>10</v>
      </c>
      <c r="G2965" s="6" t="s">
        <v>72</v>
      </c>
      <c r="H2965" s="11" t="n">
        <v>0.001</v>
      </c>
      <c r="I2965" s="6" t="n">
        <v>20</v>
      </c>
      <c r="J2965" s="6" t="n">
        <v>0</v>
      </c>
      <c r="K2965" s="6" t="n">
        <v>20</v>
      </c>
      <c r="L2965" s="6" t="n">
        <v>0</v>
      </c>
      <c r="M2965" s="6" t="n">
        <v>20</v>
      </c>
      <c r="N2965" s="11" t="n">
        <f aca="false">J2965/(J2965+K2965)</f>
        <v>0</v>
      </c>
      <c r="O2965" s="11" t="str">
        <f aca="false">IF(J2965+L2965=0,"",J2965/(J2965+L2965))</f>
        <v/>
      </c>
      <c r="P2965" s="11" t="n">
        <f aca="false">2*J2965/(2*J2965+L2965+K2965)</f>
        <v>0</v>
      </c>
      <c r="Q2965" s="11" t="n">
        <f aca="false">L2965/(L2965+M2965)</f>
        <v>0</v>
      </c>
      <c r="R2965" s="6" t="n">
        <v>0</v>
      </c>
      <c r="S2965" s="11"/>
      <c r="T2965" s="11" t="n">
        <v>0</v>
      </c>
      <c r="U2965" s="11" t="n">
        <v>0.9</v>
      </c>
      <c r="V2965" s="11" t="n">
        <v>0.9</v>
      </c>
    </row>
    <row r="2966" customFormat="false" ht="15" hidden="false" customHeight="false" outlineLevel="0" collapsed="false">
      <c r="A2966" s="6" t="s">
        <v>56</v>
      </c>
      <c r="B2966" s="6" t="s">
        <v>43</v>
      </c>
      <c r="C2966" s="6" t="s">
        <v>51</v>
      </c>
      <c r="D2966" s="6" t="s">
        <v>118</v>
      </c>
      <c r="E2966" s="6" t="n">
        <v>16</v>
      </c>
      <c r="F2966" s="6" t="n">
        <v>10</v>
      </c>
      <c r="G2966" s="6" t="s">
        <v>73</v>
      </c>
      <c r="H2966" s="11" t="n">
        <v>0.001</v>
      </c>
      <c r="I2966" s="6" t="n">
        <v>20</v>
      </c>
      <c r="J2966" s="6" t="n">
        <v>0</v>
      </c>
      <c r="K2966" s="6" t="n">
        <v>20</v>
      </c>
      <c r="L2966" s="6" t="n">
        <v>0</v>
      </c>
      <c r="M2966" s="6" t="n">
        <v>20</v>
      </c>
      <c r="N2966" s="11" t="n">
        <f aca="false">J2966/(J2966+K2966)</f>
        <v>0</v>
      </c>
      <c r="O2966" s="11" t="str">
        <f aca="false">IF(J2966+L2966=0,"",J2966/(J2966+L2966))</f>
        <v/>
      </c>
      <c r="P2966" s="11" t="n">
        <f aca="false">2*J2966/(2*J2966+L2966+K2966)</f>
        <v>0</v>
      </c>
      <c r="Q2966" s="11" t="n">
        <f aca="false">L2966/(L2966+M2966)</f>
        <v>0</v>
      </c>
      <c r="R2966" s="6" t="n">
        <v>0</v>
      </c>
      <c r="S2966" s="11"/>
      <c r="T2966" s="11" t="n">
        <v>0</v>
      </c>
      <c r="U2966" s="11" t="n">
        <v>0.65</v>
      </c>
      <c r="V2966" s="11" t="n">
        <v>0.65</v>
      </c>
    </row>
    <row r="2967" customFormat="false" ht="15" hidden="false" customHeight="false" outlineLevel="0" collapsed="false">
      <c r="A2967" s="6" t="s">
        <v>56</v>
      </c>
      <c r="B2967" s="6" t="s">
        <v>43</v>
      </c>
      <c r="C2967" s="6" t="s">
        <v>51</v>
      </c>
      <c r="D2967" s="6" t="s">
        <v>118</v>
      </c>
      <c r="E2967" s="6" t="n">
        <v>16</v>
      </c>
      <c r="F2967" s="6" t="n">
        <v>10</v>
      </c>
      <c r="G2967" s="6" t="s">
        <v>74</v>
      </c>
      <c r="H2967" s="11" t="n">
        <v>0.001</v>
      </c>
      <c r="I2967" s="6" t="n">
        <v>20</v>
      </c>
      <c r="J2967" s="6" t="n">
        <v>0</v>
      </c>
      <c r="K2967" s="6" t="n">
        <v>20</v>
      </c>
      <c r="L2967" s="6" t="n">
        <v>0</v>
      </c>
      <c r="M2967" s="6" t="n">
        <v>20</v>
      </c>
      <c r="N2967" s="11" t="n">
        <f aca="false">J2967/(J2967+K2967)</f>
        <v>0</v>
      </c>
      <c r="O2967" s="11" t="str">
        <f aca="false">IF(J2967+L2967=0,"",J2967/(J2967+L2967))</f>
        <v/>
      </c>
      <c r="P2967" s="11" t="n">
        <f aca="false">2*J2967/(2*J2967+L2967+K2967)</f>
        <v>0</v>
      </c>
      <c r="Q2967" s="11" t="n">
        <f aca="false">L2967/(L2967+M2967)</f>
        <v>0</v>
      </c>
      <c r="R2967" s="6" t="n">
        <v>0</v>
      </c>
      <c r="S2967" s="11"/>
      <c r="T2967" s="11" t="n">
        <v>0</v>
      </c>
      <c r="U2967" s="11" t="n">
        <v>0.85</v>
      </c>
      <c r="V2967" s="11" t="n">
        <v>0.85</v>
      </c>
    </row>
    <row r="2968" customFormat="false" ht="15" hidden="false" customHeight="false" outlineLevel="0" collapsed="false">
      <c r="A2968" s="6" t="s">
        <v>56</v>
      </c>
      <c r="B2968" s="6" t="s">
        <v>43</v>
      </c>
      <c r="C2968" s="6" t="s">
        <v>51</v>
      </c>
      <c r="D2968" s="6" t="s">
        <v>118</v>
      </c>
      <c r="E2968" s="6" t="n">
        <v>16</v>
      </c>
      <c r="F2968" s="6" t="n">
        <v>10</v>
      </c>
      <c r="G2968" s="6" t="s">
        <v>75</v>
      </c>
      <c r="H2968" s="11" t="n">
        <v>0.001</v>
      </c>
      <c r="I2968" s="6" t="n">
        <v>20</v>
      </c>
      <c r="J2968" s="6" t="n">
        <v>0</v>
      </c>
      <c r="K2968" s="6" t="n">
        <v>20</v>
      </c>
      <c r="L2968" s="6" t="n">
        <v>0</v>
      </c>
      <c r="M2968" s="6" t="n">
        <v>20</v>
      </c>
      <c r="N2968" s="11" t="n">
        <f aca="false">J2968/(J2968+K2968)</f>
        <v>0</v>
      </c>
      <c r="O2968" s="11" t="str">
        <f aca="false">IF(J2968+L2968=0,"",J2968/(J2968+L2968))</f>
        <v/>
      </c>
      <c r="P2968" s="11" t="n">
        <f aca="false">2*J2968/(2*J2968+L2968+K2968)</f>
        <v>0</v>
      </c>
      <c r="Q2968" s="11" t="n">
        <f aca="false">L2968/(L2968+M2968)</f>
        <v>0</v>
      </c>
      <c r="R2968" s="6" t="n">
        <v>0</v>
      </c>
      <c r="S2968" s="11"/>
      <c r="T2968" s="11" t="n">
        <v>0</v>
      </c>
      <c r="U2968" s="11" t="n">
        <v>0.9</v>
      </c>
      <c r="V2968" s="11" t="n">
        <v>0.9</v>
      </c>
    </row>
    <row r="2969" customFormat="false" ht="15" hidden="false" customHeight="false" outlineLevel="0" collapsed="false">
      <c r="A2969" s="6" t="s">
        <v>56</v>
      </c>
      <c r="B2969" s="6" t="s">
        <v>43</v>
      </c>
      <c r="C2969" s="6" t="s">
        <v>51</v>
      </c>
      <c r="D2969" s="6" t="s">
        <v>118</v>
      </c>
      <c r="E2969" s="6" t="n">
        <v>16</v>
      </c>
      <c r="F2969" s="6" t="n">
        <v>10</v>
      </c>
      <c r="G2969" s="6" t="s">
        <v>76</v>
      </c>
      <c r="H2969" s="11" t="n">
        <v>0.001</v>
      </c>
      <c r="I2969" s="6" t="n">
        <v>20</v>
      </c>
      <c r="J2969" s="6" t="n">
        <v>0</v>
      </c>
      <c r="K2969" s="6" t="n">
        <v>20</v>
      </c>
      <c r="L2969" s="6" t="n">
        <v>0</v>
      </c>
      <c r="M2969" s="6" t="n">
        <v>20</v>
      </c>
      <c r="N2969" s="11" t="n">
        <f aca="false">J2969/(J2969+K2969)</f>
        <v>0</v>
      </c>
      <c r="O2969" s="11" t="str">
        <f aca="false">IF(J2969+L2969=0,"",J2969/(J2969+L2969))</f>
        <v/>
      </c>
      <c r="P2969" s="11" t="n">
        <f aca="false">2*J2969/(2*J2969+L2969+K2969)</f>
        <v>0</v>
      </c>
      <c r="Q2969" s="11" t="n">
        <f aca="false">L2969/(L2969+M2969)</f>
        <v>0</v>
      </c>
      <c r="R2969" s="6" t="n">
        <v>0</v>
      </c>
      <c r="S2969" s="11"/>
      <c r="T2969" s="11" t="n">
        <v>0</v>
      </c>
      <c r="U2969" s="11" t="n">
        <v>0.95</v>
      </c>
      <c r="V2969" s="11" t="n">
        <v>0.95</v>
      </c>
    </row>
    <row r="2970" customFormat="false" ht="15" hidden="false" customHeight="false" outlineLevel="0" collapsed="false">
      <c r="A2970" s="6" t="s">
        <v>56</v>
      </c>
      <c r="B2970" s="6" t="s">
        <v>43</v>
      </c>
      <c r="C2970" s="6" t="s">
        <v>51</v>
      </c>
      <c r="D2970" s="6" t="s">
        <v>118</v>
      </c>
      <c r="E2970" s="6" t="n">
        <v>16</v>
      </c>
      <c r="F2970" s="6" t="n">
        <v>10</v>
      </c>
      <c r="G2970" s="6" t="s">
        <v>77</v>
      </c>
      <c r="H2970" s="11" t="n">
        <v>0.001</v>
      </c>
      <c r="I2970" s="6" t="n">
        <v>20</v>
      </c>
      <c r="J2970" s="6" t="n">
        <v>0</v>
      </c>
      <c r="K2970" s="6" t="n">
        <v>20</v>
      </c>
      <c r="L2970" s="6" t="n">
        <v>0</v>
      </c>
      <c r="M2970" s="6" t="n">
        <v>20</v>
      </c>
      <c r="N2970" s="11" t="n">
        <f aca="false">J2970/(J2970+K2970)</f>
        <v>0</v>
      </c>
      <c r="O2970" s="11" t="str">
        <f aca="false">IF(J2970+L2970=0,"",J2970/(J2970+L2970))</f>
        <v/>
      </c>
      <c r="P2970" s="11" t="n">
        <f aca="false">2*J2970/(2*J2970+L2970+K2970)</f>
        <v>0</v>
      </c>
      <c r="Q2970" s="11" t="n">
        <f aca="false">L2970/(L2970+M2970)</f>
        <v>0</v>
      </c>
      <c r="R2970" s="6" t="n">
        <v>0</v>
      </c>
      <c r="S2970" s="11"/>
      <c r="T2970" s="11" t="n">
        <v>0</v>
      </c>
      <c r="U2970" s="11" t="n">
        <v>1</v>
      </c>
      <c r="V2970" s="11" t="n">
        <v>1</v>
      </c>
    </row>
    <row r="2971" customFormat="false" ht="15" hidden="false" customHeight="false" outlineLevel="0" collapsed="false">
      <c r="A2971" s="6" t="s">
        <v>56</v>
      </c>
      <c r="B2971" s="6" t="s">
        <v>43</v>
      </c>
      <c r="C2971" s="6" t="s">
        <v>51</v>
      </c>
      <c r="D2971" s="6" t="s">
        <v>118</v>
      </c>
      <c r="E2971" s="6" t="n">
        <v>16</v>
      </c>
      <c r="F2971" s="6" t="n">
        <v>10</v>
      </c>
      <c r="G2971" s="6" t="s">
        <v>78</v>
      </c>
      <c r="H2971" s="11" t="n">
        <v>0.001</v>
      </c>
      <c r="I2971" s="6" t="n">
        <v>200</v>
      </c>
      <c r="J2971" s="6" t="n">
        <v>0</v>
      </c>
      <c r="K2971" s="6" t="n">
        <v>200</v>
      </c>
      <c r="L2971" s="6" t="n">
        <v>0</v>
      </c>
      <c r="M2971" s="6" t="n">
        <v>200</v>
      </c>
      <c r="N2971" s="11" t="n">
        <f aca="false">J2971/(J2971+K2971)</f>
        <v>0</v>
      </c>
      <c r="O2971" s="11" t="str">
        <f aca="false">IF(J2971+L2971=0,"",J2971/(J2971+L2971))</f>
        <v/>
      </c>
      <c r="P2971" s="11" t="n">
        <f aca="false">2*J2971/(2*J2971+L2971+K2971)</f>
        <v>0</v>
      </c>
      <c r="Q2971" s="11" t="n">
        <f aca="false">L2971/(L2971+M2971)</f>
        <v>0</v>
      </c>
      <c r="R2971" s="6" t="n">
        <v>0</v>
      </c>
      <c r="S2971" s="11"/>
      <c r="T2971" s="11" t="n">
        <v>0</v>
      </c>
      <c r="U2971" s="11" t="n">
        <v>0.88</v>
      </c>
      <c r="V2971" s="11" t="n">
        <v>0.88</v>
      </c>
    </row>
    <row r="2972" customFormat="false" ht="15" hidden="false" customHeight="false" outlineLevel="0" collapsed="false">
      <c r="A2972" s="6" t="s">
        <v>58</v>
      </c>
      <c r="B2972" s="6" t="s">
        <v>59</v>
      </c>
      <c r="C2972" s="6" t="s">
        <v>44</v>
      </c>
      <c r="D2972" s="6" t="s">
        <v>114</v>
      </c>
      <c r="E2972" s="6" t="n">
        <v>4</v>
      </c>
      <c r="F2972" s="6" t="n">
        <v>1</v>
      </c>
      <c r="G2972" s="6" t="s">
        <v>68</v>
      </c>
      <c r="H2972" s="11" t="n">
        <v>0.001</v>
      </c>
      <c r="I2972" s="6" t="n">
        <v>20</v>
      </c>
      <c r="J2972" s="6" t="n">
        <v>0</v>
      </c>
      <c r="K2972" s="6" t="n">
        <v>20</v>
      </c>
      <c r="L2972" s="6" t="n">
        <v>0</v>
      </c>
      <c r="M2972" s="6" t="n">
        <v>20</v>
      </c>
      <c r="N2972" s="11" t="n">
        <f aca="false">J2972/(J2972+K2972)</f>
        <v>0</v>
      </c>
      <c r="O2972" s="11" t="str">
        <f aca="false">IF(J2972+L2972=0,"",J2972/(J2972+L2972))</f>
        <v/>
      </c>
      <c r="P2972" s="11" t="n">
        <f aca="false">2*J2972/(2*J2972+L2972+K2972)</f>
        <v>0</v>
      </c>
      <c r="Q2972" s="11" t="n">
        <f aca="false">L2972/(L2972+M2972)</f>
        <v>0</v>
      </c>
      <c r="R2972" s="6" t="n">
        <v>0</v>
      </c>
      <c r="S2972" s="11"/>
      <c r="T2972" s="11" t="n">
        <v>0</v>
      </c>
      <c r="U2972" s="11" t="n">
        <v>0.85</v>
      </c>
      <c r="V2972" s="11" t="n">
        <v>0.85</v>
      </c>
    </row>
    <row r="2973" customFormat="false" ht="15" hidden="false" customHeight="false" outlineLevel="0" collapsed="false">
      <c r="A2973" s="6" t="s">
        <v>58</v>
      </c>
      <c r="B2973" s="6" t="s">
        <v>59</v>
      </c>
      <c r="C2973" s="6" t="s">
        <v>44</v>
      </c>
      <c r="D2973" s="6" t="s">
        <v>114</v>
      </c>
      <c r="E2973" s="6" t="n">
        <v>4</v>
      </c>
      <c r="F2973" s="6" t="n">
        <v>1</v>
      </c>
      <c r="G2973" s="6" t="s">
        <v>69</v>
      </c>
      <c r="H2973" s="11" t="n">
        <v>0.001</v>
      </c>
      <c r="I2973" s="6" t="n">
        <v>20</v>
      </c>
      <c r="J2973" s="6" t="n">
        <v>0</v>
      </c>
      <c r="K2973" s="6" t="n">
        <v>20</v>
      </c>
      <c r="L2973" s="6" t="n">
        <v>0</v>
      </c>
      <c r="M2973" s="6" t="n">
        <v>20</v>
      </c>
      <c r="N2973" s="11" t="n">
        <f aca="false">J2973/(J2973+K2973)</f>
        <v>0</v>
      </c>
      <c r="O2973" s="11" t="str">
        <f aca="false">IF(J2973+L2973=0,"",J2973/(J2973+L2973))</f>
        <v/>
      </c>
      <c r="P2973" s="11" t="n">
        <f aca="false">2*J2973/(2*J2973+L2973+K2973)</f>
        <v>0</v>
      </c>
      <c r="Q2973" s="11" t="n">
        <f aca="false">L2973/(L2973+M2973)</f>
        <v>0</v>
      </c>
      <c r="R2973" s="6" t="n">
        <v>0</v>
      </c>
      <c r="S2973" s="11"/>
      <c r="T2973" s="11" t="n">
        <v>0</v>
      </c>
      <c r="U2973" s="11" t="n">
        <v>1</v>
      </c>
      <c r="V2973" s="11" t="n">
        <v>1</v>
      </c>
    </row>
    <row r="2974" customFormat="false" ht="15" hidden="false" customHeight="false" outlineLevel="0" collapsed="false">
      <c r="A2974" s="6" t="s">
        <v>58</v>
      </c>
      <c r="B2974" s="6" t="s">
        <v>59</v>
      </c>
      <c r="C2974" s="6" t="s">
        <v>44</v>
      </c>
      <c r="D2974" s="6" t="s">
        <v>114</v>
      </c>
      <c r="E2974" s="6" t="n">
        <v>4</v>
      </c>
      <c r="F2974" s="6" t="n">
        <v>1</v>
      </c>
      <c r="G2974" s="6" t="s">
        <v>70</v>
      </c>
      <c r="H2974" s="11" t="n">
        <v>0.001</v>
      </c>
      <c r="I2974" s="6" t="n">
        <v>20</v>
      </c>
      <c r="J2974" s="6" t="n">
        <v>0</v>
      </c>
      <c r="K2974" s="6" t="n">
        <v>20</v>
      </c>
      <c r="L2974" s="6" t="n">
        <v>0</v>
      </c>
      <c r="M2974" s="6" t="n">
        <v>20</v>
      </c>
      <c r="N2974" s="11" t="n">
        <f aca="false">J2974/(J2974+K2974)</f>
        <v>0</v>
      </c>
      <c r="O2974" s="11" t="str">
        <f aca="false">IF(J2974+L2974=0,"",J2974/(J2974+L2974))</f>
        <v/>
      </c>
      <c r="P2974" s="11" t="n">
        <f aca="false">2*J2974/(2*J2974+L2974+K2974)</f>
        <v>0</v>
      </c>
      <c r="Q2974" s="11" t="n">
        <f aca="false">L2974/(L2974+M2974)</f>
        <v>0</v>
      </c>
      <c r="R2974" s="6" t="n">
        <v>0</v>
      </c>
      <c r="S2974" s="11"/>
      <c r="T2974" s="11" t="n">
        <v>0</v>
      </c>
      <c r="U2974" s="11" t="n">
        <v>0.9</v>
      </c>
      <c r="V2974" s="11" t="n">
        <v>0.9</v>
      </c>
    </row>
    <row r="2975" customFormat="false" ht="15" hidden="false" customHeight="false" outlineLevel="0" collapsed="false">
      <c r="A2975" s="6" t="s">
        <v>58</v>
      </c>
      <c r="B2975" s="6" t="s">
        <v>59</v>
      </c>
      <c r="C2975" s="6" t="s">
        <v>44</v>
      </c>
      <c r="D2975" s="6" t="s">
        <v>114</v>
      </c>
      <c r="E2975" s="6" t="n">
        <v>4</v>
      </c>
      <c r="F2975" s="6" t="n">
        <v>1</v>
      </c>
      <c r="G2975" s="6" t="s">
        <v>71</v>
      </c>
      <c r="H2975" s="11" t="n">
        <v>0.001</v>
      </c>
      <c r="I2975" s="6" t="n">
        <v>20</v>
      </c>
      <c r="J2975" s="6" t="n">
        <v>0</v>
      </c>
      <c r="K2975" s="6" t="n">
        <v>20</v>
      </c>
      <c r="L2975" s="6" t="n">
        <v>0</v>
      </c>
      <c r="M2975" s="6" t="n">
        <v>20</v>
      </c>
      <c r="N2975" s="11" t="n">
        <f aca="false">J2975/(J2975+K2975)</f>
        <v>0</v>
      </c>
      <c r="O2975" s="11" t="str">
        <f aca="false">IF(J2975+L2975=0,"",J2975/(J2975+L2975))</f>
        <v/>
      </c>
      <c r="P2975" s="11" t="n">
        <f aca="false">2*J2975/(2*J2975+L2975+K2975)</f>
        <v>0</v>
      </c>
      <c r="Q2975" s="11" t="n">
        <f aca="false">L2975/(L2975+M2975)</f>
        <v>0</v>
      </c>
      <c r="R2975" s="6" t="n">
        <v>0</v>
      </c>
      <c r="S2975" s="11"/>
      <c r="T2975" s="11" t="n">
        <v>0</v>
      </c>
      <c r="U2975" s="11" t="n">
        <v>0.8</v>
      </c>
      <c r="V2975" s="11" t="n">
        <v>0.8</v>
      </c>
    </row>
    <row r="2976" customFormat="false" ht="15" hidden="false" customHeight="false" outlineLevel="0" collapsed="false">
      <c r="A2976" s="6" t="s">
        <v>58</v>
      </c>
      <c r="B2976" s="6" t="s">
        <v>59</v>
      </c>
      <c r="C2976" s="6" t="s">
        <v>44</v>
      </c>
      <c r="D2976" s="6" t="s">
        <v>114</v>
      </c>
      <c r="E2976" s="6" t="n">
        <v>4</v>
      </c>
      <c r="F2976" s="6" t="n">
        <v>1</v>
      </c>
      <c r="G2976" s="6" t="s">
        <v>72</v>
      </c>
      <c r="H2976" s="11" t="n">
        <v>0.001</v>
      </c>
      <c r="I2976" s="6" t="n">
        <v>20</v>
      </c>
      <c r="J2976" s="6" t="n">
        <v>0</v>
      </c>
      <c r="K2976" s="6" t="n">
        <v>20</v>
      </c>
      <c r="L2976" s="6" t="n">
        <v>0</v>
      </c>
      <c r="M2976" s="6" t="n">
        <v>20</v>
      </c>
      <c r="N2976" s="11" t="n">
        <f aca="false">J2976/(J2976+K2976)</f>
        <v>0</v>
      </c>
      <c r="O2976" s="11" t="str">
        <f aca="false">IF(J2976+L2976=0,"",J2976/(J2976+L2976))</f>
        <v/>
      </c>
      <c r="P2976" s="11" t="n">
        <f aca="false">2*J2976/(2*J2976+L2976+K2976)</f>
        <v>0</v>
      </c>
      <c r="Q2976" s="11" t="n">
        <f aca="false">L2976/(L2976+M2976)</f>
        <v>0</v>
      </c>
      <c r="R2976" s="6" t="n">
        <v>0</v>
      </c>
      <c r="S2976" s="11"/>
      <c r="T2976" s="11" t="n">
        <v>0</v>
      </c>
      <c r="U2976" s="11" t="n">
        <v>0.9</v>
      </c>
      <c r="V2976" s="11" t="n">
        <v>0.9</v>
      </c>
    </row>
    <row r="2977" customFormat="false" ht="15" hidden="false" customHeight="false" outlineLevel="0" collapsed="false">
      <c r="A2977" s="6" t="s">
        <v>58</v>
      </c>
      <c r="B2977" s="6" t="s">
        <v>59</v>
      </c>
      <c r="C2977" s="6" t="s">
        <v>44</v>
      </c>
      <c r="D2977" s="6" t="s">
        <v>114</v>
      </c>
      <c r="E2977" s="6" t="n">
        <v>4</v>
      </c>
      <c r="F2977" s="6" t="n">
        <v>1</v>
      </c>
      <c r="G2977" s="6" t="s">
        <v>73</v>
      </c>
      <c r="H2977" s="11" t="n">
        <v>0.001</v>
      </c>
      <c r="I2977" s="6" t="n">
        <v>20</v>
      </c>
      <c r="J2977" s="6" t="n">
        <v>0</v>
      </c>
      <c r="K2977" s="6" t="n">
        <v>20</v>
      </c>
      <c r="L2977" s="6" t="n">
        <v>0</v>
      </c>
      <c r="M2977" s="6" t="n">
        <v>20</v>
      </c>
      <c r="N2977" s="11" t="n">
        <f aca="false">J2977/(J2977+K2977)</f>
        <v>0</v>
      </c>
      <c r="O2977" s="11" t="str">
        <f aca="false">IF(J2977+L2977=0,"",J2977/(J2977+L2977))</f>
        <v/>
      </c>
      <c r="P2977" s="11" t="n">
        <f aca="false">2*J2977/(2*J2977+L2977+K2977)</f>
        <v>0</v>
      </c>
      <c r="Q2977" s="11" t="n">
        <f aca="false">L2977/(L2977+M2977)</f>
        <v>0</v>
      </c>
      <c r="R2977" s="6" t="n">
        <v>1</v>
      </c>
      <c r="S2977" s="11" t="n">
        <v>0</v>
      </c>
      <c r="T2977" s="11" t="n">
        <v>0</v>
      </c>
      <c r="U2977" s="11" t="n">
        <v>0.65</v>
      </c>
      <c r="V2977" s="11" t="n">
        <v>0.65</v>
      </c>
    </row>
    <row r="2978" customFormat="false" ht="15" hidden="false" customHeight="false" outlineLevel="0" collapsed="false">
      <c r="A2978" s="6" t="s">
        <v>58</v>
      </c>
      <c r="B2978" s="6" t="s">
        <v>59</v>
      </c>
      <c r="C2978" s="6" t="s">
        <v>44</v>
      </c>
      <c r="D2978" s="6" t="s">
        <v>114</v>
      </c>
      <c r="E2978" s="6" t="n">
        <v>4</v>
      </c>
      <c r="F2978" s="6" t="n">
        <v>1</v>
      </c>
      <c r="G2978" s="6" t="s">
        <v>74</v>
      </c>
      <c r="H2978" s="11" t="n">
        <v>0.001</v>
      </c>
      <c r="I2978" s="6" t="n">
        <v>20</v>
      </c>
      <c r="J2978" s="6" t="n">
        <v>0</v>
      </c>
      <c r="K2978" s="6" t="n">
        <v>20</v>
      </c>
      <c r="L2978" s="6" t="n">
        <v>0</v>
      </c>
      <c r="M2978" s="6" t="n">
        <v>20</v>
      </c>
      <c r="N2978" s="11" t="n">
        <f aca="false">J2978/(J2978+K2978)</f>
        <v>0</v>
      </c>
      <c r="O2978" s="11" t="str">
        <f aca="false">IF(J2978+L2978=0,"",J2978/(J2978+L2978))</f>
        <v/>
      </c>
      <c r="P2978" s="11" t="n">
        <f aca="false">2*J2978/(2*J2978+L2978+K2978)</f>
        <v>0</v>
      </c>
      <c r="Q2978" s="11" t="n">
        <f aca="false">L2978/(L2978+M2978)</f>
        <v>0</v>
      </c>
      <c r="R2978" s="6" t="n">
        <v>0</v>
      </c>
      <c r="S2978" s="11"/>
      <c r="T2978" s="11" t="n">
        <v>0</v>
      </c>
      <c r="U2978" s="11" t="n">
        <v>0.85</v>
      </c>
      <c r="V2978" s="11" t="n">
        <v>0.85</v>
      </c>
    </row>
    <row r="2979" customFormat="false" ht="15" hidden="false" customHeight="false" outlineLevel="0" collapsed="false">
      <c r="A2979" s="6" t="s">
        <v>58</v>
      </c>
      <c r="B2979" s="6" t="s">
        <v>59</v>
      </c>
      <c r="C2979" s="6" t="s">
        <v>44</v>
      </c>
      <c r="D2979" s="6" t="s">
        <v>114</v>
      </c>
      <c r="E2979" s="6" t="n">
        <v>4</v>
      </c>
      <c r="F2979" s="6" t="n">
        <v>1</v>
      </c>
      <c r="G2979" s="6" t="s">
        <v>75</v>
      </c>
      <c r="H2979" s="11" t="n">
        <v>0.001</v>
      </c>
      <c r="I2979" s="6" t="n">
        <v>20</v>
      </c>
      <c r="J2979" s="6" t="n">
        <v>0</v>
      </c>
      <c r="K2979" s="6" t="n">
        <v>20</v>
      </c>
      <c r="L2979" s="6" t="n">
        <v>0</v>
      </c>
      <c r="M2979" s="6" t="n">
        <v>20</v>
      </c>
      <c r="N2979" s="11" t="n">
        <f aca="false">J2979/(J2979+K2979)</f>
        <v>0</v>
      </c>
      <c r="O2979" s="11" t="str">
        <f aca="false">IF(J2979+L2979=0,"",J2979/(J2979+L2979))</f>
        <v/>
      </c>
      <c r="P2979" s="11" t="n">
        <f aca="false">2*J2979/(2*J2979+L2979+K2979)</f>
        <v>0</v>
      </c>
      <c r="Q2979" s="11" t="n">
        <f aca="false">L2979/(L2979+M2979)</f>
        <v>0</v>
      </c>
      <c r="R2979" s="6" t="n">
        <v>0</v>
      </c>
      <c r="S2979" s="11"/>
      <c r="T2979" s="11" t="n">
        <v>0</v>
      </c>
      <c r="U2979" s="11" t="n">
        <v>0.9</v>
      </c>
      <c r="V2979" s="11" t="n">
        <v>0.9</v>
      </c>
    </row>
    <row r="2980" customFormat="false" ht="15" hidden="false" customHeight="false" outlineLevel="0" collapsed="false">
      <c r="A2980" s="6" t="s">
        <v>58</v>
      </c>
      <c r="B2980" s="6" t="s">
        <v>59</v>
      </c>
      <c r="C2980" s="6" t="s">
        <v>44</v>
      </c>
      <c r="D2980" s="6" t="s">
        <v>114</v>
      </c>
      <c r="E2980" s="6" t="n">
        <v>4</v>
      </c>
      <c r="F2980" s="6" t="n">
        <v>1</v>
      </c>
      <c r="G2980" s="6" t="s">
        <v>76</v>
      </c>
      <c r="H2980" s="11" t="n">
        <v>0.001</v>
      </c>
      <c r="I2980" s="6" t="n">
        <v>20</v>
      </c>
      <c r="J2980" s="6" t="n">
        <v>0</v>
      </c>
      <c r="K2980" s="6" t="n">
        <v>20</v>
      </c>
      <c r="L2980" s="6" t="n">
        <v>0</v>
      </c>
      <c r="M2980" s="6" t="n">
        <v>20</v>
      </c>
      <c r="N2980" s="11" t="n">
        <f aca="false">J2980/(J2980+K2980)</f>
        <v>0</v>
      </c>
      <c r="O2980" s="11" t="str">
        <f aca="false">IF(J2980+L2980=0,"",J2980/(J2980+L2980))</f>
        <v/>
      </c>
      <c r="P2980" s="11" t="n">
        <f aca="false">2*J2980/(2*J2980+L2980+K2980)</f>
        <v>0</v>
      </c>
      <c r="Q2980" s="11" t="n">
        <f aca="false">L2980/(L2980+M2980)</f>
        <v>0</v>
      </c>
      <c r="R2980" s="6" t="n">
        <v>0</v>
      </c>
      <c r="S2980" s="11"/>
      <c r="T2980" s="11" t="n">
        <v>0</v>
      </c>
      <c r="U2980" s="11" t="n">
        <v>0.95</v>
      </c>
      <c r="V2980" s="11" t="n">
        <v>0.95</v>
      </c>
    </row>
    <row r="2981" customFormat="false" ht="15" hidden="false" customHeight="false" outlineLevel="0" collapsed="false">
      <c r="A2981" s="6" t="s">
        <v>58</v>
      </c>
      <c r="B2981" s="6" t="s">
        <v>59</v>
      </c>
      <c r="C2981" s="6" t="s">
        <v>44</v>
      </c>
      <c r="D2981" s="6" t="s">
        <v>114</v>
      </c>
      <c r="E2981" s="6" t="n">
        <v>4</v>
      </c>
      <c r="F2981" s="6" t="n">
        <v>1</v>
      </c>
      <c r="G2981" s="6" t="s">
        <v>77</v>
      </c>
      <c r="H2981" s="11" t="n">
        <v>0.001</v>
      </c>
      <c r="I2981" s="6" t="n">
        <v>20</v>
      </c>
      <c r="J2981" s="6" t="n">
        <v>0</v>
      </c>
      <c r="K2981" s="6" t="n">
        <v>20</v>
      </c>
      <c r="L2981" s="6" t="n">
        <v>0</v>
      </c>
      <c r="M2981" s="6" t="n">
        <v>20</v>
      </c>
      <c r="N2981" s="11" t="n">
        <f aca="false">J2981/(J2981+K2981)</f>
        <v>0</v>
      </c>
      <c r="O2981" s="11" t="str">
        <f aca="false">IF(J2981+L2981=0,"",J2981/(J2981+L2981))</f>
        <v/>
      </c>
      <c r="P2981" s="11" t="n">
        <f aca="false">2*J2981/(2*J2981+L2981+K2981)</f>
        <v>0</v>
      </c>
      <c r="Q2981" s="11" t="n">
        <f aca="false">L2981/(L2981+M2981)</f>
        <v>0</v>
      </c>
      <c r="R2981" s="6" t="n">
        <v>0</v>
      </c>
      <c r="S2981" s="11"/>
      <c r="T2981" s="11" t="n">
        <v>0</v>
      </c>
      <c r="U2981" s="11" t="n">
        <v>1</v>
      </c>
      <c r="V2981" s="11" t="n">
        <v>1</v>
      </c>
    </row>
    <row r="2982" customFormat="false" ht="15" hidden="false" customHeight="false" outlineLevel="0" collapsed="false">
      <c r="A2982" s="6" t="s">
        <v>58</v>
      </c>
      <c r="B2982" s="6" t="s">
        <v>59</v>
      </c>
      <c r="C2982" s="6" t="s">
        <v>44</v>
      </c>
      <c r="D2982" s="6" t="s">
        <v>114</v>
      </c>
      <c r="E2982" s="6" t="n">
        <v>4</v>
      </c>
      <c r="F2982" s="6" t="n">
        <v>1</v>
      </c>
      <c r="G2982" s="6" t="s">
        <v>78</v>
      </c>
      <c r="H2982" s="11" t="n">
        <v>0.001</v>
      </c>
      <c r="I2982" s="6" t="n">
        <v>200</v>
      </c>
      <c r="J2982" s="6" t="n">
        <v>0</v>
      </c>
      <c r="K2982" s="6" t="n">
        <v>200</v>
      </c>
      <c r="L2982" s="6" t="n">
        <v>0</v>
      </c>
      <c r="M2982" s="6" t="n">
        <v>200</v>
      </c>
      <c r="N2982" s="11" t="n">
        <f aca="false">J2982/(J2982+K2982)</f>
        <v>0</v>
      </c>
      <c r="O2982" s="11" t="str">
        <f aca="false">IF(J2982+L2982=0,"",J2982/(J2982+L2982))</f>
        <v/>
      </c>
      <c r="P2982" s="11" t="n">
        <f aca="false">2*J2982/(2*J2982+L2982+K2982)</f>
        <v>0</v>
      </c>
      <c r="Q2982" s="11" t="n">
        <f aca="false">L2982/(L2982+M2982)</f>
        <v>0</v>
      </c>
      <c r="R2982" s="6" t="n">
        <v>1</v>
      </c>
      <c r="S2982" s="11" t="n">
        <v>0</v>
      </c>
      <c r="T2982" s="11" t="n">
        <v>0</v>
      </c>
      <c r="U2982" s="11" t="n">
        <v>0.88</v>
      </c>
      <c r="V2982" s="11" t="n">
        <v>0.88</v>
      </c>
    </row>
    <row r="2983" customFormat="false" ht="15" hidden="false" customHeight="false" outlineLevel="0" collapsed="false">
      <c r="A2983" s="6" t="s">
        <v>58</v>
      </c>
      <c r="B2983" s="6" t="s">
        <v>59</v>
      </c>
      <c r="C2983" s="6" t="s">
        <v>44</v>
      </c>
      <c r="D2983" s="6" t="s">
        <v>114</v>
      </c>
      <c r="E2983" s="6" t="n">
        <v>4</v>
      </c>
      <c r="F2983" s="6" t="n">
        <v>2</v>
      </c>
      <c r="G2983" s="6" t="s">
        <v>68</v>
      </c>
      <c r="H2983" s="11" t="n">
        <v>0.001</v>
      </c>
      <c r="I2983" s="6" t="n">
        <v>20</v>
      </c>
      <c r="J2983" s="6" t="n">
        <v>0</v>
      </c>
      <c r="K2983" s="6" t="n">
        <v>20</v>
      </c>
      <c r="L2983" s="6" t="n">
        <v>0</v>
      </c>
      <c r="M2983" s="6" t="n">
        <v>20</v>
      </c>
      <c r="N2983" s="11" t="n">
        <f aca="false">J2983/(J2983+K2983)</f>
        <v>0</v>
      </c>
      <c r="O2983" s="11" t="str">
        <f aca="false">IF(J2983+L2983=0,"",J2983/(J2983+L2983))</f>
        <v/>
      </c>
      <c r="P2983" s="11" t="n">
        <f aca="false">2*J2983/(2*J2983+L2983+K2983)</f>
        <v>0</v>
      </c>
      <c r="Q2983" s="11" t="n">
        <f aca="false">L2983/(L2983+M2983)</f>
        <v>0</v>
      </c>
      <c r="R2983" s="6" t="n">
        <v>0</v>
      </c>
      <c r="S2983" s="11"/>
      <c r="T2983" s="11" t="n">
        <v>0</v>
      </c>
      <c r="U2983" s="11" t="n">
        <v>0.85</v>
      </c>
      <c r="V2983" s="11" t="n">
        <v>0.85</v>
      </c>
    </row>
    <row r="2984" customFormat="false" ht="15" hidden="false" customHeight="false" outlineLevel="0" collapsed="false">
      <c r="A2984" s="6" t="s">
        <v>58</v>
      </c>
      <c r="B2984" s="6" t="s">
        <v>59</v>
      </c>
      <c r="C2984" s="6" t="s">
        <v>44</v>
      </c>
      <c r="D2984" s="6" t="s">
        <v>114</v>
      </c>
      <c r="E2984" s="6" t="n">
        <v>4</v>
      </c>
      <c r="F2984" s="6" t="n">
        <v>2</v>
      </c>
      <c r="G2984" s="6" t="s">
        <v>69</v>
      </c>
      <c r="H2984" s="11" t="n">
        <v>0.001</v>
      </c>
      <c r="I2984" s="6" t="n">
        <v>20</v>
      </c>
      <c r="J2984" s="6" t="n">
        <v>0</v>
      </c>
      <c r="K2984" s="6" t="n">
        <v>20</v>
      </c>
      <c r="L2984" s="6" t="n">
        <v>0</v>
      </c>
      <c r="M2984" s="6" t="n">
        <v>20</v>
      </c>
      <c r="N2984" s="11" t="n">
        <f aca="false">J2984/(J2984+K2984)</f>
        <v>0</v>
      </c>
      <c r="O2984" s="11" t="str">
        <f aca="false">IF(J2984+L2984=0,"",J2984/(J2984+L2984))</f>
        <v/>
      </c>
      <c r="P2984" s="11" t="n">
        <f aca="false">2*J2984/(2*J2984+L2984+K2984)</f>
        <v>0</v>
      </c>
      <c r="Q2984" s="11" t="n">
        <f aca="false">L2984/(L2984+M2984)</f>
        <v>0</v>
      </c>
      <c r="R2984" s="6" t="n">
        <v>0</v>
      </c>
      <c r="S2984" s="11"/>
      <c r="T2984" s="11" t="n">
        <v>0</v>
      </c>
      <c r="U2984" s="11" t="n">
        <v>1</v>
      </c>
      <c r="V2984" s="11" t="n">
        <v>1</v>
      </c>
    </row>
    <row r="2985" customFormat="false" ht="15" hidden="false" customHeight="false" outlineLevel="0" collapsed="false">
      <c r="A2985" s="6" t="s">
        <v>58</v>
      </c>
      <c r="B2985" s="6" t="s">
        <v>59</v>
      </c>
      <c r="C2985" s="6" t="s">
        <v>44</v>
      </c>
      <c r="D2985" s="6" t="s">
        <v>114</v>
      </c>
      <c r="E2985" s="6" t="n">
        <v>4</v>
      </c>
      <c r="F2985" s="6" t="n">
        <v>2</v>
      </c>
      <c r="G2985" s="6" t="s">
        <v>70</v>
      </c>
      <c r="H2985" s="11" t="n">
        <v>0.001</v>
      </c>
      <c r="I2985" s="6" t="n">
        <v>20</v>
      </c>
      <c r="J2985" s="6" t="n">
        <v>0</v>
      </c>
      <c r="K2985" s="6" t="n">
        <v>20</v>
      </c>
      <c r="L2985" s="6" t="n">
        <v>0</v>
      </c>
      <c r="M2985" s="6" t="n">
        <v>20</v>
      </c>
      <c r="N2985" s="11" t="n">
        <f aca="false">J2985/(J2985+K2985)</f>
        <v>0</v>
      </c>
      <c r="O2985" s="11" t="str">
        <f aca="false">IF(J2985+L2985=0,"",J2985/(J2985+L2985))</f>
        <v/>
      </c>
      <c r="P2985" s="11" t="n">
        <f aca="false">2*J2985/(2*J2985+L2985+K2985)</f>
        <v>0</v>
      </c>
      <c r="Q2985" s="11" t="n">
        <f aca="false">L2985/(L2985+M2985)</f>
        <v>0</v>
      </c>
      <c r="R2985" s="6" t="n">
        <v>0</v>
      </c>
      <c r="S2985" s="11"/>
      <c r="T2985" s="11" t="n">
        <v>0</v>
      </c>
      <c r="U2985" s="11" t="n">
        <v>0.9</v>
      </c>
      <c r="V2985" s="11" t="n">
        <v>0.9</v>
      </c>
    </row>
    <row r="2986" customFormat="false" ht="15" hidden="false" customHeight="false" outlineLevel="0" collapsed="false">
      <c r="A2986" s="6" t="s">
        <v>58</v>
      </c>
      <c r="B2986" s="6" t="s">
        <v>59</v>
      </c>
      <c r="C2986" s="6" t="s">
        <v>44</v>
      </c>
      <c r="D2986" s="6" t="s">
        <v>114</v>
      </c>
      <c r="E2986" s="6" t="n">
        <v>4</v>
      </c>
      <c r="F2986" s="6" t="n">
        <v>2</v>
      </c>
      <c r="G2986" s="6" t="s">
        <v>71</v>
      </c>
      <c r="H2986" s="11" t="n">
        <v>0.001</v>
      </c>
      <c r="I2986" s="6" t="n">
        <v>20</v>
      </c>
      <c r="J2986" s="6" t="n">
        <v>0</v>
      </c>
      <c r="K2986" s="6" t="n">
        <v>20</v>
      </c>
      <c r="L2986" s="6" t="n">
        <v>0</v>
      </c>
      <c r="M2986" s="6" t="n">
        <v>20</v>
      </c>
      <c r="N2986" s="11" t="n">
        <f aca="false">J2986/(J2986+K2986)</f>
        <v>0</v>
      </c>
      <c r="O2986" s="11" t="str">
        <f aca="false">IF(J2986+L2986=0,"",J2986/(J2986+L2986))</f>
        <v/>
      </c>
      <c r="P2986" s="11" t="n">
        <f aca="false">2*J2986/(2*J2986+L2986+K2986)</f>
        <v>0</v>
      </c>
      <c r="Q2986" s="11" t="n">
        <f aca="false">L2986/(L2986+M2986)</f>
        <v>0</v>
      </c>
      <c r="R2986" s="6" t="n">
        <v>0</v>
      </c>
      <c r="S2986" s="11"/>
      <c r="T2986" s="11" t="n">
        <v>0</v>
      </c>
      <c r="U2986" s="11" t="n">
        <v>0.8</v>
      </c>
      <c r="V2986" s="11" t="n">
        <v>0.8</v>
      </c>
    </row>
    <row r="2987" customFormat="false" ht="15" hidden="false" customHeight="false" outlineLevel="0" collapsed="false">
      <c r="A2987" s="6" t="s">
        <v>58</v>
      </c>
      <c r="B2987" s="6" t="s">
        <v>59</v>
      </c>
      <c r="C2987" s="6" t="s">
        <v>44</v>
      </c>
      <c r="D2987" s="6" t="s">
        <v>114</v>
      </c>
      <c r="E2987" s="6" t="n">
        <v>4</v>
      </c>
      <c r="F2987" s="6" t="n">
        <v>2</v>
      </c>
      <c r="G2987" s="6" t="s">
        <v>72</v>
      </c>
      <c r="H2987" s="11" t="n">
        <v>0.001</v>
      </c>
      <c r="I2987" s="6" t="n">
        <v>20</v>
      </c>
      <c r="J2987" s="6" t="n">
        <v>0</v>
      </c>
      <c r="K2987" s="6" t="n">
        <v>20</v>
      </c>
      <c r="L2987" s="6" t="n">
        <v>0</v>
      </c>
      <c r="M2987" s="6" t="n">
        <v>20</v>
      </c>
      <c r="N2987" s="11" t="n">
        <f aca="false">J2987/(J2987+K2987)</f>
        <v>0</v>
      </c>
      <c r="O2987" s="11" t="str">
        <f aca="false">IF(J2987+L2987=0,"",J2987/(J2987+L2987))</f>
        <v/>
      </c>
      <c r="P2987" s="11" t="n">
        <f aca="false">2*J2987/(2*J2987+L2987+K2987)</f>
        <v>0</v>
      </c>
      <c r="Q2987" s="11" t="n">
        <f aca="false">L2987/(L2987+M2987)</f>
        <v>0</v>
      </c>
      <c r="R2987" s="6" t="n">
        <v>1</v>
      </c>
      <c r="S2987" s="11" t="n">
        <v>0</v>
      </c>
      <c r="T2987" s="11" t="n">
        <v>0</v>
      </c>
      <c r="U2987" s="11" t="n">
        <v>0.9</v>
      </c>
      <c r="V2987" s="11" t="n">
        <v>0.9</v>
      </c>
    </row>
    <row r="2988" customFormat="false" ht="15" hidden="false" customHeight="false" outlineLevel="0" collapsed="false">
      <c r="A2988" s="6" t="s">
        <v>58</v>
      </c>
      <c r="B2988" s="6" t="s">
        <v>59</v>
      </c>
      <c r="C2988" s="6" t="s">
        <v>44</v>
      </c>
      <c r="D2988" s="6" t="s">
        <v>114</v>
      </c>
      <c r="E2988" s="6" t="n">
        <v>4</v>
      </c>
      <c r="F2988" s="6" t="n">
        <v>2</v>
      </c>
      <c r="G2988" s="6" t="s">
        <v>73</v>
      </c>
      <c r="H2988" s="11" t="n">
        <v>0.001</v>
      </c>
      <c r="I2988" s="6" t="n">
        <v>20</v>
      </c>
      <c r="J2988" s="6" t="n">
        <v>0</v>
      </c>
      <c r="K2988" s="6" t="n">
        <v>20</v>
      </c>
      <c r="L2988" s="6" t="n">
        <v>0</v>
      </c>
      <c r="M2988" s="6" t="n">
        <v>20</v>
      </c>
      <c r="N2988" s="11" t="n">
        <f aca="false">J2988/(J2988+K2988)</f>
        <v>0</v>
      </c>
      <c r="O2988" s="11" t="str">
        <f aca="false">IF(J2988+L2988=0,"",J2988/(J2988+L2988))</f>
        <v/>
      </c>
      <c r="P2988" s="11" t="n">
        <f aca="false">2*J2988/(2*J2988+L2988+K2988)</f>
        <v>0</v>
      </c>
      <c r="Q2988" s="11" t="n">
        <f aca="false">L2988/(L2988+M2988)</f>
        <v>0</v>
      </c>
      <c r="R2988" s="6" t="n">
        <v>1</v>
      </c>
      <c r="S2988" s="11" t="n">
        <v>0</v>
      </c>
      <c r="T2988" s="11" t="n">
        <v>0</v>
      </c>
      <c r="U2988" s="11" t="n">
        <v>0.65</v>
      </c>
      <c r="V2988" s="11" t="n">
        <v>0.65</v>
      </c>
    </row>
    <row r="2989" customFormat="false" ht="15" hidden="false" customHeight="false" outlineLevel="0" collapsed="false">
      <c r="A2989" s="6" t="s">
        <v>58</v>
      </c>
      <c r="B2989" s="6" t="s">
        <v>59</v>
      </c>
      <c r="C2989" s="6" t="s">
        <v>44</v>
      </c>
      <c r="D2989" s="6" t="s">
        <v>114</v>
      </c>
      <c r="E2989" s="6" t="n">
        <v>4</v>
      </c>
      <c r="F2989" s="6" t="n">
        <v>2</v>
      </c>
      <c r="G2989" s="6" t="s">
        <v>74</v>
      </c>
      <c r="H2989" s="11" t="n">
        <v>0.001</v>
      </c>
      <c r="I2989" s="6" t="n">
        <v>20</v>
      </c>
      <c r="J2989" s="6" t="n">
        <v>0</v>
      </c>
      <c r="K2989" s="6" t="n">
        <v>20</v>
      </c>
      <c r="L2989" s="6" t="n">
        <v>0</v>
      </c>
      <c r="M2989" s="6" t="n">
        <v>20</v>
      </c>
      <c r="N2989" s="11" t="n">
        <f aca="false">J2989/(J2989+K2989)</f>
        <v>0</v>
      </c>
      <c r="O2989" s="11" t="str">
        <f aca="false">IF(J2989+L2989=0,"",J2989/(J2989+L2989))</f>
        <v/>
      </c>
      <c r="P2989" s="11" t="n">
        <f aca="false">2*J2989/(2*J2989+L2989+K2989)</f>
        <v>0</v>
      </c>
      <c r="Q2989" s="11" t="n">
        <f aca="false">L2989/(L2989+M2989)</f>
        <v>0</v>
      </c>
      <c r="R2989" s="6" t="n">
        <v>2</v>
      </c>
      <c r="S2989" s="11" t="n">
        <v>0</v>
      </c>
      <c r="T2989" s="11" t="n">
        <v>0</v>
      </c>
      <c r="U2989" s="11" t="n">
        <v>0.85</v>
      </c>
      <c r="V2989" s="11" t="n">
        <v>0.75</v>
      </c>
    </row>
    <row r="2990" customFormat="false" ht="15" hidden="false" customHeight="false" outlineLevel="0" collapsed="false">
      <c r="A2990" s="6" t="s">
        <v>58</v>
      </c>
      <c r="B2990" s="6" t="s">
        <v>59</v>
      </c>
      <c r="C2990" s="6" t="s">
        <v>44</v>
      </c>
      <c r="D2990" s="6" t="s">
        <v>114</v>
      </c>
      <c r="E2990" s="6" t="n">
        <v>4</v>
      </c>
      <c r="F2990" s="6" t="n">
        <v>2</v>
      </c>
      <c r="G2990" s="6" t="s">
        <v>75</v>
      </c>
      <c r="H2990" s="11" t="n">
        <v>0.001</v>
      </c>
      <c r="I2990" s="6" t="n">
        <v>20</v>
      </c>
      <c r="J2990" s="6" t="n">
        <v>0</v>
      </c>
      <c r="K2990" s="6" t="n">
        <v>20</v>
      </c>
      <c r="L2990" s="6" t="n">
        <v>0</v>
      </c>
      <c r="M2990" s="6" t="n">
        <v>20</v>
      </c>
      <c r="N2990" s="11" t="n">
        <f aca="false">J2990/(J2990+K2990)</f>
        <v>0</v>
      </c>
      <c r="O2990" s="11" t="str">
        <f aca="false">IF(J2990+L2990=0,"",J2990/(J2990+L2990))</f>
        <v/>
      </c>
      <c r="P2990" s="11" t="n">
        <f aca="false">2*J2990/(2*J2990+L2990+K2990)</f>
        <v>0</v>
      </c>
      <c r="Q2990" s="11" t="n">
        <f aca="false">L2990/(L2990+M2990)</f>
        <v>0</v>
      </c>
      <c r="R2990" s="6" t="n">
        <v>1</v>
      </c>
      <c r="S2990" s="11" t="n">
        <v>0</v>
      </c>
      <c r="T2990" s="11" t="n">
        <v>0</v>
      </c>
      <c r="U2990" s="11" t="n">
        <v>0.9</v>
      </c>
      <c r="V2990" s="11" t="n">
        <v>0.95</v>
      </c>
    </row>
    <row r="2991" customFormat="false" ht="15" hidden="false" customHeight="false" outlineLevel="0" collapsed="false">
      <c r="A2991" s="6" t="s">
        <v>58</v>
      </c>
      <c r="B2991" s="6" t="s">
        <v>59</v>
      </c>
      <c r="C2991" s="6" t="s">
        <v>44</v>
      </c>
      <c r="D2991" s="6" t="s">
        <v>114</v>
      </c>
      <c r="E2991" s="6" t="n">
        <v>4</v>
      </c>
      <c r="F2991" s="6" t="n">
        <v>2</v>
      </c>
      <c r="G2991" s="6" t="s">
        <v>76</v>
      </c>
      <c r="H2991" s="11" t="n">
        <v>0.001</v>
      </c>
      <c r="I2991" s="6" t="n">
        <v>20</v>
      </c>
      <c r="J2991" s="6" t="n">
        <v>0</v>
      </c>
      <c r="K2991" s="6" t="n">
        <v>20</v>
      </c>
      <c r="L2991" s="6" t="n">
        <v>0</v>
      </c>
      <c r="M2991" s="6" t="n">
        <v>20</v>
      </c>
      <c r="N2991" s="11" t="n">
        <f aca="false">J2991/(J2991+K2991)</f>
        <v>0</v>
      </c>
      <c r="O2991" s="11" t="str">
        <f aca="false">IF(J2991+L2991=0,"",J2991/(J2991+L2991))</f>
        <v/>
      </c>
      <c r="P2991" s="11" t="n">
        <f aca="false">2*J2991/(2*J2991+L2991+K2991)</f>
        <v>0</v>
      </c>
      <c r="Q2991" s="11" t="n">
        <f aca="false">L2991/(L2991+M2991)</f>
        <v>0</v>
      </c>
      <c r="R2991" s="6" t="n">
        <v>0</v>
      </c>
      <c r="S2991" s="11"/>
      <c r="T2991" s="11" t="n">
        <v>0</v>
      </c>
      <c r="U2991" s="11" t="n">
        <v>0.95</v>
      </c>
      <c r="V2991" s="11" t="n">
        <v>0.95</v>
      </c>
    </row>
    <row r="2992" customFormat="false" ht="15" hidden="false" customHeight="false" outlineLevel="0" collapsed="false">
      <c r="A2992" s="6" t="s">
        <v>58</v>
      </c>
      <c r="B2992" s="6" t="s">
        <v>59</v>
      </c>
      <c r="C2992" s="6" t="s">
        <v>44</v>
      </c>
      <c r="D2992" s="6" t="s">
        <v>114</v>
      </c>
      <c r="E2992" s="6" t="n">
        <v>4</v>
      </c>
      <c r="F2992" s="6" t="n">
        <v>2</v>
      </c>
      <c r="G2992" s="6" t="s">
        <v>77</v>
      </c>
      <c r="H2992" s="11" t="n">
        <v>0.001</v>
      </c>
      <c r="I2992" s="6" t="n">
        <v>20</v>
      </c>
      <c r="J2992" s="6" t="n">
        <v>0</v>
      </c>
      <c r="K2992" s="6" t="n">
        <v>20</v>
      </c>
      <c r="L2992" s="6" t="n">
        <v>0</v>
      </c>
      <c r="M2992" s="6" t="n">
        <v>20</v>
      </c>
      <c r="N2992" s="11" t="n">
        <f aca="false">J2992/(J2992+K2992)</f>
        <v>0</v>
      </c>
      <c r="O2992" s="11" t="str">
        <f aca="false">IF(J2992+L2992=0,"",J2992/(J2992+L2992))</f>
        <v/>
      </c>
      <c r="P2992" s="11" t="n">
        <f aca="false">2*J2992/(2*J2992+L2992+K2992)</f>
        <v>0</v>
      </c>
      <c r="Q2992" s="11" t="n">
        <f aca="false">L2992/(L2992+M2992)</f>
        <v>0</v>
      </c>
      <c r="R2992" s="6" t="n">
        <v>0</v>
      </c>
      <c r="S2992" s="11"/>
      <c r="T2992" s="11" t="n">
        <v>0</v>
      </c>
      <c r="U2992" s="11" t="n">
        <v>1</v>
      </c>
      <c r="V2992" s="11" t="n">
        <v>1</v>
      </c>
    </row>
    <row r="2993" customFormat="false" ht="15" hidden="false" customHeight="false" outlineLevel="0" collapsed="false">
      <c r="A2993" s="6" t="s">
        <v>58</v>
      </c>
      <c r="B2993" s="6" t="s">
        <v>59</v>
      </c>
      <c r="C2993" s="6" t="s">
        <v>44</v>
      </c>
      <c r="D2993" s="6" t="s">
        <v>114</v>
      </c>
      <c r="E2993" s="6" t="n">
        <v>4</v>
      </c>
      <c r="F2993" s="6" t="n">
        <v>2</v>
      </c>
      <c r="G2993" s="6" t="s">
        <v>78</v>
      </c>
      <c r="H2993" s="11" t="n">
        <v>0.001</v>
      </c>
      <c r="I2993" s="6" t="n">
        <v>200</v>
      </c>
      <c r="J2993" s="6" t="n">
        <v>0</v>
      </c>
      <c r="K2993" s="6" t="n">
        <v>200</v>
      </c>
      <c r="L2993" s="6" t="n">
        <v>0</v>
      </c>
      <c r="M2993" s="6" t="n">
        <v>200</v>
      </c>
      <c r="N2993" s="11" t="n">
        <f aca="false">J2993/(J2993+K2993)</f>
        <v>0</v>
      </c>
      <c r="O2993" s="11" t="str">
        <f aca="false">IF(J2993+L2993=0,"",J2993/(J2993+L2993))</f>
        <v/>
      </c>
      <c r="P2993" s="11" t="n">
        <f aca="false">2*J2993/(2*J2993+L2993+K2993)</f>
        <v>0</v>
      </c>
      <c r="Q2993" s="11" t="n">
        <f aca="false">L2993/(L2993+M2993)</f>
        <v>0</v>
      </c>
      <c r="R2993" s="6" t="n">
        <v>5</v>
      </c>
      <c r="S2993" s="11" t="n">
        <v>0</v>
      </c>
      <c r="T2993" s="11" t="n">
        <v>0</v>
      </c>
      <c r="U2993" s="11" t="n">
        <v>0.88</v>
      </c>
      <c r="V2993" s="11" t="n">
        <v>0.875</v>
      </c>
    </row>
    <row r="2994" customFormat="false" ht="15" hidden="false" customHeight="false" outlineLevel="0" collapsed="false">
      <c r="A2994" s="6" t="s">
        <v>58</v>
      </c>
      <c r="B2994" s="6" t="s">
        <v>59</v>
      </c>
      <c r="C2994" s="6" t="s">
        <v>44</v>
      </c>
      <c r="D2994" s="6" t="s">
        <v>114</v>
      </c>
      <c r="E2994" s="6" t="n">
        <v>4</v>
      </c>
      <c r="F2994" s="6" t="n">
        <v>3</v>
      </c>
      <c r="G2994" s="6" t="s">
        <v>68</v>
      </c>
      <c r="H2994" s="11" t="n">
        <v>0.001</v>
      </c>
      <c r="I2994" s="6" t="n">
        <v>20</v>
      </c>
      <c r="J2994" s="6" t="n">
        <v>0</v>
      </c>
      <c r="K2994" s="6" t="n">
        <v>20</v>
      </c>
      <c r="L2994" s="6" t="n">
        <v>0</v>
      </c>
      <c r="M2994" s="6" t="n">
        <v>20</v>
      </c>
      <c r="N2994" s="11" t="n">
        <f aca="false">J2994/(J2994+K2994)</f>
        <v>0</v>
      </c>
      <c r="O2994" s="11" t="str">
        <f aca="false">IF(J2994+L2994=0,"",J2994/(J2994+L2994))</f>
        <v/>
      </c>
      <c r="P2994" s="11" t="n">
        <f aca="false">2*J2994/(2*J2994+L2994+K2994)</f>
        <v>0</v>
      </c>
      <c r="Q2994" s="11" t="n">
        <f aca="false">L2994/(L2994+M2994)</f>
        <v>0</v>
      </c>
      <c r="R2994" s="6" t="n">
        <v>0</v>
      </c>
      <c r="S2994" s="11"/>
      <c r="T2994" s="11" t="n">
        <v>0</v>
      </c>
      <c r="U2994" s="11" t="n">
        <v>0.85</v>
      </c>
      <c r="V2994" s="11" t="n">
        <v>0.85</v>
      </c>
    </row>
    <row r="2995" customFormat="false" ht="15" hidden="false" customHeight="false" outlineLevel="0" collapsed="false">
      <c r="A2995" s="6" t="s">
        <v>58</v>
      </c>
      <c r="B2995" s="6" t="s">
        <v>59</v>
      </c>
      <c r="C2995" s="6" t="s">
        <v>44</v>
      </c>
      <c r="D2995" s="6" t="s">
        <v>114</v>
      </c>
      <c r="E2995" s="6" t="n">
        <v>4</v>
      </c>
      <c r="F2995" s="6" t="n">
        <v>3</v>
      </c>
      <c r="G2995" s="6" t="s">
        <v>69</v>
      </c>
      <c r="H2995" s="11" t="n">
        <v>0.001</v>
      </c>
      <c r="I2995" s="6" t="n">
        <v>20</v>
      </c>
      <c r="J2995" s="6" t="n">
        <v>0</v>
      </c>
      <c r="K2995" s="6" t="n">
        <v>20</v>
      </c>
      <c r="L2995" s="6" t="n">
        <v>0</v>
      </c>
      <c r="M2995" s="6" t="n">
        <v>20</v>
      </c>
      <c r="N2995" s="11" t="n">
        <f aca="false">J2995/(J2995+K2995)</f>
        <v>0</v>
      </c>
      <c r="O2995" s="11" t="str">
        <f aca="false">IF(J2995+L2995=0,"",J2995/(J2995+L2995))</f>
        <v/>
      </c>
      <c r="P2995" s="11" t="n">
        <f aca="false">2*J2995/(2*J2995+L2995+K2995)</f>
        <v>0</v>
      </c>
      <c r="Q2995" s="11" t="n">
        <f aca="false">L2995/(L2995+M2995)</f>
        <v>0</v>
      </c>
      <c r="R2995" s="6" t="n">
        <v>0</v>
      </c>
      <c r="S2995" s="11"/>
      <c r="T2995" s="11" t="n">
        <v>0</v>
      </c>
      <c r="U2995" s="11" t="n">
        <v>1</v>
      </c>
      <c r="V2995" s="11" t="n">
        <v>1</v>
      </c>
    </row>
    <row r="2996" customFormat="false" ht="15" hidden="false" customHeight="false" outlineLevel="0" collapsed="false">
      <c r="A2996" s="6" t="s">
        <v>58</v>
      </c>
      <c r="B2996" s="6" t="s">
        <v>59</v>
      </c>
      <c r="C2996" s="6" t="s">
        <v>44</v>
      </c>
      <c r="D2996" s="6" t="s">
        <v>114</v>
      </c>
      <c r="E2996" s="6" t="n">
        <v>4</v>
      </c>
      <c r="F2996" s="6" t="n">
        <v>3</v>
      </c>
      <c r="G2996" s="6" t="s">
        <v>70</v>
      </c>
      <c r="H2996" s="11" t="n">
        <v>0.001</v>
      </c>
      <c r="I2996" s="6" t="n">
        <v>20</v>
      </c>
      <c r="J2996" s="6" t="n">
        <v>0</v>
      </c>
      <c r="K2996" s="6" t="n">
        <v>20</v>
      </c>
      <c r="L2996" s="6" t="n">
        <v>0</v>
      </c>
      <c r="M2996" s="6" t="n">
        <v>20</v>
      </c>
      <c r="N2996" s="11" t="n">
        <f aca="false">J2996/(J2996+K2996)</f>
        <v>0</v>
      </c>
      <c r="O2996" s="11" t="str">
        <f aca="false">IF(J2996+L2996=0,"",J2996/(J2996+L2996))</f>
        <v/>
      </c>
      <c r="P2996" s="11" t="n">
        <f aca="false">2*J2996/(2*J2996+L2996+K2996)</f>
        <v>0</v>
      </c>
      <c r="Q2996" s="11" t="n">
        <f aca="false">L2996/(L2996+M2996)</f>
        <v>0</v>
      </c>
      <c r="R2996" s="6" t="n">
        <v>1</v>
      </c>
      <c r="S2996" s="11" t="n">
        <v>0</v>
      </c>
      <c r="T2996" s="11" t="n">
        <v>0</v>
      </c>
      <c r="U2996" s="11" t="n">
        <v>0.9</v>
      </c>
      <c r="V2996" s="11" t="n">
        <v>0.95</v>
      </c>
    </row>
    <row r="2997" customFormat="false" ht="15" hidden="false" customHeight="false" outlineLevel="0" collapsed="false">
      <c r="A2997" s="6" t="s">
        <v>58</v>
      </c>
      <c r="B2997" s="6" t="s">
        <v>59</v>
      </c>
      <c r="C2997" s="6" t="s">
        <v>44</v>
      </c>
      <c r="D2997" s="6" t="s">
        <v>114</v>
      </c>
      <c r="E2997" s="6" t="n">
        <v>4</v>
      </c>
      <c r="F2997" s="6" t="n">
        <v>3</v>
      </c>
      <c r="G2997" s="6" t="s">
        <v>71</v>
      </c>
      <c r="H2997" s="11" t="n">
        <v>0.001</v>
      </c>
      <c r="I2997" s="6" t="n">
        <v>20</v>
      </c>
      <c r="J2997" s="6" t="n">
        <v>0</v>
      </c>
      <c r="K2997" s="6" t="n">
        <v>20</v>
      </c>
      <c r="L2997" s="6" t="n">
        <v>0</v>
      </c>
      <c r="M2997" s="6" t="n">
        <v>20</v>
      </c>
      <c r="N2997" s="11" t="n">
        <f aca="false">J2997/(J2997+K2997)</f>
        <v>0</v>
      </c>
      <c r="O2997" s="11" t="str">
        <f aca="false">IF(J2997+L2997=0,"",J2997/(J2997+L2997))</f>
        <v/>
      </c>
      <c r="P2997" s="11" t="n">
        <f aca="false">2*J2997/(2*J2997+L2997+K2997)</f>
        <v>0</v>
      </c>
      <c r="Q2997" s="11" t="n">
        <f aca="false">L2997/(L2997+M2997)</f>
        <v>0</v>
      </c>
      <c r="R2997" s="6" t="n">
        <v>0</v>
      </c>
      <c r="S2997" s="11"/>
      <c r="T2997" s="11" t="n">
        <v>0</v>
      </c>
      <c r="U2997" s="11" t="n">
        <v>0.8</v>
      </c>
      <c r="V2997" s="11" t="n">
        <v>0.8</v>
      </c>
    </row>
    <row r="2998" customFormat="false" ht="15" hidden="false" customHeight="false" outlineLevel="0" collapsed="false">
      <c r="A2998" s="6" t="s">
        <v>58</v>
      </c>
      <c r="B2998" s="6" t="s">
        <v>59</v>
      </c>
      <c r="C2998" s="6" t="s">
        <v>44</v>
      </c>
      <c r="D2998" s="6" t="s">
        <v>114</v>
      </c>
      <c r="E2998" s="6" t="n">
        <v>4</v>
      </c>
      <c r="F2998" s="6" t="n">
        <v>3</v>
      </c>
      <c r="G2998" s="6" t="s">
        <v>72</v>
      </c>
      <c r="H2998" s="11" t="n">
        <v>0.001</v>
      </c>
      <c r="I2998" s="6" t="n">
        <v>20</v>
      </c>
      <c r="J2998" s="6" t="n">
        <v>0</v>
      </c>
      <c r="K2998" s="6" t="n">
        <v>20</v>
      </c>
      <c r="L2998" s="6" t="n">
        <v>0</v>
      </c>
      <c r="M2998" s="6" t="n">
        <v>20</v>
      </c>
      <c r="N2998" s="11" t="n">
        <f aca="false">J2998/(J2998+K2998)</f>
        <v>0</v>
      </c>
      <c r="O2998" s="11" t="str">
        <f aca="false">IF(J2998+L2998=0,"",J2998/(J2998+L2998))</f>
        <v/>
      </c>
      <c r="P2998" s="11" t="n">
        <f aca="false">2*J2998/(2*J2998+L2998+K2998)</f>
        <v>0</v>
      </c>
      <c r="Q2998" s="11" t="n">
        <f aca="false">L2998/(L2998+M2998)</f>
        <v>0</v>
      </c>
      <c r="R2998" s="6" t="n">
        <v>0</v>
      </c>
      <c r="S2998" s="11"/>
      <c r="T2998" s="11" t="n">
        <v>0</v>
      </c>
      <c r="U2998" s="11" t="n">
        <v>0.9</v>
      </c>
      <c r="V2998" s="11" t="n">
        <v>0.9</v>
      </c>
    </row>
    <row r="2999" customFormat="false" ht="15" hidden="false" customHeight="false" outlineLevel="0" collapsed="false">
      <c r="A2999" s="6" t="s">
        <v>58</v>
      </c>
      <c r="B2999" s="6" t="s">
        <v>59</v>
      </c>
      <c r="C2999" s="6" t="s">
        <v>44</v>
      </c>
      <c r="D2999" s="6" t="s">
        <v>114</v>
      </c>
      <c r="E2999" s="6" t="n">
        <v>4</v>
      </c>
      <c r="F2999" s="6" t="n">
        <v>3</v>
      </c>
      <c r="G2999" s="6" t="s">
        <v>73</v>
      </c>
      <c r="H2999" s="11" t="n">
        <v>0.001</v>
      </c>
      <c r="I2999" s="6" t="n">
        <v>20</v>
      </c>
      <c r="J2999" s="6" t="n">
        <v>0</v>
      </c>
      <c r="K2999" s="6" t="n">
        <v>20</v>
      </c>
      <c r="L2999" s="6" t="n">
        <v>0</v>
      </c>
      <c r="M2999" s="6" t="n">
        <v>20</v>
      </c>
      <c r="N2999" s="11" t="n">
        <f aca="false">J2999/(J2999+K2999)</f>
        <v>0</v>
      </c>
      <c r="O2999" s="11" t="str">
        <f aca="false">IF(J2999+L2999=0,"",J2999/(J2999+L2999))</f>
        <v/>
      </c>
      <c r="P2999" s="11" t="n">
        <f aca="false">2*J2999/(2*J2999+L2999+K2999)</f>
        <v>0</v>
      </c>
      <c r="Q2999" s="11" t="n">
        <f aca="false">L2999/(L2999+M2999)</f>
        <v>0</v>
      </c>
      <c r="R2999" s="6" t="n">
        <v>1</v>
      </c>
      <c r="S2999" s="11" t="n">
        <v>0</v>
      </c>
      <c r="T2999" s="11" t="n">
        <v>0</v>
      </c>
      <c r="U2999" s="11" t="n">
        <v>0.65</v>
      </c>
      <c r="V2999" s="11" t="n">
        <v>0.65</v>
      </c>
    </row>
    <row r="3000" customFormat="false" ht="15" hidden="false" customHeight="false" outlineLevel="0" collapsed="false">
      <c r="A3000" s="6" t="s">
        <v>58</v>
      </c>
      <c r="B3000" s="6" t="s">
        <v>59</v>
      </c>
      <c r="C3000" s="6" t="s">
        <v>44</v>
      </c>
      <c r="D3000" s="6" t="s">
        <v>114</v>
      </c>
      <c r="E3000" s="6" t="n">
        <v>4</v>
      </c>
      <c r="F3000" s="6" t="n">
        <v>3</v>
      </c>
      <c r="G3000" s="6" t="s">
        <v>74</v>
      </c>
      <c r="H3000" s="11" t="n">
        <v>0.001</v>
      </c>
      <c r="I3000" s="6" t="n">
        <v>20</v>
      </c>
      <c r="J3000" s="6" t="n">
        <v>0</v>
      </c>
      <c r="K3000" s="6" t="n">
        <v>20</v>
      </c>
      <c r="L3000" s="6" t="n">
        <v>0</v>
      </c>
      <c r="M3000" s="6" t="n">
        <v>20</v>
      </c>
      <c r="N3000" s="11" t="n">
        <f aca="false">J3000/(J3000+K3000)</f>
        <v>0</v>
      </c>
      <c r="O3000" s="11" t="str">
        <f aca="false">IF(J3000+L3000=0,"",J3000/(J3000+L3000))</f>
        <v/>
      </c>
      <c r="P3000" s="11" t="n">
        <f aca="false">2*J3000/(2*J3000+L3000+K3000)</f>
        <v>0</v>
      </c>
      <c r="Q3000" s="11" t="n">
        <f aca="false">L3000/(L3000+M3000)</f>
        <v>0</v>
      </c>
      <c r="R3000" s="6" t="n">
        <v>3</v>
      </c>
      <c r="S3000" s="11" t="n">
        <v>0</v>
      </c>
      <c r="T3000" s="11" t="n">
        <v>0</v>
      </c>
      <c r="U3000" s="11" t="n">
        <v>0.85</v>
      </c>
      <c r="V3000" s="11" t="n">
        <v>0.7</v>
      </c>
    </row>
    <row r="3001" customFormat="false" ht="15" hidden="false" customHeight="false" outlineLevel="0" collapsed="false">
      <c r="A3001" s="6" t="s">
        <v>58</v>
      </c>
      <c r="B3001" s="6" t="s">
        <v>59</v>
      </c>
      <c r="C3001" s="6" t="s">
        <v>44</v>
      </c>
      <c r="D3001" s="6" t="s">
        <v>114</v>
      </c>
      <c r="E3001" s="6" t="n">
        <v>4</v>
      </c>
      <c r="F3001" s="6" t="n">
        <v>3</v>
      </c>
      <c r="G3001" s="6" t="s">
        <v>75</v>
      </c>
      <c r="H3001" s="11" t="n">
        <v>0.001</v>
      </c>
      <c r="I3001" s="6" t="n">
        <v>20</v>
      </c>
      <c r="J3001" s="6" t="n">
        <v>0</v>
      </c>
      <c r="K3001" s="6" t="n">
        <v>20</v>
      </c>
      <c r="L3001" s="6" t="n">
        <v>0</v>
      </c>
      <c r="M3001" s="6" t="n">
        <v>20</v>
      </c>
      <c r="N3001" s="11" t="n">
        <f aca="false">J3001/(J3001+K3001)</f>
        <v>0</v>
      </c>
      <c r="O3001" s="11" t="str">
        <f aca="false">IF(J3001+L3001=0,"",J3001/(J3001+L3001))</f>
        <v/>
      </c>
      <c r="P3001" s="11" t="n">
        <f aca="false">2*J3001/(2*J3001+L3001+K3001)</f>
        <v>0</v>
      </c>
      <c r="Q3001" s="11" t="n">
        <f aca="false">L3001/(L3001+M3001)</f>
        <v>0</v>
      </c>
      <c r="R3001" s="6" t="n">
        <v>1</v>
      </c>
      <c r="S3001" s="11" t="n">
        <v>0</v>
      </c>
      <c r="T3001" s="11" t="n">
        <v>0</v>
      </c>
      <c r="U3001" s="11" t="n">
        <v>0.9</v>
      </c>
      <c r="V3001" s="11" t="n">
        <v>0.95</v>
      </c>
    </row>
    <row r="3002" customFormat="false" ht="15" hidden="false" customHeight="false" outlineLevel="0" collapsed="false">
      <c r="A3002" s="6" t="s">
        <v>58</v>
      </c>
      <c r="B3002" s="6" t="s">
        <v>59</v>
      </c>
      <c r="C3002" s="6" t="s">
        <v>44</v>
      </c>
      <c r="D3002" s="6" t="s">
        <v>114</v>
      </c>
      <c r="E3002" s="6" t="n">
        <v>4</v>
      </c>
      <c r="F3002" s="6" t="n">
        <v>3</v>
      </c>
      <c r="G3002" s="6" t="s">
        <v>76</v>
      </c>
      <c r="H3002" s="11" t="n">
        <v>0.001</v>
      </c>
      <c r="I3002" s="6" t="n">
        <v>20</v>
      </c>
      <c r="J3002" s="6" t="n">
        <v>0</v>
      </c>
      <c r="K3002" s="6" t="n">
        <v>20</v>
      </c>
      <c r="L3002" s="6" t="n">
        <v>0</v>
      </c>
      <c r="M3002" s="6" t="n">
        <v>20</v>
      </c>
      <c r="N3002" s="11" t="n">
        <f aca="false">J3002/(J3002+K3002)</f>
        <v>0</v>
      </c>
      <c r="O3002" s="11" t="str">
        <f aca="false">IF(J3002+L3002=0,"",J3002/(J3002+L3002))</f>
        <v/>
      </c>
      <c r="P3002" s="11" t="n">
        <f aca="false">2*J3002/(2*J3002+L3002+K3002)</f>
        <v>0</v>
      </c>
      <c r="Q3002" s="11" t="n">
        <f aca="false">L3002/(L3002+M3002)</f>
        <v>0</v>
      </c>
      <c r="R3002" s="6" t="n">
        <v>0</v>
      </c>
      <c r="S3002" s="11"/>
      <c r="T3002" s="11" t="n">
        <v>0</v>
      </c>
      <c r="U3002" s="11" t="n">
        <v>0.95</v>
      </c>
      <c r="V3002" s="11" t="n">
        <v>0.95</v>
      </c>
    </row>
    <row r="3003" customFormat="false" ht="15" hidden="false" customHeight="false" outlineLevel="0" collapsed="false">
      <c r="A3003" s="6" t="s">
        <v>58</v>
      </c>
      <c r="B3003" s="6" t="s">
        <v>59</v>
      </c>
      <c r="C3003" s="6" t="s">
        <v>44</v>
      </c>
      <c r="D3003" s="6" t="s">
        <v>114</v>
      </c>
      <c r="E3003" s="6" t="n">
        <v>4</v>
      </c>
      <c r="F3003" s="6" t="n">
        <v>3</v>
      </c>
      <c r="G3003" s="6" t="s">
        <v>77</v>
      </c>
      <c r="H3003" s="11" t="n">
        <v>0.001</v>
      </c>
      <c r="I3003" s="6" t="n">
        <v>20</v>
      </c>
      <c r="J3003" s="6" t="n">
        <v>0</v>
      </c>
      <c r="K3003" s="6" t="n">
        <v>20</v>
      </c>
      <c r="L3003" s="6" t="n">
        <v>0</v>
      </c>
      <c r="M3003" s="6" t="n">
        <v>20</v>
      </c>
      <c r="N3003" s="11" t="n">
        <f aca="false">J3003/(J3003+K3003)</f>
        <v>0</v>
      </c>
      <c r="O3003" s="11" t="str">
        <f aca="false">IF(J3003+L3003=0,"",J3003/(J3003+L3003))</f>
        <v/>
      </c>
      <c r="P3003" s="11" t="n">
        <f aca="false">2*J3003/(2*J3003+L3003+K3003)</f>
        <v>0</v>
      </c>
      <c r="Q3003" s="11" t="n">
        <f aca="false">L3003/(L3003+M3003)</f>
        <v>0</v>
      </c>
      <c r="R3003" s="6" t="n">
        <v>0</v>
      </c>
      <c r="S3003" s="11"/>
      <c r="T3003" s="11" t="n">
        <v>0</v>
      </c>
      <c r="U3003" s="11" t="n">
        <v>1</v>
      </c>
      <c r="V3003" s="11" t="n">
        <v>1</v>
      </c>
    </row>
    <row r="3004" customFormat="false" ht="15" hidden="false" customHeight="false" outlineLevel="0" collapsed="false">
      <c r="A3004" s="6" t="s">
        <v>58</v>
      </c>
      <c r="B3004" s="6" t="s">
        <v>59</v>
      </c>
      <c r="C3004" s="6" t="s">
        <v>44</v>
      </c>
      <c r="D3004" s="6" t="s">
        <v>114</v>
      </c>
      <c r="E3004" s="6" t="n">
        <v>4</v>
      </c>
      <c r="F3004" s="6" t="n">
        <v>3</v>
      </c>
      <c r="G3004" s="6" t="s">
        <v>78</v>
      </c>
      <c r="H3004" s="11" t="n">
        <v>0.001</v>
      </c>
      <c r="I3004" s="6" t="n">
        <v>200</v>
      </c>
      <c r="J3004" s="6" t="n">
        <v>0</v>
      </c>
      <c r="K3004" s="6" t="n">
        <v>200</v>
      </c>
      <c r="L3004" s="6" t="n">
        <v>0</v>
      </c>
      <c r="M3004" s="6" t="n">
        <v>200</v>
      </c>
      <c r="N3004" s="11" t="n">
        <f aca="false">J3004/(J3004+K3004)</f>
        <v>0</v>
      </c>
      <c r="O3004" s="11" t="str">
        <f aca="false">IF(J3004+L3004=0,"",J3004/(J3004+L3004))</f>
        <v/>
      </c>
      <c r="P3004" s="11" t="n">
        <f aca="false">2*J3004/(2*J3004+L3004+K3004)</f>
        <v>0</v>
      </c>
      <c r="Q3004" s="11" t="n">
        <f aca="false">L3004/(L3004+M3004)</f>
        <v>0</v>
      </c>
      <c r="R3004" s="6" t="n">
        <v>6</v>
      </c>
      <c r="S3004" s="11" t="n">
        <v>0</v>
      </c>
      <c r="T3004" s="11" t="n">
        <v>0</v>
      </c>
      <c r="U3004" s="11" t="n">
        <v>0.88</v>
      </c>
      <c r="V3004" s="11" t="n">
        <v>0.875</v>
      </c>
    </row>
    <row r="3005" customFormat="false" ht="15" hidden="false" customHeight="false" outlineLevel="0" collapsed="false">
      <c r="A3005" s="6" t="s">
        <v>58</v>
      </c>
      <c r="B3005" s="6" t="s">
        <v>59</v>
      </c>
      <c r="C3005" s="6" t="s">
        <v>44</v>
      </c>
      <c r="D3005" s="6" t="s">
        <v>114</v>
      </c>
      <c r="E3005" s="6" t="n">
        <v>4</v>
      </c>
      <c r="F3005" s="6" t="n">
        <v>4</v>
      </c>
      <c r="G3005" s="6" t="s">
        <v>68</v>
      </c>
      <c r="H3005" s="11" t="n">
        <v>0.001</v>
      </c>
      <c r="I3005" s="6" t="n">
        <v>20</v>
      </c>
      <c r="J3005" s="6" t="n">
        <v>0</v>
      </c>
      <c r="K3005" s="6" t="n">
        <v>20</v>
      </c>
      <c r="L3005" s="6" t="n">
        <v>0</v>
      </c>
      <c r="M3005" s="6" t="n">
        <v>20</v>
      </c>
      <c r="N3005" s="11" t="n">
        <f aca="false">J3005/(J3005+K3005)</f>
        <v>0</v>
      </c>
      <c r="O3005" s="11" t="str">
        <f aca="false">IF(J3005+L3005=0,"",J3005/(J3005+L3005))</f>
        <v/>
      </c>
      <c r="P3005" s="11" t="n">
        <f aca="false">2*J3005/(2*J3005+L3005+K3005)</f>
        <v>0</v>
      </c>
      <c r="Q3005" s="11" t="n">
        <f aca="false">L3005/(L3005+M3005)</f>
        <v>0</v>
      </c>
      <c r="R3005" s="6" t="n">
        <v>1</v>
      </c>
      <c r="S3005" s="11" t="n">
        <v>0</v>
      </c>
      <c r="T3005" s="11" t="n">
        <v>0</v>
      </c>
      <c r="U3005" s="11" t="n">
        <v>0.85</v>
      </c>
      <c r="V3005" s="11" t="n">
        <v>0.85</v>
      </c>
    </row>
    <row r="3006" customFormat="false" ht="15" hidden="false" customHeight="false" outlineLevel="0" collapsed="false">
      <c r="A3006" s="6" t="s">
        <v>58</v>
      </c>
      <c r="B3006" s="6" t="s">
        <v>59</v>
      </c>
      <c r="C3006" s="6" t="s">
        <v>44</v>
      </c>
      <c r="D3006" s="6" t="s">
        <v>114</v>
      </c>
      <c r="E3006" s="6" t="n">
        <v>4</v>
      </c>
      <c r="F3006" s="6" t="n">
        <v>4</v>
      </c>
      <c r="G3006" s="6" t="s">
        <v>69</v>
      </c>
      <c r="H3006" s="11" t="n">
        <v>0.001</v>
      </c>
      <c r="I3006" s="6" t="n">
        <v>20</v>
      </c>
      <c r="J3006" s="6" t="n">
        <v>0</v>
      </c>
      <c r="K3006" s="6" t="n">
        <v>20</v>
      </c>
      <c r="L3006" s="6" t="n">
        <v>0</v>
      </c>
      <c r="M3006" s="6" t="n">
        <v>20</v>
      </c>
      <c r="N3006" s="11" t="n">
        <f aca="false">J3006/(J3006+K3006)</f>
        <v>0</v>
      </c>
      <c r="O3006" s="11" t="str">
        <f aca="false">IF(J3006+L3006=0,"",J3006/(J3006+L3006))</f>
        <v/>
      </c>
      <c r="P3006" s="11" t="n">
        <f aca="false">2*J3006/(2*J3006+L3006+K3006)</f>
        <v>0</v>
      </c>
      <c r="Q3006" s="11" t="n">
        <f aca="false">L3006/(L3006+M3006)</f>
        <v>0</v>
      </c>
      <c r="R3006" s="6" t="n">
        <v>0</v>
      </c>
      <c r="S3006" s="11"/>
      <c r="T3006" s="11" t="n">
        <v>0</v>
      </c>
      <c r="U3006" s="11" t="n">
        <v>1</v>
      </c>
      <c r="V3006" s="11" t="n">
        <v>1</v>
      </c>
    </row>
    <row r="3007" customFormat="false" ht="15" hidden="false" customHeight="false" outlineLevel="0" collapsed="false">
      <c r="A3007" s="6" t="s">
        <v>58</v>
      </c>
      <c r="B3007" s="6" t="s">
        <v>59</v>
      </c>
      <c r="C3007" s="6" t="s">
        <v>44</v>
      </c>
      <c r="D3007" s="6" t="s">
        <v>114</v>
      </c>
      <c r="E3007" s="6" t="n">
        <v>4</v>
      </c>
      <c r="F3007" s="6" t="n">
        <v>4</v>
      </c>
      <c r="G3007" s="6" t="s">
        <v>70</v>
      </c>
      <c r="H3007" s="11" t="n">
        <v>0.001</v>
      </c>
      <c r="I3007" s="6" t="n">
        <v>20</v>
      </c>
      <c r="J3007" s="6" t="n">
        <v>0</v>
      </c>
      <c r="K3007" s="6" t="n">
        <v>20</v>
      </c>
      <c r="L3007" s="6" t="n">
        <v>0</v>
      </c>
      <c r="M3007" s="6" t="n">
        <v>20</v>
      </c>
      <c r="N3007" s="11" t="n">
        <f aca="false">J3007/(J3007+K3007)</f>
        <v>0</v>
      </c>
      <c r="O3007" s="11" t="str">
        <f aca="false">IF(J3007+L3007=0,"",J3007/(J3007+L3007))</f>
        <v/>
      </c>
      <c r="P3007" s="11" t="n">
        <f aca="false">2*J3007/(2*J3007+L3007+K3007)</f>
        <v>0</v>
      </c>
      <c r="Q3007" s="11" t="n">
        <f aca="false">L3007/(L3007+M3007)</f>
        <v>0</v>
      </c>
      <c r="R3007" s="6" t="n">
        <v>2</v>
      </c>
      <c r="S3007" s="11" t="n">
        <v>0</v>
      </c>
      <c r="T3007" s="11" t="n">
        <v>0</v>
      </c>
      <c r="U3007" s="11" t="n">
        <v>0.9</v>
      </c>
      <c r="V3007" s="11" t="n">
        <v>0.95</v>
      </c>
    </row>
    <row r="3008" customFormat="false" ht="15" hidden="false" customHeight="false" outlineLevel="0" collapsed="false">
      <c r="A3008" s="6" t="s">
        <v>58</v>
      </c>
      <c r="B3008" s="6" t="s">
        <v>59</v>
      </c>
      <c r="C3008" s="6" t="s">
        <v>44</v>
      </c>
      <c r="D3008" s="6" t="s">
        <v>114</v>
      </c>
      <c r="E3008" s="6" t="n">
        <v>4</v>
      </c>
      <c r="F3008" s="6" t="n">
        <v>4</v>
      </c>
      <c r="G3008" s="6" t="s">
        <v>71</v>
      </c>
      <c r="H3008" s="11" t="n">
        <v>0.001</v>
      </c>
      <c r="I3008" s="6" t="n">
        <v>20</v>
      </c>
      <c r="J3008" s="6" t="n">
        <v>0</v>
      </c>
      <c r="K3008" s="6" t="n">
        <v>20</v>
      </c>
      <c r="L3008" s="6" t="n">
        <v>0</v>
      </c>
      <c r="M3008" s="6" t="n">
        <v>20</v>
      </c>
      <c r="N3008" s="11" t="n">
        <f aca="false">J3008/(J3008+K3008)</f>
        <v>0</v>
      </c>
      <c r="O3008" s="11" t="str">
        <f aca="false">IF(J3008+L3008=0,"",J3008/(J3008+L3008))</f>
        <v/>
      </c>
      <c r="P3008" s="11" t="n">
        <f aca="false">2*J3008/(2*J3008+L3008+K3008)</f>
        <v>0</v>
      </c>
      <c r="Q3008" s="11" t="n">
        <f aca="false">L3008/(L3008+M3008)</f>
        <v>0</v>
      </c>
      <c r="R3008" s="6" t="n">
        <v>2</v>
      </c>
      <c r="S3008" s="11" t="n">
        <v>0</v>
      </c>
      <c r="T3008" s="11" t="n">
        <v>0</v>
      </c>
      <c r="U3008" s="11" t="n">
        <v>0.8</v>
      </c>
      <c r="V3008" s="11" t="n">
        <v>0.9</v>
      </c>
    </row>
    <row r="3009" customFormat="false" ht="15" hidden="false" customHeight="false" outlineLevel="0" collapsed="false">
      <c r="A3009" s="6" t="s">
        <v>58</v>
      </c>
      <c r="B3009" s="6" t="s">
        <v>59</v>
      </c>
      <c r="C3009" s="6" t="s">
        <v>44</v>
      </c>
      <c r="D3009" s="6" t="s">
        <v>114</v>
      </c>
      <c r="E3009" s="6" t="n">
        <v>4</v>
      </c>
      <c r="F3009" s="6" t="n">
        <v>4</v>
      </c>
      <c r="G3009" s="6" t="s">
        <v>72</v>
      </c>
      <c r="H3009" s="11" t="n">
        <v>0.001</v>
      </c>
      <c r="I3009" s="6" t="n">
        <v>20</v>
      </c>
      <c r="J3009" s="6" t="n">
        <v>0</v>
      </c>
      <c r="K3009" s="6" t="n">
        <v>20</v>
      </c>
      <c r="L3009" s="6" t="n">
        <v>0</v>
      </c>
      <c r="M3009" s="6" t="n">
        <v>20</v>
      </c>
      <c r="N3009" s="11" t="n">
        <f aca="false">J3009/(J3009+K3009)</f>
        <v>0</v>
      </c>
      <c r="O3009" s="11" t="str">
        <f aca="false">IF(J3009+L3009=0,"",J3009/(J3009+L3009))</f>
        <v/>
      </c>
      <c r="P3009" s="11" t="n">
        <f aca="false">2*J3009/(2*J3009+L3009+K3009)</f>
        <v>0</v>
      </c>
      <c r="Q3009" s="11" t="n">
        <f aca="false">L3009/(L3009+M3009)</f>
        <v>0</v>
      </c>
      <c r="R3009" s="6" t="n">
        <v>3</v>
      </c>
      <c r="S3009" s="11" t="n">
        <v>0</v>
      </c>
      <c r="T3009" s="11" t="n">
        <v>0</v>
      </c>
      <c r="U3009" s="11" t="n">
        <v>0.9</v>
      </c>
      <c r="V3009" s="11" t="n">
        <v>0.75</v>
      </c>
    </row>
    <row r="3010" customFormat="false" ht="15" hidden="false" customHeight="false" outlineLevel="0" collapsed="false">
      <c r="A3010" s="6" t="s">
        <v>58</v>
      </c>
      <c r="B3010" s="6" t="s">
        <v>59</v>
      </c>
      <c r="C3010" s="6" t="s">
        <v>44</v>
      </c>
      <c r="D3010" s="6" t="s">
        <v>114</v>
      </c>
      <c r="E3010" s="6" t="n">
        <v>4</v>
      </c>
      <c r="F3010" s="6" t="n">
        <v>4</v>
      </c>
      <c r="G3010" s="6" t="s">
        <v>73</v>
      </c>
      <c r="H3010" s="11" t="n">
        <v>0.001</v>
      </c>
      <c r="I3010" s="6" t="n">
        <v>20</v>
      </c>
      <c r="J3010" s="6" t="n">
        <v>0</v>
      </c>
      <c r="K3010" s="6" t="n">
        <v>20</v>
      </c>
      <c r="L3010" s="6" t="n">
        <v>0</v>
      </c>
      <c r="M3010" s="6" t="n">
        <v>20</v>
      </c>
      <c r="N3010" s="11" t="n">
        <f aca="false">J3010/(J3010+K3010)</f>
        <v>0</v>
      </c>
      <c r="O3010" s="11" t="str">
        <f aca="false">IF(J3010+L3010=0,"",J3010/(J3010+L3010))</f>
        <v/>
      </c>
      <c r="P3010" s="11" t="n">
        <f aca="false">2*J3010/(2*J3010+L3010+K3010)</f>
        <v>0</v>
      </c>
      <c r="Q3010" s="11" t="n">
        <f aca="false">L3010/(L3010+M3010)</f>
        <v>0</v>
      </c>
      <c r="R3010" s="6" t="n">
        <v>6</v>
      </c>
      <c r="S3010" s="11" t="n">
        <v>0</v>
      </c>
      <c r="T3010" s="11" t="n">
        <v>0</v>
      </c>
      <c r="U3010" s="11" t="n">
        <v>0.65</v>
      </c>
      <c r="V3010" s="11" t="n">
        <v>0.6</v>
      </c>
    </row>
    <row r="3011" customFormat="false" ht="15" hidden="false" customHeight="false" outlineLevel="0" collapsed="false">
      <c r="A3011" s="6" t="s">
        <v>58</v>
      </c>
      <c r="B3011" s="6" t="s">
        <v>59</v>
      </c>
      <c r="C3011" s="6" t="s">
        <v>44</v>
      </c>
      <c r="D3011" s="6" t="s">
        <v>114</v>
      </c>
      <c r="E3011" s="6" t="n">
        <v>4</v>
      </c>
      <c r="F3011" s="6" t="n">
        <v>4</v>
      </c>
      <c r="G3011" s="6" t="s">
        <v>74</v>
      </c>
      <c r="H3011" s="11" t="n">
        <v>0.001</v>
      </c>
      <c r="I3011" s="6" t="n">
        <v>20</v>
      </c>
      <c r="J3011" s="6" t="n">
        <v>0</v>
      </c>
      <c r="K3011" s="6" t="n">
        <v>20</v>
      </c>
      <c r="L3011" s="6" t="n">
        <v>0</v>
      </c>
      <c r="M3011" s="6" t="n">
        <v>20</v>
      </c>
      <c r="N3011" s="11" t="n">
        <f aca="false">J3011/(J3011+K3011)</f>
        <v>0</v>
      </c>
      <c r="O3011" s="11" t="str">
        <f aca="false">IF(J3011+L3011=0,"",J3011/(J3011+L3011))</f>
        <v/>
      </c>
      <c r="P3011" s="11" t="n">
        <f aca="false">2*J3011/(2*J3011+L3011+K3011)</f>
        <v>0</v>
      </c>
      <c r="Q3011" s="11" t="n">
        <f aca="false">L3011/(L3011+M3011)</f>
        <v>0</v>
      </c>
      <c r="R3011" s="6" t="n">
        <v>3</v>
      </c>
      <c r="S3011" s="11" t="n">
        <v>0</v>
      </c>
      <c r="T3011" s="11" t="n">
        <v>0</v>
      </c>
      <c r="U3011" s="11" t="n">
        <v>0.85</v>
      </c>
      <c r="V3011" s="11" t="n">
        <v>0.75</v>
      </c>
    </row>
    <row r="3012" customFormat="false" ht="15" hidden="false" customHeight="false" outlineLevel="0" collapsed="false">
      <c r="A3012" s="6" t="s">
        <v>58</v>
      </c>
      <c r="B3012" s="6" t="s">
        <v>59</v>
      </c>
      <c r="C3012" s="6" t="s">
        <v>44</v>
      </c>
      <c r="D3012" s="6" t="s">
        <v>114</v>
      </c>
      <c r="E3012" s="6" t="n">
        <v>4</v>
      </c>
      <c r="F3012" s="6" t="n">
        <v>4</v>
      </c>
      <c r="G3012" s="6" t="s">
        <v>75</v>
      </c>
      <c r="H3012" s="11" t="n">
        <v>0.001</v>
      </c>
      <c r="I3012" s="6" t="n">
        <v>20</v>
      </c>
      <c r="J3012" s="6" t="n">
        <v>0</v>
      </c>
      <c r="K3012" s="6" t="n">
        <v>20</v>
      </c>
      <c r="L3012" s="6" t="n">
        <v>0</v>
      </c>
      <c r="M3012" s="6" t="n">
        <v>20</v>
      </c>
      <c r="N3012" s="11" t="n">
        <f aca="false">J3012/(J3012+K3012)</f>
        <v>0</v>
      </c>
      <c r="O3012" s="11" t="str">
        <f aca="false">IF(J3012+L3012=0,"",J3012/(J3012+L3012))</f>
        <v/>
      </c>
      <c r="P3012" s="11" t="n">
        <f aca="false">2*J3012/(2*J3012+L3012+K3012)</f>
        <v>0</v>
      </c>
      <c r="Q3012" s="11" t="n">
        <f aca="false">L3012/(L3012+M3012)</f>
        <v>0</v>
      </c>
      <c r="R3012" s="6" t="n">
        <v>2</v>
      </c>
      <c r="S3012" s="11" t="n">
        <v>0</v>
      </c>
      <c r="T3012" s="11" t="n">
        <v>0</v>
      </c>
      <c r="U3012" s="11" t="n">
        <v>0.9</v>
      </c>
      <c r="V3012" s="11" t="n">
        <v>0.85</v>
      </c>
    </row>
    <row r="3013" customFormat="false" ht="15" hidden="false" customHeight="false" outlineLevel="0" collapsed="false">
      <c r="A3013" s="6" t="s">
        <v>58</v>
      </c>
      <c r="B3013" s="6" t="s">
        <v>59</v>
      </c>
      <c r="C3013" s="6" t="s">
        <v>44</v>
      </c>
      <c r="D3013" s="6" t="s">
        <v>114</v>
      </c>
      <c r="E3013" s="6" t="n">
        <v>4</v>
      </c>
      <c r="F3013" s="6" t="n">
        <v>4</v>
      </c>
      <c r="G3013" s="6" t="s">
        <v>76</v>
      </c>
      <c r="H3013" s="11" t="n">
        <v>0.001</v>
      </c>
      <c r="I3013" s="6" t="n">
        <v>20</v>
      </c>
      <c r="J3013" s="6" t="n">
        <v>0</v>
      </c>
      <c r="K3013" s="6" t="n">
        <v>20</v>
      </c>
      <c r="L3013" s="6" t="n">
        <v>0</v>
      </c>
      <c r="M3013" s="6" t="n">
        <v>20</v>
      </c>
      <c r="N3013" s="11" t="n">
        <f aca="false">J3013/(J3013+K3013)</f>
        <v>0</v>
      </c>
      <c r="O3013" s="11" t="str">
        <f aca="false">IF(J3013+L3013=0,"",J3013/(J3013+L3013))</f>
        <v/>
      </c>
      <c r="P3013" s="11" t="n">
        <f aca="false">2*J3013/(2*J3013+L3013+K3013)</f>
        <v>0</v>
      </c>
      <c r="Q3013" s="11" t="n">
        <f aca="false">L3013/(L3013+M3013)</f>
        <v>0</v>
      </c>
      <c r="R3013" s="6" t="n">
        <v>0</v>
      </c>
      <c r="S3013" s="11"/>
      <c r="T3013" s="11" t="n">
        <v>0</v>
      </c>
      <c r="U3013" s="11" t="n">
        <v>0.95</v>
      </c>
      <c r="V3013" s="11" t="n">
        <v>0.95</v>
      </c>
    </row>
    <row r="3014" customFormat="false" ht="15" hidden="false" customHeight="false" outlineLevel="0" collapsed="false">
      <c r="A3014" s="6" t="s">
        <v>58</v>
      </c>
      <c r="B3014" s="6" t="s">
        <v>59</v>
      </c>
      <c r="C3014" s="6" t="s">
        <v>44</v>
      </c>
      <c r="D3014" s="6" t="s">
        <v>114</v>
      </c>
      <c r="E3014" s="6" t="n">
        <v>4</v>
      </c>
      <c r="F3014" s="6" t="n">
        <v>4</v>
      </c>
      <c r="G3014" s="6" t="s">
        <v>77</v>
      </c>
      <c r="H3014" s="11" t="n">
        <v>0.001</v>
      </c>
      <c r="I3014" s="6" t="n">
        <v>20</v>
      </c>
      <c r="J3014" s="6" t="n">
        <v>0</v>
      </c>
      <c r="K3014" s="6" t="n">
        <v>20</v>
      </c>
      <c r="L3014" s="6" t="n">
        <v>0</v>
      </c>
      <c r="M3014" s="6" t="n">
        <v>20</v>
      </c>
      <c r="N3014" s="11" t="n">
        <f aca="false">J3014/(J3014+K3014)</f>
        <v>0</v>
      </c>
      <c r="O3014" s="11" t="str">
        <f aca="false">IF(J3014+L3014=0,"",J3014/(J3014+L3014))</f>
        <v/>
      </c>
      <c r="P3014" s="11" t="n">
        <f aca="false">2*J3014/(2*J3014+L3014+K3014)</f>
        <v>0</v>
      </c>
      <c r="Q3014" s="11" t="n">
        <f aca="false">L3014/(L3014+M3014)</f>
        <v>0</v>
      </c>
      <c r="R3014" s="6" t="n">
        <v>1</v>
      </c>
      <c r="S3014" s="11" t="n">
        <v>0</v>
      </c>
      <c r="T3014" s="11" t="n">
        <v>0</v>
      </c>
      <c r="U3014" s="11" t="n">
        <v>1</v>
      </c>
      <c r="V3014" s="11" t="n">
        <v>0.95</v>
      </c>
    </row>
    <row r="3015" customFormat="false" ht="15" hidden="false" customHeight="false" outlineLevel="0" collapsed="false">
      <c r="A3015" s="6" t="s">
        <v>58</v>
      </c>
      <c r="B3015" s="6" t="s">
        <v>59</v>
      </c>
      <c r="C3015" s="6" t="s">
        <v>44</v>
      </c>
      <c r="D3015" s="6" t="s">
        <v>114</v>
      </c>
      <c r="E3015" s="6" t="n">
        <v>4</v>
      </c>
      <c r="F3015" s="6" t="n">
        <v>4</v>
      </c>
      <c r="G3015" s="6" t="s">
        <v>78</v>
      </c>
      <c r="H3015" s="11" t="n">
        <v>0.001</v>
      </c>
      <c r="I3015" s="6" t="n">
        <v>200</v>
      </c>
      <c r="J3015" s="6" t="n">
        <v>0</v>
      </c>
      <c r="K3015" s="6" t="n">
        <v>200</v>
      </c>
      <c r="L3015" s="6" t="n">
        <v>0</v>
      </c>
      <c r="M3015" s="6" t="n">
        <v>200</v>
      </c>
      <c r="N3015" s="11" t="n">
        <f aca="false">J3015/(J3015+K3015)</f>
        <v>0</v>
      </c>
      <c r="O3015" s="11" t="str">
        <f aca="false">IF(J3015+L3015=0,"",J3015/(J3015+L3015))</f>
        <v/>
      </c>
      <c r="P3015" s="11" t="n">
        <f aca="false">2*J3015/(2*J3015+L3015+K3015)</f>
        <v>0</v>
      </c>
      <c r="Q3015" s="11" t="n">
        <f aca="false">L3015/(L3015+M3015)</f>
        <v>0</v>
      </c>
      <c r="R3015" s="6" t="n">
        <v>20</v>
      </c>
      <c r="S3015" s="11" t="n">
        <v>0</v>
      </c>
      <c r="T3015" s="11" t="n">
        <v>0</v>
      </c>
      <c r="U3015" s="11" t="n">
        <v>0.88</v>
      </c>
      <c r="V3015" s="11" t="n">
        <v>0.855</v>
      </c>
    </row>
    <row r="3016" customFormat="false" ht="15" hidden="false" customHeight="false" outlineLevel="0" collapsed="false">
      <c r="A3016" s="6" t="s">
        <v>58</v>
      </c>
      <c r="B3016" s="6" t="s">
        <v>59</v>
      </c>
      <c r="C3016" s="6" t="s">
        <v>44</v>
      </c>
      <c r="D3016" s="6" t="s">
        <v>114</v>
      </c>
      <c r="E3016" s="6" t="n">
        <v>4</v>
      </c>
      <c r="F3016" s="6" t="n">
        <v>5</v>
      </c>
      <c r="G3016" s="6" t="s">
        <v>68</v>
      </c>
      <c r="H3016" s="11" t="n">
        <v>0.001</v>
      </c>
      <c r="I3016" s="6" t="n">
        <v>20</v>
      </c>
      <c r="J3016" s="6" t="n">
        <v>0</v>
      </c>
      <c r="K3016" s="6" t="n">
        <v>20</v>
      </c>
      <c r="L3016" s="6" t="n">
        <v>0</v>
      </c>
      <c r="M3016" s="6" t="n">
        <v>20</v>
      </c>
      <c r="N3016" s="11" t="n">
        <f aca="false">J3016/(J3016+K3016)</f>
        <v>0</v>
      </c>
      <c r="O3016" s="11" t="str">
        <f aca="false">IF(J3016+L3016=0,"",J3016/(J3016+L3016))</f>
        <v/>
      </c>
      <c r="P3016" s="11" t="n">
        <f aca="false">2*J3016/(2*J3016+L3016+K3016)</f>
        <v>0</v>
      </c>
      <c r="Q3016" s="11" t="n">
        <f aca="false">L3016/(L3016+M3016)</f>
        <v>0</v>
      </c>
      <c r="R3016" s="6" t="n">
        <v>1</v>
      </c>
      <c r="S3016" s="11" t="n">
        <v>0</v>
      </c>
      <c r="T3016" s="11" t="n">
        <v>0</v>
      </c>
      <c r="U3016" s="11" t="n">
        <v>0.85</v>
      </c>
      <c r="V3016" s="11" t="n">
        <v>0.9</v>
      </c>
    </row>
    <row r="3017" customFormat="false" ht="15" hidden="false" customHeight="false" outlineLevel="0" collapsed="false">
      <c r="A3017" s="6" t="s">
        <v>58</v>
      </c>
      <c r="B3017" s="6" t="s">
        <v>59</v>
      </c>
      <c r="C3017" s="6" t="s">
        <v>44</v>
      </c>
      <c r="D3017" s="6" t="s">
        <v>114</v>
      </c>
      <c r="E3017" s="6" t="n">
        <v>4</v>
      </c>
      <c r="F3017" s="6" t="n">
        <v>5</v>
      </c>
      <c r="G3017" s="6" t="s">
        <v>69</v>
      </c>
      <c r="H3017" s="11" t="n">
        <v>0.001</v>
      </c>
      <c r="I3017" s="6" t="n">
        <v>20</v>
      </c>
      <c r="J3017" s="6" t="n">
        <v>0</v>
      </c>
      <c r="K3017" s="6" t="n">
        <v>20</v>
      </c>
      <c r="L3017" s="6" t="n">
        <v>0</v>
      </c>
      <c r="M3017" s="6" t="n">
        <v>20</v>
      </c>
      <c r="N3017" s="11" t="n">
        <f aca="false">J3017/(J3017+K3017)</f>
        <v>0</v>
      </c>
      <c r="O3017" s="11" t="str">
        <f aca="false">IF(J3017+L3017=0,"",J3017/(J3017+L3017))</f>
        <v/>
      </c>
      <c r="P3017" s="11" t="n">
        <f aca="false">2*J3017/(2*J3017+L3017+K3017)</f>
        <v>0</v>
      </c>
      <c r="Q3017" s="11" t="n">
        <f aca="false">L3017/(L3017+M3017)</f>
        <v>0</v>
      </c>
      <c r="R3017" s="6" t="n">
        <v>0</v>
      </c>
      <c r="S3017" s="11"/>
      <c r="T3017" s="11" t="n">
        <v>0</v>
      </c>
      <c r="U3017" s="11" t="n">
        <v>1</v>
      </c>
      <c r="V3017" s="11" t="n">
        <v>1</v>
      </c>
    </row>
    <row r="3018" customFormat="false" ht="15" hidden="false" customHeight="false" outlineLevel="0" collapsed="false">
      <c r="A3018" s="6" t="s">
        <v>58</v>
      </c>
      <c r="B3018" s="6" t="s">
        <v>59</v>
      </c>
      <c r="C3018" s="6" t="s">
        <v>44</v>
      </c>
      <c r="D3018" s="6" t="s">
        <v>114</v>
      </c>
      <c r="E3018" s="6" t="n">
        <v>4</v>
      </c>
      <c r="F3018" s="6" t="n">
        <v>5</v>
      </c>
      <c r="G3018" s="6" t="s">
        <v>70</v>
      </c>
      <c r="H3018" s="11" t="n">
        <v>0.001</v>
      </c>
      <c r="I3018" s="6" t="n">
        <v>20</v>
      </c>
      <c r="J3018" s="6" t="n">
        <v>0</v>
      </c>
      <c r="K3018" s="6" t="n">
        <v>20</v>
      </c>
      <c r="L3018" s="6" t="n">
        <v>0</v>
      </c>
      <c r="M3018" s="6" t="n">
        <v>20</v>
      </c>
      <c r="N3018" s="11" t="n">
        <f aca="false">J3018/(J3018+K3018)</f>
        <v>0</v>
      </c>
      <c r="O3018" s="11" t="str">
        <f aca="false">IF(J3018+L3018=0,"",J3018/(J3018+L3018))</f>
        <v/>
      </c>
      <c r="P3018" s="11" t="n">
        <f aca="false">2*J3018/(2*J3018+L3018+K3018)</f>
        <v>0</v>
      </c>
      <c r="Q3018" s="11" t="n">
        <f aca="false">L3018/(L3018+M3018)</f>
        <v>0</v>
      </c>
      <c r="R3018" s="6" t="n">
        <v>0</v>
      </c>
      <c r="S3018" s="11"/>
      <c r="T3018" s="11" t="n">
        <v>0</v>
      </c>
      <c r="U3018" s="11" t="n">
        <v>0.9</v>
      </c>
      <c r="V3018" s="11" t="n">
        <v>0.9</v>
      </c>
    </row>
    <row r="3019" customFormat="false" ht="15" hidden="false" customHeight="false" outlineLevel="0" collapsed="false">
      <c r="A3019" s="6" t="s">
        <v>58</v>
      </c>
      <c r="B3019" s="6" t="s">
        <v>59</v>
      </c>
      <c r="C3019" s="6" t="s">
        <v>44</v>
      </c>
      <c r="D3019" s="6" t="s">
        <v>114</v>
      </c>
      <c r="E3019" s="6" t="n">
        <v>4</v>
      </c>
      <c r="F3019" s="6" t="n">
        <v>5</v>
      </c>
      <c r="G3019" s="6" t="s">
        <v>71</v>
      </c>
      <c r="H3019" s="11" t="n">
        <v>0.001</v>
      </c>
      <c r="I3019" s="6" t="n">
        <v>20</v>
      </c>
      <c r="J3019" s="6" t="n">
        <v>0</v>
      </c>
      <c r="K3019" s="6" t="n">
        <v>20</v>
      </c>
      <c r="L3019" s="6" t="n">
        <v>0</v>
      </c>
      <c r="M3019" s="6" t="n">
        <v>20</v>
      </c>
      <c r="N3019" s="11" t="n">
        <f aca="false">J3019/(J3019+K3019)</f>
        <v>0</v>
      </c>
      <c r="O3019" s="11" t="str">
        <f aca="false">IF(J3019+L3019=0,"",J3019/(J3019+L3019))</f>
        <v/>
      </c>
      <c r="P3019" s="11" t="n">
        <f aca="false">2*J3019/(2*J3019+L3019+K3019)</f>
        <v>0</v>
      </c>
      <c r="Q3019" s="11" t="n">
        <f aca="false">L3019/(L3019+M3019)</f>
        <v>0</v>
      </c>
      <c r="R3019" s="6" t="n">
        <v>0</v>
      </c>
      <c r="S3019" s="11"/>
      <c r="T3019" s="11" t="n">
        <v>0</v>
      </c>
      <c r="U3019" s="11" t="n">
        <v>0.8</v>
      </c>
      <c r="V3019" s="11" t="n">
        <v>0.8</v>
      </c>
    </row>
    <row r="3020" customFormat="false" ht="15" hidden="false" customHeight="false" outlineLevel="0" collapsed="false">
      <c r="A3020" s="6" t="s">
        <v>58</v>
      </c>
      <c r="B3020" s="6" t="s">
        <v>59</v>
      </c>
      <c r="C3020" s="6" t="s">
        <v>44</v>
      </c>
      <c r="D3020" s="6" t="s">
        <v>114</v>
      </c>
      <c r="E3020" s="6" t="n">
        <v>4</v>
      </c>
      <c r="F3020" s="6" t="n">
        <v>5</v>
      </c>
      <c r="G3020" s="6" t="s">
        <v>72</v>
      </c>
      <c r="H3020" s="11" t="n">
        <v>0.001</v>
      </c>
      <c r="I3020" s="6" t="n">
        <v>20</v>
      </c>
      <c r="J3020" s="6" t="n">
        <v>0</v>
      </c>
      <c r="K3020" s="6" t="n">
        <v>20</v>
      </c>
      <c r="L3020" s="6" t="n">
        <v>0</v>
      </c>
      <c r="M3020" s="6" t="n">
        <v>20</v>
      </c>
      <c r="N3020" s="11" t="n">
        <f aca="false">J3020/(J3020+K3020)</f>
        <v>0</v>
      </c>
      <c r="O3020" s="11" t="str">
        <f aca="false">IF(J3020+L3020=0,"",J3020/(J3020+L3020))</f>
        <v/>
      </c>
      <c r="P3020" s="11" t="n">
        <f aca="false">2*J3020/(2*J3020+L3020+K3020)</f>
        <v>0</v>
      </c>
      <c r="Q3020" s="11" t="n">
        <f aca="false">L3020/(L3020+M3020)</f>
        <v>0</v>
      </c>
      <c r="R3020" s="6" t="n">
        <v>0</v>
      </c>
      <c r="S3020" s="11"/>
      <c r="T3020" s="11" t="n">
        <v>0</v>
      </c>
      <c r="U3020" s="11" t="n">
        <v>0.9</v>
      </c>
      <c r="V3020" s="11" t="n">
        <v>0.9</v>
      </c>
    </row>
    <row r="3021" customFormat="false" ht="15" hidden="false" customHeight="false" outlineLevel="0" collapsed="false">
      <c r="A3021" s="6" t="s">
        <v>58</v>
      </c>
      <c r="B3021" s="6" t="s">
        <v>59</v>
      </c>
      <c r="C3021" s="6" t="s">
        <v>44</v>
      </c>
      <c r="D3021" s="6" t="s">
        <v>114</v>
      </c>
      <c r="E3021" s="6" t="n">
        <v>4</v>
      </c>
      <c r="F3021" s="6" t="n">
        <v>5</v>
      </c>
      <c r="G3021" s="6" t="s">
        <v>73</v>
      </c>
      <c r="H3021" s="11" t="n">
        <v>0.001</v>
      </c>
      <c r="I3021" s="6" t="n">
        <v>20</v>
      </c>
      <c r="J3021" s="6" t="n">
        <v>0</v>
      </c>
      <c r="K3021" s="6" t="n">
        <v>20</v>
      </c>
      <c r="L3021" s="6" t="n">
        <v>0</v>
      </c>
      <c r="M3021" s="6" t="n">
        <v>20</v>
      </c>
      <c r="N3021" s="11" t="n">
        <f aca="false">J3021/(J3021+K3021)</f>
        <v>0</v>
      </c>
      <c r="O3021" s="11" t="str">
        <f aca="false">IF(J3021+L3021=0,"",J3021/(J3021+L3021))</f>
        <v/>
      </c>
      <c r="P3021" s="11" t="n">
        <f aca="false">2*J3021/(2*J3021+L3021+K3021)</f>
        <v>0</v>
      </c>
      <c r="Q3021" s="11" t="n">
        <f aca="false">L3021/(L3021+M3021)</f>
        <v>0</v>
      </c>
      <c r="R3021" s="6" t="n">
        <v>1</v>
      </c>
      <c r="S3021" s="11" t="n">
        <v>0</v>
      </c>
      <c r="T3021" s="11" t="n">
        <v>0</v>
      </c>
      <c r="U3021" s="11" t="n">
        <v>0.65</v>
      </c>
      <c r="V3021" s="11" t="n">
        <v>0.65</v>
      </c>
    </row>
    <row r="3022" customFormat="false" ht="15" hidden="false" customHeight="false" outlineLevel="0" collapsed="false">
      <c r="A3022" s="6" t="s">
        <v>58</v>
      </c>
      <c r="B3022" s="6" t="s">
        <v>59</v>
      </c>
      <c r="C3022" s="6" t="s">
        <v>44</v>
      </c>
      <c r="D3022" s="6" t="s">
        <v>114</v>
      </c>
      <c r="E3022" s="6" t="n">
        <v>4</v>
      </c>
      <c r="F3022" s="6" t="n">
        <v>5</v>
      </c>
      <c r="G3022" s="6" t="s">
        <v>74</v>
      </c>
      <c r="H3022" s="11" t="n">
        <v>0.001</v>
      </c>
      <c r="I3022" s="6" t="n">
        <v>20</v>
      </c>
      <c r="J3022" s="6" t="n">
        <v>0</v>
      </c>
      <c r="K3022" s="6" t="n">
        <v>20</v>
      </c>
      <c r="L3022" s="6" t="n">
        <v>0</v>
      </c>
      <c r="M3022" s="6" t="n">
        <v>20</v>
      </c>
      <c r="N3022" s="11" t="n">
        <f aca="false">J3022/(J3022+K3022)</f>
        <v>0</v>
      </c>
      <c r="O3022" s="11" t="str">
        <f aca="false">IF(J3022+L3022=0,"",J3022/(J3022+L3022))</f>
        <v/>
      </c>
      <c r="P3022" s="11" t="n">
        <f aca="false">2*J3022/(2*J3022+L3022+K3022)</f>
        <v>0</v>
      </c>
      <c r="Q3022" s="11" t="n">
        <f aca="false">L3022/(L3022+M3022)</f>
        <v>0</v>
      </c>
      <c r="R3022" s="6" t="n">
        <v>2</v>
      </c>
      <c r="S3022" s="11" t="n">
        <v>0</v>
      </c>
      <c r="T3022" s="11" t="n">
        <v>0</v>
      </c>
      <c r="U3022" s="11" t="n">
        <v>0.85</v>
      </c>
      <c r="V3022" s="11" t="n">
        <v>0.9</v>
      </c>
    </row>
    <row r="3023" customFormat="false" ht="15" hidden="false" customHeight="false" outlineLevel="0" collapsed="false">
      <c r="A3023" s="6" t="s">
        <v>58</v>
      </c>
      <c r="B3023" s="6" t="s">
        <v>59</v>
      </c>
      <c r="C3023" s="6" t="s">
        <v>44</v>
      </c>
      <c r="D3023" s="6" t="s">
        <v>114</v>
      </c>
      <c r="E3023" s="6" t="n">
        <v>4</v>
      </c>
      <c r="F3023" s="6" t="n">
        <v>5</v>
      </c>
      <c r="G3023" s="6" t="s">
        <v>75</v>
      </c>
      <c r="H3023" s="11" t="n">
        <v>0.001</v>
      </c>
      <c r="I3023" s="6" t="n">
        <v>20</v>
      </c>
      <c r="J3023" s="6" t="n">
        <v>0</v>
      </c>
      <c r="K3023" s="6" t="n">
        <v>20</v>
      </c>
      <c r="L3023" s="6" t="n">
        <v>0</v>
      </c>
      <c r="M3023" s="6" t="n">
        <v>20</v>
      </c>
      <c r="N3023" s="11" t="n">
        <f aca="false">J3023/(J3023+K3023)</f>
        <v>0</v>
      </c>
      <c r="O3023" s="11" t="str">
        <f aca="false">IF(J3023+L3023=0,"",J3023/(J3023+L3023))</f>
        <v/>
      </c>
      <c r="P3023" s="11" t="n">
        <f aca="false">2*J3023/(2*J3023+L3023+K3023)</f>
        <v>0</v>
      </c>
      <c r="Q3023" s="11" t="n">
        <f aca="false">L3023/(L3023+M3023)</f>
        <v>0</v>
      </c>
      <c r="R3023" s="6" t="n">
        <v>0</v>
      </c>
      <c r="S3023" s="11"/>
      <c r="T3023" s="11" t="n">
        <v>0</v>
      </c>
      <c r="U3023" s="11" t="n">
        <v>0.9</v>
      </c>
      <c r="V3023" s="11" t="n">
        <v>0.9</v>
      </c>
    </row>
    <row r="3024" customFormat="false" ht="15" hidden="false" customHeight="false" outlineLevel="0" collapsed="false">
      <c r="A3024" s="6" t="s">
        <v>58</v>
      </c>
      <c r="B3024" s="6" t="s">
        <v>59</v>
      </c>
      <c r="C3024" s="6" t="s">
        <v>44</v>
      </c>
      <c r="D3024" s="6" t="s">
        <v>114</v>
      </c>
      <c r="E3024" s="6" t="n">
        <v>4</v>
      </c>
      <c r="F3024" s="6" t="n">
        <v>5</v>
      </c>
      <c r="G3024" s="6" t="s">
        <v>76</v>
      </c>
      <c r="H3024" s="11" t="n">
        <v>0.001</v>
      </c>
      <c r="I3024" s="6" t="n">
        <v>20</v>
      </c>
      <c r="J3024" s="6" t="n">
        <v>0</v>
      </c>
      <c r="K3024" s="6" t="n">
        <v>20</v>
      </c>
      <c r="L3024" s="6" t="n">
        <v>0</v>
      </c>
      <c r="M3024" s="6" t="n">
        <v>20</v>
      </c>
      <c r="N3024" s="11" t="n">
        <f aca="false">J3024/(J3024+K3024)</f>
        <v>0</v>
      </c>
      <c r="O3024" s="11" t="str">
        <f aca="false">IF(J3024+L3024=0,"",J3024/(J3024+L3024))</f>
        <v/>
      </c>
      <c r="P3024" s="11" t="n">
        <f aca="false">2*J3024/(2*J3024+L3024+K3024)</f>
        <v>0</v>
      </c>
      <c r="Q3024" s="11" t="n">
        <f aca="false">L3024/(L3024+M3024)</f>
        <v>0</v>
      </c>
      <c r="R3024" s="6" t="n">
        <v>0</v>
      </c>
      <c r="S3024" s="11"/>
      <c r="T3024" s="11" t="n">
        <v>0</v>
      </c>
      <c r="U3024" s="11" t="n">
        <v>0.95</v>
      </c>
      <c r="V3024" s="11" t="n">
        <v>0.95</v>
      </c>
    </row>
    <row r="3025" customFormat="false" ht="15" hidden="false" customHeight="false" outlineLevel="0" collapsed="false">
      <c r="A3025" s="6" t="s">
        <v>58</v>
      </c>
      <c r="B3025" s="6" t="s">
        <v>59</v>
      </c>
      <c r="C3025" s="6" t="s">
        <v>44</v>
      </c>
      <c r="D3025" s="6" t="s">
        <v>114</v>
      </c>
      <c r="E3025" s="6" t="n">
        <v>4</v>
      </c>
      <c r="F3025" s="6" t="n">
        <v>5</v>
      </c>
      <c r="G3025" s="6" t="s">
        <v>77</v>
      </c>
      <c r="H3025" s="11" t="n">
        <v>0.001</v>
      </c>
      <c r="I3025" s="6" t="n">
        <v>20</v>
      </c>
      <c r="J3025" s="6" t="n">
        <v>0</v>
      </c>
      <c r="K3025" s="6" t="n">
        <v>20</v>
      </c>
      <c r="L3025" s="6" t="n">
        <v>0</v>
      </c>
      <c r="M3025" s="6" t="n">
        <v>20</v>
      </c>
      <c r="N3025" s="11" t="n">
        <f aca="false">J3025/(J3025+K3025)</f>
        <v>0</v>
      </c>
      <c r="O3025" s="11" t="str">
        <f aca="false">IF(J3025+L3025=0,"",J3025/(J3025+L3025))</f>
        <v/>
      </c>
      <c r="P3025" s="11" t="n">
        <f aca="false">2*J3025/(2*J3025+L3025+K3025)</f>
        <v>0</v>
      </c>
      <c r="Q3025" s="11" t="n">
        <f aca="false">L3025/(L3025+M3025)</f>
        <v>0</v>
      </c>
      <c r="R3025" s="6" t="n">
        <v>0</v>
      </c>
      <c r="S3025" s="11"/>
      <c r="T3025" s="11" t="n">
        <v>0</v>
      </c>
      <c r="U3025" s="11" t="n">
        <v>1</v>
      </c>
      <c r="V3025" s="11" t="n">
        <v>1</v>
      </c>
    </row>
    <row r="3026" customFormat="false" ht="15" hidden="false" customHeight="false" outlineLevel="0" collapsed="false">
      <c r="A3026" s="6" t="s">
        <v>58</v>
      </c>
      <c r="B3026" s="6" t="s">
        <v>59</v>
      </c>
      <c r="C3026" s="6" t="s">
        <v>44</v>
      </c>
      <c r="D3026" s="6" t="s">
        <v>114</v>
      </c>
      <c r="E3026" s="6" t="n">
        <v>4</v>
      </c>
      <c r="F3026" s="6" t="n">
        <v>5</v>
      </c>
      <c r="G3026" s="6" t="s">
        <v>78</v>
      </c>
      <c r="H3026" s="11" t="n">
        <v>0.001</v>
      </c>
      <c r="I3026" s="6" t="n">
        <v>200</v>
      </c>
      <c r="J3026" s="6" t="n">
        <v>0</v>
      </c>
      <c r="K3026" s="6" t="n">
        <v>200</v>
      </c>
      <c r="L3026" s="6" t="n">
        <v>0</v>
      </c>
      <c r="M3026" s="6" t="n">
        <v>200</v>
      </c>
      <c r="N3026" s="11" t="n">
        <f aca="false">J3026/(J3026+K3026)</f>
        <v>0</v>
      </c>
      <c r="O3026" s="11" t="str">
        <f aca="false">IF(J3026+L3026=0,"",J3026/(J3026+L3026))</f>
        <v/>
      </c>
      <c r="P3026" s="11" t="n">
        <f aca="false">2*J3026/(2*J3026+L3026+K3026)</f>
        <v>0</v>
      </c>
      <c r="Q3026" s="11" t="n">
        <f aca="false">L3026/(L3026+M3026)</f>
        <v>0</v>
      </c>
      <c r="R3026" s="6" t="n">
        <v>4</v>
      </c>
      <c r="S3026" s="11" t="n">
        <v>0</v>
      </c>
      <c r="T3026" s="11" t="n">
        <v>0</v>
      </c>
      <c r="U3026" s="11" t="n">
        <v>0.88</v>
      </c>
      <c r="V3026" s="11" t="n">
        <v>0.89</v>
      </c>
    </row>
    <row r="3027" customFormat="false" ht="15" hidden="false" customHeight="false" outlineLevel="0" collapsed="false">
      <c r="A3027" s="6" t="s">
        <v>58</v>
      </c>
      <c r="B3027" s="6" t="s">
        <v>59</v>
      </c>
      <c r="C3027" s="6" t="s">
        <v>44</v>
      </c>
      <c r="D3027" s="6" t="s">
        <v>114</v>
      </c>
      <c r="E3027" s="6" t="n">
        <v>4</v>
      </c>
      <c r="F3027" s="6" t="n">
        <v>6</v>
      </c>
      <c r="G3027" s="6" t="s">
        <v>68</v>
      </c>
      <c r="H3027" s="11" t="n">
        <v>0.001</v>
      </c>
      <c r="I3027" s="6" t="n">
        <v>20</v>
      </c>
      <c r="J3027" s="6" t="n">
        <v>0</v>
      </c>
      <c r="K3027" s="6" t="n">
        <v>20</v>
      </c>
      <c r="L3027" s="6" t="n">
        <v>0</v>
      </c>
      <c r="M3027" s="6" t="n">
        <v>20</v>
      </c>
      <c r="N3027" s="11" t="n">
        <f aca="false">J3027/(J3027+K3027)</f>
        <v>0</v>
      </c>
      <c r="O3027" s="11" t="str">
        <f aca="false">IF(J3027+L3027=0,"",J3027/(J3027+L3027))</f>
        <v/>
      </c>
      <c r="P3027" s="11" t="n">
        <f aca="false">2*J3027/(2*J3027+L3027+K3027)</f>
        <v>0</v>
      </c>
      <c r="Q3027" s="11" t="n">
        <f aca="false">L3027/(L3027+M3027)</f>
        <v>0</v>
      </c>
      <c r="R3027" s="6" t="n">
        <v>0</v>
      </c>
      <c r="S3027" s="11"/>
      <c r="T3027" s="11" t="n">
        <v>0</v>
      </c>
      <c r="U3027" s="11" t="n">
        <v>0.85</v>
      </c>
      <c r="V3027" s="11" t="n">
        <v>0.85</v>
      </c>
    </row>
    <row r="3028" customFormat="false" ht="15" hidden="false" customHeight="false" outlineLevel="0" collapsed="false">
      <c r="A3028" s="6" t="s">
        <v>58</v>
      </c>
      <c r="B3028" s="6" t="s">
        <v>59</v>
      </c>
      <c r="C3028" s="6" t="s">
        <v>44</v>
      </c>
      <c r="D3028" s="6" t="s">
        <v>114</v>
      </c>
      <c r="E3028" s="6" t="n">
        <v>4</v>
      </c>
      <c r="F3028" s="6" t="n">
        <v>6</v>
      </c>
      <c r="G3028" s="6" t="s">
        <v>69</v>
      </c>
      <c r="H3028" s="11" t="n">
        <v>0.001</v>
      </c>
      <c r="I3028" s="6" t="n">
        <v>20</v>
      </c>
      <c r="J3028" s="6" t="n">
        <v>0</v>
      </c>
      <c r="K3028" s="6" t="n">
        <v>20</v>
      </c>
      <c r="L3028" s="6" t="n">
        <v>0</v>
      </c>
      <c r="M3028" s="6" t="n">
        <v>20</v>
      </c>
      <c r="N3028" s="11" t="n">
        <f aca="false">J3028/(J3028+K3028)</f>
        <v>0</v>
      </c>
      <c r="O3028" s="11" t="str">
        <f aca="false">IF(J3028+L3028=0,"",J3028/(J3028+L3028))</f>
        <v/>
      </c>
      <c r="P3028" s="11" t="n">
        <f aca="false">2*J3028/(2*J3028+L3028+K3028)</f>
        <v>0</v>
      </c>
      <c r="Q3028" s="11" t="n">
        <f aca="false">L3028/(L3028+M3028)</f>
        <v>0</v>
      </c>
      <c r="R3028" s="6" t="n">
        <v>0</v>
      </c>
      <c r="S3028" s="11"/>
      <c r="T3028" s="11" t="n">
        <v>0</v>
      </c>
      <c r="U3028" s="11" t="n">
        <v>1</v>
      </c>
      <c r="V3028" s="11" t="n">
        <v>1</v>
      </c>
    </row>
    <row r="3029" customFormat="false" ht="15" hidden="false" customHeight="false" outlineLevel="0" collapsed="false">
      <c r="A3029" s="6" t="s">
        <v>58</v>
      </c>
      <c r="B3029" s="6" t="s">
        <v>59</v>
      </c>
      <c r="C3029" s="6" t="s">
        <v>44</v>
      </c>
      <c r="D3029" s="6" t="s">
        <v>114</v>
      </c>
      <c r="E3029" s="6" t="n">
        <v>4</v>
      </c>
      <c r="F3029" s="6" t="n">
        <v>6</v>
      </c>
      <c r="G3029" s="6" t="s">
        <v>70</v>
      </c>
      <c r="H3029" s="11" t="n">
        <v>0.001</v>
      </c>
      <c r="I3029" s="6" t="n">
        <v>20</v>
      </c>
      <c r="J3029" s="6" t="n">
        <v>0</v>
      </c>
      <c r="K3029" s="6" t="n">
        <v>20</v>
      </c>
      <c r="L3029" s="6" t="n">
        <v>0</v>
      </c>
      <c r="M3029" s="6" t="n">
        <v>20</v>
      </c>
      <c r="N3029" s="11" t="n">
        <f aca="false">J3029/(J3029+K3029)</f>
        <v>0</v>
      </c>
      <c r="O3029" s="11" t="str">
        <f aca="false">IF(J3029+L3029=0,"",J3029/(J3029+L3029))</f>
        <v/>
      </c>
      <c r="P3029" s="11" t="n">
        <f aca="false">2*J3029/(2*J3029+L3029+K3029)</f>
        <v>0</v>
      </c>
      <c r="Q3029" s="11" t="n">
        <f aca="false">L3029/(L3029+M3029)</f>
        <v>0</v>
      </c>
      <c r="R3029" s="6" t="n">
        <v>0</v>
      </c>
      <c r="S3029" s="11"/>
      <c r="T3029" s="11" t="n">
        <v>0</v>
      </c>
      <c r="U3029" s="11" t="n">
        <v>0.9</v>
      </c>
      <c r="V3029" s="11" t="n">
        <v>0.9</v>
      </c>
    </row>
    <row r="3030" customFormat="false" ht="15" hidden="false" customHeight="false" outlineLevel="0" collapsed="false">
      <c r="A3030" s="6" t="s">
        <v>58</v>
      </c>
      <c r="B3030" s="6" t="s">
        <v>59</v>
      </c>
      <c r="C3030" s="6" t="s">
        <v>44</v>
      </c>
      <c r="D3030" s="6" t="s">
        <v>114</v>
      </c>
      <c r="E3030" s="6" t="n">
        <v>4</v>
      </c>
      <c r="F3030" s="6" t="n">
        <v>6</v>
      </c>
      <c r="G3030" s="6" t="s">
        <v>71</v>
      </c>
      <c r="H3030" s="11" t="n">
        <v>0.001</v>
      </c>
      <c r="I3030" s="6" t="n">
        <v>20</v>
      </c>
      <c r="J3030" s="6" t="n">
        <v>0</v>
      </c>
      <c r="K3030" s="6" t="n">
        <v>20</v>
      </c>
      <c r="L3030" s="6" t="n">
        <v>0</v>
      </c>
      <c r="M3030" s="6" t="n">
        <v>20</v>
      </c>
      <c r="N3030" s="11" t="n">
        <f aca="false">J3030/(J3030+K3030)</f>
        <v>0</v>
      </c>
      <c r="O3030" s="11" t="str">
        <f aca="false">IF(J3030+L3030=0,"",J3030/(J3030+L3030))</f>
        <v/>
      </c>
      <c r="P3030" s="11" t="n">
        <f aca="false">2*J3030/(2*J3030+L3030+K3030)</f>
        <v>0</v>
      </c>
      <c r="Q3030" s="11" t="n">
        <f aca="false">L3030/(L3030+M3030)</f>
        <v>0</v>
      </c>
      <c r="R3030" s="6" t="n">
        <v>0</v>
      </c>
      <c r="S3030" s="11"/>
      <c r="T3030" s="11" t="n">
        <v>0</v>
      </c>
      <c r="U3030" s="11" t="n">
        <v>0.8</v>
      </c>
      <c r="V3030" s="11" t="n">
        <v>0.8</v>
      </c>
    </row>
    <row r="3031" customFormat="false" ht="15" hidden="false" customHeight="false" outlineLevel="0" collapsed="false">
      <c r="A3031" s="6" t="s">
        <v>58</v>
      </c>
      <c r="B3031" s="6" t="s">
        <v>59</v>
      </c>
      <c r="C3031" s="6" t="s">
        <v>44</v>
      </c>
      <c r="D3031" s="6" t="s">
        <v>114</v>
      </c>
      <c r="E3031" s="6" t="n">
        <v>4</v>
      </c>
      <c r="F3031" s="6" t="n">
        <v>6</v>
      </c>
      <c r="G3031" s="6" t="s">
        <v>72</v>
      </c>
      <c r="H3031" s="11" t="n">
        <v>0.001</v>
      </c>
      <c r="I3031" s="6" t="n">
        <v>20</v>
      </c>
      <c r="J3031" s="6" t="n">
        <v>0</v>
      </c>
      <c r="K3031" s="6" t="n">
        <v>20</v>
      </c>
      <c r="L3031" s="6" t="n">
        <v>0</v>
      </c>
      <c r="M3031" s="6" t="n">
        <v>20</v>
      </c>
      <c r="N3031" s="11" t="n">
        <f aca="false">J3031/(J3031+K3031)</f>
        <v>0</v>
      </c>
      <c r="O3031" s="11" t="str">
        <f aca="false">IF(J3031+L3031=0,"",J3031/(J3031+L3031))</f>
        <v/>
      </c>
      <c r="P3031" s="11" t="n">
        <f aca="false">2*J3031/(2*J3031+L3031+K3031)</f>
        <v>0</v>
      </c>
      <c r="Q3031" s="11" t="n">
        <f aca="false">L3031/(L3031+M3031)</f>
        <v>0</v>
      </c>
      <c r="R3031" s="6" t="n">
        <v>1</v>
      </c>
      <c r="S3031" s="11" t="n">
        <v>0</v>
      </c>
      <c r="T3031" s="11" t="n">
        <v>0</v>
      </c>
      <c r="U3031" s="11" t="n">
        <v>0.9</v>
      </c>
      <c r="V3031" s="11" t="n">
        <v>0.9</v>
      </c>
    </row>
    <row r="3032" customFormat="false" ht="15" hidden="false" customHeight="false" outlineLevel="0" collapsed="false">
      <c r="A3032" s="6" t="s">
        <v>58</v>
      </c>
      <c r="B3032" s="6" t="s">
        <v>59</v>
      </c>
      <c r="C3032" s="6" t="s">
        <v>44</v>
      </c>
      <c r="D3032" s="6" t="s">
        <v>114</v>
      </c>
      <c r="E3032" s="6" t="n">
        <v>4</v>
      </c>
      <c r="F3032" s="6" t="n">
        <v>6</v>
      </c>
      <c r="G3032" s="6" t="s">
        <v>73</v>
      </c>
      <c r="H3032" s="11" t="n">
        <v>0.001</v>
      </c>
      <c r="I3032" s="6" t="n">
        <v>20</v>
      </c>
      <c r="J3032" s="6" t="n">
        <v>0</v>
      </c>
      <c r="K3032" s="6" t="n">
        <v>20</v>
      </c>
      <c r="L3032" s="6" t="n">
        <v>0</v>
      </c>
      <c r="M3032" s="6" t="n">
        <v>20</v>
      </c>
      <c r="N3032" s="11" t="n">
        <f aca="false">J3032/(J3032+K3032)</f>
        <v>0</v>
      </c>
      <c r="O3032" s="11" t="str">
        <f aca="false">IF(J3032+L3032=0,"",J3032/(J3032+L3032))</f>
        <v/>
      </c>
      <c r="P3032" s="11" t="n">
        <f aca="false">2*J3032/(2*J3032+L3032+K3032)</f>
        <v>0</v>
      </c>
      <c r="Q3032" s="11" t="n">
        <f aca="false">L3032/(L3032+M3032)</f>
        <v>0</v>
      </c>
      <c r="R3032" s="6" t="n">
        <v>0</v>
      </c>
      <c r="S3032" s="11"/>
      <c r="T3032" s="11" t="n">
        <v>0</v>
      </c>
      <c r="U3032" s="11" t="n">
        <v>0.65</v>
      </c>
      <c r="V3032" s="11" t="n">
        <v>0.65</v>
      </c>
    </row>
    <row r="3033" customFormat="false" ht="15" hidden="false" customHeight="false" outlineLevel="0" collapsed="false">
      <c r="A3033" s="6" t="s">
        <v>58</v>
      </c>
      <c r="B3033" s="6" t="s">
        <v>59</v>
      </c>
      <c r="C3033" s="6" t="s">
        <v>44</v>
      </c>
      <c r="D3033" s="6" t="s">
        <v>114</v>
      </c>
      <c r="E3033" s="6" t="n">
        <v>4</v>
      </c>
      <c r="F3033" s="6" t="n">
        <v>6</v>
      </c>
      <c r="G3033" s="6" t="s">
        <v>74</v>
      </c>
      <c r="H3033" s="11" t="n">
        <v>0.001</v>
      </c>
      <c r="I3033" s="6" t="n">
        <v>20</v>
      </c>
      <c r="J3033" s="6" t="n">
        <v>0</v>
      </c>
      <c r="K3033" s="6" t="n">
        <v>20</v>
      </c>
      <c r="L3033" s="6" t="n">
        <v>0</v>
      </c>
      <c r="M3033" s="6" t="n">
        <v>20</v>
      </c>
      <c r="N3033" s="11" t="n">
        <f aca="false">J3033/(J3033+K3033)</f>
        <v>0</v>
      </c>
      <c r="O3033" s="11" t="str">
        <f aca="false">IF(J3033+L3033=0,"",J3033/(J3033+L3033))</f>
        <v/>
      </c>
      <c r="P3033" s="11" t="n">
        <f aca="false">2*J3033/(2*J3033+L3033+K3033)</f>
        <v>0</v>
      </c>
      <c r="Q3033" s="11" t="n">
        <f aca="false">L3033/(L3033+M3033)</f>
        <v>0</v>
      </c>
      <c r="R3033" s="6" t="n">
        <v>2</v>
      </c>
      <c r="S3033" s="11" t="n">
        <v>0</v>
      </c>
      <c r="T3033" s="11" t="n">
        <v>0</v>
      </c>
      <c r="U3033" s="11" t="n">
        <v>0.85</v>
      </c>
      <c r="V3033" s="11" t="n">
        <v>0.85</v>
      </c>
    </row>
    <row r="3034" customFormat="false" ht="15" hidden="false" customHeight="false" outlineLevel="0" collapsed="false">
      <c r="A3034" s="6" t="s">
        <v>58</v>
      </c>
      <c r="B3034" s="6" t="s">
        <v>59</v>
      </c>
      <c r="C3034" s="6" t="s">
        <v>44</v>
      </c>
      <c r="D3034" s="6" t="s">
        <v>114</v>
      </c>
      <c r="E3034" s="6" t="n">
        <v>4</v>
      </c>
      <c r="F3034" s="6" t="n">
        <v>6</v>
      </c>
      <c r="G3034" s="6" t="s">
        <v>75</v>
      </c>
      <c r="H3034" s="11" t="n">
        <v>0.001</v>
      </c>
      <c r="I3034" s="6" t="n">
        <v>20</v>
      </c>
      <c r="J3034" s="6" t="n">
        <v>0</v>
      </c>
      <c r="K3034" s="6" t="n">
        <v>20</v>
      </c>
      <c r="L3034" s="6" t="n">
        <v>0</v>
      </c>
      <c r="M3034" s="6" t="n">
        <v>20</v>
      </c>
      <c r="N3034" s="11" t="n">
        <f aca="false">J3034/(J3034+K3034)</f>
        <v>0</v>
      </c>
      <c r="O3034" s="11" t="str">
        <f aca="false">IF(J3034+L3034=0,"",J3034/(J3034+L3034))</f>
        <v/>
      </c>
      <c r="P3034" s="11" t="n">
        <f aca="false">2*J3034/(2*J3034+L3034+K3034)</f>
        <v>0</v>
      </c>
      <c r="Q3034" s="11" t="n">
        <f aca="false">L3034/(L3034+M3034)</f>
        <v>0</v>
      </c>
      <c r="R3034" s="6" t="n">
        <v>1</v>
      </c>
      <c r="S3034" s="11" t="n">
        <v>0</v>
      </c>
      <c r="T3034" s="11" t="n">
        <v>0</v>
      </c>
      <c r="U3034" s="11" t="n">
        <v>0.9</v>
      </c>
      <c r="V3034" s="11" t="n">
        <v>0.9</v>
      </c>
    </row>
    <row r="3035" customFormat="false" ht="15" hidden="false" customHeight="false" outlineLevel="0" collapsed="false">
      <c r="A3035" s="6" t="s">
        <v>58</v>
      </c>
      <c r="B3035" s="6" t="s">
        <v>59</v>
      </c>
      <c r="C3035" s="6" t="s">
        <v>44</v>
      </c>
      <c r="D3035" s="6" t="s">
        <v>114</v>
      </c>
      <c r="E3035" s="6" t="n">
        <v>4</v>
      </c>
      <c r="F3035" s="6" t="n">
        <v>6</v>
      </c>
      <c r="G3035" s="6" t="s">
        <v>76</v>
      </c>
      <c r="H3035" s="11" t="n">
        <v>0.001</v>
      </c>
      <c r="I3035" s="6" t="n">
        <v>20</v>
      </c>
      <c r="J3035" s="6" t="n">
        <v>0</v>
      </c>
      <c r="K3035" s="6" t="n">
        <v>20</v>
      </c>
      <c r="L3035" s="6" t="n">
        <v>0</v>
      </c>
      <c r="M3035" s="6" t="n">
        <v>20</v>
      </c>
      <c r="N3035" s="11" t="n">
        <f aca="false">J3035/(J3035+K3035)</f>
        <v>0</v>
      </c>
      <c r="O3035" s="11" t="str">
        <f aca="false">IF(J3035+L3035=0,"",J3035/(J3035+L3035))</f>
        <v/>
      </c>
      <c r="P3035" s="11" t="n">
        <f aca="false">2*J3035/(2*J3035+L3035+K3035)</f>
        <v>0</v>
      </c>
      <c r="Q3035" s="11" t="n">
        <f aca="false">L3035/(L3035+M3035)</f>
        <v>0</v>
      </c>
      <c r="R3035" s="6" t="n">
        <v>0</v>
      </c>
      <c r="S3035" s="11"/>
      <c r="T3035" s="11" t="n">
        <v>0</v>
      </c>
      <c r="U3035" s="11" t="n">
        <v>0.95</v>
      </c>
      <c r="V3035" s="11" t="n">
        <v>0.95</v>
      </c>
    </row>
    <row r="3036" customFormat="false" ht="15" hidden="false" customHeight="false" outlineLevel="0" collapsed="false">
      <c r="A3036" s="6" t="s">
        <v>58</v>
      </c>
      <c r="B3036" s="6" t="s">
        <v>59</v>
      </c>
      <c r="C3036" s="6" t="s">
        <v>44</v>
      </c>
      <c r="D3036" s="6" t="s">
        <v>114</v>
      </c>
      <c r="E3036" s="6" t="n">
        <v>4</v>
      </c>
      <c r="F3036" s="6" t="n">
        <v>6</v>
      </c>
      <c r="G3036" s="6" t="s">
        <v>77</v>
      </c>
      <c r="H3036" s="11" t="n">
        <v>0.001</v>
      </c>
      <c r="I3036" s="6" t="n">
        <v>20</v>
      </c>
      <c r="J3036" s="6" t="n">
        <v>0</v>
      </c>
      <c r="K3036" s="6" t="n">
        <v>20</v>
      </c>
      <c r="L3036" s="6" t="n">
        <v>0</v>
      </c>
      <c r="M3036" s="6" t="n">
        <v>20</v>
      </c>
      <c r="N3036" s="11" t="n">
        <f aca="false">J3036/(J3036+K3036)</f>
        <v>0</v>
      </c>
      <c r="O3036" s="11" t="str">
        <f aca="false">IF(J3036+L3036=0,"",J3036/(J3036+L3036))</f>
        <v/>
      </c>
      <c r="P3036" s="11" t="n">
        <f aca="false">2*J3036/(2*J3036+L3036+K3036)</f>
        <v>0</v>
      </c>
      <c r="Q3036" s="11" t="n">
        <f aca="false">L3036/(L3036+M3036)</f>
        <v>0</v>
      </c>
      <c r="R3036" s="6" t="n">
        <v>0</v>
      </c>
      <c r="S3036" s="11"/>
      <c r="T3036" s="11" t="n">
        <v>0</v>
      </c>
      <c r="U3036" s="11" t="n">
        <v>1</v>
      </c>
      <c r="V3036" s="11" t="n">
        <v>1</v>
      </c>
    </row>
    <row r="3037" customFormat="false" ht="15" hidden="false" customHeight="false" outlineLevel="0" collapsed="false">
      <c r="A3037" s="6" t="s">
        <v>58</v>
      </c>
      <c r="B3037" s="6" t="s">
        <v>59</v>
      </c>
      <c r="C3037" s="6" t="s">
        <v>44</v>
      </c>
      <c r="D3037" s="6" t="s">
        <v>114</v>
      </c>
      <c r="E3037" s="6" t="n">
        <v>4</v>
      </c>
      <c r="F3037" s="6" t="n">
        <v>6</v>
      </c>
      <c r="G3037" s="6" t="s">
        <v>78</v>
      </c>
      <c r="H3037" s="11" t="n">
        <v>0.001</v>
      </c>
      <c r="I3037" s="6" t="n">
        <v>200</v>
      </c>
      <c r="J3037" s="6" t="n">
        <v>0</v>
      </c>
      <c r="K3037" s="6" t="n">
        <v>200</v>
      </c>
      <c r="L3037" s="6" t="n">
        <v>0</v>
      </c>
      <c r="M3037" s="6" t="n">
        <v>200</v>
      </c>
      <c r="N3037" s="11" t="n">
        <f aca="false">J3037/(J3037+K3037)</f>
        <v>0</v>
      </c>
      <c r="O3037" s="11" t="str">
        <f aca="false">IF(J3037+L3037=0,"",J3037/(J3037+L3037))</f>
        <v/>
      </c>
      <c r="P3037" s="11" t="n">
        <f aca="false">2*J3037/(2*J3037+L3037+K3037)</f>
        <v>0</v>
      </c>
      <c r="Q3037" s="11" t="n">
        <f aca="false">L3037/(L3037+M3037)</f>
        <v>0</v>
      </c>
      <c r="R3037" s="6" t="n">
        <v>4</v>
      </c>
      <c r="S3037" s="11" t="n">
        <v>0</v>
      </c>
      <c r="T3037" s="11" t="n">
        <v>0</v>
      </c>
      <c r="U3037" s="11" t="n">
        <v>0.88</v>
      </c>
      <c r="V3037" s="11" t="n">
        <v>0.88</v>
      </c>
    </row>
    <row r="3038" customFormat="false" ht="15" hidden="false" customHeight="false" outlineLevel="0" collapsed="false">
      <c r="A3038" s="6" t="s">
        <v>58</v>
      </c>
      <c r="B3038" s="6" t="s">
        <v>59</v>
      </c>
      <c r="C3038" s="6" t="s">
        <v>44</v>
      </c>
      <c r="D3038" s="6" t="s">
        <v>114</v>
      </c>
      <c r="E3038" s="6" t="n">
        <v>4</v>
      </c>
      <c r="F3038" s="6" t="n">
        <v>7</v>
      </c>
      <c r="G3038" s="6" t="s">
        <v>68</v>
      </c>
      <c r="H3038" s="11" t="n">
        <v>0.001</v>
      </c>
      <c r="I3038" s="6" t="n">
        <v>20</v>
      </c>
      <c r="J3038" s="6" t="n">
        <v>0</v>
      </c>
      <c r="K3038" s="6" t="n">
        <v>20</v>
      </c>
      <c r="L3038" s="6" t="n">
        <v>0</v>
      </c>
      <c r="M3038" s="6" t="n">
        <v>20</v>
      </c>
      <c r="N3038" s="11" t="n">
        <f aca="false">J3038/(J3038+K3038)</f>
        <v>0</v>
      </c>
      <c r="O3038" s="11" t="str">
        <f aca="false">IF(J3038+L3038=0,"",J3038/(J3038+L3038))</f>
        <v/>
      </c>
      <c r="P3038" s="11" t="n">
        <f aca="false">2*J3038/(2*J3038+L3038+K3038)</f>
        <v>0</v>
      </c>
      <c r="Q3038" s="11" t="n">
        <f aca="false">L3038/(L3038+M3038)</f>
        <v>0</v>
      </c>
      <c r="R3038" s="6" t="n">
        <v>0</v>
      </c>
      <c r="S3038" s="11"/>
      <c r="T3038" s="11" t="n">
        <v>0</v>
      </c>
      <c r="U3038" s="11" t="n">
        <v>0.85</v>
      </c>
      <c r="V3038" s="11" t="n">
        <v>0.85</v>
      </c>
    </row>
    <row r="3039" customFormat="false" ht="15" hidden="false" customHeight="false" outlineLevel="0" collapsed="false">
      <c r="A3039" s="6" t="s">
        <v>58</v>
      </c>
      <c r="B3039" s="6" t="s">
        <v>59</v>
      </c>
      <c r="C3039" s="6" t="s">
        <v>44</v>
      </c>
      <c r="D3039" s="6" t="s">
        <v>114</v>
      </c>
      <c r="E3039" s="6" t="n">
        <v>4</v>
      </c>
      <c r="F3039" s="6" t="n">
        <v>7</v>
      </c>
      <c r="G3039" s="6" t="s">
        <v>69</v>
      </c>
      <c r="H3039" s="11" t="n">
        <v>0.001</v>
      </c>
      <c r="I3039" s="6" t="n">
        <v>20</v>
      </c>
      <c r="J3039" s="6" t="n">
        <v>0</v>
      </c>
      <c r="K3039" s="6" t="n">
        <v>20</v>
      </c>
      <c r="L3039" s="6" t="n">
        <v>0</v>
      </c>
      <c r="M3039" s="6" t="n">
        <v>20</v>
      </c>
      <c r="N3039" s="11" t="n">
        <f aca="false">J3039/(J3039+K3039)</f>
        <v>0</v>
      </c>
      <c r="O3039" s="11" t="str">
        <f aca="false">IF(J3039+L3039=0,"",J3039/(J3039+L3039))</f>
        <v/>
      </c>
      <c r="P3039" s="11" t="n">
        <f aca="false">2*J3039/(2*J3039+L3039+K3039)</f>
        <v>0</v>
      </c>
      <c r="Q3039" s="11" t="n">
        <f aca="false">L3039/(L3039+M3039)</f>
        <v>0</v>
      </c>
      <c r="R3039" s="6" t="n">
        <v>0</v>
      </c>
      <c r="S3039" s="11"/>
      <c r="T3039" s="11" t="n">
        <v>0</v>
      </c>
      <c r="U3039" s="11" t="n">
        <v>1</v>
      </c>
      <c r="V3039" s="11" t="n">
        <v>1</v>
      </c>
    </row>
    <row r="3040" customFormat="false" ht="15" hidden="false" customHeight="false" outlineLevel="0" collapsed="false">
      <c r="A3040" s="6" t="s">
        <v>58</v>
      </c>
      <c r="B3040" s="6" t="s">
        <v>59</v>
      </c>
      <c r="C3040" s="6" t="s">
        <v>44</v>
      </c>
      <c r="D3040" s="6" t="s">
        <v>114</v>
      </c>
      <c r="E3040" s="6" t="n">
        <v>4</v>
      </c>
      <c r="F3040" s="6" t="n">
        <v>7</v>
      </c>
      <c r="G3040" s="6" t="s">
        <v>70</v>
      </c>
      <c r="H3040" s="11" t="n">
        <v>0.001</v>
      </c>
      <c r="I3040" s="6" t="n">
        <v>20</v>
      </c>
      <c r="J3040" s="6" t="n">
        <v>0</v>
      </c>
      <c r="K3040" s="6" t="n">
        <v>20</v>
      </c>
      <c r="L3040" s="6" t="n">
        <v>0</v>
      </c>
      <c r="M3040" s="6" t="n">
        <v>20</v>
      </c>
      <c r="N3040" s="11" t="n">
        <f aca="false">J3040/(J3040+K3040)</f>
        <v>0</v>
      </c>
      <c r="O3040" s="11" t="str">
        <f aca="false">IF(J3040+L3040=0,"",J3040/(J3040+L3040))</f>
        <v/>
      </c>
      <c r="P3040" s="11" t="n">
        <f aca="false">2*J3040/(2*J3040+L3040+K3040)</f>
        <v>0</v>
      </c>
      <c r="Q3040" s="11" t="n">
        <f aca="false">L3040/(L3040+M3040)</f>
        <v>0</v>
      </c>
      <c r="R3040" s="6" t="n">
        <v>0</v>
      </c>
      <c r="S3040" s="11"/>
      <c r="T3040" s="11" t="n">
        <v>0</v>
      </c>
      <c r="U3040" s="11" t="n">
        <v>0.9</v>
      </c>
      <c r="V3040" s="11" t="n">
        <v>0.9</v>
      </c>
    </row>
    <row r="3041" customFormat="false" ht="15" hidden="false" customHeight="false" outlineLevel="0" collapsed="false">
      <c r="A3041" s="6" t="s">
        <v>58</v>
      </c>
      <c r="B3041" s="6" t="s">
        <v>59</v>
      </c>
      <c r="C3041" s="6" t="s">
        <v>44</v>
      </c>
      <c r="D3041" s="6" t="s">
        <v>114</v>
      </c>
      <c r="E3041" s="6" t="n">
        <v>4</v>
      </c>
      <c r="F3041" s="6" t="n">
        <v>7</v>
      </c>
      <c r="G3041" s="6" t="s">
        <v>71</v>
      </c>
      <c r="H3041" s="11" t="n">
        <v>0.001</v>
      </c>
      <c r="I3041" s="6" t="n">
        <v>20</v>
      </c>
      <c r="J3041" s="6" t="n">
        <v>0</v>
      </c>
      <c r="K3041" s="6" t="n">
        <v>20</v>
      </c>
      <c r="L3041" s="6" t="n">
        <v>0</v>
      </c>
      <c r="M3041" s="6" t="n">
        <v>20</v>
      </c>
      <c r="N3041" s="11" t="n">
        <f aca="false">J3041/(J3041+K3041)</f>
        <v>0</v>
      </c>
      <c r="O3041" s="11" t="str">
        <f aca="false">IF(J3041+L3041=0,"",J3041/(J3041+L3041))</f>
        <v/>
      </c>
      <c r="P3041" s="11" t="n">
        <f aca="false">2*J3041/(2*J3041+L3041+K3041)</f>
        <v>0</v>
      </c>
      <c r="Q3041" s="11" t="n">
        <f aca="false">L3041/(L3041+M3041)</f>
        <v>0</v>
      </c>
      <c r="R3041" s="6" t="n">
        <v>0</v>
      </c>
      <c r="S3041" s="11"/>
      <c r="T3041" s="11" t="n">
        <v>0</v>
      </c>
      <c r="U3041" s="11" t="n">
        <v>0.8</v>
      </c>
      <c r="V3041" s="11" t="n">
        <v>0.8</v>
      </c>
    </row>
    <row r="3042" customFormat="false" ht="15" hidden="false" customHeight="false" outlineLevel="0" collapsed="false">
      <c r="A3042" s="6" t="s">
        <v>58</v>
      </c>
      <c r="B3042" s="6" t="s">
        <v>59</v>
      </c>
      <c r="C3042" s="6" t="s">
        <v>44</v>
      </c>
      <c r="D3042" s="6" t="s">
        <v>114</v>
      </c>
      <c r="E3042" s="6" t="n">
        <v>4</v>
      </c>
      <c r="F3042" s="6" t="n">
        <v>7</v>
      </c>
      <c r="G3042" s="6" t="s">
        <v>72</v>
      </c>
      <c r="H3042" s="11" t="n">
        <v>0.001</v>
      </c>
      <c r="I3042" s="6" t="n">
        <v>20</v>
      </c>
      <c r="J3042" s="6" t="n">
        <v>0</v>
      </c>
      <c r="K3042" s="6" t="n">
        <v>20</v>
      </c>
      <c r="L3042" s="6" t="n">
        <v>0</v>
      </c>
      <c r="M3042" s="6" t="n">
        <v>20</v>
      </c>
      <c r="N3042" s="11" t="n">
        <f aca="false">J3042/(J3042+K3042)</f>
        <v>0</v>
      </c>
      <c r="O3042" s="11" t="str">
        <f aca="false">IF(J3042+L3042=0,"",J3042/(J3042+L3042))</f>
        <v/>
      </c>
      <c r="P3042" s="11" t="n">
        <f aca="false">2*J3042/(2*J3042+L3042+K3042)</f>
        <v>0</v>
      </c>
      <c r="Q3042" s="11" t="n">
        <f aca="false">L3042/(L3042+M3042)</f>
        <v>0</v>
      </c>
      <c r="R3042" s="6" t="n">
        <v>0</v>
      </c>
      <c r="S3042" s="11"/>
      <c r="T3042" s="11" t="n">
        <v>0</v>
      </c>
      <c r="U3042" s="11" t="n">
        <v>0.9</v>
      </c>
      <c r="V3042" s="11" t="n">
        <v>0.9</v>
      </c>
    </row>
    <row r="3043" customFormat="false" ht="15" hidden="false" customHeight="false" outlineLevel="0" collapsed="false">
      <c r="A3043" s="6" t="s">
        <v>58</v>
      </c>
      <c r="B3043" s="6" t="s">
        <v>59</v>
      </c>
      <c r="C3043" s="6" t="s">
        <v>44</v>
      </c>
      <c r="D3043" s="6" t="s">
        <v>114</v>
      </c>
      <c r="E3043" s="6" t="n">
        <v>4</v>
      </c>
      <c r="F3043" s="6" t="n">
        <v>7</v>
      </c>
      <c r="G3043" s="6" t="s">
        <v>73</v>
      </c>
      <c r="H3043" s="11" t="n">
        <v>0.001</v>
      </c>
      <c r="I3043" s="6" t="n">
        <v>20</v>
      </c>
      <c r="J3043" s="6" t="n">
        <v>0</v>
      </c>
      <c r="K3043" s="6" t="n">
        <v>20</v>
      </c>
      <c r="L3043" s="6" t="n">
        <v>0</v>
      </c>
      <c r="M3043" s="6" t="n">
        <v>20</v>
      </c>
      <c r="N3043" s="11" t="n">
        <f aca="false">J3043/(J3043+K3043)</f>
        <v>0</v>
      </c>
      <c r="O3043" s="11" t="str">
        <f aca="false">IF(J3043+L3043=0,"",J3043/(J3043+L3043))</f>
        <v/>
      </c>
      <c r="P3043" s="11" t="n">
        <f aca="false">2*J3043/(2*J3043+L3043+K3043)</f>
        <v>0</v>
      </c>
      <c r="Q3043" s="11" t="n">
        <f aca="false">L3043/(L3043+M3043)</f>
        <v>0</v>
      </c>
      <c r="R3043" s="6" t="n">
        <v>2</v>
      </c>
      <c r="S3043" s="11" t="n">
        <v>0</v>
      </c>
      <c r="T3043" s="11" t="n">
        <v>0</v>
      </c>
      <c r="U3043" s="11" t="n">
        <v>0.65</v>
      </c>
      <c r="V3043" s="11" t="n">
        <v>0.65</v>
      </c>
    </row>
    <row r="3044" customFormat="false" ht="15" hidden="false" customHeight="false" outlineLevel="0" collapsed="false">
      <c r="A3044" s="6" t="s">
        <v>58</v>
      </c>
      <c r="B3044" s="6" t="s">
        <v>59</v>
      </c>
      <c r="C3044" s="6" t="s">
        <v>44</v>
      </c>
      <c r="D3044" s="6" t="s">
        <v>114</v>
      </c>
      <c r="E3044" s="6" t="n">
        <v>4</v>
      </c>
      <c r="F3044" s="6" t="n">
        <v>7</v>
      </c>
      <c r="G3044" s="6" t="s">
        <v>74</v>
      </c>
      <c r="H3044" s="11" t="n">
        <v>0.001</v>
      </c>
      <c r="I3044" s="6" t="n">
        <v>20</v>
      </c>
      <c r="J3044" s="6" t="n">
        <v>0</v>
      </c>
      <c r="K3044" s="6" t="n">
        <v>20</v>
      </c>
      <c r="L3044" s="6" t="n">
        <v>0</v>
      </c>
      <c r="M3044" s="6" t="n">
        <v>20</v>
      </c>
      <c r="N3044" s="11" t="n">
        <f aca="false">J3044/(J3044+K3044)</f>
        <v>0</v>
      </c>
      <c r="O3044" s="11" t="str">
        <f aca="false">IF(J3044+L3044=0,"",J3044/(J3044+L3044))</f>
        <v/>
      </c>
      <c r="P3044" s="11" t="n">
        <f aca="false">2*J3044/(2*J3044+L3044+K3044)</f>
        <v>0</v>
      </c>
      <c r="Q3044" s="11" t="n">
        <f aca="false">L3044/(L3044+M3044)</f>
        <v>0</v>
      </c>
      <c r="R3044" s="6" t="n">
        <v>1</v>
      </c>
      <c r="S3044" s="11" t="n">
        <v>0</v>
      </c>
      <c r="T3044" s="11" t="n">
        <v>0</v>
      </c>
      <c r="U3044" s="11" t="n">
        <v>0.85</v>
      </c>
      <c r="V3044" s="11" t="n">
        <v>0.8</v>
      </c>
    </row>
    <row r="3045" customFormat="false" ht="15" hidden="false" customHeight="false" outlineLevel="0" collapsed="false">
      <c r="A3045" s="6" t="s">
        <v>58</v>
      </c>
      <c r="B3045" s="6" t="s">
        <v>59</v>
      </c>
      <c r="C3045" s="6" t="s">
        <v>44</v>
      </c>
      <c r="D3045" s="6" t="s">
        <v>114</v>
      </c>
      <c r="E3045" s="6" t="n">
        <v>4</v>
      </c>
      <c r="F3045" s="6" t="n">
        <v>7</v>
      </c>
      <c r="G3045" s="6" t="s">
        <v>75</v>
      </c>
      <c r="H3045" s="11" t="n">
        <v>0.001</v>
      </c>
      <c r="I3045" s="6" t="n">
        <v>20</v>
      </c>
      <c r="J3045" s="6" t="n">
        <v>0</v>
      </c>
      <c r="K3045" s="6" t="n">
        <v>20</v>
      </c>
      <c r="L3045" s="6" t="n">
        <v>0</v>
      </c>
      <c r="M3045" s="6" t="n">
        <v>20</v>
      </c>
      <c r="N3045" s="11" t="n">
        <f aca="false">J3045/(J3045+K3045)</f>
        <v>0</v>
      </c>
      <c r="O3045" s="11" t="str">
        <f aca="false">IF(J3045+L3045=0,"",J3045/(J3045+L3045))</f>
        <v/>
      </c>
      <c r="P3045" s="11" t="n">
        <f aca="false">2*J3045/(2*J3045+L3045+K3045)</f>
        <v>0</v>
      </c>
      <c r="Q3045" s="11" t="n">
        <f aca="false">L3045/(L3045+M3045)</f>
        <v>0</v>
      </c>
      <c r="R3045" s="6" t="n">
        <v>1</v>
      </c>
      <c r="S3045" s="11" t="n">
        <v>0</v>
      </c>
      <c r="T3045" s="11" t="n">
        <v>0</v>
      </c>
      <c r="U3045" s="11" t="n">
        <v>0.9</v>
      </c>
      <c r="V3045" s="11" t="n">
        <v>0.85</v>
      </c>
    </row>
    <row r="3046" customFormat="false" ht="15" hidden="false" customHeight="false" outlineLevel="0" collapsed="false">
      <c r="A3046" s="6" t="s">
        <v>58</v>
      </c>
      <c r="B3046" s="6" t="s">
        <v>59</v>
      </c>
      <c r="C3046" s="6" t="s">
        <v>44</v>
      </c>
      <c r="D3046" s="6" t="s">
        <v>114</v>
      </c>
      <c r="E3046" s="6" t="n">
        <v>4</v>
      </c>
      <c r="F3046" s="6" t="n">
        <v>7</v>
      </c>
      <c r="G3046" s="6" t="s">
        <v>76</v>
      </c>
      <c r="H3046" s="11" t="n">
        <v>0.001</v>
      </c>
      <c r="I3046" s="6" t="n">
        <v>20</v>
      </c>
      <c r="J3046" s="6" t="n">
        <v>0</v>
      </c>
      <c r="K3046" s="6" t="n">
        <v>20</v>
      </c>
      <c r="L3046" s="6" t="n">
        <v>0</v>
      </c>
      <c r="M3046" s="6" t="n">
        <v>20</v>
      </c>
      <c r="N3046" s="11" t="n">
        <f aca="false">J3046/(J3046+K3046)</f>
        <v>0</v>
      </c>
      <c r="O3046" s="11" t="str">
        <f aca="false">IF(J3046+L3046=0,"",J3046/(J3046+L3046))</f>
        <v/>
      </c>
      <c r="P3046" s="11" t="n">
        <f aca="false">2*J3046/(2*J3046+L3046+K3046)</f>
        <v>0</v>
      </c>
      <c r="Q3046" s="11" t="n">
        <f aca="false">L3046/(L3046+M3046)</f>
        <v>0</v>
      </c>
      <c r="R3046" s="6" t="n">
        <v>0</v>
      </c>
      <c r="S3046" s="11"/>
      <c r="T3046" s="11" t="n">
        <v>0</v>
      </c>
      <c r="U3046" s="11" t="n">
        <v>0.95</v>
      </c>
      <c r="V3046" s="11" t="n">
        <v>0.95</v>
      </c>
    </row>
    <row r="3047" customFormat="false" ht="15" hidden="false" customHeight="false" outlineLevel="0" collapsed="false">
      <c r="A3047" s="6" t="s">
        <v>58</v>
      </c>
      <c r="B3047" s="6" t="s">
        <v>59</v>
      </c>
      <c r="C3047" s="6" t="s">
        <v>44</v>
      </c>
      <c r="D3047" s="6" t="s">
        <v>114</v>
      </c>
      <c r="E3047" s="6" t="n">
        <v>4</v>
      </c>
      <c r="F3047" s="6" t="n">
        <v>7</v>
      </c>
      <c r="G3047" s="6" t="s">
        <v>77</v>
      </c>
      <c r="H3047" s="11" t="n">
        <v>0.001</v>
      </c>
      <c r="I3047" s="6" t="n">
        <v>20</v>
      </c>
      <c r="J3047" s="6" t="n">
        <v>0</v>
      </c>
      <c r="K3047" s="6" t="n">
        <v>20</v>
      </c>
      <c r="L3047" s="6" t="n">
        <v>0</v>
      </c>
      <c r="M3047" s="6" t="n">
        <v>20</v>
      </c>
      <c r="N3047" s="11" t="n">
        <f aca="false">J3047/(J3047+K3047)</f>
        <v>0</v>
      </c>
      <c r="O3047" s="11" t="str">
        <f aca="false">IF(J3047+L3047=0,"",J3047/(J3047+L3047))</f>
        <v/>
      </c>
      <c r="P3047" s="11" t="n">
        <f aca="false">2*J3047/(2*J3047+L3047+K3047)</f>
        <v>0</v>
      </c>
      <c r="Q3047" s="11" t="n">
        <f aca="false">L3047/(L3047+M3047)</f>
        <v>0</v>
      </c>
      <c r="R3047" s="6" t="n">
        <v>0</v>
      </c>
      <c r="S3047" s="11"/>
      <c r="T3047" s="11" t="n">
        <v>0</v>
      </c>
      <c r="U3047" s="11" t="n">
        <v>1</v>
      </c>
      <c r="V3047" s="11" t="n">
        <v>1</v>
      </c>
    </row>
    <row r="3048" customFormat="false" ht="15" hidden="false" customHeight="false" outlineLevel="0" collapsed="false">
      <c r="A3048" s="6" t="s">
        <v>58</v>
      </c>
      <c r="B3048" s="6" t="s">
        <v>59</v>
      </c>
      <c r="C3048" s="6" t="s">
        <v>44</v>
      </c>
      <c r="D3048" s="6" t="s">
        <v>114</v>
      </c>
      <c r="E3048" s="6" t="n">
        <v>4</v>
      </c>
      <c r="F3048" s="6" t="n">
        <v>7</v>
      </c>
      <c r="G3048" s="6" t="s">
        <v>78</v>
      </c>
      <c r="H3048" s="11" t="n">
        <v>0.001</v>
      </c>
      <c r="I3048" s="6" t="n">
        <v>200</v>
      </c>
      <c r="J3048" s="6" t="n">
        <v>0</v>
      </c>
      <c r="K3048" s="6" t="n">
        <v>200</v>
      </c>
      <c r="L3048" s="6" t="n">
        <v>0</v>
      </c>
      <c r="M3048" s="6" t="n">
        <v>200</v>
      </c>
      <c r="N3048" s="11" t="n">
        <f aca="false">J3048/(J3048+K3048)</f>
        <v>0</v>
      </c>
      <c r="O3048" s="11" t="str">
        <f aca="false">IF(J3048+L3048=0,"",J3048/(J3048+L3048))</f>
        <v/>
      </c>
      <c r="P3048" s="11" t="n">
        <f aca="false">2*J3048/(2*J3048+L3048+K3048)</f>
        <v>0</v>
      </c>
      <c r="Q3048" s="11" t="n">
        <f aca="false">L3048/(L3048+M3048)</f>
        <v>0</v>
      </c>
      <c r="R3048" s="6" t="n">
        <v>4</v>
      </c>
      <c r="S3048" s="11" t="n">
        <v>0</v>
      </c>
      <c r="T3048" s="11" t="n">
        <v>0</v>
      </c>
      <c r="U3048" s="11" t="n">
        <v>0.88</v>
      </c>
      <c r="V3048" s="11" t="n">
        <v>0.87</v>
      </c>
    </row>
    <row r="3049" customFormat="false" ht="15" hidden="false" customHeight="false" outlineLevel="0" collapsed="false">
      <c r="A3049" s="6" t="s">
        <v>58</v>
      </c>
      <c r="B3049" s="6" t="s">
        <v>59</v>
      </c>
      <c r="C3049" s="6" t="s">
        <v>44</v>
      </c>
      <c r="D3049" s="6" t="s">
        <v>114</v>
      </c>
      <c r="E3049" s="6" t="n">
        <v>4</v>
      </c>
      <c r="F3049" s="6" t="n">
        <v>8</v>
      </c>
      <c r="G3049" s="6" t="s">
        <v>68</v>
      </c>
      <c r="H3049" s="11" t="n">
        <v>0.001</v>
      </c>
      <c r="I3049" s="6" t="n">
        <v>20</v>
      </c>
      <c r="J3049" s="6" t="n">
        <v>0</v>
      </c>
      <c r="K3049" s="6" t="n">
        <v>20</v>
      </c>
      <c r="L3049" s="6" t="n">
        <v>0</v>
      </c>
      <c r="M3049" s="6" t="n">
        <v>20</v>
      </c>
      <c r="N3049" s="11" t="n">
        <f aca="false">J3049/(J3049+K3049)</f>
        <v>0</v>
      </c>
      <c r="O3049" s="11" t="str">
        <f aca="false">IF(J3049+L3049=0,"",J3049/(J3049+L3049))</f>
        <v/>
      </c>
      <c r="P3049" s="11" t="n">
        <f aca="false">2*J3049/(2*J3049+L3049+K3049)</f>
        <v>0</v>
      </c>
      <c r="Q3049" s="11" t="n">
        <f aca="false">L3049/(L3049+M3049)</f>
        <v>0</v>
      </c>
      <c r="R3049" s="6" t="n">
        <v>0</v>
      </c>
      <c r="S3049" s="11"/>
      <c r="T3049" s="11" t="n">
        <v>0</v>
      </c>
      <c r="U3049" s="11" t="n">
        <v>0.85</v>
      </c>
      <c r="V3049" s="11" t="n">
        <v>0.85</v>
      </c>
    </row>
    <row r="3050" customFormat="false" ht="15" hidden="false" customHeight="false" outlineLevel="0" collapsed="false">
      <c r="A3050" s="6" t="s">
        <v>58</v>
      </c>
      <c r="B3050" s="6" t="s">
        <v>59</v>
      </c>
      <c r="C3050" s="6" t="s">
        <v>44</v>
      </c>
      <c r="D3050" s="6" t="s">
        <v>114</v>
      </c>
      <c r="E3050" s="6" t="n">
        <v>4</v>
      </c>
      <c r="F3050" s="6" t="n">
        <v>8</v>
      </c>
      <c r="G3050" s="6" t="s">
        <v>69</v>
      </c>
      <c r="H3050" s="11" t="n">
        <v>0.001</v>
      </c>
      <c r="I3050" s="6" t="n">
        <v>20</v>
      </c>
      <c r="J3050" s="6" t="n">
        <v>0</v>
      </c>
      <c r="K3050" s="6" t="n">
        <v>20</v>
      </c>
      <c r="L3050" s="6" t="n">
        <v>0</v>
      </c>
      <c r="M3050" s="6" t="n">
        <v>20</v>
      </c>
      <c r="N3050" s="11" t="n">
        <f aca="false">J3050/(J3050+K3050)</f>
        <v>0</v>
      </c>
      <c r="O3050" s="11" t="str">
        <f aca="false">IF(J3050+L3050=0,"",J3050/(J3050+L3050))</f>
        <v/>
      </c>
      <c r="P3050" s="11" t="n">
        <f aca="false">2*J3050/(2*J3050+L3050+K3050)</f>
        <v>0</v>
      </c>
      <c r="Q3050" s="11" t="n">
        <f aca="false">L3050/(L3050+M3050)</f>
        <v>0</v>
      </c>
      <c r="R3050" s="6" t="n">
        <v>0</v>
      </c>
      <c r="S3050" s="11"/>
      <c r="T3050" s="11" t="n">
        <v>0</v>
      </c>
      <c r="U3050" s="11" t="n">
        <v>1</v>
      </c>
      <c r="V3050" s="11" t="n">
        <v>1</v>
      </c>
    </row>
    <row r="3051" customFormat="false" ht="15" hidden="false" customHeight="false" outlineLevel="0" collapsed="false">
      <c r="A3051" s="6" t="s">
        <v>58</v>
      </c>
      <c r="B3051" s="6" t="s">
        <v>59</v>
      </c>
      <c r="C3051" s="6" t="s">
        <v>44</v>
      </c>
      <c r="D3051" s="6" t="s">
        <v>114</v>
      </c>
      <c r="E3051" s="6" t="n">
        <v>4</v>
      </c>
      <c r="F3051" s="6" t="n">
        <v>8</v>
      </c>
      <c r="G3051" s="6" t="s">
        <v>70</v>
      </c>
      <c r="H3051" s="11" t="n">
        <v>0.001</v>
      </c>
      <c r="I3051" s="6" t="n">
        <v>20</v>
      </c>
      <c r="J3051" s="6" t="n">
        <v>0</v>
      </c>
      <c r="K3051" s="6" t="n">
        <v>20</v>
      </c>
      <c r="L3051" s="6" t="n">
        <v>0</v>
      </c>
      <c r="M3051" s="6" t="n">
        <v>20</v>
      </c>
      <c r="N3051" s="11" t="n">
        <f aca="false">J3051/(J3051+K3051)</f>
        <v>0</v>
      </c>
      <c r="O3051" s="11" t="str">
        <f aca="false">IF(J3051+L3051=0,"",J3051/(J3051+L3051))</f>
        <v/>
      </c>
      <c r="P3051" s="11" t="n">
        <f aca="false">2*J3051/(2*J3051+L3051+K3051)</f>
        <v>0</v>
      </c>
      <c r="Q3051" s="11" t="n">
        <f aca="false">L3051/(L3051+M3051)</f>
        <v>0</v>
      </c>
      <c r="R3051" s="6" t="n">
        <v>0</v>
      </c>
      <c r="S3051" s="11"/>
      <c r="T3051" s="11" t="n">
        <v>0</v>
      </c>
      <c r="U3051" s="11" t="n">
        <v>0.9</v>
      </c>
      <c r="V3051" s="11" t="n">
        <v>0.9</v>
      </c>
    </row>
    <row r="3052" customFormat="false" ht="15" hidden="false" customHeight="false" outlineLevel="0" collapsed="false">
      <c r="A3052" s="6" t="s">
        <v>58</v>
      </c>
      <c r="B3052" s="6" t="s">
        <v>59</v>
      </c>
      <c r="C3052" s="6" t="s">
        <v>44</v>
      </c>
      <c r="D3052" s="6" t="s">
        <v>114</v>
      </c>
      <c r="E3052" s="6" t="n">
        <v>4</v>
      </c>
      <c r="F3052" s="6" t="n">
        <v>8</v>
      </c>
      <c r="G3052" s="6" t="s">
        <v>71</v>
      </c>
      <c r="H3052" s="11" t="n">
        <v>0.001</v>
      </c>
      <c r="I3052" s="6" t="n">
        <v>20</v>
      </c>
      <c r="J3052" s="6" t="n">
        <v>0</v>
      </c>
      <c r="K3052" s="6" t="n">
        <v>20</v>
      </c>
      <c r="L3052" s="6" t="n">
        <v>0</v>
      </c>
      <c r="M3052" s="6" t="n">
        <v>20</v>
      </c>
      <c r="N3052" s="11" t="n">
        <f aca="false">J3052/(J3052+K3052)</f>
        <v>0</v>
      </c>
      <c r="O3052" s="11" t="str">
        <f aca="false">IF(J3052+L3052=0,"",J3052/(J3052+L3052))</f>
        <v/>
      </c>
      <c r="P3052" s="11" t="n">
        <f aca="false">2*J3052/(2*J3052+L3052+K3052)</f>
        <v>0</v>
      </c>
      <c r="Q3052" s="11" t="n">
        <f aca="false">L3052/(L3052+M3052)</f>
        <v>0</v>
      </c>
      <c r="R3052" s="6" t="n">
        <v>0</v>
      </c>
      <c r="S3052" s="11"/>
      <c r="T3052" s="11" t="n">
        <v>0</v>
      </c>
      <c r="U3052" s="11" t="n">
        <v>0.8</v>
      </c>
      <c r="V3052" s="11" t="n">
        <v>0.8</v>
      </c>
    </row>
    <row r="3053" customFormat="false" ht="15" hidden="false" customHeight="false" outlineLevel="0" collapsed="false">
      <c r="A3053" s="6" t="s">
        <v>58</v>
      </c>
      <c r="B3053" s="6" t="s">
        <v>59</v>
      </c>
      <c r="C3053" s="6" t="s">
        <v>44</v>
      </c>
      <c r="D3053" s="6" t="s">
        <v>114</v>
      </c>
      <c r="E3053" s="6" t="n">
        <v>4</v>
      </c>
      <c r="F3053" s="6" t="n">
        <v>8</v>
      </c>
      <c r="G3053" s="6" t="s">
        <v>72</v>
      </c>
      <c r="H3053" s="11" t="n">
        <v>0.001</v>
      </c>
      <c r="I3053" s="6" t="n">
        <v>20</v>
      </c>
      <c r="J3053" s="6" t="n">
        <v>0</v>
      </c>
      <c r="K3053" s="6" t="n">
        <v>20</v>
      </c>
      <c r="L3053" s="6" t="n">
        <v>0</v>
      </c>
      <c r="M3053" s="6" t="n">
        <v>20</v>
      </c>
      <c r="N3053" s="11" t="n">
        <f aca="false">J3053/(J3053+K3053)</f>
        <v>0</v>
      </c>
      <c r="O3053" s="11" t="str">
        <f aca="false">IF(J3053+L3053=0,"",J3053/(J3053+L3053))</f>
        <v/>
      </c>
      <c r="P3053" s="11" t="n">
        <f aca="false">2*J3053/(2*J3053+L3053+K3053)</f>
        <v>0</v>
      </c>
      <c r="Q3053" s="11" t="n">
        <f aca="false">L3053/(L3053+M3053)</f>
        <v>0</v>
      </c>
      <c r="R3053" s="6" t="n">
        <v>0</v>
      </c>
      <c r="S3053" s="11"/>
      <c r="T3053" s="11" t="n">
        <v>0</v>
      </c>
      <c r="U3053" s="11" t="n">
        <v>0.9</v>
      </c>
      <c r="V3053" s="11" t="n">
        <v>0.9</v>
      </c>
    </row>
    <row r="3054" customFormat="false" ht="15" hidden="false" customHeight="false" outlineLevel="0" collapsed="false">
      <c r="A3054" s="6" t="s">
        <v>58</v>
      </c>
      <c r="B3054" s="6" t="s">
        <v>59</v>
      </c>
      <c r="C3054" s="6" t="s">
        <v>44</v>
      </c>
      <c r="D3054" s="6" t="s">
        <v>114</v>
      </c>
      <c r="E3054" s="6" t="n">
        <v>4</v>
      </c>
      <c r="F3054" s="6" t="n">
        <v>8</v>
      </c>
      <c r="G3054" s="6" t="s">
        <v>73</v>
      </c>
      <c r="H3054" s="11" t="n">
        <v>0.001</v>
      </c>
      <c r="I3054" s="6" t="n">
        <v>20</v>
      </c>
      <c r="J3054" s="6" t="n">
        <v>0</v>
      </c>
      <c r="K3054" s="6" t="n">
        <v>20</v>
      </c>
      <c r="L3054" s="6" t="n">
        <v>0</v>
      </c>
      <c r="M3054" s="6" t="n">
        <v>20</v>
      </c>
      <c r="N3054" s="11" t="n">
        <f aca="false">J3054/(J3054+K3054)</f>
        <v>0</v>
      </c>
      <c r="O3054" s="11" t="str">
        <f aca="false">IF(J3054+L3054=0,"",J3054/(J3054+L3054))</f>
        <v/>
      </c>
      <c r="P3054" s="11" t="n">
        <f aca="false">2*J3054/(2*J3054+L3054+K3054)</f>
        <v>0</v>
      </c>
      <c r="Q3054" s="11" t="n">
        <f aca="false">L3054/(L3054+M3054)</f>
        <v>0</v>
      </c>
      <c r="R3054" s="6" t="n">
        <v>1</v>
      </c>
      <c r="S3054" s="11" t="n">
        <v>0</v>
      </c>
      <c r="T3054" s="11" t="n">
        <v>0</v>
      </c>
      <c r="U3054" s="11" t="n">
        <v>0.65</v>
      </c>
      <c r="V3054" s="11" t="n">
        <v>0.65</v>
      </c>
    </row>
    <row r="3055" customFormat="false" ht="15" hidden="false" customHeight="false" outlineLevel="0" collapsed="false">
      <c r="A3055" s="6" t="s">
        <v>58</v>
      </c>
      <c r="B3055" s="6" t="s">
        <v>59</v>
      </c>
      <c r="C3055" s="6" t="s">
        <v>44</v>
      </c>
      <c r="D3055" s="6" t="s">
        <v>114</v>
      </c>
      <c r="E3055" s="6" t="n">
        <v>4</v>
      </c>
      <c r="F3055" s="6" t="n">
        <v>8</v>
      </c>
      <c r="G3055" s="6" t="s">
        <v>74</v>
      </c>
      <c r="H3055" s="11" t="n">
        <v>0.001</v>
      </c>
      <c r="I3055" s="6" t="n">
        <v>20</v>
      </c>
      <c r="J3055" s="6" t="n">
        <v>0</v>
      </c>
      <c r="K3055" s="6" t="n">
        <v>20</v>
      </c>
      <c r="L3055" s="6" t="n">
        <v>0</v>
      </c>
      <c r="M3055" s="6" t="n">
        <v>20</v>
      </c>
      <c r="N3055" s="11" t="n">
        <f aca="false">J3055/(J3055+K3055)</f>
        <v>0</v>
      </c>
      <c r="O3055" s="11" t="str">
        <f aca="false">IF(J3055+L3055=0,"",J3055/(J3055+L3055))</f>
        <v/>
      </c>
      <c r="P3055" s="11" t="n">
        <f aca="false">2*J3055/(2*J3055+L3055+K3055)</f>
        <v>0</v>
      </c>
      <c r="Q3055" s="11" t="n">
        <f aca="false">L3055/(L3055+M3055)</f>
        <v>0</v>
      </c>
      <c r="R3055" s="6" t="n">
        <v>3</v>
      </c>
      <c r="S3055" s="11" t="n">
        <v>0</v>
      </c>
      <c r="T3055" s="11" t="n">
        <v>0</v>
      </c>
      <c r="U3055" s="11" t="n">
        <v>0.85</v>
      </c>
      <c r="V3055" s="11" t="n">
        <v>0.7</v>
      </c>
    </row>
    <row r="3056" customFormat="false" ht="15" hidden="false" customHeight="false" outlineLevel="0" collapsed="false">
      <c r="A3056" s="6" t="s">
        <v>58</v>
      </c>
      <c r="B3056" s="6" t="s">
        <v>59</v>
      </c>
      <c r="C3056" s="6" t="s">
        <v>44</v>
      </c>
      <c r="D3056" s="6" t="s">
        <v>114</v>
      </c>
      <c r="E3056" s="6" t="n">
        <v>4</v>
      </c>
      <c r="F3056" s="6" t="n">
        <v>8</v>
      </c>
      <c r="G3056" s="6" t="s">
        <v>75</v>
      </c>
      <c r="H3056" s="11" t="n">
        <v>0.001</v>
      </c>
      <c r="I3056" s="6" t="n">
        <v>20</v>
      </c>
      <c r="J3056" s="6" t="n">
        <v>0</v>
      </c>
      <c r="K3056" s="6" t="n">
        <v>20</v>
      </c>
      <c r="L3056" s="6" t="n">
        <v>0</v>
      </c>
      <c r="M3056" s="6" t="n">
        <v>20</v>
      </c>
      <c r="N3056" s="11" t="n">
        <f aca="false">J3056/(J3056+K3056)</f>
        <v>0</v>
      </c>
      <c r="O3056" s="11" t="str">
        <f aca="false">IF(J3056+L3056=0,"",J3056/(J3056+L3056))</f>
        <v/>
      </c>
      <c r="P3056" s="11" t="n">
        <f aca="false">2*J3056/(2*J3056+L3056+K3056)</f>
        <v>0</v>
      </c>
      <c r="Q3056" s="11" t="n">
        <f aca="false">L3056/(L3056+M3056)</f>
        <v>0</v>
      </c>
      <c r="R3056" s="6" t="n">
        <v>1</v>
      </c>
      <c r="S3056" s="11" t="n">
        <v>0</v>
      </c>
      <c r="T3056" s="11" t="n">
        <v>0</v>
      </c>
      <c r="U3056" s="11" t="n">
        <v>0.9</v>
      </c>
      <c r="V3056" s="11" t="n">
        <v>0.95</v>
      </c>
    </row>
    <row r="3057" customFormat="false" ht="15" hidden="false" customHeight="false" outlineLevel="0" collapsed="false">
      <c r="A3057" s="6" t="s">
        <v>58</v>
      </c>
      <c r="B3057" s="6" t="s">
        <v>59</v>
      </c>
      <c r="C3057" s="6" t="s">
        <v>44</v>
      </c>
      <c r="D3057" s="6" t="s">
        <v>114</v>
      </c>
      <c r="E3057" s="6" t="n">
        <v>4</v>
      </c>
      <c r="F3057" s="6" t="n">
        <v>8</v>
      </c>
      <c r="G3057" s="6" t="s">
        <v>76</v>
      </c>
      <c r="H3057" s="11" t="n">
        <v>0.001</v>
      </c>
      <c r="I3057" s="6" t="n">
        <v>20</v>
      </c>
      <c r="J3057" s="6" t="n">
        <v>0</v>
      </c>
      <c r="K3057" s="6" t="n">
        <v>20</v>
      </c>
      <c r="L3057" s="6" t="n">
        <v>0</v>
      </c>
      <c r="M3057" s="6" t="n">
        <v>20</v>
      </c>
      <c r="N3057" s="11" t="n">
        <f aca="false">J3057/(J3057+K3057)</f>
        <v>0</v>
      </c>
      <c r="O3057" s="11" t="str">
        <f aca="false">IF(J3057+L3057=0,"",J3057/(J3057+L3057))</f>
        <v/>
      </c>
      <c r="P3057" s="11" t="n">
        <f aca="false">2*J3057/(2*J3057+L3057+K3057)</f>
        <v>0</v>
      </c>
      <c r="Q3057" s="11" t="n">
        <f aca="false">L3057/(L3057+M3057)</f>
        <v>0</v>
      </c>
      <c r="R3057" s="6" t="n">
        <v>0</v>
      </c>
      <c r="S3057" s="11"/>
      <c r="T3057" s="11" t="n">
        <v>0</v>
      </c>
      <c r="U3057" s="11" t="n">
        <v>0.95</v>
      </c>
      <c r="V3057" s="11" t="n">
        <v>0.95</v>
      </c>
    </row>
    <row r="3058" customFormat="false" ht="15" hidden="false" customHeight="false" outlineLevel="0" collapsed="false">
      <c r="A3058" s="6" t="s">
        <v>58</v>
      </c>
      <c r="B3058" s="6" t="s">
        <v>59</v>
      </c>
      <c r="C3058" s="6" t="s">
        <v>44</v>
      </c>
      <c r="D3058" s="6" t="s">
        <v>114</v>
      </c>
      <c r="E3058" s="6" t="n">
        <v>4</v>
      </c>
      <c r="F3058" s="6" t="n">
        <v>8</v>
      </c>
      <c r="G3058" s="6" t="s">
        <v>77</v>
      </c>
      <c r="H3058" s="11" t="n">
        <v>0.001</v>
      </c>
      <c r="I3058" s="6" t="n">
        <v>20</v>
      </c>
      <c r="J3058" s="6" t="n">
        <v>0</v>
      </c>
      <c r="K3058" s="6" t="n">
        <v>20</v>
      </c>
      <c r="L3058" s="6" t="n">
        <v>0</v>
      </c>
      <c r="M3058" s="6" t="n">
        <v>20</v>
      </c>
      <c r="N3058" s="11" t="n">
        <f aca="false">J3058/(J3058+K3058)</f>
        <v>0</v>
      </c>
      <c r="O3058" s="11" t="str">
        <f aca="false">IF(J3058+L3058=0,"",J3058/(J3058+L3058))</f>
        <v/>
      </c>
      <c r="P3058" s="11" t="n">
        <f aca="false">2*J3058/(2*J3058+L3058+K3058)</f>
        <v>0</v>
      </c>
      <c r="Q3058" s="11" t="n">
        <f aca="false">L3058/(L3058+M3058)</f>
        <v>0</v>
      </c>
      <c r="R3058" s="6" t="n">
        <v>0</v>
      </c>
      <c r="S3058" s="11"/>
      <c r="T3058" s="11" t="n">
        <v>0</v>
      </c>
      <c r="U3058" s="11" t="n">
        <v>1</v>
      </c>
      <c r="V3058" s="11" t="n">
        <v>1</v>
      </c>
    </row>
    <row r="3059" customFormat="false" ht="15" hidden="false" customHeight="false" outlineLevel="0" collapsed="false">
      <c r="A3059" s="6" t="s">
        <v>58</v>
      </c>
      <c r="B3059" s="6" t="s">
        <v>59</v>
      </c>
      <c r="C3059" s="6" t="s">
        <v>44</v>
      </c>
      <c r="D3059" s="6" t="s">
        <v>114</v>
      </c>
      <c r="E3059" s="6" t="n">
        <v>4</v>
      </c>
      <c r="F3059" s="6" t="n">
        <v>8</v>
      </c>
      <c r="G3059" s="6" t="s">
        <v>78</v>
      </c>
      <c r="H3059" s="11" t="n">
        <v>0.001</v>
      </c>
      <c r="I3059" s="6" t="n">
        <v>200</v>
      </c>
      <c r="J3059" s="6" t="n">
        <v>0</v>
      </c>
      <c r="K3059" s="6" t="n">
        <v>200</v>
      </c>
      <c r="L3059" s="6" t="n">
        <v>0</v>
      </c>
      <c r="M3059" s="6" t="n">
        <v>200</v>
      </c>
      <c r="N3059" s="11" t="n">
        <f aca="false">J3059/(J3059+K3059)</f>
        <v>0</v>
      </c>
      <c r="O3059" s="11" t="str">
        <f aca="false">IF(J3059+L3059=0,"",J3059/(J3059+L3059))</f>
        <v/>
      </c>
      <c r="P3059" s="11" t="n">
        <f aca="false">2*J3059/(2*J3059+L3059+K3059)</f>
        <v>0</v>
      </c>
      <c r="Q3059" s="11" t="n">
        <f aca="false">L3059/(L3059+M3059)</f>
        <v>0</v>
      </c>
      <c r="R3059" s="6" t="n">
        <v>5</v>
      </c>
      <c r="S3059" s="11" t="n">
        <v>0</v>
      </c>
      <c r="T3059" s="11" t="n">
        <v>0</v>
      </c>
      <c r="U3059" s="11" t="n">
        <v>0.88</v>
      </c>
      <c r="V3059" s="11" t="n">
        <v>0.87</v>
      </c>
    </row>
    <row r="3060" customFormat="false" ht="15" hidden="false" customHeight="false" outlineLevel="0" collapsed="false">
      <c r="A3060" s="6" t="s">
        <v>58</v>
      </c>
      <c r="B3060" s="6" t="s">
        <v>59</v>
      </c>
      <c r="C3060" s="6" t="s">
        <v>44</v>
      </c>
      <c r="D3060" s="6" t="s">
        <v>114</v>
      </c>
      <c r="E3060" s="6" t="n">
        <v>4</v>
      </c>
      <c r="F3060" s="6" t="n">
        <v>9</v>
      </c>
      <c r="G3060" s="6" t="s">
        <v>68</v>
      </c>
      <c r="H3060" s="11" t="n">
        <v>0.001</v>
      </c>
      <c r="I3060" s="6" t="n">
        <v>20</v>
      </c>
      <c r="J3060" s="6" t="n">
        <v>0</v>
      </c>
      <c r="K3060" s="6" t="n">
        <v>20</v>
      </c>
      <c r="L3060" s="6" t="n">
        <v>0</v>
      </c>
      <c r="M3060" s="6" t="n">
        <v>20</v>
      </c>
      <c r="N3060" s="11" t="n">
        <f aca="false">J3060/(J3060+K3060)</f>
        <v>0</v>
      </c>
      <c r="O3060" s="11" t="str">
        <f aca="false">IF(J3060+L3060=0,"",J3060/(J3060+L3060))</f>
        <v/>
      </c>
      <c r="P3060" s="11" t="n">
        <f aca="false">2*J3060/(2*J3060+L3060+K3060)</f>
        <v>0</v>
      </c>
      <c r="Q3060" s="11" t="n">
        <f aca="false">L3060/(L3060+M3060)</f>
        <v>0</v>
      </c>
      <c r="R3060" s="6" t="n">
        <v>0</v>
      </c>
      <c r="S3060" s="11"/>
      <c r="T3060" s="11" t="n">
        <v>0</v>
      </c>
      <c r="U3060" s="11" t="n">
        <v>0.85</v>
      </c>
      <c r="V3060" s="11" t="n">
        <v>0.85</v>
      </c>
    </row>
    <row r="3061" customFormat="false" ht="15" hidden="false" customHeight="false" outlineLevel="0" collapsed="false">
      <c r="A3061" s="6" t="s">
        <v>58</v>
      </c>
      <c r="B3061" s="6" t="s">
        <v>59</v>
      </c>
      <c r="C3061" s="6" t="s">
        <v>44</v>
      </c>
      <c r="D3061" s="6" t="s">
        <v>114</v>
      </c>
      <c r="E3061" s="6" t="n">
        <v>4</v>
      </c>
      <c r="F3061" s="6" t="n">
        <v>9</v>
      </c>
      <c r="G3061" s="6" t="s">
        <v>69</v>
      </c>
      <c r="H3061" s="11" t="n">
        <v>0.001</v>
      </c>
      <c r="I3061" s="6" t="n">
        <v>20</v>
      </c>
      <c r="J3061" s="6" t="n">
        <v>0</v>
      </c>
      <c r="K3061" s="6" t="n">
        <v>20</v>
      </c>
      <c r="L3061" s="6" t="n">
        <v>0</v>
      </c>
      <c r="M3061" s="6" t="n">
        <v>20</v>
      </c>
      <c r="N3061" s="11" t="n">
        <f aca="false">J3061/(J3061+K3061)</f>
        <v>0</v>
      </c>
      <c r="O3061" s="11" t="str">
        <f aca="false">IF(J3061+L3061=0,"",J3061/(J3061+L3061))</f>
        <v/>
      </c>
      <c r="P3061" s="11" t="n">
        <f aca="false">2*J3061/(2*J3061+L3061+K3061)</f>
        <v>0</v>
      </c>
      <c r="Q3061" s="11" t="n">
        <f aca="false">L3061/(L3061+M3061)</f>
        <v>0</v>
      </c>
      <c r="R3061" s="6" t="n">
        <v>1</v>
      </c>
      <c r="S3061" s="11" t="n">
        <v>0</v>
      </c>
      <c r="T3061" s="11" t="n">
        <v>0</v>
      </c>
      <c r="U3061" s="11" t="n">
        <v>1</v>
      </c>
      <c r="V3061" s="11" t="n">
        <v>0.95</v>
      </c>
    </row>
    <row r="3062" customFormat="false" ht="15" hidden="false" customHeight="false" outlineLevel="0" collapsed="false">
      <c r="A3062" s="6" t="s">
        <v>58</v>
      </c>
      <c r="B3062" s="6" t="s">
        <v>59</v>
      </c>
      <c r="C3062" s="6" t="s">
        <v>44</v>
      </c>
      <c r="D3062" s="6" t="s">
        <v>114</v>
      </c>
      <c r="E3062" s="6" t="n">
        <v>4</v>
      </c>
      <c r="F3062" s="6" t="n">
        <v>9</v>
      </c>
      <c r="G3062" s="6" t="s">
        <v>70</v>
      </c>
      <c r="H3062" s="11" t="n">
        <v>0.001</v>
      </c>
      <c r="I3062" s="6" t="n">
        <v>20</v>
      </c>
      <c r="J3062" s="6" t="n">
        <v>0</v>
      </c>
      <c r="K3062" s="6" t="n">
        <v>20</v>
      </c>
      <c r="L3062" s="6" t="n">
        <v>0</v>
      </c>
      <c r="M3062" s="6" t="n">
        <v>20</v>
      </c>
      <c r="N3062" s="11" t="n">
        <f aca="false">J3062/(J3062+K3062)</f>
        <v>0</v>
      </c>
      <c r="O3062" s="11" t="str">
        <f aca="false">IF(J3062+L3062=0,"",J3062/(J3062+L3062))</f>
        <v/>
      </c>
      <c r="P3062" s="11" t="n">
        <f aca="false">2*J3062/(2*J3062+L3062+K3062)</f>
        <v>0</v>
      </c>
      <c r="Q3062" s="11" t="n">
        <f aca="false">L3062/(L3062+M3062)</f>
        <v>0</v>
      </c>
      <c r="R3062" s="6" t="n">
        <v>0</v>
      </c>
      <c r="S3062" s="11"/>
      <c r="T3062" s="11" t="n">
        <v>0</v>
      </c>
      <c r="U3062" s="11" t="n">
        <v>0.9</v>
      </c>
      <c r="V3062" s="11" t="n">
        <v>0.9</v>
      </c>
    </row>
    <row r="3063" customFormat="false" ht="15" hidden="false" customHeight="false" outlineLevel="0" collapsed="false">
      <c r="A3063" s="6" t="s">
        <v>58</v>
      </c>
      <c r="B3063" s="6" t="s">
        <v>59</v>
      </c>
      <c r="C3063" s="6" t="s">
        <v>44</v>
      </c>
      <c r="D3063" s="6" t="s">
        <v>114</v>
      </c>
      <c r="E3063" s="6" t="n">
        <v>4</v>
      </c>
      <c r="F3063" s="6" t="n">
        <v>9</v>
      </c>
      <c r="G3063" s="6" t="s">
        <v>71</v>
      </c>
      <c r="H3063" s="11" t="n">
        <v>0.001</v>
      </c>
      <c r="I3063" s="6" t="n">
        <v>20</v>
      </c>
      <c r="J3063" s="6" t="n">
        <v>0</v>
      </c>
      <c r="K3063" s="6" t="n">
        <v>20</v>
      </c>
      <c r="L3063" s="6" t="n">
        <v>0</v>
      </c>
      <c r="M3063" s="6" t="n">
        <v>20</v>
      </c>
      <c r="N3063" s="11" t="n">
        <f aca="false">J3063/(J3063+K3063)</f>
        <v>0</v>
      </c>
      <c r="O3063" s="11" t="str">
        <f aca="false">IF(J3063+L3063=0,"",J3063/(J3063+L3063))</f>
        <v/>
      </c>
      <c r="P3063" s="11" t="n">
        <f aca="false">2*J3063/(2*J3063+L3063+K3063)</f>
        <v>0</v>
      </c>
      <c r="Q3063" s="11" t="n">
        <f aca="false">L3063/(L3063+M3063)</f>
        <v>0</v>
      </c>
      <c r="R3063" s="6" t="n">
        <v>1</v>
      </c>
      <c r="S3063" s="11" t="n">
        <v>0</v>
      </c>
      <c r="T3063" s="11" t="n">
        <v>0</v>
      </c>
      <c r="U3063" s="11" t="n">
        <v>0.8</v>
      </c>
      <c r="V3063" s="11" t="n">
        <v>0.8</v>
      </c>
    </row>
    <row r="3064" customFormat="false" ht="15" hidden="false" customHeight="false" outlineLevel="0" collapsed="false">
      <c r="A3064" s="6" t="s">
        <v>58</v>
      </c>
      <c r="B3064" s="6" t="s">
        <v>59</v>
      </c>
      <c r="C3064" s="6" t="s">
        <v>44</v>
      </c>
      <c r="D3064" s="6" t="s">
        <v>114</v>
      </c>
      <c r="E3064" s="6" t="n">
        <v>4</v>
      </c>
      <c r="F3064" s="6" t="n">
        <v>9</v>
      </c>
      <c r="G3064" s="6" t="s">
        <v>72</v>
      </c>
      <c r="H3064" s="11" t="n">
        <v>0.001</v>
      </c>
      <c r="I3064" s="6" t="n">
        <v>20</v>
      </c>
      <c r="J3064" s="6" t="n">
        <v>0</v>
      </c>
      <c r="K3064" s="6" t="n">
        <v>20</v>
      </c>
      <c r="L3064" s="6" t="n">
        <v>0</v>
      </c>
      <c r="M3064" s="6" t="n">
        <v>20</v>
      </c>
      <c r="N3064" s="11" t="n">
        <f aca="false">J3064/(J3064+K3064)</f>
        <v>0</v>
      </c>
      <c r="O3064" s="11" t="str">
        <f aca="false">IF(J3064+L3064=0,"",J3064/(J3064+L3064))</f>
        <v/>
      </c>
      <c r="P3064" s="11" t="n">
        <f aca="false">2*J3064/(2*J3064+L3064+K3064)</f>
        <v>0</v>
      </c>
      <c r="Q3064" s="11" t="n">
        <f aca="false">L3064/(L3064+M3064)</f>
        <v>0</v>
      </c>
      <c r="R3064" s="6" t="n">
        <v>1</v>
      </c>
      <c r="S3064" s="11" t="n">
        <v>0</v>
      </c>
      <c r="T3064" s="11" t="n">
        <v>0</v>
      </c>
      <c r="U3064" s="11" t="n">
        <v>0.9</v>
      </c>
      <c r="V3064" s="11" t="n">
        <v>0.9</v>
      </c>
    </row>
    <row r="3065" customFormat="false" ht="15" hidden="false" customHeight="false" outlineLevel="0" collapsed="false">
      <c r="A3065" s="6" t="s">
        <v>58</v>
      </c>
      <c r="B3065" s="6" t="s">
        <v>59</v>
      </c>
      <c r="C3065" s="6" t="s">
        <v>44</v>
      </c>
      <c r="D3065" s="6" t="s">
        <v>114</v>
      </c>
      <c r="E3065" s="6" t="n">
        <v>4</v>
      </c>
      <c r="F3065" s="6" t="n">
        <v>9</v>
      </c>
      <c r="G3065" s="6" t="s">
        <v>73</v>
      </c>
      <c r="H3065" s="11" t="n">
        <v>0.001</v>
      </c>
      <c r="I3065" s="6" t="n">
        <v>20</v>
      </c>
      <c r="J3065" s="6" t="n">
        <v>0</v>
      </c>
      <c r="K3065" s="6" t="n">
        <v>20</v>
      </c>
      <c r="L3065" s="6" t="n">
        <v>0</v>
      </c>
      <c r="M3065" s="6" t="n">
        <v>20</v>
      </c>
      <c r="N3065" s="11" t="n">
        <f aca="false">J3065/(J3065+K3065)</f>
        <v>0</v>
      </c>
      <c r="O3065" s="11" t="str">
        <f aca="false">IF(J3065+L3065=0,"",J3065/(J3065+L3065))</f>
        <v/>
      </c>
      <c r="P3065" s="11" t="n">
        <f aca="false">2*J3065/(2*J3065+L3065+K3065)</f>
        <v>0</v>
      </c>
      <c r="Q3065" s="11" t="n">
        <f aca="false">L3065/(L3065+M3065)</f>
        <v>0</v>
      </c>
      <c r="R3065" s="6" t="n">
        <v>1</v>
      </c>
      <c r="S3065" s="11" t="n">
        <v>0</v>
      </c>
      <c r="T3065" s="11" t="n">
        <v>0</v>
      </c>
      <c r="U3065" s="11" t="n">
        <v>0.65</v>
      </c>
      <c r="V3065" s="11" t="n">
        <v>0.6</v>
      </c>
    </row>
    <row r="3066" customFormat="false" ht="15" hidden="false" customHeight="false" outlineLevel="0" collapsed="false">
      <c r="A3066" s="6" t="s">
        <v>58</v>
      </c>
      <c r="B3066" s="6" t="s">
        <v>59</v>
      </c>
      <c r="C3066" s="6" t="s">
        <v>44</v>
      </c>
      <c r="D3066" s="6" t="s">
        <v>114</v>
      </c>
      <c r="E3066" s="6" t="n">
        <v>4</v>
      </c>
      <c r="F3066" s="6" t="n">
        <v>9</v>
      </c>
      <c r="G3066" s="6" t="s">
        <v>74</v>
      </c>
      <c r="H3066" s="11" t="n">
        <v>0.001</v>
      </c>
      <c r="I3066" s="6" t="n">
        <v>20</v>
      </c>
      <c r="J3066" s="6" t="n">
        <v>0</v>
      </c>
      <c r="K3066" s="6" t="n">
        <v>20</v>
      </c>
      <c r="L3066" s="6" t="n">
        <v>0</v>
      </c>
      <c r="M3066" s="6" t="n">
        <v>20</v>
      </c>
      <c r="N3066" s="11" t="n">
        <f aca="false">J3066/(J3066+K3066)</f>
        <v>0</v>
      </c>
      <c r="O3066" s="11" t="str">
        <f aca="false">IF(J3066+L3066=0,"",J3066/(J3066+L3066))</f>
        <v/>
      </c>
      <c r="P3066" s="11" t="n">
        <f aca="false">2*J3066/(2*J3066+L3066+K3066)</f>
        <v>0</v>
      </c>
      <c r="Q3066" s="11" t="n">
        <f aca="false">L3066/(L3066+M3066)</f>
        <v>0</v>
      </c>
      <c r="R3066" s="6" t="n">
        <v>2</v>
      </c>
      <c r="S3066" s="11" t="n">
        <v>0</v>
      </c>
      <c r="T3066" s="11" t="n">
        <v>0</v>
      </c>
      <c r="U3066" s="11" t="n">
        <v>0.85</v>
      </c>
      <c r="V3066" s="11" t="n">
        <v>0.85</v>
      </c>
    </row>
    <row r="3067" customFormat="false" ht="15" hidden="false" customHeight="false" outlineLevel="0" collapsed="false">
      <c r="A3067" s="6" t="s">
        <v>58</v>
      </c>
      <c r="B3067" s="6" t="s">
        <v>59</v>
      </c>
      <c r="C3067" s="6" t="s">
        <v>44</v>
      </c>
      <c r="D3067" s="6" t="s">
        <v>114</v>
      </c>
      <c r="E3067" s="6" t="n">
        <v>4</v>
      </c>
      <c r="F3067" s="6" t="n">
        <v>9</v>
      </c>
      <c r="G3067" s="6" t="s">
        <v>75</v>
      </c>
      <c r="H3067" s="11" t="n">
        <v>0.001</v>
      </c>
      <c r="I3067" s="6" t="n">
        <v>20</v>
      </c>
      <c r="J3067" s="6" t="n">
        <v>0</v>
      </c>
      <c r="K3067" s="6" t="n">
        <v>20</v>
      </c>
      <c r="L3067" s="6" t="n">
        <v>0</v>
      </c>
      <c r="M3067" s="6" t="n">
        <v>20</v>
      </c>
      <c r="N3067" s="11" t="n">
        <f aca="false">J3067/(J3067+K3067)</f>
        <v>0</v>
      </c>
      <c r="O3067" s="11" t="str">
        <f aca="false">IF(J3067+L3067=0,"",J3067/(J3067+L3067))</f>
        <v/>
      </c>
      <c r="P3067" s="11" t="n">
        <f aca="false">2*J3067/(2*J3067+L3067+K3067)</f>
        <v>0</v>
      </c>
      <c r="Q3067" s="11" t="n">
        <f aca="false">L3067/(L3067+M3067)</f>
        <v>0</v>
      </c>
      <c r="R3067" s="6" t="n">
        <v>0</v>
      </c>
      <c r="S3067" s="11"/>
      <c r="T3067" s="11" t="n">
        <v>0</v>
      </c>
      <c r="U3067" s="11" t="n">
        <v>0.9</v>
      </c>
      <c r="V3067" s="11" t="n">
        <v>0.9</v>
      </c>
    </row>
    <row r="3068" customFormat="false" ht="15" hidden="false" customHeight="false" outlineLevel="0" collapsed="false">
      <c r="A3068" s="6" t="s">
        <v>58</v>
      </c>
      <c r="B3068" s="6" t="s">
        <v>59</v>
      </c>
      <c r="C3068" s="6" t="s">
        <v>44</v>
      </c>
      <c r="D3068" s="6" t="s">
        <v>114</v>
      </c>
      <c r="E3068" s="6" t="n">
        <v>4</v>
      </c>
      <c r="F3068" s="6" t="n">
        <v>9</v>
      </c>
      <c r="G3068" s="6" t="s">
        <v>76</v>
      </c>
      <c r="H3068" s="11" t="n">
        <v>0.001</v>
      </c>
      <c r="I3068" s="6" t="n">
        <v>20</v>
      </c>
      <c r="J3068" s="6" t="n">
        <v>0</v>
      </c>
      <c r="K3068" s="6" t="n">
        <v>20</v>
      </c>
      <c r="L3068" s="6" t="n">
        <v>0</v>
      </c>
      <c r="M3068" s="6" t="n">
        <v>20</v>
      </c>
      <c r="N3068" s="11" t="n">
        <f aca="false">J3068/(J3068+K3068)</f>
        <v>0</v>
      </c>
      <c r="O3068" s="11" t="str">
        <f aca="false">IF(J3068+L3068=0,"",J3068/(J3068+L3068))</f>
        <v/>
      </c>
      <c r="P3068" s="11" t="n">
        <f aca="false">2*J3068/(2*J3068+L3068+K3068)</f>
        <v>0</v>
      </c>
      <c r="Q3068" s="11" t="n">
        <f aca="false">L3068/(L3068+M3068)</f>
        <v>0</v>
      </c>
      <c r="R3068" s="6" t="n">
        <v>0</v>
      </c>
      <c r="S3068" s="11"/>
      <c r="T3068" s="11" t="n">
        <v>0</v>
      </c>
      <c r="U3068" s="11" t="n">
        <v>0.95</v>
      </c>
      <c r="V3068" s="11" t="n">
        <v>0.95</v>
      </c>
    </row>
    <row r="3069" customFormat="false" ht="15" hidden="false" customHeight="false" outlineLevel="0" collapsed="false">
      <c r="A3069" s="6" t="s">
        <v>58</v>
      </c>
      <c r="B3069" s="6" t="s">
        <v>59</v>
      </c>
      <c r="C3069" s="6" t="s">
        <v>44</v>
      </c>
      <c r="D3069" s="6" t="s">
        <v>114</v>
      </c>
      <c r="E3069" s="6" t="n">
        <v>4</v>
      </c>
      <c r="F3069" s="6" t="n">
        <v>9</v>
      </c>
      <c r="G3069" s="6" t="s">
        <v>77</v>
      </c>
      <c r="H3069" s="11" t="n">
        <v>0.001</v>
      </c>
      <c r="I3069" s="6" t="n">
        <v>20</v>
      </c>
      <c r="J3069" s="6" t="n">
        <v>0</v>
      </c>
      <c r="K3069" s="6" t="n">
        <v>20</v>
      </c>
      <c r="L3069" s="6" t="n">
        <v>0</v>
      </c>
      <c r="M3069" s="6" t="n">
        <v>20</v>
      </c>
      <c r="N3069" s="11" t="n">
        <f aca="false">J3069/(J3069+K3069)</f>
        <v>0</v>
      </c>
      <c r="O3069" s="11" t="str">
        <f aca="false">IF(J3069+L3069=0,"",J3069/(J3069+L3069))</f>
        <v/>
      </c>
      <c r="P3069" s="11" t="n">
        <f aca="false">2*J3069/(2*J3069+L3069+K3069)</f>
        <v>0</v>
      </c>
      <c r="Q3069" s="11" t="n">
        <f aca="false">L3069/(L3069+M3069)</f>
        <v>0</v>
      </c>
      <c r="R3069" s="6" t="n">
        <v>0</v>
      </c>
      <c r="S3069" s="11"/>
      <c r="T3069" s="11" t="n">
        <v>0</v>
      </c>
      <c r="U3069" s="11" t="n">
        <v>1</v>
      </c>
      <c r="V3069" s="11" t="n">
        <v>1</v>
      </c>
    </row>
    <row r="3070" customFormat="false" ht="15" hidden="false" customHeight="false" outlineLevel="0" collapsed="false">
      <c r="A3070" s="6" t="s">
        <v>58</v>
      </c>
      <c r="B3070" s="6" t="s">
        <v>59</v>
      </c>
      <c r="C3070" s="6" t="s">
        <v>44</v>
      </c>
      <c r="D3070" s="6" t="s">
        <v>114</v>
      </c>
      <c r="E3070" s="6" t="n">
        <v>4</v>
      </c>
      <c r="F3070" s="6" t="n">
        <v>9</v>
      </c>
      <c r="G3070" s="6" t="s">
        <v>78</v>
      </c>
      <c r="H3070" s="11" t="n">
        <v>0.001</v>
      </c>
      <c r="I3070" s="6" t="n">
        <v>200</v>
      </c>
      <c r="J3070" s="6" t="n">
        <v>0</v>
      </c>
      <c r="K3070" s="6" t="n">
        <v>200</v>
      </c>
      <c r="L3070" s="6" t="n">
        <v>0</v>
      </c>
      <c r="M3070" s="6" t="n">
        <v>200</v>
      </c>
      <c r="N3070" s="11" t="n">
        <f aca="false">J3070/(J3070+K3070)</f>
        <v>0</v>
      </c>
      <c r="O3070" s="11" t="str">
        <f aca="false">IF(J3070+L3070=0,"",J3070/(J3070+L3070))</f>
        <v/>
      </c>
      <c r="P3070" s="11" t="n">
        <f aca="false">2*J3070/(2*J3070+L3070+K3070)</f>
        <v>0</v>
      </c>
      <c r="Q3070" s="11" t="n">
        <f aca="false">L3070/(L3070+M3070)</f>
        <v>0</v>
      </c>
      <c r="R3070" s="6" t="n">
        <v>6</v>
      </c>
      <c r="S3070" s="11" t="n">
        <v>0</v>
      </c>
      <c r="T3070" s="11" t="n">
        <v>0</v>
      </c>
      <c r="U3070" s="11" t="n">
        <v>0.88</v>
      </c>
      <c r="V3070" s="11" t="n">
        <v>0.87</v>
      </c>
    </row>
    <row r="3071" customFormat="false" ht="15" hidden="false" customHeight="false" outlineLevel="0" collapsed="false">
      <c r="A3071" s="6" t="s">
        <v>58</v>
      </c>
      <c r="B3071" s="6" t="s">
        <v>59</v>
      </c>
      <c r="C3071" s="6" t="s">
        <v>44</v>
      </c>
      <c r="D3071" s="6" t="s">
        <v>114</v>
      </c>
      <c r="E3071" s="6" t="n">
        <v>4</v>
      </c>
      <c r="F3071" s="6" t="n">
        <v>10</v>
      </c>
      <c r="G3071" s="6" t="s">
        <v>68</v>
      </c>
      <c r="H3071" s="11" t="n">
        <v>0.001</v>
      </c>
      <c r="I3071" s="6" t="n">
        <v>20</v>
      </c>
      <c r="J3071" s="6" t="n">
        <v>0</v>
      </c>
      <c r="K3071" s="6" t="n">
        <v>20</v>
      </c>
      <c r="L3071" s="6" t="n">
        <v>0</v>
      </c>
      <c r="M3071" s="6" t="n">
        <v>20</v>
      </c>
      <c r="N3071" s="11" t="n">
        <f aca="false">J3071/(J3071+K3071)</f>
        <v>0</v>
      </c>
      <c r="O3071" s="11" t="str">
        <f aca="false">IF(J3071+L3071=0,"",J3071/(J3071+L3071))</f>
        <v/>
      </c>
      <c r="P3071" s="11" t="n">
        <f aca="false">2*J3071/(2*J3071+L3071+K3071)</f>
        <v>0</v>
      </c>
      <c r="Q3071" s="11" t="n">
        <f aca="false">L3071/(L3071+M3071)</f>
        <v>0</v>
      </c>
      <c r="R3071" s="6" t="n">
        <v>1</v>
      </c>
      <c r="S3071" s="11" t="n">
        <v>0</v>
      </c>
      <c r="T3071" s="11" t="n">
        <v>0</v>
      </c>
      <c r="U3071" s="11" t="n">
        <v>0.85</v>
      </c>
      <c r="V3071" s="11" t="n">
        <v>0.8</v>
      </c>
    </row>
    <row r="3072" customFormat="false" ht="15" hidden="false" customHeight="false" outlineLevel="0" collapsed="false">
      <c r="A3072" s="6" t="s">
        <v>58</v>
      </c>
      <c r="B3072" s="6" t="s">
        <v>59</v>
      </c>
      <c r="C3072" s="6" t="s">
        <v>44</v>
      </c>
      <c r="D3072" s="6" t="s">
        <v>114</v>
      </c>
      <c r="E3072" s="6" t="n">
        <v>4</v>
      </c>
      <c r="F3072" s="6" t="n">
        <v>10</v>
      </c>
      <c r="G3072" s="6" t="s">
        <v>69</v>
      </c>
      <c r="H3072" s="11" t="n">
        <v>0.001</v>
      </c>
      <c r="I3072" s="6" t="n">
        <v>20</v>
      </c>
      <c r="J3072" s="6" t="n">
        <v>0</v>
      </c>
      <c r="K3072" s="6" t="n">
        <v>20</v>
      </c>
      <c r="L3072" s="6" t="n">
        <v>0</v>
      </c>
      <c r="M3072" s="6" t="n">
        <v>20</v>
      </c>
      <c r="N3072" s="11" t="n">
        <f aca="false">J3072/(J3072+K3072)</f>
        <v>0</v>
      </c>
      <c r="O3072" s="11" t="str">
        <f aca="false">IF(J3072+L3072=0,"",J3072/(J3072+L3072))</f>
        <v/>
      </c>
      <c r="P3072" s="11" t="n">
        <f aca="false">2*J3072/(2*J3072+L3072+K3072)</f>
        <v>0</v>
      </c>
      <c r="Q3072" s="11" t="n">
        <f aca="false">L3072/(L3072+M3072)</f>
        <v>0</v>
      </c>
      <c r="R3072" s="6" t="n">
        <v>0</v>
      </c>
      <c r="S3072" s="11"/>
      <c r="T3072" s="11" t="n">
        <v>0</v>
      </c>
      <c r="U3072" s="11" t="n">
        <v>1</v>
      </c>
      <c r="V3072" s="11" t="n">
        <v>1</v>
      </c>
    </row>
    <row r="3073" customFormat="false" ht="15" hidden="false" customHeight="false" outlineLevel="0" collapsed="false">
      <c r="A3073" s="6" t="s">
        <v>58</v>
      </c>
      <c r="B3073" s="6" t="s">
        <v>59</v>
      </c>
      <c r="C3073" s="6" t="s">
        <v>44</v>
      </c>
      <c r="D3073" s="6" t="s">
        <v>114</v>
      </c>
      <c r="E3073" s="6" t="n">
        <v>4</v>
      </c>
      <c r="F3073" s="6" t="n">
        <v>10</v>
      </c>
      <c r="G3073" s="6" t="s">
        <v>70</v>
      </c>
      <c r="H3073" s="11" t="n">
        <v>0.001</v>
      </c>
      <c r="I3073" s="6" t="n">
        <v>20</v>
      </c>
      <c r="J3073" s="6" t="n">
        <v>0</v>
      </c>
      <c r="K3073" s="6" t="n">
        <v>20</v>
      </c>
      <c r="L3073" s="6" t="n">
        <v>0</v>
      </c>
      <c r="M3073" s="6" t="n">
        <v>20</v>
      </c>
      <c r="N3073" s="11" t="n">
        <f aca="false">J3073/(J3073+K3073)</f>
        <v>0</v>
      </c>
      <c r="O3073" s="11" t="str">
        <f aca="false">IF(J3073+L3073=0,"",J3073/(J3073+L3073))</f>
        <v/>
      </c>
      <c r="P3073" s="11" t="n">
        <f aca="false">2*J3073/(2*J3073+L3073+K3073)</f>
        <v>0</v>
      </c>
      <c r="Q3073" s="11" t="n">
        <f aca="false">L3073/(L3073+M3073)</f>
        <v>0</v>
      </c>
      <c r="R3073" s="6" t="n">
        <v>0</v>
      </c>
      <c r="S3073" s="11"/>
      <c r="T3073" s="11" t="n">
        <v>0</v>
      </c>
      <c r="U3073" s="11" t="n">
        <v>0.9</v>
      </c>
      <c r="V3073" s="11" t="n">
        <v>0.9</v>
      </c>
    </row>
    <row r="3074" customFormat="false" ht="15" hidden="false" customHeight="false" outlineLevel="0" collapsed="false">
      <c r="A3074" s="6" t="s">
        <v>58</v>
      </c>
      <c r="B3074" s="6" t="s">
        <v>59</v>
      </c>
      <c r="C3074" s="6" t="s">
        <v>44</v>
      </c>
      <c r="D3074" s="6" t="s">
        <v>114</v>
      </c>
      <c r="E3074" s="6" t="n">
        <v>4</v>
      </c>
      <c r="F3074" s="6" t="n">
        <v>10</v>
      </c>
      <c r="G3074" s="6" t="s">
        <v>71</v>
      </c>
      <c r="H3074" s="11" t="n">
        <v>0.001</v>
      </c>
      <c r="I3074" s="6" t="n">
        <v>20</v>
      </c>
      <c r="J3074" s="6" t="n">
        <v>0</v>
      </c>
      <c r="K3074" s="6" t="n">
        <v>20</v>
      </c>
      <c r="L3074" s="6" t="n">
        <v>0</v>
      </c>
      <c r="M3074" s="6" t="n">
        <v>20</v>
      </c>
      <c r="N3074" s="11" t="n">
        <f aca="false">J3074/(J3074+K3074)</f>
        <v>0</v>
      </c>
      <c r="O3074" s="11" t="str">
        <f aca="false">IF(J3074+L3074=0,"",J3074/(J3074+L3074))</f>
        <v/>
      </c>
      <c r="P3074" s="11" t="n">
        <f aca="false">2*J3074/(2*J3074+L3074+K3074)</f>
        <v>0</v>
      </c>
      <c r="Q3074" s="11" t="n">
        <f aca="false">L3074/(L3074+M3074)</f>
        <v>0</v>
      </c>
      <c r="R3074" s="6" t="n">
        <v>0</v>
      </c>
      <c r="S3074" s="11"/>
      <c r="T3074" s="11" t="n">
        <v>0</v>
      </c>
      <c r="U3074" s="11" t="n">
        <v>0.8</v>
      </c>
      <c r="V3074" s="11" t="n">
        <v>0.8</v>
      </c>
    </row>
    <row r="3075" customFormat="false" ht="15" hidden="false" customHeight="false" outlineLevel="0" collapsed="false">
      <c r="A3075" s="6" t="s">
        <v>58</v>
      </c>
      <c r="B3075" s="6" t="s">
        <v>59</v>
      </c>
      <c r="C3075" s="6" t="s">
        <v>44</v>
      </c>
      <c r="D3075" s="6" t="s">
        <v>114</v>
      </c>
      <c r="E3075" s="6" t="n">
        <v>4</v>
      </c>
      <c r="F3075" s="6" t="n">
        <v>10</v>
      </c>
      <c r="G3075" s="6" t="s">
        <v>72</v>
      </c>
      <c r="H3075" s="11" t="n">
        <v>0.001</v>
      </c>
      <c r="I3075" s="6" t="n">
        <v>20</v>
      </c>
      <c r="J3075" s="6" t="n">
        <v>0</v>
      </c>
      <c r="K3075" s="6" t="n">
        <v>20</v>
      </c>
      <c r="L3075" s="6" t="n">
        <v>0</v>
      </c>
      <c r="M3075" s="6" t="n">
        <v>20</v>
      </c>
      <c r="N3075" s="11" t="n">
        <f aca="false">J3075/(J3075+K3075)</f>
        <v>0</v>
      </c>
      <c r="O3075" s="11" t="str">
        <f aca="false">IF(J3075+L3075=0,"",J3075/(J3075+L3075))</f>
        <v/>
      </c>
      <c r="P3075" s="11" t="n">
        <f aca="false">2*J3075/(2*J3075+L3075+K3075)</f>
        <v>0</v>
      </c>
      <c r="Q3075" s="11" t="n">
        <f aca="false">L3075/(L3075+M3075)</f>
        <v>0</v>
      </c>
      <c r="R3075" s="6" t="n">
        <v>0</v>
      </c>
      <c r="S3075" s="11"/>
      <c r="T3075" s="11" t="n">
        <v>0</v>
      </c>
      <c r="U3075" s="11" t="n">
        <v>0.9</v>
      </c>
      <c r="V3075" s="11" t="n">
        <v>0.9</v>
      </c>
    </row>
    <row r="3076" customFormat="false" ht="15" hidden="false" customHeight="false" outlineLevel="0" collapsed="false">
      <c r="A3076" s="6" t="s">
        <v>58</v>
      </c>
      <c r="B3076" s="6" t="s">
        <v>59</v>
      </c>
      <c r="C3076" s="6" t="s">
        <v>44</v>
      </c>
      <c r="D3076" s="6" t="s">
        <v>114</v>
      </c>
      <c r="E3076" s="6" t="n">
        <v>4</v>
      </c>
      <c r="F3076" s="6" t="n">
        <v>10</v>
      </c>
      <c r="G3076" s="6" t="s">
        <v>73</v>
      </c>
      <c r="H3076" s="11" t="n">
        <v>0.001</v>
      </c>
      <c r="I3076" s="6" t="n">
        <v>20</v>
      </c>
      <c r="J3076" s="6" t="n">
        <v>0</v>
      </c>
      <c r="K3076" s="6" t="n">
        <v>20</v>
      </c>
      <c r="L3076" s="6" t="n">
        <v>0</v>
      </c>
      <c r="M3076" s="6" t="n">
        <v>20</v>
      </c>
      <c r="N3076" s="11" t="n">
        <f aca="false">J3076/(J3076+K3076)</f>
        <v>0</v>
      </c>
      <c r="O3076" s="11" t="str">
        <f aca="false">IF(J3076+L3076=0,"",J3076/(J3076+L3076))</f>
        <v/>
      </c>
      <c r="P3076" s="11" t="n">
        <f aca="false">2*J3076/(2*J3076+L3076+K3076)</f>
        <v>0</v>
      </c>
      <c r="Q3076" s="11" t="n">
        <f aca="false">L3076/(L3076+M3076)</f>
        <v>0</v>
      </c>
      <c r="R3076" s="6" t="n">
        <v>1</v>
      </c>
      <c r="S3076" s="11" t="n">
        <v>0</v>
      </c>
      <c r="T3076" s="11" t="n">
        <v>0</v>
      </c>
      <c r="U3076" s="11" t="n">
        <v>0.65</v>
      </c>
      <c r="V3076" s="11" t="n">
        <v>0.65</v>
      </c>
    </row>
    <row r="3077" customFormat="false" ht="15" hidden="false" customHeight="false" outlineLevel="0" collapsed="false">
      <c r="A3077" s="6" t="s">
        <v>58</v>
      </c>
      <c r="B3077" s="6" t="s">
        <v>59</v>
      </c>
      <c r="C3077" s="6" t="s">
        <v>44</v>
      </c>
      <c r="D3077" s="6" t="s">
        <v>114</v>
      </c>
      <c r="E3077" s="6" t="n">
        <v>4</v>
      </c>
      <c r="F3077" s="6" t="n">
        <v>10</v>
      </c>
      <c r="G3077" s="6" t="s">
        <v>74</v>
      </c>
      <c r="H3077" s="11" t="n">
        <v>0.001</v>
      </c>
      <c r="I3077" s="6" t="n">
        <v>20</v>
      </c>
      <c r="J3077" s="6" t="n">
        <v>0</v>
      </c>
      <c r="K3077" s="6" t="n">
        <v>20</v>
      </c>
      <c r="L3077" s="6" t="n">
        <v>0</v>
      </c>
      <c r="M3077" s="6" t="n">
        <v>20</v>
      </c>
      <c r="N3077" s="11" t="n">
        <f aca="false">J3077/(J3077+K3077)</f>
        <v>0</v>
      </c>
      <c r="O3077" s="11" t="str">
        <f aca="false">IF(J3077+L3077=0,"",J3077/(J3077+L3077))</f>
        <v/>
      </c>
      <c r="P3077" s="11" t="n">
        <f aca="false">2*J3077/(2*J3077+L3077+K3077)</f>
        <v>0</v>
      </c>
      <c r="Q3077" s="11" t="n">
        <f aca="false">L3077/(L3077+M3077)</f>
        <v>0</v>
      </c>
      <c r="R3077" s="6" t="n">
        <v>1</v>
      </c>
      <c r="S3077" s="11" t="n">
        <v>0</v>
      </c>
      <c r="T3077" s="11" t="n">
        <v>0</v>
      </c>
      <c r="U3077" s="11" t="n">
        <v>0.85</v>
      </c>
      <c r="V3077" s="11" t="n">
        <v>0.85</v>
      </c>
    </row>
    <row r="3078" customFormat="false" ht="15" hidden="false" customHeight="false" outlineLevel="0" collapsed="false">
      <c r="A3078" s="6" t="s">
        <v>58</v>
      </c>
      <c r="B3078" s="6" t="s">
        <v>59</v>
      </c>
      <c r="C3078" s="6" t="s">
        <v>44</v>
      </c>
      <c r="D3078" s="6" t="s">
        <v>114</v>
      </c>
      <c r="E3078" s="6" t="n">
        <v>4</v>
      </c>
      <c r="F3078" s="6" t="n">
        <v>10</v>
      </c>
      <c r="G3078" s="6" t="s">
        <v>75</v>
      </c>
      <c r="H3078" s="11" t="n">
        <v>0.001</v>
      </c>
      <c r="I3078" s="6" t="n">
        <v>20</v>
      </c>
      <c r="J3078" s="6" t="n">
        <v>0</v>
      </c>
      <c r="K3078" s="6" t="n">
        <v>20</v>
      </c>
      <c r="L3078" s="6" t="n">
        <v>0</v>
      </c>
      <c r="M3078" s="6" t="n">
        <v>20</v>
      </c>
      <c r="N3078" s="11" t="n">
        <f aca="false">J3078/(J3078+K3078)</f>
        <v>0</v>
      </c>
      <c r="O3078" s="11" t="str">
        <f aca="false">IF(J3078+L3078=0,"",J3078/(J3078+L3078))</f>
        <v/>
      </c>
      <c r="P3078" s="11" t="n">
        <f aca="false">2*J3078/(2*J3078+L3078+K3078)</f>
        <v>0</v>
      </c>
      <c r="Q3078" s="11" t="n">
        <f aca="false">L3078/(L3078+M3078)</f>
        <v>0</v>
      </c>
      <c r="R3078" s="6" t="n">
        <v>0</v>
      </c>
      <c r="S3078" s="11"/>
      <c r="T3078" s="11" t="n">
        <v>0</v>
      </c>
      <c r="U3078" s="11" t="n">
        <v>0.9</v>
      </c>
      <c r="V3078" s="11" t="n">
        <v>0.9</v>
      </c>
    </row>
    <row r="3079" customFormat="false" ht="15" hidden="false" customHeight="false" outlineLevel="0" collapsed="false">
      <c r="A3079" s="6" t="s">
        <v>58</v>
      </c>
      <c r="B3079" s="6" t="s">
        <v>59</v>
      </c>
      <c r="C3079" s="6" t="s">
        <v>44</v>
      </c>
      <c r="D3079" s="6" t="s">
        <v>114</v>
      </c>
      <c r="E3079" s="6" t="n">
        <v>4</v>
      </c>
      <c r="F3079" s="6" t="n">
        <v>10</v>
      </c>
      <c r="G3079" s="6" t="s">
        <v>76</v>
      </c>
      <c r="H3079" s="11" t="n">
        <v>0.001</v>
      </c>
      <c r="I3079" s="6" t="n">
        <v>20</v>
      </c>
      <c r="J3079" s="6" t="n">
        <v>0</v>
      </c>
      <c r="K3079" s="6" t="n">
        <v>20</v>
      </c>
      <c r="L3079" s="6" t="n">
        <v>0</v>
      </c>
      <c r="M3079" s="6" t="n">
        <v>20</v>
      </c>
      <c r="N3079" s="11" t="n">
        <f aca="false">J3079/(J3079+K3079)</f>
        <v>0</v>
      </c>
      <c r="O3079" s="11" t="str">
        <f aca="false">IF(J3079+L3079=0,"",J3079/(J3079+L3079))</f>
        <v/>
      </c>
      <c r="P3079" s="11" t="n">
        <f aca="false">2*J3079/(2*J3079+L3079+K3079)</f>
        <v>0</v>
      </c>
      <c r="Q3079" s="11" t="n">
        <f aca="false">L3079/(L3079+M3079)</f>
        <v>0</v>
      </c>
      <c r="R3079" s="6" t="n">
        <v>0</v>
      </c>
      <c r="S3079" s="11"/>
      <c r="T3079" s="11" t="n">
        <v>0</v>
      </c>
      <c r="U3079" s="11" t="n">
        <v>0.95</v>
      </c>
      <c r="V3079" s="11" t="n">
        <v>0.95</v>
      </c>
    </row>
    <row r="3080" customFormat="false" ht="15" hidden="false" customHeight="false" outlineLevel="0" collapsed="false">
      <c r="A3080" s="6" t="s">
        <v>58</v>
      </c>
      <c r="B3080" s="6" t="s">
        <v>59</v>
      </c>
      <c r="C3080" s="6" t="s">
        <v>44</v>
      </c>
      <c r="D3080" s="6" t="s">
        <v>114</v>
      </c>
      <c r="E3080" s="6" t="n">
        <v>4</v>
      </c>
      <c r="F3080" s="6" t="n">
        <v>10</v>
      </c>
      <c r="G3080" s="6" t="s">
        <v>77</v>
      </c>
      <c r="H3080" s="11" t="n">
        <v>0.001</v>
      </c>
      <c r="I3080" s="6" t="n">
        <v>20</v>
      </c>
      <c r="J3080" s="6" t="n">
        <v>0</v>
      </c>
      <c r="K3080" s="6" t="n">
        <v>20</v>
      </c>
      <c r="L3080" s="6" t="n">
        <v>0</v>
      </c>
      <c r="M3080" s="6" t="n">
        <v>20</v>
      </c>
      <c r="N3080" s="11" t="n">
        <f aca="false">J3080/(J3080+K3080)</f>
        <v>0</v>
      </c>
      <c r="O3080" s="11" t="str">
        <f aca="false">IF(J3080+L3080=0,"",J3080/(J3080+L3080))</f>
        <v/>
      </c>
      <c r="P3080" s="11" t="n">
        <f aca="false">2*J3080/(2*J3080+L3080+K3080)</f>
        <v>0</v>
      </c>
      <c r="Q3080" s="11" t="n">
        <f aca="false">L3080/(L3080+M3080)</f>
        <v>0</v>
      </c>
      <c r="R3080" s="6" t="n">
        <v>0</v>
      </c>
      <c r="S3080" s="11"/>
      <c r="T3080" s="11" t="n">
        <v>0</v>
      </c>
      <c r="U3080" s="11" t="n">
        <v>1</v>
      </c>
      <c r="V3080" s="11" t="n">
        <v>1</v>
      </c>
    </row>
    <row r="3081" customFormat="false" ht="15" hidden="false" customHeight="false" outlineLevel="0" collapsed="false">
      <c r="A3081" s="6" t="s">
        <v>58</v>
      </c>
      <c r="B3081" s="6" t="s">
        <v>59</v>
      </c>
      <c r="C3081" s="6" t="s">
        <v>44</v>
      </c>
      <c r="D3081" s="6" t="s">
        <v>114</v>
      </c>
      <c r="E3081" s="6" t="n">
        <v>4</v>
      </c>
      <c r="F3081" s="6" t="n">
        <v>10</v>
      </c>
      <c r="G3081" s="6" t="s">
        <v>78</v>
      </c>
      <c r="H3081" s="11" t="n">
        <v>0.001</v>
      </c>
      <c r="I3081" s="6" t="n">
        <v>200</v>
      </c>
      <c r="J3081" s="6" t="n">
        <v>0</v>
      </c>
      <c r="K3081" s="6" t="n">
        <v>200</v>
      </c>
      <c r="L3081" s="6" t="n">
        <v>0</v>
      </c>
      <c r="M3081" s="6" t="n">
        <v>200</v>
      </c>
      <c r="N3081" s="11" t="n">
        <f aca="false">J3081/(J3081+K3081)</f>
        <v>0</v>
      </c>
      <c r="O3081" s="11" t="str">
        <f aca="false">IF(J3081+L3081=0,"",J3081/(J3081+L3081))</f>
        <v/>
      </c>
      <c r="P3081" s="11" t="n">
        <f aca="false">2*J3081/(2*J3081+L3081+K3081)</f>
        <v>0</v>
      </c>
      <c r="Q3081" s="11" t="n">
        <f aca="false">L3081/(L3081+M3081)</f>
        <v>0</v>
      </c>
      <c r="R3081" s="6" t="n">
        <v>3</v>
      </c>
      <c r="S3081" s="11" t="n">
        <v>0</v>
      </c>
      <c r="T3081" s="11" t="n">
        <v>0</v>
      </c>
      <c r="U3081" s="11" t="n">
        <v>0.88</v>
      </c>
      <c r="V3081" s="11" t="n">
        <v>0.875</v>
      </c>
    </row>
    <row r="3082" customFormat="false" ht="15" hidden="false" customHeight="false" outlineLevel="0" collapsed="false">
      <c r="A3082" s="6" t="s">
        <v>60</v>
      </c>
      <c r="B3082" s="6" t="s">
        <v>59</v>
      </c>
      <c r="C3082" s="6" t="s">
        <v>51</v>
      </c>
      <c r="D3082" s="6" t="s">
        <v>119</v>
      </c>
      <c r="E3082" s="6" t="n">
        <v>16</v>
      </c>
      <c r="F3082" s="6" t="n">
        <v>1</v>
      </c>
      <c r="G3082" s="6" t="s">
        <v>68</v>
      </c>
      <c r="H3082" s="11" t="n">
        <v>0.001</v>
      </c>
      <c r="I3082" s="6" t="n">
        <v>20</v>
      </c>
      <c r="J3082" s="6" t="n">
        <v>0</v>
      </c>
      <c r="K3082" s="6" t="n">
        <v>20</v>
      </c>
      <c r="L3082" s="6" t="n">
        <v>0</v>
      </c>
      <c r="M3082" s="6" t="n">
        <v>20</v>
      </c>
      <c r="N3082" s="11" t="n">
        <f aca="false">J3082/(J3082+K3082)</f>
        <v>0</v>
      </c>
      <c r="O3082" s="11" t="str">
        <f aca="false">IF(J3082+L3082=0,"",J3082/(J3082+L3082))</f>
        <v/>
      </c>
      <c r="P3082" s="11" t="n">
        <f aca="false">2*J3082/(2*J3082+L3082+K3082)</f>
        <v>0</v>
      </c>
      <c r="Q3082" s="11" t="n">
        <f aca="false">L3082/(L3082+M3082)</f>
        <v>0</v>
      </c>
      <c r="R3082" s="6" t="n">
        <v>0</v>
      </c>
      <c r="S3082" s="11"/>
      <c r="T3082" s="11" t="n">
        <v>0</v>
      </c>
      <c r="U3082" s="11" t="n">
        <v>0.85</v>
      </c>
      <c r="V3082" s="11" t="n">
        <v>0.85</v>
      </c>
    </row>
    <row r="3083" customFormat="false" ht="15" hidden="false" customHeight="false" outlineLevel="0" collapsed="false">
      <c r="A3083" s="6" t="s">
        <v>60</v>
      </c>
      <c r="B3083" s="6" t="s">
        <v>59</v>
      </c>
      <c r="C3083" s="6" t="s">
        <v>51</v>
      </c>
      <c r="D3083" s="6" t="s">
        <v>119</v>
      </c>
      <c r="E3083" s="6" t="n">
        <v>16</v>
      </c>
      <c r="F3083" s="6" t="n">
        <v>1</v>
      </c>
      <c r="G3083" s="6" t="s">
        <v>69</v>
      </c>
      <c r="H3083" s="11" t="n">
        <v>0.001</v>
      </c>
      <c r="I3083" s="6" t="n">
        <v>20</v>
      </c>
      <c r="J3083" s="6" t="n">
        <v>0</v>
      </c>
      <c r="K3083" s="6" t="n">
        <v>20</v>
      </c>
      <c r="L3083" s="6" t="n">
        <v>0</v>
      </c>
      <c r="M3083" s="6" t="n">
        <v>20</v>
      </c>
      <c r="N3083" s="11" t="n">
        <f aca="false">J3083/(J3083+K3083)</f>
        <v>0</v>
      </c>
      <c r="O3083" s="11" t="str">
        <f aca="false">IF(J3083+L3083=0,"",J3083/(J3083+L3083))</f>
        <v/>
      </c>
      <c r="P3083" s="11" t="n">
        <f aca="false">2*J3083/(2*J3083+L3083+K3083)</f>
        <v>0</v>
      </c>
      <c r="Q3083" s="11" t="n">
        <f aca="false">L3083/(L3083+M3083)</f>
        <v>0</v>
      </c>
      <c r="R3083" s="6" t="n">
        <v>0</v>
      </c>
      <c r="S3083" s="11"/>
      <c r="T3083" s="11" t="n">
        <v>0</v>
      </c>
      <c r="U3083" s="11" t="n">
        <v>1</v>
      </c>
      <c r="V3083" s="11" t="n">
        <v>1</v>
      </c>
    </row>
    <row r="3084" customFormat="false" ht="15" hidden="false" customHeight="false" outlineLevel="0" collapsed="false">
      <c r="A3084" s="6" t="s">
        <v>60</v>
      </c>
      <c r="B3084" s="6" t="s">
        <v>59</v>
      </c>
      <c r="C3084" s="6" t="s">
        <v>51</v>
      </c>
      <c r="D3084" s="6" t="s">
        <v>119</v>
      </c>
      <c r="E3084" s="6" t="n">
        <v>16</v>
      </c>
      <c r="F3084" s="6" t="n">
        <v>1</v>
      </c>
      <c r="G3084" s="6" t="s">
        <v>70</v>
      </c>
      <c r="H3084" s="11" t="n">
        <v>0.001</v>
      </c>
      <c r="I3084" s="6" t="n">
        <v>20</v>
      </c>
      <c r="J3084" s="6" t="n">
        <v>0</v>
      </c>
      <c r="K3084" s="6" t="n">
        <v>20</v>
      </c>
      <c r="L3084" s="6" t="n">
        <v>0</v>
      </c>
      <c r="M3084" s="6" t="n">
        <v>20</v>
      </c>
      <c r="N3084" s="11" t="n">
        <f aca="false">J3084/(J3084+K3084)</f>
        <v>0</v>
      </c>
      <c r="O3084" s="11" t="str">
        <f aca="false">IF(J3084+L3084=0,"",J3084/(J3084+L3084))</f>
        <v/>
      </c>
      <c r="P3084" s="11" t="n">
        <f aca="false">2*J3084/(2*J3084+L3084+K3084)</f>
        <v>0</v>
      </c>
      <c r="Q3084" s="11" t="n">
        <f aca="false">L3084/(L3084+M3084)</f>
        <v>0</v>
      </c>
      <c r="R3084" s="6" t="n">
        <v>0</v>
      </c>
      <c r="S3084" s="11"/>
      <c r="T3084" s="11" t="n">
        <v>0</v>
      </c>
      <c r="U3084" s="11" t="n">
        <v>0.9</v>
      </c>
      <c r="V3084" s="11" t="n">
        <v>0.9</v>
      </c>
    </row>
    <row r="3085" customFormat="false" ht="15" hidden="false" customHeight="false" outlineLevel="0" collapsed="false">
      <c r="A3085" s="6" t="s">
        <v>60</v>
      </c>
      <c r="B3085" s="6" t="s">
        <v>59</v>
      </c>
      <c r="C3085" s="6" t="s">
        <v>51</v>
      </c>
      <c r="D3085" s="6" t="s">
        <v>119</v>
      </c>
      <c r="E3085" s="6" t="n">
        <v>16</v>
      </c>
      <c r="F3085" s="6" t="n">
        <v>1</v>
      </c>
      <c r="G3085" s="6" t="s">
        <v>71</v>
      </c>
      <c r="H3085" s="11" t="n">
        <v>0.001</v>
      </c>
      <c r="I3085" s="6" t="n">
        <v>20</v>
      </c>
      <c r="J3085" s="6" t="n">
        <v>0</v>
      </c>
      <c r="K3085" s="6" t="n">
        <v>20</v>
      </c>
      <c r="L3085" s="6" t="n">
        <v>0</v>
      </c>
      <c r="M3085" s="6" t="n">
        <v>20</v>
      </c>
      <c r="N3085" s="11" t="n">
        <f aca="false">J3085/(J3085+K3085)</f>
        <v>0</v>
      </c>
      <c r="O3085" s="11" t="str">
        <f aca="false">IF(J3085+L3085=0,"",J3085/(J3085+L3085))</f>
        <v/>
      </c>
      <c r="P3085" s="11" t="n">
        <f aca="false">2*J3085/(2*J3085+L3085+K3085)</f>
        <v>0</v>
      </c>
      <c r="Q3085" s="11" t="n">
        <f aca="false">L3085/(L3085+M3085)</f>
        <v>0</v>
      </c>
      <c r="R3085" s="6" t="n">
        <v>0</v>
      </c>
      <c r="S3085" s="11"/>
      <c r="T3085" s="11" t="n">
        <v>0</v>
      </c>
      <c r="U3085" s="11" t="n">
        <v>0.8</v>
      </c>
      <c r="V3085" s="11" t="n">
        <v>0.8</v>
      </c>
    </row>
    <row r="3086" customFormat="false" ht="15" hidden="false" customHeight="false" outlineLevel="0" collapsed="false">
      <c r="A3086" s="6" t="s">
        <v>60</v>
      </c>
      <c r="B3086" s="6" t="s">
        <v>59</v>
      </c>
      <c r="C3086" s="6" t="s">
        <v>51</v>
      </c>
      <c r="D3086" s="6" t="s">
        <v>119</v>
      </c>
      <c r="E3086" s="6" t="n">
        <v>16</v>
      </c>
      <c r="F3086" s="6" t="n">
        <v>1</v>
      </c>
      <c r="G3086" s="6" t="s">
        <v>72</v>
      </c>
      <c r="H3086" s="11" t="n">
        <v>0.001</v>
      </c>
      <c r="I3086" s="6" t="n">
        <v>20</v>
      </c>
      <c r="J3086" s="6" t="n">
        <v>0</v>
      </c>
      <c r="K3086" s="6" t="n">
        <v>20</v>
      </c>
      <c r="L3086" s="6" t="n">
        <v>0</v>
      </c>
      <c r="M3086" s="6" t="n">
        <v>20</v>
      </c>
      <c r="N3086" s="11" t="n">
        <f aca="false">J3086/(J3086+K3086)</f>
        <v>0</v>
      </c>
      <c r="O3086" s="11" t="str">
        <f aca="false">IF(J3086+L3086=0,"",J3086/(J3086+L3086))</f>
        <v/>
      </c>
      <c r="P3086" s="11" t="n">
        <f aca="false">2*J3086/(2*J3086+L3086+K3086)</f>
        <v>0</v>
      </c>
      <c r="Q3086" s="11" t="n">
        <f aca="false">L3086/(L3086+M3086)</f>
        <v>0</v>
      </c>
      <c r="R3086" s="6" t="n">
        <v>0</v>
      </c>
      <c r="S3086" s="11"/>
      <c r="T3086" s="11" t="n">
        <v>0</v>
      </c>
      <c r="U3086" s="11" t="n">
        <v>0.9</v>
      </c>
      <c r="V3086" s="11" t="n">
        <v>0.9</v>
      </c>
    </row>
    <row r="3087" customFormat="false" ht="15" hidden="false" customHeight="false" outlineLevel="0" collapsed="false">
      <c r="A3087" s="6" t="s">
        <v>60</v>
      </c>
      <c r="B3087" s="6" t="s">
        <v>59</v>
      </c>
      <c r="C3087" s="6" t="s">
        <v>51</v>
      </c>
      <c r="D3087" s="6" t="s">
        <v>119</v>
      </c>
      <c r="E3087" s="6" t="n">
        <v>16</v>
      </c>
      <c r="F3087" s="6" t="n">
        <v>1</v>
      </c>
      <c r="G3087" s="6" t="s">
        <v>73</v>
      </c>
      <c r="H3087" s="11" t="n">
        <v>0.001</v>
      </c>
      <c r="I3087" s="6" t="n">
        <v>20</v>
      </c>
      <c r="J3087" s="6" t="n">
        <v>0</v>
      </c>
      <c r="K3087" s="6" t="n">
        <v>20</v>
      </c>
      <c r="L3087" s="6" t="n">
        <v>0</v>
      </c>
      <c r="M3087" s="6" t="n">
        <v>20</v>
      </c>
      <c r="N3087" s="11" t="n">
        <f aca="false">J3087/(J3087+K3087)</f>
        <v>0</v>
      </c>
      <c r="O3087" s="11" t="str">
        <f aca="false">IF(J3087+L3087=0,"",J3087/(J3087+L3087))</f>
        <v/>
      </c>
      <c r="P3087" s="11" t="n">
        <f aca="false">2*J3087/(2*J3087+L3087+K3087)</f>
        <v>0</v>
      </c>
      <c r="Q3087" s="11" t="n">
        <f aca="false">L3087/(L3087+M3087)</f>
        <v>0</v>
      </c>
      <c r="R3087" s="6" t="n">
        <v>2</v>
      </c>
      <c r="S3087" s="11" t="n">
        <v>0</v>
      </c>
      <c r="T3087" s="11" t="n">
        <v>0</v>
      </c>
      <c r="U3087" s="11" t="n">
        <v>0.65</v>
      </c>
      <c r="V3087" s="11" t="n">
        <v>0.65</v>
      </c>
    </row>
    <row r="3088" customFormat="false" ht="15" hidden="false" customHeight="false" outlineLevel="0" collapsed="false">
      <c r="A3088" s="6" t="s">
        <v>60</v>
      </c>
      <c r="B3088" s="6" t="s">
        <v>59</v>
      </c>
      <c r="C3088" s="6" t="s">
        <v>51</v>
      </c>
      <c r="D3088" s="6" t="s">
        <v>119</v>
      </c>
      <c r="E3088" s="6" t="n">
        <v>16</v>
      </c>
      <c r="F3088" s="6" t="n">
        <v>1</v>
      </c>
      <c r="G3088" s="6" t="s">
        <v>74</v>
      </c>
      <c r="H3088" s="11" t="n">
        <v>0.001</v>
      </c>
      <c r="I3088" s="6" t="n">
        <v>20</v>
      </c>
      <c r="J3088" s="6" t="n">
        <v>0</v>
      </c>
      <c r="K3088" s="6" t="n">
        <v>20</v>
      </c>
      <c r="L3088" s="6" t="n">
        <v>0</v>
      </c>
      <c r="M3088" s="6" t="n">
        <v>20</v>
      </c>
      <c r="N3088" s="11" t="n">
        <f aca="false">J3088/(J3088+K3088)</f>
        <v>0</v>
      </c>
      <c r="O3088" s="11" t="str">
        <f aca="false">IF(J3088+L3088=0,"",J3088/(J3088+L3088))</f>
        <v/>
      </c>
      <c r="P3088" s="11" t="n">
        <f aca="false">2*J3088/(2*J3088+L3088+K3088)</f>
        <v>0</v>
      </c>
      <c r="Q3088" s="11" t="n">
        <f aca="false">L3088/(L3088+M3088)</f>
        <v>0</v>
      </c>
      <c r="R3088" s="6" t="n">
        <v>1</v>
      </c>
      <c r="S3088" s="11" t="n">
        <v>0</v>
      </c>
      <c r="T3088" s="11" t="n">
        <v>0</v>
      </c>
      <c r="U3088" s="11" t="n">
        <v>0.85</v>
      </c>
      <c r="V3088" s="11" t="n">
        <v>0.85</v>
      </c>
    </row>
    <row r="3089" customFormat="false" ht="15" hidden="false" customHeight="false" outlineLevel="0" collapsed="false">
      <c r="A3089" s="6" t="s">
        <v>60</v>
      </c>
      <c r="B3089" s="6" t="s">
        <v>59</v>
      </c>
      <c r="C3089" s="6" t="s">
        <v>51</v>
      </c>
      <c r="D3089" s="6" t="s">
        <v>119</v>
      </c>
      <c r="E3089" s="6" t="n">
        <v>16</v>
      </c>
      <c r="F3089" s="6" t="n">
        <v>1</v>
      </c>
      <c r="G3089" s="6" t="s">
        <v>75</v>
      </c>
      <c r="H3089" s="11" t="n">
        <v>0.001</v>
      </c>
      <c r="I3089" s="6" t="n">
        <v>20</v>
      </c>
      <c r="J3089" s="6" t="n">
        <v>0</v>
      </c>
      <c r="K3089" s="6" t="n">
        <v>20</v>
      </c>
      <c r="L3089" s="6" t="n">
        <v>0</v>
      </c>
      <c r="M3089" s="6" t="n">
        <v>20</v>
      </c>
      <c r="N3089" s="11" t="n">
        <f aca="false">J3089/(J3089+K3089)</f>
        <v>0</v>
      </c>
      <c r="O3089" s="11" t="str">
        <f aca="false">IF(J3089+L3089=0,"",J3089/(J3089+L3089))</f>
        <v/>
      </c>
      <c r="P3089" s="11" t="n">
        <f aca="false">2*J3089/(2*J3089+L3089+K3089)</f>
        <v>0</v>
      </c>
      <c r="Q3089" s="11" t="n">
        <f aca="false">L3089/(L3089+M3089)</f>
        <v>0</v>
      </c>
      <c r="R3089" s="6" t="n">
        <v>1</v>
      </c>
      <c r="S3089" s="11" t="n">
        <v>0</v>
      </c>
      <c r="T3089" s="11" t="n">
        <v>0</v>
      </c>
      <c r="U3089" s="11" t="n">
        <v>0.9</v>
      </c>
      <c r="V3089" s="11" t="n">
        <v>0.95</v>
      </c>
    </row>
    <row r="3090" customFormat="false" ht="15" hidden="false" customHeight="false" outlineLevel="0" collapsed="false">
      <c r="A3090" s="6" t="s">
        <v>60</v>
      </c>
      <c r="B3090" s="6" t="s">
        <v>59</v>
      </c>
      <c r="C3090" s="6" t="s">
        <v>51</v>
      </c>
      <c r="D3090" s="6" t="s">
        <v>119</v>
      </c>
      <c r="E3090" s="6" t="n">
        <v>16</v>
      </c>
      <c r="F3090" s="6" t="n">
        <v>1</v>
      </c>
      <c r="G3090" s="6" t="s">
        <v>76</v>
      </c>
      <c r="H3090" s="11" t="n">
        <v>0.001</v>
      </c>
      <c r="I3090" s="6" t="n">
        <v>20</v>
      </c>
      <c r="J3090" s="6" t="n">
        <v>0</v>
      </c>
      <c r="K3090" s="6" t="n">
        <v>20</v>
      </c>
      <c r="L3090" s="6" t="n">
        <v>0</v>
      </c>
      <c r="M3090" s="6" t="n">
        <v>20</v>
      </c>
      <c r="N3090" s="11" t="n">
        <f aca="false">J3090/(J3090+K3090)</f>
        <v>0</v>
      </c>
      <c r="O3090" s="11" t="str">
        <f aca="false">IF(J3090+L3090=0,"",J3090/(J3090+L3090))</f>
        <v/>
      </c>
      <c r="P3090" s="11" t="n">
        <f aca="false">2*J3090/(2*J3090+L3090+K3090)</f>
        <v>0</v>
      </c>
      <c r="Q3090" s="11" t="n">
        <f aca="false">L3090/(L3090+M3090)</f>
        <v>0</v>
      </c>
      <c r="R3090" s="6" t="n">
        <v>0</v>
      </c>
      <c r="S3090" s="11"/>
      <c r="T3090" s="11" t="n">
        <v>0</v>
      </c>
      <c r="U3090" s="11" t="n">
        <v>0.95</v>
      </c>
      <c r="V3090" s="11" t="n">
        <v>0.95</v>
      </c>
    </row>
    <row r="3091" customFormat="false" ht="15" hidden="false" customHeight="false" outlineLevel="0" collapsed="false">
      <c r="A3091" s="6" t="s">
        <v>60</v>
      </c>
      <c r="B3091" s="6" t="s">
        <v>59</v>
      </c>
      <c r="C3091" s="6" t="s">
        <v>51</v>
      </c>
      <c r="D3091" s="6" t="s">
        <v>119</v>
      </c>
      <c r="E3091" s="6" t="n">
        <v>16</v>
      </c>
      <c r="F3091" s="6" t="n">
        <v>1</v>
      </c>
      <c r="G3091" s="6" t="s">
        <v>77</v>
      </c>
      <c r="H3091" s="11" t="n">
        <v>0.001</v>
      </c>
      <c r="I3091" s="6" t="n">
        <v>20</v>
      </c>
      <c r="J3091" s="6" t="n">
        <v>0</v>
      </c>
      <c r="K3091" s="6" t="n">
        <v>20</v>
      </c>
      <c r="L3091" s="6" t="n">
        <v>0</v>
      </c>
      <c r="M3091" s="6" t="n">
        <v>20</v>
      </c>
      <c r="N3091" s="11" t="n">
        <f aca="false">J3091/(J3091+K3091)</f>
        <v>0</v>
      </c>
      <c r="O3091" s="11" t="str">
        <f aca="false">IF(J3091+L3091=0,"",J3091/(J3091+L3091))</f>
        <v/>
      </c>
      <c r="P3091" s="11" t="n">
        <f aca="false">2*J3091/(2*J3091+L3091+K3091)</f>
        <v>0</v>
      </c>
      <c r="Q3091" s="11" t="n">
        <f aca="false">L3091/(L3091+M3091)</f>
        <v>0</v>
      </c>
      <c r="R3091" s="6" t="n">
        <v>0</v>
      </c>
      <c r="S3091" s="11"/>
      <c r="T3091" s="11" t="n">
        <v>0</v>
      </c>
      <c r="U3091" s="11" t="n">
        <v>1</v>
      </c>
      <c r="V3091" s="11" t="n">
        <v>1</v>
      </c>
    </row>
    <row r="3092" customFormat="false" ht="15" hidden="false" customHeight="false" outlineLevel="0" collapsed="false">
      <c r="A3092" s="6" t="s">
        <v>60</v>
      </c>
      <c r="B3092" s="6" t="s">
        <v>59</v>
      </c>
      <c r="C3092" s="6" t="s">
        <v>51</v>
      </c>
      <c r="D3092" s="6" t="s">
        <v>119</v>
      </c>
      <c r="E3092" s="6" t="n">
        <v>16</v>
      </c>
      <c r="F3092" s="6" t="n">
        <v>1</v>
      </c>
      <c r="G3092" s="6" t="s">
        <v>78</v>
      </c>
      <c r="H3092" s="11" t="n">
        <v>0.001</v>
      </c>
      <c r="I3092" s="6" t="n">
        <v>200</v>
      </c>
      <c r="J3092" s="6" t="n">
        <v>0</v>
      </c>
      <c r="K3092" s="6" t="n">
        <v>200</v>
      </c>
      <c r="L3092" s="6" t="n">
        <v>0</v>
      </c>
      <c r="M3092" s="6" t="n">
        <v>200</v>
      </c>
      <c r="N3092" s="11" t="n">
        <f aca="false">J3092/(J3092+K3092)</f>
        <v>0</v>
      </c>
      <c r="O3092" s="11" t="str">
        <f aca="false">IF(J3092+L3092=0,"",J3092/(J3092+L3092))</f>
        <v/>
      </c>
      <c r="P3092" s="11" t="n">
        <f aca="false">2*J3092/(2*J3092+L3092+K3092)</f>
        <v>0</v>
      </c>
      <c r="Q3092" s="11" t="n">
        <f aca="false">L3092/(L3092+M3092)</f>
        <v>0</v>
      </c>
      <c r="R3092" s="6" t="n">
        <v>4</v>
      </c>
      <c r="S3092" s="11" t="n">
        <v>0</v>
      </c>
      <c r="T3092" s="11" t="n">
        <v>0</v>
      </c>
      <c r="U3092" s="11" t="n">
        <v>0.88</v>
      </c>
      <c r="V3092" s="11" t="n">
        <v>0.885</v>
      </c>
    </row>
    <row r="3093" customFormat="false" ht="15" hidden="false" customHeight="false" outlineLevel="0" collapsed="false">
      <c r="A3093" s="6" t="s">
        <v>60</v>
      </c>
      <c r="B3093" s="6" t="s">
        <v>59</v>
      </c>
      <c r="C3093" s="6" t="s">
        <v>51</v>
      </c>
      <c r="D3093" s="6" t="s">
        <v>119</v>
      </c>
      <c r="E3093" s="6" t="n">
        <v>16</v>
      </c>
      <c r="F3093" s="6" t="n">
        <v>2</v>
      </c>
      <c r="G3093" s="6" t="s">
        <v>68</v>
      </c>
      <c r="H3093" s="11" t="n">
        <v>0.001</v>
      </c>
      <c r="I3093" s="6" t="n">
        <v>20</v>
      </c>
      <c r="J3093" s="6" t="n">
        <v>0</v>
      </c>
      <c r="K3093" s="6" t="n">
        <v>20</v>
      </c>
      <c r="L3093" s="6" t="n">
        <v>0</v>
      </c>
      <c r="M3093" s="6" t="n">
        <v>20</v>
      </c>
      <c r="N3093" s="11" t="n">
        <f aca="false">J3093/(J3093+K3093)</f>
        <v>0</v>
      </c>
      <c r="O3093" s="11" t="str">
        <f aca="false">IF(J3093+L3093=0,"",J3093/(J3093+L3093))</f>
        <v/>
      </c>
      <c r="P3093" s="11" t="n">
        <f aca="false">2*J3093/(2*J3093+L3093+K3093)</f>
        <v>0</v>
      </c>
      <c r="Q3093" s="11" t="n">
        <f aca="false">L3093/(L3093+M3093)</f>
        <v>0</v>
      </c>
      <c r="R3093" s="6" t="n">
        <v>0</v>
      </c>
      <c r="S3093" s="11"/>
      <c r="T3093" s="11" t="n">
        <v>0</v>
      </c>
      <c r="U3093" s="11" t="n">
        <v>0.85</v>
      </c>
      <c r="V3093" s="11" t="n">
        <v>0.85</v>
      </c>
    </row>
    <row r="3094" customFormat="false" ht="15" hidden="false" customHeight="false" outlineLevel="0" collapsed="false">
      <c r="A3094" s="6" t="s">
        <v>60</v>
      </c>
      <c r="B3094" s="6" t="s">
        <v>59</v>
      </c>
      <c r="C3094" s="6" t="s">
        <v>51</v>
      </c>
      <c r="D3094" s="6" t="s">
        <v>119</v>
      </c>
      <c r="E3094" s="6" t="n">
        <v>16</v>
      </c>
      <c r="F3094" s="6" t="n">
        <v>2</v>
      </c>
      <c r="G3094" s="6" t="s">
        <v>69</v>
      </c>
      <c r="H3094" s="11" t="n">
        <v>0.001</v>
      </c>
      <c r="I3094" s="6" t="n">
        <v>20</v>
      </c>
      <c r="J3094" s="6" t="n">
        <v>0</v>
      </c>
      <c r="K3094" s="6" t="n">
        <v>20</v>
      </c>
      <c r="L3094" s="6" t="n">
        <v>0</v>
      </c>
      <c r="M3094" s="6" t="n">
        <v>20</v>
      </c>
      <c r="N3094" s="11" t="n">
        <f aca="false">J3094/(J3094+K3094)</f>
        <v>0</v>
      </c>
      <c r="O3094" s="11" t="str">
        <f aca="false">IF(J3094+L3094=0,"",J3094/(J3094+L3094))</f>
        <v/>
      </c>
      <c r="P3094" s="11" t="n">
        <f aca="false">2*J3094/(2*J3094+L3094+K3094)</f>
        <v>0</v>
      </c>
      <c r="Q3094" s="11" t="n">
        <f aca="false">L3094/(L3094+M3094)</f>
        <v>0</v>
      </c>
      <c r="R3094" s="6" t="n">
        <v>0</v>
      </c>
      <c r="S3094" s="11"/>
      <c r="T3094" s="11" t="n">
        <v>0</v>
      </c>
      <c r="U3094" s="11" t="n">
        <v>1</v>
      </c>
      <c r="V3094" s="11" t="n">
        <v>1</v>
      </c>
    </row>
    <row r="3095" customFormat="false" ht="15" hidden="false" customHeight="false" outlineLevel="0" collapsed="false">
      <c r="A3095" s="6" t="s">
        <v>60</v>
      </c>
      <c r="B3095" s="6" t="s">
        <v>59</v>
      </c>
      <c r="C3095" s="6" t="s">
        <v>51</v>
      </c>
      <c r="D3095" s="6" t="s">
        <v>119</v>
      </c>
      <c r="E3095" s="6" t="n">
        <v>16</v>
      </c>
      <c r="F3095" s="6" t="n">
        <v>2</v>
      </c>
      <c r="G3095" s="6" t="s">
        <v>70</v>
      </c>
      <c r="H3095" s="11" t="n">
        <v>0.001</v>
      </c>
      <c r="I3095" s="6" t="n">
        <v>20</v>
      </c>
      <c r="J3095" s="6" t="n">
        <v>0</v>
      </c>
      <c r="K3095" s="6" t="n">
        <v>20</v>
      </c>
      <c r="L3095" s="6" t="n">
        <v>0</v>
      </c>
      <c r="M3095" s="6" t="n">
        <v>20</v>
      </c>
      <c r="N3095" s="11" t="n">
        <f aca="false">J3095/(J3095+K3095)</f>
        <v>0</v>
      </c>
      <c r="O3095" s="11" t="str">
        <f aca="false">IF(J3095+L3095=0,"",J3095/(J3095+L3095))</f>
        <v/>
      </c>
      <c r="P3095" s="11" t="n">
        <f aca="false">2*J3095/(2*J3095+L3095+K3095)</f>
        <v>0</v>
      </c>
      <c r="Q3095" s="11" t="n">
        <f aca="false">L3095/(L3095+M3095)</f>
        <v>0</v>
      </c>
      <c r="R3095" s="6" t="n">
        <v>0</v>
      </c>
      <c r="S3095" s="11"/>
      <c r="T3095" s="11" t="n">
        <v>0</v>
      </c>
      <c r="U3095" s="11" t="n">
        <v>0.9</v>
      </c>
      <c r="V3095" s="11" t="n">
        <v>0.9</v>
      </c>
    </row>
    <row r="3096" customFormat="false" ht="15" hidden="false" customHeight="false" outlineLevel="0" collapsed="false">
      <c r="A3096" s="6" t="s">
        <v>60</v>
      </c>
      <c r="B3096" s="6" t="s">
        <v>59</v>
      </c>
      <c r="C3096" s="6" t="s">
        <v>51</v>
      </c>
      <c r="D3096" s="6" t="s">
        <v>119</v>
      </c>
      <c r="E3096" s="6" t="n">
        <v>16</v>
      </c>
      <c r="F3096" s="6" t="n">
        <v>2</v>
      </c>
      <c r="G3096" s="6" t="s">
        <v>71</v>
      </c>
      <c r="H3096" s="11" t="n">
        <v>0.001</v>
      </c>
      <c r="I3096" s="6" t="n">
        <v>20</v>
      </c>
      <c r="J3096" s="6" t="n">
        <v>0</v>
      </c>
      <c r="K3096" s="6" t="n">
        <v>20</v>
      </c>
      <c r="L3096" s="6" t="n">
        <v>0</v>
      </c>
      <c r="M3096" s="6" t="n">
        <v>20</v>
      </c>
      <c r="N3096" s="11" t="n">
        <f aca="false">J3096/(J3096+K3096)</f>
        <v>0</v>
      </c>
      <c r="O3096" s="11" t="str">
        <f aca="false">IF(J3096+L3096=0,"",J3096/(J3096+L3096))</f>
        <v/>
      </c>
      <c r="P3096" s="11" t="n">
        <f aca="false">2*J3096/(2*J3096+L3096+K3096)</f>
        <v>0</v>
      </c>
      <c r="Q3096" s="11" t="n">
        <f aca="false">L3096/(L3096+M3096)</f>
        <v>0</v>
      </c>
      <c r="R3096" s="6" t="n">
        <v>0</v>
      </c>
      <c r="S3096" s="11"/>
      <c r="T3096" s="11" t="n">
        <v>0</v>
      </c>
      <c r="U3096" s="11" t="n">
        <v>0.8</v>
      </c>
      <c r="V3096" s="11" t="n">
        <v>0.8</v>
      </c>
    </row>
    <row r="3097" customFormat="false" ht="15" hidden="false" customHeight="false" outlineLevel="0" collapsed="false">
      <c r="A3097" s="6" t="s">
        <v>60</v>
      </c>
      <c r="B3097" s="6" t="s">
        <v>59</v>
      </c>
      <c r="C3097" s="6" t="s">
        <v>51</v>
      </c>
      <c r="D3097" s="6" t="s">
        <v>119</v>
      </c>
      <c r="E3097" s="6" t="n">
        <v>16</v>
      </c>
      <c r="F3097" s="6" t="n">
        <v>2</v>
      </c>
      <c r="G3097" s="6" t="s">
        <v>72</v>
      </c>
      <c r="H3097" s="11" t="n">
        <v>0.001</v>
      </c>
      <c r="I3097" s="6" t="n">
        <v>20</v>
      </c>
      <c r="J3097" s="6" t="n">
        <v>0</v>
      </c>
      <c r="K3097" s="6" t="n">
        <v>20</v>
      </c>
      <c r="L3097" s="6" t="n">
        <v>0</v>
      </c>
      <c r="M3097" s="6" t="n">
        <v>20</v>
      </c>
      <c r="N3097" s="11" t="n">
        <f aca="false">J3097/(J3097+K3097)</f>
        <v>0</v>
      </c>
      <c r="O3097" s="11" t="str">
        <f aca="false">IF(J3097+L3097=0,"",J3097/(J3097+L3097))</f>
        <v/>
      </c>
      <c r="P3097" s="11" t="n">
        <f aca="false">2*J3097/(2*J3097+L3097+K3097)</f>
        <v>0</v>
      </c>
      <c r="Q3097" s="11" t="n">
        <f aca="false">L3097/(L3097+M3097)</f>
        <v>0</v>
      </c>
      <c r="R3097" s="6" t="n">
        <v>0</v>
      </c>
      <c r="S3097" s="11"/>
      <c r="T3097" s="11" t="n">
        <v>0</v>
      </c>
      <c r="U3097" s="11" t="n">
        <v>0.9</v>
      </c>
      <c r="V3097" s="11" t="n">
        <v>0.9</v>
      </c>
    </row>
    <row r="3098" customFormat="false" ht="15" hidden="false" customHeight="false" outlineLevel="0" collapsed="false">
      <c r="A3098" s="6" t="s">
        <v>60</v>
      </c>
      <c r="B3098" s="6" t="s">
        <v>59</v>
      </c>
      <c r="C3098" s="6" t="s">
        <v>51</v>
      </c>
      <c r="D3098" s="6" t="s">
        <v>119</v>
      </c>
      <c r="E3098" s="6" t="n">
        <v>16</v>
      </c>
      <c r="F3098" s="6" t="n">
        <v>2</v>
      </c>
      <c r="G3098" s="6" t="s">
        <v>73</v>
      </c>
      <c r="H3098" s="11" t="n">
        <v>0.001</v>
      </c>
      <c r="I3098" s="6" t="n">
        <v>20</v>
      </c>
      <c r="J3098" s="6" t="n">
        <v>0</v>
      </c>
      <c r="K3098" s="6" t="n">
        <v>20</v>
      </c>
      <c r="L3098" s="6" t="n">
        <v>0</v>
      </c>
      <c r="M3098" s="6" t="n">
        <v>20</v>
      </c>
      <c r="N3098" s="11" t="n">
        <f aca="false">J3098/(J3098+K3098)</f>
        <v>0</v>
      </c>
      <c r="O3098" s="11" t="str">
        <f aca="false">IF(J3098+L3098=0,"",J3098/(J3098+L3098))</f>
        <v/>
      </c>
      <c r="P3098" s="11" t="n">
        <f aca="false">2*J3098/(2*J3098+L3098+K3098)</f>
        <v>0</v>
      </c>
      <c r="Q3098" s="11" t="n">
        <f aca="false">L3098/(L3098+M3098)</f>
        <v>0</v>
      </c>
      <c r="R3098" s="6" t="n">
        <v>0</v>
      </c>
      <c r="S3098" s="11"/>
      <c r="T3098" s="11" t="n">
        <v>0</v>
      </c>
      <c r="U3098" s="11" t="n">
        <v>0.65</v>
      </c>
      <c r="V3098" s="11" t="n">
        <v>0.65</v>
      </c>
    </row>
    <row r="3099" customFormat="false" ht="15" hidden="false" customHeight="false" outlineLevel="0" collapsed="false">
      <c r="A3099" s="6" t="s">
        <v>60</v>
      </c>
      <c r="B3099" s="6" t="s">
        <v>59</v>
      </c>
      <c r="C3099" s="6" t="s">
        <v>51</v>
      </c>
      <c r="D3099" s="6" t="s">
        <v>119</v>
      </c>
      <c r="E3099" s="6" t="n">
        <v>16</v>
      </c>
      <c r="F3099" s="6" t="n">
        <v>2</v>
      </c>
      <c r="G3099" s="6" t="s">
        <v>74</v>
      </c>
      <c r="H3099" s="11" t="n">
        <v>0.001</v>
      </c>
      <c r="I3099" s="6" t="n">
        <v>20</v>
      </c>
      <c r="J3099" s="6" t="n">
        <v>0</v>
      </c>
      <c r="K3099" s="6" t="n">
        <v>20</v>
      </c>
      <c r="L3099" s="6" t="n">
        <v>0</v>
      </c>
      <c r="M3099" s="6" t="n">
        <v>20</v>
      </c>
      <c r="N3099" s="11" t="n">
        <f aca="false">J3099/(J3099+K3099)</f>
        <v>0</v>
      </c>
      <c r="O3099" s="11" t="str">
        <f aca="false">IF(J3099+L3099=0,"",J3099/(J3099+L3099))</f>
        <v/>
      </c>
      <c r="P3099" s="11" t="n">
        <f aca="false">2*J3099/(2*J3099+L3099+K3099)</f>
        <v>0</v>
      </c>
      <c r="Q3099" s="11" t="n">
        <f aca="false">L3099/(L3099+M3099)</f>
        <v>0</v>
      </c>
      <c r="R3099" s="6" t="n">
        <v>0</v>
      </c>
      <c r="S3099" s="11"/>
      <c r="T3099" s="11" t="n">
        <v>0</v>
      </c>
      <c r="U3099" s="11" t="n">
        <v>0.85</v>
      </c>
      <c r="V3099" s="11" t="n">
        <v>0.85</v>
      </c>
    </row>
    <row r="3100" customFormat="false" ht="15" hidden="false" customHeight="false" outlineLevel="0" collapsed="false">
      <c r="A3100" s="6" t="s">
        <v>60</v>
      </c>
      <c r="B3100" s="6" t="s">
        <v>59</v>
      </c>
      <c r="C3100" s="6" t="s">
        <v>51</v>
      </c>
      <c r="D3100" s="6" t="s">
        <v>119</v>
      </c>
      <c r="E3100" s="6" t="n">
        <v>16</v>
      </c>
      <c r="F3100" s="6" t="n">
        <v>2</v>
      </c>
      <c r="G3100" s="6" t="s">
        <v>75</v>
      </c>
      <c r="H3100" s="11" t="n">
        <v>0.001</v>
      </c>
      <c r="I3100" s="6" t="n">
        <v>20</v>
      </c>
      <c r="J3100" s="6" t="n">
        <v>0</v>
      </c>
      <c r="K3100" s="6" t="n">
        <v>20</v>
      </c>
      <c r="L3100" s="6" t="n">
        <v>0</v>
      </c>
      <c r="M3100" s="6" t="n">
        <v>20</v>
      </c>
      <c r="N3100" s="11" t="n">
        <f aca="false">J3100/(J3100+K3100)</f>
        <v>0</v>
      </c>
      <c r="O3100" s="11" t="str">
        <f aca="false">IF(J3100+L3100=0,"",J3100/(J3100+L3100))</f>
        <v/>
      </c>
      <c r="P3100" s="11" t="n">
        <f aca="false">2*J3100/(2*J3100+L3100+K3100)</f>
        <v>0</v>
      </c>
      <c r="Q3100" s="11" t="n">
        <f aca="false">L3100/(L3100+M3100)</f>
        <v>0</v>
      </c>
      <c r="R3100" s="6" t="n">
        <v>0</v>
      </c>
      <c r="S3100" s="11"/>
      <c r="T3100" s="11" t="n">
        <v>0</v>
      </c>
      <c r="U3100" s="11" t="n">
        <v>0.9</v>
      </c>
      <c r="V3100" s="11" t="n">
        <v>0.9</v>
      </c>
    </row>
    <row r="3101" customFormat="false" ht="15" hidden="false" customHeight="false" outlineLevel="0" collapsed="false">
      <c r="A3101" s="6" t="s">
        <v>60</v>
      </c>
      <c r="B3101" s="6" t="s">
        <v>59</v>
      </c>
      <c r="C3101" s="6" t="s">
        <v>51</v>
      </c>
      <c r="D3101" s="6" t="s">
        <v>119</v>
      </c>
      <c r="E3101" s="6" t="n">
        <v>16</v>
      </c>
      <c r="F3101" s="6" t="n">
        <v>2</v>
      </c>
      <c r="G3101" s="6" t="s">
        <v>76</v>
      </c>
      <c r="H3101" s="11" t="n">
        <v>0.001</v>
      </c>
      <c r="I3101" s="6" t="n">
        <v>20</v>
      </c>
      <c r="J3101" s="6" t="n">
        <v>0</v>
      </c>
      <c r="K3101" s="6" t="n">
        <v>20</v>
      </c>
      <c r="L3101" s="6" t="n">
        <v>0</v>
      </c>
      <c r="M3101" s="6" t="n">
        <v>20</v>
      </c>
      <c r="N3101" s="11" t="n">
        <f aca="false">J3101/(J3101+K3101)</f>
        <v>0</v>
      </c>
      <c r="O3101" s="11" t="str">
        <f aca="false">IF(J3101+L3101=0,"",J3101/(J3101+L3101))</f>
        <v/>
      </c>
      <c r="P3101" s="11" t="n">
        <f aca="false">2*J3101/(2*J3101+L3101+K3101)</f>
        <v>0</v>
      </c>
      <c r="Q3101" s="11" t="n">
        <f aca="false">L3101/(L3101+M3101)</f>
        <v>0</v>
      </c>
      <c r="R3101" s="6" t="n">
        <v>0</v>
      </c>
      <c r="S3101" s="11"/>
      <c r="T3101" s="11" t="n">
        <v>0</v>
      </c>
      <c r="U3101" s="11" t="n">
        <v>0.95</v>
      </c>
      <c r="V3101" s="11" t="n">
        <v>0.95</v>
      </c>
    </row>
    <row r="3102" customFormat="false" ht="15" hidden="false" customHeight="false" outlineLevel="0" collapsed="false">
      <c r="A3102" s="6" t="s">
        <v>60</v>
      </c>
      <c r="B3102" s="6" t="s">
        <v>59</v>
      </c>
      <c r="C3102" s="6" t="s">
        <v>51</v>
      </c>
      <c r="D3102" s="6" t="s">
        <v>119</v>
      </c>
      <c r="E3102" s="6" t="n">
        <v>16</v>
      </c>
      <c r="F3102" s="6" t="n">
        <v>2</v>
      </c>
      <c r="G3102" s="6" t="s">
        <v>77</v>
      </c>
      <c r="H3102" s="11" t="n">
        <v>0.001</v>
      </c>
      <c r="I3102" s="6" t="n">
        <v>20</v>
      </c>
      <c r="J3102" s="6" t="n">
        <v>0</v>
      </c>
      <c r="K3102" s="6" t="n">
        <v>20</v>
      </c>
      <c r="L3102" s="6" t="n">
        <v>0</v>
      </c>
      <c r="M3102" s="6" t="n">
        <v>20</v>
      </c>
      <c r="N3102" s="11" t="n">
        <f aca="false">J3102/(J3102+K3102)</f>
        <v>0</v>
      </c>
      <c r="O3102" s="11" t="str">
        <f aca="false">IF(J3102+L3102=0,"",J3102/(J3102+L3102))</f>
        <v/>
      </c>
      <c r="P3102" s="11" t="n">
        <f aca="false">2*J3102/(2*J3102+L3102+K3102)</f>
        <v>0</v>
      </c>
      <c r="Q3102" s="11" t="n">
        <f aca="false">L3102/(L3102+M3102)</f>
        <v>0</v>
      </c>
      <c r="R3102" s="6" t="n">
        <v>0</v>
      </c>
      <c r="S3102" s="11"/>
      <c r="T3102" s="11" t="n">
        <v>0</v>
      </c>
      <c r="U3102" s="11" t="n">
        <v>1</v>
      </c>
      <c r="V3102" s="11" t="n">
        <v>1</v>
      </c>
    </row>
    <row r="3103" customFormat="false" ht="15" hidden="false" customHeight="false" outlineLevel="0" collapsed="false">
      <c r="A3103" s="6" t="s">
        <v>60</v>
      </c>
      <c r="B3103" s="6" t="s">
        <v>59</v>
      </c>
      <c r="C3103" s="6" t="s">
        <v>51</v>
      </c>
      <c r="D3103" s="6" t="s">
        <v>119</v>
      </c>
      <c r="E3103" s="6" t="n">
        <v>16</v>
      </c>
      <c r="F3103" s="6" t="n">
        <v>2</v>
      </c>
      <c r="G3103" s="6" t="s">
        <v>78</v>
      </c>
      <c r="H3103" s="11" t="n">
        <v>0.001</v>
      </c>
      <c r="I3103" s="6" t="n">
        <v>200</v>
      </c>
      <c r="J3103" s="6" t="n">
        <v>0</v>
      </c>
      <c r="K3103" s="6" t="n">
        <v>200</v>
      </c>
      <c r="L3103" s="6" t="n">
        <v>0</v>
      </c>
      <c r="M3103" s="6" t="n">
        <v>200</v>
      </c>
      <c r="N3103" s="11" t="n">
        <f aca="false">J3103/(J3103+K3103)</f>
        <v>0</v>
      </c>
      <c r="O3103" s="11" t="str">
        <f aca="false">IF(J3103+L3103=0,"",J3103/(J3103+L3103))</f>
        <v/>
      </c>
      <c r="P3103" s="11" t="n">
        <f aca="false">2*J3103/(2*J3103+L3103+K3103)</f>
        <v>0</v>
      </c>
      <c r="Q3103" s="11" t="n">
        <f aca="false">L3103/(L3103+M3103)</f>
        <v>0</v>
      </c>
      <c r="R3103" s="6" t="n">
        <v>0</v>
      </c>
      <c r="S3103" s="11"/>
      <c r="T3103" s="11" t="n">
        <v>0</v>
      </c>
      <c r="U3103" s="11" t="n">
        <v>0.88</v>
      </c>
      <c r="V3103" s="11" t="n">
        <v>0.88</v>
      </c>
    </row>
    <row r="3104" customFormat="false" ht="15" hidden="false" customHeight="false" outlineLevel="0" collapsed="false">
      <c r="A3104" s="6" t="s">
        <v>60</v>
      </c>
      <c r="B3104" s="6" t="s">
        <v>59</v>
      </c>
      <c r="C3104" s="6" t="s">
        <v>51</v>
      </c>
      <c r="D3104" s="6" t="s">
        <v>119</v>
      </c>
      <c r="E3104" s="6" t="n">
        <v>16</v>
      </c>
      <c r="F3104" s="6" t="n">
        <v>3</v>
      </c>
      <c r="G3104" s="6" t="s">
        <v>68</v>
      </c>
      <c r="H3104" s="11" t="n">
        <v>0.001</v>
      </c>
      <c r="I3104" s="6" t="n">
        <v>20</v>
      </c>
      <c r="J3104" s="6" t="n">
        <v>0</v>
      </c>
      <c r="K3104" s="6" t="n">
        <v>20</v>
      </c>
      <c r="L3104" s="6" t="n">
        <v>0</v>
      </c>
      <c r="M3104" s="6" t="n">
        <v>20</v>
      </c>
      <c r="N3104" s="11" t="n">
        <f aca="false">J3104/(J3104+K3104)</f>
        <v>0</v>
      </c>
      <c r="O3104" s="11" t="str">
        <f aca="false">IF(J3104+L3104=0,"",J3104/(J3104+L3104))</f>
        <v/>
      </c>
      <c r="P3104" s="11" t="n">
        <f aca="false">2*J3104/(2*J3104+L3104+K3104)</f>
        <v>0</v>
      </c>
      <c r="Q3104" s="11" t="n">
        <f aca="false">L3104/(L3104+M3104)</f>
        <v>0</v>
      </c>
      <c r="R3104" s="6" t="n">
        <v>0</v>
      </c>
      <c r="S3104" s="11"/>
      <c r="T3104" s="11" t="n">
        <v>0</v>
      </c>
      <c r="U3104" s="11" t="n">
        <v>0.85</v>
      </c>
      <c r="V3104" s="11" t="n">
        <v>0.85</v>
      </c>
    </row>
    <row r="3105" customFormat="false" ht="15" hidden="false" customHeight="false" outlineLevel="0" collapsed="false">
      <c r="A3105" s="6" t="s">
        <v>60</v>
      </c>
      <c r="B3105" s="6" t="s">
        <v>59</v>
      </c>
      <c r="C3105" s="6" t="s">
        <v>51</v>
      </c>
      <c r="D3105" s="6" t="s">
        <v>119</v>
      </c>
      <c r="E3105" s="6" t="n">
        <v>16</v>
      </c>
      <c r="F3105" s="6" t="n">
        <v>3</v>
      </c>
      <c r="G3105" s="6" t="s">
        <v>69</v>
      </c>
      <c r="H3105" s="11" t="n">
        <v>0.001</v>
      </c>
      <c r="I3105" s="6" t="n">
        <v>20</v>
      </c>
      <c r="J3105" s="6" t="n">
        <v>0</v>
      </c>
      <c r="K3105" s="6" t="n">
        <v>20</v>
      </c>
      <c r="L3105" s="6" t="n">
        <v>0</v>
      </c>
      <c r="M3105" s="6" t="n">
        <v>20</v>
      </c>
      <c r="N3105" s="11" t="n">
        <f aca="false">J3105/(J3105+K3105)</f>
        <v>0</v>
      </c>
      <c r="O3105" s="11" t="str">
        <f aca="false">IF(J3105+L3105=0,"",J3105/(J3105+L3105))</f>
        <v/>
      </c>
      <c r="P3105" s="11" t="n">
        <f aca="false">2*J3105/(2*J3105+L3105+K3105)</f>
        <v>0</v>
      </c>
      <c r="Q3105" s="11" t="n">
        <f aca="false">L3105/(L3105+M3105)</f>
        <v>0</v>
      </c>
      <c r="R3105" s="6" t="n">
        <v>0</v>
      </c>
      <c r="S3105" s="11"/>
      <c r="T3105" s="11" t="n">
        <v>0</v>
      </c>
      <c r="U3105" s="11" t="n">
        <v>1</v>
      </c>
      <c r="V3105" s="11" t="n">
        <v>1</v>
      </c>
    </row>
    <row r="3106" customFormat="false" ht="15" hidden="false" customHeight="false" outlineLevel="0" collapsed="false">
      <c r="A3106" s="6" t="s">
        <v>60</v>
      </c>
      <c r="B3106" s="6" t="s">
        <v>59</v>
      </c>
      <c r="C3106" s="6" t="s">
        <v>51</v>
      </c>
      <c r="D3106" s="6" t="s">
        <v>119</v>
      </c>
      <c r="E3106" s="6" t="n">
        <v>16</v>
      </c>
      <c r="F3106" s="6" t="n">
        <v>3</v>
      </c>
      <c r="G3106" s="6" t="s">
        <v>70</v>
      </c>
      <c r="H3106" s="11" t="n">
        <v>0.001</v>
      </c>
      <c r="I3106" s="6" t="n">
        <v>20</v>
      </c>
      <c r="J3106" s="6" t="n">
        <v>0</v>
      </c>
      <c r="K3106" s="6" t="n">
        <v>20</v>
      </c>
      <c r="L3106" s="6" t="n">
        <v>0</v>
      </c>
      <c r="M3106" s="6" t="n">
        <v>20</v>
      </c>
      <c r="N3106" s="11" t="n">
        <f aca="false">J3106/(J3106+K3106)</f>
        <v>0</v>
      </c>
      <c r="O3106" s="11" t="str">
        <f aca="false">IF(J3106+L3106=0,"",J3106/(J3106+L3106))</f>
        <v/>
      </c>
      <c r="P3106" s="11" t="n">
        <f aca="false">2*J3106/(2*J3106+L3106+K3106)</f>
        <v>0</v>
      </c>
      <c r="Q3106" s="11" t="n">
        <f aca="false">L3106/(L3106+M3106)</f>
        <v>0</v>
      </c>
      <c r="R3106" s="6" t="n">
        <v>0</v>
      </c>
      <c r="S3106" s="11"/>
      <c r="T3106" s="11" t="n">
        <v>0</v>
      </c>
      <c r="U3106" s="11" t="n">
        <v>0.9</v>
      </c>
      <c r="V3106" s="11" t="n">
        <v>0.9</v>
      </c>
    </row>
    <row r="3107" customFormat="false" ht="15" hidden="false" customHeight="false" outlineLevel="0" collapsed="false">
      <c r="A3107" s="6" t="s">
        <v>60</v>
      </c>
      <c r="B3107" s="6" t="s">
        <v>59</v>
      </c>
      <c r="C3107" s="6" t="s">
        <v>51</v>
      </c>
      <c r="D3107" s="6" t="s">
        <v>119</v>
      </c>
      <c r="E3107" s="6" t="n">
        <v>16</v>
      </c>
      <c r="F3107" s="6" t="n">
        <v>3</v>
      </c>
      <c r="G3107" s="6" t="s">
        <v>71</v>
      </c>
      <c r="H3107" s="11" t="n">
        <v>0.001</v>
      </c>
      <c r="I3107" s="6" t="n">
        <v>20</v>
      </c>
      <c r="J3107" s="6" t="n">
        <v>0</v>
      </c>
      <c r="K3107" s="6" t="n">
        <v>20</v>
      </c>
      <c r="L3107" s="6" t="n">
        <v>0</v>
      </c>
      <c r="M3107" s="6" t="n">
        <v>20</v>
      </c>
      <c r="N3107" s="11" t="n">
        <f aca="false">J3107/(J3107+K3107)</f>
        <v>0</v>
      </c>
      <c r="O3107" s="11" t="str">
        <f aca="false">IF(J3107+L3107=0,"",J3107/(J3107+L3107))</f>
        <v/>
      </c>
      <c r="P3107" s="11" t="n">
        <f aca="false">2*J3107/(2*J3107+L3107+K3107)</f>
        <v>0</v>
      </c>
      <c r="Q3107" s="11" t="n">
        <f aca="false">L3107/(L3107+M3107)</f>
        <v>0</v>
      </c>
      <c r="R3107" s="6" t="n">
        <v>0</v>
      </c>
      <c r="S3107" s="11"/>
      <c r="T3107" s="11" t="n">
        <v>0</v>
      </c>
      <c r="U3107" s="11" t="n">
        <v>0.8</v>
      </c>
      <c r="V3107" s="11" t="n">
        <v>0.8</v>
      </c>
    </row>
    <row r="3108" customFormat="false" ht="15" hidden="false" customHeight="false" outlineLevel="0" collapsed="false">
      <c r="A3108" s="6" t="s">
        <v>60</v>
      </c>
      <c r="B3108" s="6" t="s">
        <v>59</v>
      </c>
      <c r="C3108" s="6" t="s">
        <v>51</v>
      </c>
      <c r="D3108" s="6" t="s">
        <v>119</v>
      </c>
      <c r="E3108" s="6" t="n">
        <v>16</v>
      </c>
      <c r="F3108" s="6" t="n">
        <v>3</v>
      </c>
      <c r="G3108" s="6" t="s">
        <v>72</v>
      </c>
      <c r="H3108" s="11" t="n">
        <v>0.001</v>
      </c>
      <c r="I3108" s="6" t="n">
        <v>20</v>
      </c>
      <c r="J3108" s="6" t="n">
        <v>0</v>
      </c>
      <c r="K3108" s="6" t="n">
        <v>20</v>
      </c>
      <c r="L3108" s="6" t="n">
        <v>0</v>
      </c>
      <c r="M3108" s="6" t="n">
        <v>20</v>
      </c>
      <c r="N3108" s="11" t="n">
        <f aca="false">J3108/(J3108+K3108)</f>
        <v>0</v>
      </c>
      <c r="O3108" s="11" t="str">
        <f aca="false">IF(J3108+L3108=0,"",J3108/(J3108+L3108))</f>
        <v/>
      </c>
      <c r="P3108" s="11" t="n">
        <f aca="false">2*J3108/(2*J3108+L3108+K3108)</f>
        <v>0</v>
      </c>
      <c r="Q3108" s="11" t="n">
        <f aca="false">L3108/(L3108+M3108)</f>
        <v>0</v>
      </c>
      <c r="R3108" s="6" t="n">
        <v>0</v>
      </c>
      <c r="S3108" s="11"/>
      <c r="T3108" s="11" t="n">
        <v>0</v>
      </c>
      <c r="U3108" s="11" t="n">
        <v>0.9</v>
      </c>
      <c r="V3108" s="11" t="n">
        <v>0.9</v>
      </c>
    </row>
    <row r="3109" customFormat="false" ht="15" hidden="false" customHeight="false" outlineLevel="0" collapsed="false">
      <c r="A3109" s="6" t="s">
        <v>60</v>
      </c>
      <c r="B3109" s="6" t="s">
        <v>59</v>
      </c>
      <c r="C3109" s="6" t="s">
        <v>51</v>
      </c>
      <c r="D3109" s="6" t="s">
        <v>119</v>
      </c>
      <c r="E3109" s="6" t="n">
        <v>16</v>
      </c>
      <c r="F3109" s="6" t="n">
        <v>3</v>
      </c>
      <c r="G3109" s="6" t="s">
        <v>73</v>
      </c>
      <c r="H3109" s="11" t="n">
        <v>0.001</v>
      </c>
      <c r="I3109" s="6" t="n">
        <v>20</v>
      </c>
      <c r="J3109" s="6" t="n">
        <v>0</v>
      </c>
      <c r="K3109" s="6" t="n">
        <v>20</v>
      </c>
      <c r="L3109" s="6" t="n">
        <v>0</v>
      </c>
      <c r="M3109" s="6" t="n">
        <v>20</v>
      </c>
      <c r="N3109" s="11" t="n">
        <f aca="false">J3109/(J3109+K3109)</f>
        <v>0</v>
      </c>
      <c r="O3109" s="11" t="str">
        <f aca="false">IF(J3109+L3109=0,"",J3109/(J3109+L3109))</f>
        <v/>
      </c>
      <c r="P3109" s="11" t="n">
        <f aca="false">2*J3109/(2*J3109+L3109+K3109)</f>
        <v>0</v>
      </c>
      <c r="Q3109" s="11" t="n">
        <f aca="false">L3109/(L3109+M3109)</f>
        <v>0</v>
      </c>
      <c r="R3109" s="6" t="n">
        <v>0</v>
      </c>
      <c r="S3109" s="11"/>
      <c r="T3109" s="11" t="n">
        <v>0</v>
      </c>
      <c r="U3109" s="11" t="n">
        <v>0.65</v>
      </c>
      <c r="V3109" s="11" t="n">
        <v>0.65</v>
      </c>
    </row>
    <row r="3110" customFormat="false" ht="15" hidden="false" customHeight="false" outlineLevel="0" collapsed="false">
      <c r="A3110" s="6" t="s">
        <v>60</v>
      </c>
      <c r="B3110" s="6" t="s">
        <v>59</v>
      </c>
      <c r="C3110" s="6" t="s">
        <v>51</v>
      </c>
      <c r="D3110" s="6" t="s">
        <v>119</v>
      </c>
      <c r="E3110" s="6" t="n">
        <v>16</v>
      </c>
      <c r="F3110" s="6" t="n">
        <v>3</v>
      </c>
      <c r="G3110" s="6" t="s">
        <v>74</v>
      </c>
      <c r="H3110" s="11" t="n">
        <v>0.001</v>
      </c>
      <c r="I3110" s="6" t="n">
        <v>20</v>
      </c>
      <c r="J3110" s="6" t="n">
        <v>0</v>
      </c>
      <c r="K3110" s="6" t="n">
        <v>20</v>
      </c>
      <c r="L3110" s="6" t="n">
        <v>0</v>
      </c>
      <c r="M3110" s="6" t="n">
        <v>20</v>
      </c>
      <c r="N3110" s="11" t="n">
        <f aca="false">J3110/(J3110+K3110)</f>
        <v>0</v>
      </c>
      <c r="O3110" s="11" t="str">
        <f aca="false">IF(J3110+L3110=0,"",J3110/(J3110+L3110))</f>
        <v/>
      </c>
      <c r="P3110" s="11" t="n">
        <f aca="false">2*J3110/(2*J3110+L3110+K3110)</f>
        <v>0</v>
      </c>
      <c r="Q3110" s="11" t="n">
        <f aca="false">L3110/(L3110+M3110)</f>
        <v>0</v>
      </c>
      <c r="R3110" s="6" t="n">
        <v>0</v>
      </c>
      <c r="S3110" s="11"/>
      <c r="T3110" s="11" t="n">
        <v>0</v>
      </c>
      <c r="U3110" s="11" t="n">
        <v>0.85</v>
      </c>
      <c r="V3110" s="11" t="n">
        <v>0.85</v>
      </c>
    </row>
    <row r="3111" customFormat="false" ht="15" hidden="false" customHeight="false" outlineLevel="0" collapsed="false">
      <c r="A3111" s="6" t="s">
        <v>60</v>
      </c>
      <c r="B3111" s="6" t="s">
        <v>59</v>
      </c>
      <c r="C3111" s="6" t="s">
        <v>51</v>
      </c>
      <c r="D3111" s="6" t="s">
        <v>119</v>
      </c>
      <c r="E3111" s="6" t="n">
        <v>16</v>
      </c>
      <c r="F3111" s="6" t="n">
        <v>3</v>
      </c>
      <c r="G3111" s="6" t="s">
        <v>75</v>
      </c>
      <c r="H3111" s="11" t="n">
        <v>0.001</v>
      </c>
      <c r="I3111" s="6" t="n">
        <v>20</v>
      </c>
      <c r="J3111" s="6" t="n">
        <v>0</v>
      </c>
      <c r="K3111" s="6" t="n">
        <v>20</v>
      </c>
      <c r="L3111" s="6" t="n">
        <v>0</v>
      </c>
      <c r="M3111" s="6" t="n">
        <v>20</v>
      </c>
      <c r="N3111" s="11" t="n">
        <f aca="false">J3111/(J3111+K3111)</f>
        <v>0</v>
      </c>
      <c r="O3111" s="11" t="str">
        <f aca="false">IF(J3111+L3111=0,"",J3111/(J3111+L3111))</f>
        <v/>
      </c>
      <c r="P3111" s="11" t="n">
        <f aca="false">2*J3111/(2*J3111+L3111+K3111)</f>
        <v>0</v>
      </c>
      <c r="Q3111" s="11" t="n">
        <f aca="false">L3111/(L3111+M3111)</f>
        <v>0</v>
      </c>
      <c r="R3111" s="6" t="n">
        <v>0</v>
      </c>
      <c r="S3111" s="11"/>
      <c r="T3111" s="11" t="n">
        <v>0</v>
      </c>
      <c r="U3111" s="11" t="n">
        <v>0.9</v>
      </c>
      <c r="V3111" s="11" t="n">
        <v>0.9</v>
      </c>
    </row>
    <row r="3112" customFormat="false" ht="15" hidden="false" customHeight="false" outlineLevel="0" collapsed="false">
      <c r="A3112" s="6" t="s">
        <v>60</v>
      </c>
      <c r="B3112" s="6" t="s">
        <v>59</v>
      </c>
      <c r="C3112" s="6" t="s">
        <v>51</v>
      </c>
      <c r="D3112" s="6" t="s">
        <v>119</v>
      </c>
      <c r="E3112" s="6" t="n">
        <v>16</v>
      </c>
      <c r="F3112" s="6" t="n">
        <v>3</v>
      </c>
      <c r="G3112" s="6" t="s">
        <v>76</v>
      </c>
      <c r="H3112" s="11" t="n">
        <v>0.001</v>
      </c>
      <c r="I3112" s="6" t="n">
        <v>20</v>
      </c>
      <c r="J3112" s="6" t="n">
        <v>0</v>
      </c>
      <c r="K3112" s="6" t="n">
        <v>20</v>
      </c>
      <c r="L3112" s="6" t="n">
        <v>0</v>
      </c>
      <c r="M3112" s="6" t="n">
        <v>20</v>
      </c>
      <c r="N3112" s="11" t="n">
        <f aca="false">J3112/(J3112+K3112)</f>
        <v>0</v>
      </c>
      <c r="O3112" s="11" t="str">
        <f aca="false">IF(J3112+L3112=0,"",J3112/(J3112+L3112))</f>
        <v/>
      </c>
      <c r="P3112" s="11" t="n">
        <f aca="false">2*J3112/(2*J3112+L3112+K3112)</f>
        <v>0</v>
      </c>
      <c r="Q3112" s="11" t="n">
        <f aca="false">L3112/(L3112+M3112)</f>
        <v>0</v>
      </c>
      <c r="R3112" s="6" t="n">
        <v>0</v>
      </c>
      <c r="S3112" s="11"/>
      <c r="T3112" s="11" t="n">
        <v>0</v>
      </c>
      <c r="U3112" s="11" t="n">
        <v>0.95</v>
      </c>
      <c r="V3112" s="11" t="n">
        <v>0.95</v>
      </c>
    </row>
    <row r="3113" customFormat="false" ht="15" hidden="false" customHeight="false" outlineLevel="0" collapsed="false">
      <c r="A3113" s="6" t="s">
        <v>60</v>
      </c>
      <c r="B3113" s="6" t="s">
        <v>59</v>
      </c>
      <c r="C3113" s="6" t="s">
        <v>51</v>
      </c>
      <c r="D3113" s="6" t="s">
        <v>119</v>
      </c>
      <c r="E3113" s="6" t="n">
        <v>16</v>
      </c>
      <c r="F3113" s="6" t="n">
        <v>3</v>
      </c>
      <c r="G3113" s="6" t="s">
        <v>77</v>
      </c>
      <c r="H3113" s="11" t="n">
        <v>0.001</v>
      </c>
      <c r="I3113" s="6" t="n">
        <v>20</v>
      </c>
      <c r="J3113" s="6" t="n">
        <v>0</v>
      </c>
      <c r="K3113" s="6" t="n">
        <v>20</v>
      </c>
      <c r="L3113" s="6" t="n">
        <v>0</v>
      </c>
      <c r="M3113" s="6" t="n">
        <v>20</v>
      </c>
      <c r="N3113" s="11" t="n">
        <f aca="false">J3113/(J3113+K3113)</f>
        <v>0</v>
      </c>
      <c r="O3113" s="11" t="str">
        <f aca="false">IF(J3113+L3113=0,"",J3113/(J3113+L3113))</f>
        <v/>
      </c>
      <c r="P3113" s="11" t="n">
        <f aca="false">2*J3113/(2*J3113+L3113+K3113)</f>
        <v>0</v>
      </c>
      <c r="Q3113" s="11" t="n">
        <f aca="false">L3113/(L3113+M3113)</f>
        <v>0</v>
      </c>
      <c r="R3113" s="6" t="n">
        <v>0</v>
      </c>
      <c r="S3113" s="11"/>
      <c r="T3113" s="11" t="n">
        <v>0</v>
      </c>
      <c r="U3113" s="11" t="n">
        <v>1</v>
      </c>
      <c r="V3113" s="11" t="n">
        <v>1</v>
      </c>
    </row>
    <row r="3114" customFormat="false" ht="15" hidden="false" customHeight="false" outlineLevel="0" collapsed="false">
      <c r="A3114" s="6" t="s">
        <v>60</v>
      </c>
      <c r="B3114" s="6" t="s">
        <v>59</v>
      </c>
      <c r="C3114" s="6" t="s">
        <v>51</v>
      </c>
      <c r="D3114" s="6" t="s">
        <v>119</v>
      </c>
      <c r="E3114" s="6" t="n">
        <v>16</v>
      </c>
      <c r="F3114" s="6" t="n">
        <v>3</v>
      </c>
      <c r="G3114" s="6" t="s">
        <v>78</v>
      </c>
      <c r="H3114" s="11" t="n">
        <v>0.001</v>
      </c>
      <c r="I3114" s="6" t="n">
        <v>200</v>
      </c>
      <c r="J3114" s="6" t="n">
        <v>0</v>
      </c>
      <c r="K3114" s="6" t="n">
        <v>200</v>
      </c>
      <c r="L3114" s="6" t="n">
        <v>0</v>
      </c>
      <c r="M3114" s="6" t="n">
        <v>200</v>
      </c>
      <c r="N3114" s="11" t="n">
        <f aca="false">J3114/(J3114+K3114)</f>
        <v>0</v>
      </c>
      <c r="O3114" s="11" t="str">
        <f aca="false">IF(J3114+L3114=0,"",J3114/(J3114+L3114))</f>
        <v/>
      </c>
      <c r="P3114" s="11" t="n">
        <f aca="false">2*J3114/(2*J3114+L3114+K3114)</f>
        <v>0</v>
      </c>
      <c r="Q3114" s="11" t="n">
        <f aca="false">L3114/(L3114+M3114)</f>
        <v>0</v>
      </c>
      <c r="R3114" s="6" t="n">
        <v>0</v>
      </c>
      <c r="S3114" s="11"/>
      <c r="T3114" s="11" t="n">
        <v>0</v>
      </c>
      <c r="U3114" s="11" t="n">
        <v>0.88</v>
      </c>
      <c r="V3114" s="11" t="n">
        <v>0.88</v>
      </c>
    </row>
    <row r="3115" customFormat="false" ht="15" hidden="false" customHeight="false" outlineLevel="0" collapsed="false">
      <c r="A3115" s="6" t="s">
        <v>60</v>
      </c>
      <c r="B3115" s="6" t="s">
        <v>59</v>
      </c>
      <c r="C3115" s="6" t="s">
        <v>51</v>
      </c>
      <c r="D3115" s="6" t="s">
        <v>119</v>
      </c>
      <c r="E3115" s="6" t="n">
        <v>16</v>
      </c>
      <c r="F3115" s="6" t="n">
        <v>4</v>
      </c>
      <c r="G3115" s="6" t="s">
        <v>68</v>
      </c>
      <c r="H3115" s="11" t="n">
        <v>0.001</v>
      </c>
      <c r="I3115" s="6" t="n">
        <v>20</v>
      </c>
      <c r="J3115" s="6" t="n">
        <v>0</v>
      </c>
      <c r="K3115" s="6" t="n">
        <v>20</v>
      </c>
      <c r="L3115" s="6" t="n">
        <v>0</v>
      </c>
      <c r="M3115" s="6" t="n">
        <v>20</v>
      </c>
      <c r="N3115" s="11" t="n">
        <f aca="false">J3115/(J3115+K3115)</f>
        <v>0</v>
      </c>
      <c r="O3115" s="11" t="str">
        <f aca="false">IF(J3115+L3115=0,"",J3115/(J3115+L3115))</f>
        <v/>
      </c>
      <c r="P3115" s="11" t="n">
        <f aca="false">2*J3115/(2*J3115+L3115+K3115)</f>
        <v>0</v>
      </c>
      <c r="Q3115" s="11" t="n">
        <f aca="false">L3115/(L3115+M3115)</f>
        <v>0</v>
      </c>
      <c r="R3115" s="6" t="n">
        <v>0</v>
      </c>
      <c r="S3115" s="11"/>
      <c r="T3115" s="11" t="n">
        <v>0</v>
      </c>
      <c r="U3115" s="11" t="n">
        <v>0.85</v>
      </c>
      <c r="V3115" s="11" t="n">
        <v>0.85</v>
      </c>
    </row>
    <row r="3116" customFormat="false" ht="15" hidden="false" customHeight="false" outlineLevel="0" collapsed="false">
      <c r="A3116" s="6" t="s">
        <v>60</v>
      </c>
      <c r="B3116" s="6" t="s">
        <v>59</v>
      </c>
      <c r="C3116" s="6" t="s">
        <v>51</v>
      </c>
      <c r="D3116" s="6" t="s">
        <v>119</v>
      </c>
      <c r="E3116" s="6" t="n">
        <v>16</v>
      </c>
      <c r="F3116" s="6" t="n">
        <v>4</v>
      </c>
      <c r="G3116" s="6" t="s">
        <v>69</v>
      </c>
      <c r="H3116" s="11" t="n">
        <v>0.001</v>
      </c>
      <c r="I3116" s="6" t="n">
        <v>20</v>
      </c>
      <c r="J3116" s="6" t="n">
        <v>0</v>
      </c>
      <c r="K3116" s="6" t="n">
        <v>20</v>
      </c>
      <c r="L3116" s="6" t="n">
        <v>0</v>
      </c>
      <c r="M3116" s="6" t="n">
        <v>20</v>
      </c>
      <c r="N3116" s="11" t="n">
        <f aca="false">J3116/(J3116+K3116)</f>
        <v>0</v>
      </c>
      <c r="O3116" s="11" t="str">
        <f aca="false">IF(J3116+L3116=0,"",J3116/(J3116+L3116))</f>
        <v/>
      </c>
      <c r="P3116" s="11" t="n">
        <f aca="false">2*J3116/(2*J3116+L3116+K3116)</f>
        <v>0</v>
      </c>
      <c r="Q3116" s="11" t="n">
        <f aca="false">L3116/(L3116+M3116)</f>
        <v>0</v>
      </c>
      <c r="R3116" s="6" t="n">
        <v>0</v>
      </c>
      <c r="S3116" s="11"/>
      <c r="T3116" s="11" t="n">
        <v>0</v>
      </c>
      <c r="U3116" s="11" t="n">
        <v>1</v>
      </c>
      <c r="V3116" s="11" t="n">
        <v>1</v>
      </c>
    </row>
    <row r="3117" customFormat="false" ht="15" hidden="false" customHeight="false" outlineLevel="0" collapsed="false">
      <c r="A3117" s="6" t="s">
        <v>60</v>
      </c>
      <c r="B3117" s="6" t="s">
        <v>59</v>
      </c>
      <c r="C3117" s="6" t="s">
        <v>51</v>
      </c>
      <c r="D3117" s="6" t="s">
        <v>119</v>
      </c>
      <c r="E3117" s="6" t="n">
        <v>16</v>
      </c>
      <c r="F3117" s="6" t="n">
        <v>4</v>
      </c>
      <c r="G3117" s="6" t="s">
        <v>70</v>
      </c>
      <c r="H3117" s="11" t="n">
        <v>0.001</v>
      </c>
      <c r="I3117" s="6" t="n">
        <v>20</v>
      </c>
      <c r="J3117" s="6" t="n">
        <v>0</v>
      </c>
      <c r="K3117" s="6" t="n">
        <v>20</v>
      </c>
      <c r="L3117" s="6" t="n">
        <v>0</v>
      </c>
      <c r="M3117" s="6" t="n">
        <v>20</v>
      </c>
      <c r="N3117" s="11" t="n">
        <f aca="false">J3117/(J3117+K3117)</f>
        <v>0</v>
      </c>
      <c r="O3117" s="11" t="str">
        <f aca="false">IF(J3117+L3117=0,"",J3117/(J3117+L3117))</f>
        <v/>
      </c>
      <c r="P3117" s="11" t="n">
        <f aca="false">2*J3117/(2*J3117+L3117+K3117)</f>
        <v>0</v>
      </c>
      <c r="Q3117" s="11" t="n">
        <f aca="false">L3117/(L3117+M3117)</f>
        <v>0</v>
      </c>
      <c r="R3117" s="6" t="n">
        <v>0</v>
      </c>
      <c r="S3117" s="11"/>
      <c r="T3117" s="11" t="n">
        <v>0</v>
      </c>
      <c r="U3117" s="11" t="n">
        <v>0.9</v>
      </c>
      <c r="V3117" s="11" t="n">
        <v>0.9</v>
      </c>
    </row>
    <row r="3118" customFormat="false" ht="15" hidden="false" customHeight="false" outlineLevel="0" collapsed="false">
      <c r="A3118" s="6" t="s">
        <v>60</v>
      </c>
      <c r="B3118" s="6" t="s">
        <v>59</v>
      </c>
      <c r="C3118" s="6" t="s">
        <v>51</v>
      </c>
      <c r="D3118" s="6" t="s">
        <v>119</v>
      </c>
      <c r="E3118" s="6" t="n">
        <v>16</v>
      </c>
      <c r="F3118" s="6" t="n">
        <v>4</v>
      </c>
      <c r="G3118" s="6" t="s">
        <v>71</v>
      </c>
      <c r="H3118" s="11" t="n">
        <v>0.001</v>
      </c>
      <c r="I3118" s="6" t="n">
        <v>20</v>
      </c>
      <c r="J3118" s="6" t="n">
        <v>0</v>
      </c>
      <c r="K3118" s="6" t="n">
        <v>20</v>
      </c>
      <c r="L3118" s="6" t="n">
        <v>0</v>
      </c>
      <c r="M3118" s="6" t="n">
        <v>20</v>
      </c>
      <c r="N3118" s="11" t="n">
        <f aca="false">J3118/(J3118+K3118)</f>
        <v>0</v>
      </c>
      <c r="O3118" s="11" t="str">
        <f aca="false">IF(J3118+L3118=0,"",J3118/(J3118+L3118))</f>
        <v/>
      </c>
      <c r="P3118" s="11" t="n">
        <f aca="false">2*J3118/(2*J3118+L3118+K3118)</f>
        <v>0</v>
      </c>
      <c r="Q3118" s="11" t="n">
        <f aca="false">L3118/(L3118+M3118)</f>
        <v>0</v>
      </c>
      <c r="R3118" s="6" t="n">
        <v>0</v>
      </c>
      <c r="S3118" s="11"/>
      <c r="T3118" s="11" t="n">
        <v>0</v>
      </c>
      <c r="U3118" s="11" t="n">
        <v>0.8</v>
      </c>
      <c r="V3118" s="11" t="n">
        <v>0.8</v>
      </c>
    </row>
    <row r="3119" customFormat="false" ht="15" hidden="false" customHeight="false" outlineLevel="0" collapsed="false">
      <c r="A3119" s="6" t="s">
        <v>60</v>
      </c>
      <c r="B3119" s="6" t="s">
        <v>59</v>
      </c>
      <c r="C3119" s="6" t="s">
        <v>51</v>
      </c>
      <c r="D3119" s="6" t="s">
        <v>119</v>
      </c>
      <c r="E3119" s="6" t="n">
        <v>16</v>
      </c>
      <c r="F3119" s="6" t="n">
        <v>4</v>
      </c>
      <c r="G3119" s="6" t="s">
        <v>72</v>
      </c>
      <c r="H3119" s="11" t="n">
        <v>0.001</v>
      </c>
      <c r="I3119" s="6" t="n">
        <v>20</v>
      </c>
      <c r="J3119" s="6" t="n">
        <v>0</v>
      </c>
      <c r="K3119" s="6" t="n">
        <v>20</v>
      </c>
      <c r="L3119" s="6" t="n">
        <v>0</v>
      </c>
      <c r="M3119" s="6" t="n">
        <v>20</v>
      </c>
      <c r="N3119" s="11" t="n">
        <f aca="false">J3119/(J3119+K3119)</f>
        <v>0</v>
      </c>
      <c r="O3119" s="11" t="str">
        <f aca="false">IF(J3119+L3119=0,"",J3119/(J3119+L3119))</f>
        <v/>
      </c>
      <c r="P3119" s="11" t="n">
        <f aca="false">2*J3119/(2*J3119+L3119+K3119)</f>
        <v>0</v>
      </c>
      <c r="Q3119" s="11" t="n">
        <f aca="false">L3119/(L3119+M3119)</f>
        <v>0</v>
      </c>
      <c r="R3119" s="6" t="n">
        <v>0</v>
      </c>
      <c r="S3119" s="11"/>
      <c r="T3119" s="11" t="n">
        <v>0</v>
      </c>
      <c r="U3119" s="11" t="n">
        <v>0.9</v>
      </c>
      <c r="V3119" s="11" t="n">
        <v>0.9</v>
      </c>
    </row>
    <row r="3120" customFormat="false" ht="15" hidden="false" customHeight="false" outlineLevel="0" collapsed="false">
      <c r="A3120" s="6" t="s">
        <v>60</v>
      </c>
      <c r="B3120" s="6" t="s">
        <v>59</v>
      </c>
      <c r="C3120" s="6" t="s">
        <v>51</v>
      </c>
      <c r="D3120" s="6" t="s">
        <v>119</v>
      </c>
      <c r="E3120" s="6" t="n">
        <v>16</v>
      </c>
      <c r="F3120" s="6" t="n">
        <v>4</v>
      </c>
      <c r="G3120" s="6" t="s">
        <v>73</v>
      </c>
      <c r="H3120" s="11" t="n">
        <v>0.001</v>
      </c>
      <c r="I3120" s="6" t="n">
        <v>20</v>
      </c>
      <c r="J3120" s="6" t="n">
        <v>0</v>
      </c>
      <c r="K3120" s="6" t="n">
        <v>20</v>
      </c>
      <c r="L3120" s="6" t="n">
        <v>0</v>
      </c>
      <c r="M3120" s="6" t="n">
        <v>20</v>
      </c>
      <c r="N3120" s="11" t="n">
        <f aca="false">J3120/(J3120+K3120)</f>
        <v>0</v>
      </c>
      <c r="O3120" s="11" t="str">
        <f aca="false">IF(J3120+L3120=0,"",J3120/(J3120+L3120))</f>
        <v/>
      </c>
      <c r="P3120" s="11" t="n">
        <f aca="false">2*J3120/(2*J3120+L3120+K3120)</f>
        <v>0</v>
      </c>
      <c r="Q3120" s="11" t="n">
        <f aca="false">L3120/(L3120+M3120)</f>
        <v>0</v>
      </c>
      <c r="R3120" s="6" t="n">
        <v>0</v>
      </c>
      <c r="S3120" s="11"/>
      <c r="T3120" s="11" t="n">
        <v>0</v>
      </c>
      <c r="U3120" s="11" t="n">
        <v>0.65</v>
      </c>
      <c r="V3120" s="11" t="n">
        <v>0.65</v>
      </c>
    </row>
    <row r="3121" customFormat="false" ht="15" hidden="false" customHeight="false" outlineLevel="0" collapsed="false">
      <c r="A3121" s="6" t="s">
        <v>60</v>
      </c>
      <c r="B3121" s="6" t="s">
        <v>59</v>
      </c>
      <c r="C3121" s="6" t="s">
        <v>51</v>
      </c>
      <c r="D3121" s="6" t="s">
        <v>119</v>
      </c>
      <c r="E3121" s="6" t="n">
        <v>16</v>
      </c>
      <c r="F3121" s="6" t="n">
        <v>4</v>
      </c>
      <c r="G3121" s="6" t="s">
        <v>74</v>
      </c>
      <c r="H3121" s="11" t="n">
        <v>0.001</v>
      </c>
      <c r="I3121" s="6" t="n">
        <v>20</v>
      </c>
      <c r="J3121" s="6" t="n">
        <v>0</v>
      </c>
      <c r="K3121" s="6" t="n">
        <v>20</v>
      </c>
      <c r="L3121" s="6" t="n">
        <v>0</v>
      </c>
      <c r="M3121" s="6" t="n">
        <v>20</v>
      </c>
      <c r="N3121" s="11" t="n">
        <f aca="false">J3121/(J3121+K3121)</f>
        <v>0</v>
      </c>
      <c r="O3121" s="11" t="str">
        <f aca="false">IF(J3121+L3121=0,"",J3121/(J3121+L3121))</f>
        <v/>
      </c>
      <c r="P3121" s="11" t="n">
        <f aca="false">2*J3121/(2*J3121+L3121+K3121)</f>
        <v>0</v>
      </c>
      <c r="Q3121" s="11" t="n">
        <f aca="false">L3121/(L3121+M3121)</f>
        <v>0</v>
      </c>
      <c r="R3121" s="6" t="n">
        <v>1</v>
      </c>
      <c r="S3121" s="11" t="n">
        <v>0</v>
      </c>
      <c r="T3121" s="11" t="n">
        <v>0</v>
      </c>
      <c r="U3121" s="11" t="n">
        <v>0.85</v>
      </c>
      <c r="V3121" s="11" t="n">
        <v>0.9</v>
      </c>
    </row>
    <row r="3122" customFormat="false" ht="15" hidden="false" customHeight="false" outlineLevel="0" collapsed="false">
      <c r="A3122" s="6" t="s">
        <v>60</v>
      </c>
      <c r="B3122" s="6" t="s">
        <v>59</v>
      </c>
      <c r="C3122" s="6" t="s">
        <v>51</v>
      </c>
      <c r="D3122" s="6" t="s">
        <v>119</v>
      </c>
      <c r="E3122" s="6" t="n">
        <v>16</v>
      </c>
      <c r="F3122" s="6" t="n">
        <v>4</v>
      </c>
      <c r="G3122" s="6" t="s">
        <v>75</v>
      </c>
      <c r="H3122" s="11" t="n">
        <v>0.001</v>
      </c>
      <c r="I3122" s="6" t="n">
        <v>20</v>
      </c>
      <c r="J3122" s="6" t="n">
        <v>0</v>
      </c>
      <c r="K3122" s="6" t="n">
        <v>20</v>
      </c>
      <c r="L3122" s="6" t="n">
        <v>0</v>
      </c>
      <c r="M3122" s="6" t="n">
        <v>20</v>
      </c>
      <c r="N3122" s="11" t="n">
        <f aca="false">J3122/(J3122+K3122)</f>
        <v>0</v>
      </c>
      <c r="O3122" s="11" t="str">
        <f aca="false">IF(J3122+L3122=0,"",J3122/(J3122+L3122))</f>
        <v/>
      </c>
      <c r="P3122" s="11" t="n">
        <f aca="false">2*J3122/(2*J3122+L3122+K3122)</f>
        <v>0</v>
      </c>
      <c r="Q3122" s="11" t="n">
        <f aca="false">L3122/(L3122+M3122)</f>
        <v>0</v>
      </c>
      <c r="R3122" s="6" t="n">
        <v>1</v>
      </c>
      <c r="S3122" s="11" t="n">
        <v>0</v>
      </c>
      <c r="T3122" s="11" t="n">
        <v>0</v>
      </c>
      <c r="U3122" s="11" t="n">
        <v>0.9</v>
      </c>
      <c r="V3122" s="11" t="n">
        <v>0.95</v>
      </c>
    </row>
    <row r="3123" customFormat="false" ht="15" hidden="false" customHeight="false" outlineLevel="0" collapsed="false">
      <c r="A3123" s="6" t="s">
        <v>60</v>
      </c>
      <c r="B3123" s="6" t="s">
        <v>59</v>
      </c>
      <c r="C3123" s="6" t="s">
        <v>51</v>
      </c>
      <c r="D3123" s="6" t="s">
        <v>119</v>
      </c>
      <c r="E3123" s="6" t="n">
        <v>16</v>
      </c>
      <c r="F3123" s="6" t="n">
        <v>4</v>
      </c>
      <c r="G3123" s="6" t="s">
        <v>76</v>
      </c>
      <c r="H3123" s="11" t="n">
        <v>0.001</v>
      </c>
      <c r="I3123" s="6" t="n">
        <v>20</v>
      </c>
      <c r="J3123" s="6" t="n">
        <v>0</v>
      </c>
      <c r="K3123" s="6" t="n">
        <v>20</v>
      </c>
      <c r="L3123" s="6" t="n">
        <v>0</v>
      </c>
      <c r="M3123" s="6" t="n">
        <v>20</v>
      </c>
      <c r="N3123" s="11" t="n">
        <f aca="false">J3123/(J3123+K3123)</f>
        <v>0</v>
      </c>
      <c r="O3123" s="11" t="str">
        <f aca="false">IF(J3123+L3123=0,"",J3123/(J3123+L3123))</f>
        <v/>
      </c>
      <c r="P3123" s="11" t="n">
        <f aca="false">2*J3123/(2*J3123+L3123+K3123)</f>
        <v>0</v>
      </c>
      <c r="Q3123" s="11" t="n">
        <f aca="false">L3123/(L3123+M3123)</f>
        <v>0</v>
      </c>
      <c r="R3123" s="6" t="n">
        <v>0</v>
      </c>
      <c r="S3123" s="11"/>
      <c r="T3123" s="11" t="n">
        <v>0</v>
      </c>
      <c r="U3123" s="11" t="n">
        <v>0.95</v>
      </c>
      <c r="V3123" s="11" t="n">
        <v>0.95</v>
      </c>
    </row>
    <row r="3124" customFormat="false" ht="15" hidden="false" customHeight="false" outlineLevel="0" collapsed="false">
      <c r="A3124" s="6" t="s">
        <v>60</v>
      </c>
      <c r="B3124" s="6" t="s">
        <v>59</v>
      </c>
      <c r="C3124" s="6" t="s">
        <v>51</v>
      </c>
      <c r="D3124" s="6" t="s">
        <v>119</v>
      </c>
      <c r="E3124" s="6" t="n">
        <v>16</v>
      </c>
      <c r="F3124" s="6" t="n">
        <v>4</v>
      </c>
      <c r="G3124" s="6" t="s">
        <v>77</v>
      </c>
      <c r="H3124" s="11" t="n">
        <v>0.001</v>
      </c>
      <c r="I3124" s="6" t="n">
        <v>20</v>
      </c>
      <c r="J3124" s="6" t="n">
        <v>0</v>
      </c>
      <c r="K3124" s="6" t="n">
        <v>20</v>
      </c>
      <c r="L3124" s="6" t="n">
        <v>0</v>
      </c>
      <c r="M3124" s="6" t="n">
        <v>20</v>
      </c>
      <c r="N3124" s="11" t="n">
        <f aca="false">J3124/(J3124+K3124)</f>
        <v>0</v>
      </c>
      <c r="O3124" s="11" t="str">
        <f aca="false">IF(J3124+L3124=0,"",J3124/(J3124+L3124))</f>
        <v/>
      </c>
      <c r="P3124" s="11" t="n">
        <f aca="false">2*J3124/(2*J3124+L3124+K3124)</f>
        <v>0</v>
      </c>
      <c r="Q3124" s="11" t="n">
        <f aca="false">L3124/(L3124+M3124)</f>
        <v>0</v>
      </c>
      <c r="R3124" s="6" t="n">
        <v>0</v>
      </c>
      <c r="S3124" s="11"/>
      <c r="T3124" s="11" t="n">
        <v>0</v>
      </c>
      <c r="U3124" s="11" t="n">
        <v>1</v>
      </c>
      <c r="V3124" s="11" t="n">
        <v>1</v>
      </c>
    </row>
    <row r="3125" customFormat="false" ht="15" hidden="false" customHeight="false" outlineLevel="0" collapsed="false">
      <c r="A3125" s="6" t="s">
        <v>60</v>
      </c>
      <c r="B3125" s="6" t="s">
        <v>59</v>
      </c>
      <c r="C3125" s="6" t="s">
        <v>51</v>
      </c>
      <c r="D3125" s="6" t="s">
        <v>119</v>
      </c>
      <c r="E3125" s="6" t="n">
        <v>16</v>
      </c>
      <c r="F3125" s="6" t="n">
        <v>4</v>
      </c>
      <c r="G3125" s="6" t="s">
        <v>78</v>
      </c>
      <c r="H3125" s="11" t="n">
        <v>0.001</v>
      </c>
      <c r="I3125" s="6" t="n">
        <v>200</v>
      </c>
      <c r="J3125" s="6" t="n">
        <v>0</v>
      </c>
      <c r="K3125" s="6" t="n">
        <v>200</v>
      </c>
      <c r="L3125" s="6" t="n">
        <v>0</v>
      </c>
      <c r="M3125" s="6" t="n">
        <v>200</v>
      </c>
      <c r="N3125" s="11" t="n">
        <f aca="false">J3125/(J3125+K3125)</f>
        <v>0</v>
      </c>
      <c r="O3125" s="11" t="str">
        <f aca="false">IF(J3125+L3125=0,"",J3125/(J3125+L3125))</f>
        <v/>
      </c>
      <c r="P3125" s="11" t="n">
        <f aca="false">2*J3125/(2*J3125+L3125+K3125)</f>
        <v>0</v>
      </c>
      <c r="Q3125" s="11" t="n">
        <f aca="false">L3125/(L3125+M3125)</f>
        <v>0</v>
      </c>
      <c r="R3125" s="6" t="n">
        <v>2</v>
      </c>
      <c r="S3125" s="11" t="n">
        <v>0</v>
      </c>
      <c r="T3125" s="11" t="n">
        <v>0</v>
      </c>
      <c r="U3125" s="11" t="n">
        <v>0.88</v>
      </c>
      <c r="V3125" s="11" t="n">
        <v>0.89</v>
      </c>
    </row>
    <row r="3126" customFormat="false" ht="15" hidden="false" customHeight="false" outlineLevel="0" collapsed="false">
      <c r="A3126" s="6" t="s">
        <v>60</v>
      </c>
      <c r="B3126" s="6" t="s">
        <v>59</v>
      </c>
      <c r="C3126" s="6" t="s">
        <v>51</v>
      </c>
      <c r="D3126" s="6" t="s">
        <v>119</v>
      </c>
      <c r="E3126" s="6" t="n">
        <v>16</v>
      </c>
      <c r="F3126" s="6" t="n">
        <v>5</v>
      </c>
      <c r="G3126" s="6" t="s">
        <v>68</v>
      </c>
      <c r="H3126" s="11" t="n">
        <v>0.001</v>
      </c>
      <c r="I3126" s="6" t="n">
        <v>20</v>
      </c>
      <c r="J3126" s="6" t="n">
        <v>0</v>
      </c>
      <c r="K3126" s="6" t="n">
        <v>20</v>
      </c>
      <c r="L3126" s="6" t="n">
        <v>0</v>
      </c>
      <c r="M3126" s="6" t="n">
        <v>20</v>
      </c>
      <c r="N3126" s="11" t="n">
        <f aca="false">J3126/(J3126+K3126)</f>
        <v>0</v>
      </c>
      <c r="O3126" s="11" t="str">
        <f aca="false">IF(J3126+L3126=0,"",J3126/(J3126+L3126))</f>
        <v/>
      </c>
      <c r="P3126" s="11" t="n">
        <f aca="false">2*J3126/(2*J3126+L3126+K3126)</f>
        <v>0</v>
      </c>
      <c r="Q3126" s="11" t="n">
        <f aca="false">L3126/(L3126+M3126)</f>
        <v>0</v>
      </c>
      <c r="R3126" s="6" t="n">
        <v>0</v>
      </c>
      <c r="S3126" s="11"/>
      <c r="T3126" s="11" t="n">
        <v>0</v>
      </c>
      <c r="U3126" s="11" t="n">
        <v>0.85</v>
      </c>
      <c r="V3126" s="11" t="n">
        <v>0.85</v>
      </c>
    </row>
    <row r="3127" customFormat="false" ht="15" hidden="false" customHeight="false" outlineLevel="0" collapsed="false">
      <c r="A3127" s="6" t="s">
        <v>60</v>
      </c>
      <c r="B3127" s="6" t="s">
        <v>59</v>
      </c>
      <c r="C3127" s="6" t="s">
        <v>51</v>
      </c>
      <c r="D3127" s="6" t="s">
        <v>119</v>
      </c>
      <c r="E3127" s="6" t="n">
        <v>16</v>
      </c>
      <c r="F3127" s="6" t="n">
        <v>5</v>
      </c>
      <c r="G3127" s="6" t="s">
        <v>69</v>
      </c>
      <c r="H3127" s="11" t="n">
        <v>0.001</v>
      </c>
      <c r="I3127" s="6" t="n">
        <v>20</v>
      </c>
      <c r="J3127" s="6" t="n">
        <v>0</v>
      </c>
      <c r="K3127" s="6" t="n">
        <v>20</v>
      </c>
      <c r="L3127" s="6" t="n">
        <v>0</v>
      </c>
      <c r="M3127" s="6" t="n">
        <v>20</v>
      </c>
      <c r="N3127" s="11" t="n">
        <f aca="false">J3127/(J3127+K3127)</f>
        <v>0</v>
      </c>
      <c r="O3127" s="11" t="str">
        <f aca="false">IF(J3127+L3127=0,"",J3127/(J3127+L3127))</f>
        <v/>
      </c>
      <c r="P3127" s="11" t="n">
        <f aca="false">2*J3127/(2*J3127+L3127+K3127)</f>
        <v>0</v>
      </c>
      <c r="Q3127" s="11" t="n">
        <f aca="false">L3127/(L3127+M3127)</f>
        <v>0</v>
      </c>
      <c r="R3127" s="6" t="n">
        <v>0</v>
      </c>
      <c r="S3127" s="11"/>
      <c r="T3127" s="11" t="n">
        <v>0</v>
      </c>
      <c r="U3127" s="11" t="n">
        <v>1</v>
      </c>
      <c r="V3127" s="11" t="n">
        <v>1</v>
      </c>
    </row>
    <row r="3128" customFormat="false" ht="15" hidden="false" customHeight="false" outlineLevel="0" collapsed="false">
      <c r="A3128" s="6" t="s">
        <v>60</v>
      </c>
      <c r="B3128" s="6" t="s">
        <v>59</v>
      </c>
      <c r="C3128" s="6" t="s">
        <v>51</v>
      </c>
      <c r="D3128" s="6" t="s">
        <v>119</v>
      </c>
      <c r="E3128" s="6" t="n">
        <v>16</v>
      </c>
      <c r="F3128" s="6" t="n">
        <v>5</v>
      </c>
      <c r="G3128" s="6" t="s">
        <v>70</v>
      </c>
      <c r="H3128" s="11" t="n">
        <v>0.001</v>
      </c>
      <c r="I3128" s="6" t="n">
        <v>20</v>
      </c>
      <c r="J3128" s="6" t="n">
        <v>0</v>
      </c>
      <c r="K3128" s="6" t="n">
        <v>20</v>
      </c>
      <c r="L3128" s="6" t="n">
        <v>0</v>
      </c>
      <c r="M3128" s="6" t="n">
        <v>20</v>
      </c>
      <c r="N3128" s="11" t="n">
        <f aca="false">J3128/(J3128+K3128)</f>
        <v>0</v>
      </c>
      <c r="O3128" s="11" t="str">
        <f aca="false">IF(J3128+L3128=0,"",J3128/(J3128+L3128))</f>
        <v/>
      </c>
      <c r="P3128" s="11" t="n">
        <f aca="false">2*J3128/(2*J3128+L3128+K3128)</f>
        <v>0</v>
      </c>
      <c r="Q3128" s="11" t="n">
        <f aca="false">L3128/(L3128+M3128)</f>
        <v>0</v>
      </c>
      <c r="R3128" s="6" t="n">
        <v>0</v>
      </c>
      <c r="S3128" s="11"/>
      <c r="T3128" s="11" t="n">
        <v>0</v>
      </c>
      <c r="U3128" s="11" t="n">
        <v>0.9</v>
      </c>
      <c r="V3128" s="11" t="n">
        <v>0.9</v>
      </c>
    </row>
    <row r="3129" customFormat="false" ht="15" hidden="false" customHeight="false" outlineLevel="0" collapsed="false">
      <c r="A3129" s="6" t="s">
        <v>60</v>
      </c>
      <c r="B3129" s="6" t="s">
        <v>59</v>
      </c>
      <c r="C3129" s="6" t="s">
        <v>51</v>
      </c>
      <c r="D3129" s="6" t="s">
        <v>119</v>
      </c>
      <c r="E3129" s="6" t="n">
        <v>16</v>
      </c>
      <c r="F3129" s="6" t="n">
        <v>5</v>
      </c>
      <c r="G3129" s="6" t="s">
        <v>71</v>
      </c>
      <c r="H3129" s="11" t="n">
        <v>0.001</v>
      </c>
      <c r="I3129" s="6" t="n">
        <v>20</v>
      </c>
      <c r="J3129" s="6" t="n">
        <v>0</v>
      </c>
      <c r="K3129" s="6" t="n">
        <v>20</v>
      </c>
      <c r="L3129" s="6" t="n">
        <v>0</v>
      </c>
      <c r="M3129" s="6" t="n">
        <v>20</v>
      </c>
      <c r="N3129" s="11" t="n">
        <f aca="false">J3129/(J3129+K3129)</f>
        <v>0</v>
      </c>
      <c r="O3129" s="11" t="str">
        <f aca="false">IF(J3129+L3129=0,"",J3129/(J3129+L3129))</f>
        <v/>
      </c>
      <c r="P3129" s="11" t="n">
        <f aca="false">2*J3129/(2*J3129+L3129+K3129)</f>
        <v>0</v>
      </c>
      <c r="Q3129" s="11" t="n">
        <f aca="false">L3129/(L3129+M3129)</f>
        <v>0</v>
      </c>
      <c r="R3129" s="6" t="n">
        <v>0</v>
      </c>
      <c r="S3129" s="11"/>
      <c r="T3129" s="11" t="n">
        <v>0</v>
      </c>
      <c r="U3129" s="11" t="n">
        <v>0.8</v>
      </c>
      <c r="V3129" s="11" t="n">
        <v>0.8</v>
      </c>
    </row>
    <row r="3130" customFormat="false" ht="15" hidden="false" customHeight="false" outlineLevel="0" collapsed="false">
      <c r="A3130" s="6" t="s">
        <v>60</v>
      </c>
      <c r="B3130" s="6" t="s">
        <v>59</v>
      </c>
      <c r="C3130" s="6" t="s">
        <v>51</v>
      </c>
      <c r="D3130" s="6" t="s">
        <v>119</v>
      </c>
      <c r="E3130" s="6" t="n">
        <v>16</v>
      </c>
      <c r="F3130" s="6" t="n">
        <v>5</v>
      </c>
      <c r="G3130" s="6" t="s">
        <v>72</v>
      </c>
      <c r="H3130" s="11" t="n">
        <v>0.001</v>
      </c>
      <c r="I3130" s="6" t="n">
        <v>20</v>
      </c>
      <c r="J3130" s="6" t="n">
        <v>0</v>
      </c>
      <c r="K3130" s="6" t="n">
        <v>20</v>
      </c>
      <c r="L3130" s="6" t="n">
        <v>0</v>
      </c>
      <c r="M3130" s="6" t="n">
        <v>20</v>
      </c>
      <c r="N3130" s="11" t="n">
        <f aca="false">J3130/(J3130+K3130)</f>
        <v>0</v>
      </c>
      <c r="O3130" s="11" t="str">
        <f aca="false">IF(J3130+L3130=0,"",J3130/(J3130+L3130))</f>
        <v/>
      </c>
      <c r="P3130" s="11" t="n">
        <f aca="false">2*J3130/(2*J3130+L3130+K3130)</f>
        <v>0</v>
      </c>
      <c r="Q3130" s="11" t="n">
        <f aca="false">L3130/(L3130+M3130)</f>
        <v>0</v>
      </c>
      <c r="R3130" s="6" t="n">
        <v>0</v>
      </c>
      <c r="S3130" s="11"/>
      <c r="T3130" s="11" t="n">
        <v>0</v>
      </c>
      <c r="U3130" s="11" t="n">
        <v>0.9</v>
      </c>
      <c r="V3130" s="11" t="n">
        <v>0.9</v>
      </c>
    </row>
    <row r="3131" customFormat="false" ht="15" hidden="false" customHeight="false" outlineLevel="0" collapsed="false">
      <c r="A3131" s="6" t="s">
        <v>60</v>
      </c>
      <c r="B3131" s="6" t="s">
        <v>59</v>
      </c>
      <c r="C3131" s="6" t="s">
        <v>51</v>
      </c>
      <c r="D3131" s="6" t="s">
        <v>119</v>
      </c>
      <c r="E3131" s="6" t="n">
        <v>16</v>
      </c>
      <c r="F3131" s="6" t="n">
        <v>5</v>
      </c>
      <c r="G3131" s="6" t="s">
        <v>73</v>
      </c>
      <c r="H3131" s="11" t="n">
        <v>0.001</v>
      </c>
      <c r="I3131" s="6" t="n">
        <v>20</v>
      </c>
      <c r="J3131" s="6" t="n">
        <v>0</v>
      </c>
      <c r="K3131" s="6" t="n">
        <v>20</v>
      </c>
      <c r="L3131" s="6" t="n">
        <v>0</v>
      </c>
      <c r="M3131" s="6" t="n">
        <v>20</v>
      </c>
      <c r="N3131" s="11" t="n">
        <f aca="false">J3131/(J3131+K3131)</f>
        <v>0</v>
      </c>
      <c r="O3131" s="11" t="str">
        <f aca="false">IF(J3131+L3131=0,"",J3131/(J3131+L3131))</f>
        <v/>
      </c>
      <c r="P3131" s="11" t="n">
        <f aca="false">2*J3131/(2*J3131+L3131+K3131)</f>
        <v>0</v>
      </c>
      <c r="Q3131" s="11" t="n">
        <f aca="false">L3131/(L3131+M3131)</f>
        <v>0</v>
      </c>
      <c r="R3131" s="6" t="n">
        <v>2</v>
      </c>
      <c r="S3131" s="11" t="n">
        <v>0</v>
      </c>
      <c r="T3131" s="11" t="n">
        <v>0</v>
      </c>
      <c r="U3131" s="11" t="n">
        <v>0.65</v>
      </c>
      <c r="V3131" s="11" t="n">
        <v>0.65</v>
      </c>
    </row>
    <row r="3132" customFormat="false" ht="15" hidden="false" customHeight="false" outlineLevel="0" collapsed="false">
      <c r="A3132" s="6" t="s">
        <v>60</v>
      </c>
      <c r="B3132" s="6" t="s">
        <v>59</v>
      </c>
      <c r="C3132" s="6" t="s">
        <v>51</v>
      </c>
      <c r="D3132" s="6" t="s">
        <v>119</v>
      </c>
      <c r="E3132" s="6" t="n">
        <v>16</v>
      </c>
      <c r="F3132" s="6" t="n">
        <v>5</v>
      </c>
      <c r="G3132" s="6" t="s">
        <v>74</v>
      </c>
      <c r="H3132" s="11" t="n">
        <v>0.001</v>
      </c>
      <c r="I3132" s="6" t="n">
        <v>20</v>
      </c>
      <c r="J3132" s="6" t="n">
        <v>0</v>
      </c>
      <c r="K3132" s="6" t="n">
        <v>20</v>
      </c>
      <c r="L3132" s="6" t="n">
        <v>0</v>
      </c>
      <c r="M3132" s="6" t="n">
        <v>20</v>
      </c>
      <c r="N3132" s="11" t="n">
        <f aca="false">J3132/(J3132+K3132)</f>
        <v>0</v>
      </c>
      <c r="O3132" s="11" t="str">
        <f aca="false">IF(J3132+L3132=0,"",J3132/(J3132+L3132))</f>
        <v/>
      </c>
      <c r="P3132" s="11" t="n">
        <f aca="false">2*J3132/(2*J3132+L3132+K3132)</f>
        <v>0</v>
      </c>
      <c r="Q3132" s="11" t="n">
        <f aca="false">L3132/(L3132+M3132)</f>
        <v>0</v>
      </c>
      <c r="R3132" s="6" t="n">
        <v>2</v>
      </c>
      <c r="S3132" s="11" t="n">
        <v>0</v>
      </c>
      <c r="T3132" s="11" t="n">
        <v>0</v>
      </c>
      <c r="U3132" s="11" t="n">
        <v>0.85</v>
      </c>
      <c r="V3132" s="11" t="n">
        <v>0.9</v>
      </c>
    </row>
    <row r="3133" customFormat="false" ht="15" hidden="false" customHeight="false" outlineLevel="0" collapsed="false">
      <c r="A3133" s="6" t="s">
        <v>60</v>
      </c>
      <c r="B3133" s="6" t="s">
        <v>59</v>
      </c>
      <c r="C3133" s="6" t="s">
        <v>51</v>
      </c>
      <c r="D3133" s="6" t="s">
        <v>119</v>
      </c>
      <c r="E3133" s="6" t="n">
        <v>16</v>
      </c>
      <c r="F3133" s="6" t="n">
        <v>5</v>
      </c>
      <c r="G3133" s="6" t="s">
        <v>75</v>
      </c>
      <c r="H3133" s="11" t="n">
        <v>0.001</v>
      </c>
      <c r="I3133" s="6" t="n">
        <v>20</v>
      </c>
      <c r="J3133" s="6" t="n">
        <v>0</v>
      </c>
      <c r="K3133" s="6" t="n">
        <v>20</v>
      </c>
      <c r="L3133" s="6" t="n">
        <v>0</v>
      </c>
      <c r="M3133" s="6" t="n">
        <v>20</v>
      </c>
      <c r="N3133" s="11" t="n">
        <f aca="false">J3133/(J3133+K3133)</f>
        <v>0</v>
      </c>
      <c r="O3133" s="11" t="str">
        <f aca="false">IF(J3133+L3133=0,"",J3133/(J3133+L3133))</f>
        <v/>
      </c>
      <c r="P3133" s="11" t="n">
        <f aca="false">2*J3133/(2*J3133+L3133+K3133)</f>
        <v>0</v>
      </c>
      <c r="Q3133" s="11" t="n">
        <f aca="false">L3133/(L3133+M3133)</f>
        <v>0</v>
      </c>
      <c r="R3133" s="6" t="n">
        <v>0</v>
      </c>
      <c r="S3133" s="11"/>
      <c r="T3133" s="11" t="n">
        <v>0</v>
      </c>
      <c r="U3133" s="11" t="n">
        <v>0.9</v>
      </c>
      <c r="V3133" s="11" t="n">
        <v>0.9</v>
      </c>
    </row>
    <row r="3134" customFormat="false" ht="15" hidden="false" customHeight="false" outlineLevel="0" collapsed="false">
      <c r="A3134" s="6" t="s">
        <v>60</v>
      </c>
      <c r="B3134" s="6" t="s">
        <v>59</v>
      </c>
      <c r="C3134" s="6" t="s">
        <v>51</v>
      </c>
      <c r="D3134" s="6" t="s">
        <v>119</v>
      </c>
      <c r="E3134" s="6" t="n">
        <v>16</v>
      </c>
      <c r="F3134" s="6" t="n">
        <v>5</v>
      </c>
      <c r="G3134" s="6" t="s">
        <v>76</v>
      </c>
      <c r="H3134" s="11" t="n">
        <v>0.001</v>
      </c>
      <c r="I3134" s="6" t="n">
        <v>20</v>
      </c>
      <c r="J3134" s="6" t="n">
        <v>0</v>
      </c>
      <c r="K3134" s="6" t="n">
        <v>20</v>
      </c>
      <c r="L3134" s="6" t="n">
        <v>0</v>
      </c>
      <c r="M3134" s="6" t="n">
        <v>20</v>
      </c>
      <c r="N3134" s="11" t="n">
        <f aca="false">J3134/(J3134+K3134)</f>
        <v>0</v>
      </c>
      <c r="O3134" s="11" t="str">
        <f aca="false">IF(J3134+L3134=0,"",J3134/(J3134+L3134))</f>
        <v/>
      </c>
      <c r="P3134" s="11" t="n">
        <f aca="false">2*J3134/(2*J3134+L3134+K3134)</f>
        <v>0</v>
      </c>
      <c r="Q3134" s="11" t="n">
        <f aca="false">L3134/(L3134+M3134)</f>
        <v>0</v>
      </c>
      <c r="R3134" s="6" t="n">
        <v>0</v>
      </c>
      <c r="S3134" s="11"/>
      <c r="T3134" s="11" t="n">
        <v>0</v>
      </c>
      <c r="U3134" s="11" t="n">
        <v>0.95</v>
      </c>
      <c r="V3134" s="11" t="n">
        <v>0.95</v>
      </c>
    </row>
    <row r="3135" customFormat="false" ht="15" hidden="false" customHeight="false" outlineLevel="0" collapsed="false">
      <c r="A3135" s="6" t="s">
        <v>60</v>
      </c>
      <c r="B3135" s="6" t="s">
        <v>59</v>
      </c>
      <c r="C3135" s="6" t="s">
        <v>51</v>
      </c>
      <c r="D3135" s="6" t="s">
        <v>119</v>
      </c>
      <c r="E3135" s="6" t="n">
        <v>16</v>
      </c>
      <c r="F3135" s="6" t="n">
        <v>5</v>
      </c>
      <c r="G3135" s="6" t="s">
        <v>77</v>
      </c>
      <c r="H3135" s="11" t="n">
        <v>0.001</v>
      </c>
      <c r="I3135" s="6" t="n">
        <v>20</v>
      </c>
      <c r="J3135" s="6" t="n">
        <v>0</v>
      </c>
      <c r="K3135" s="6" t="n">
        <v>20</v>
      </c>
      <c r="L3135" s="6" t="n">
        <v>0</v>
      </c>
      <c r="M3135" s="6" t="n">
        <v>20</v>
      </c>
      <c r="N3135" s="11" t="n">
        <f aca="false">J3135/(J3135+K3135)</f>
        <v>0</v>
      </c>
      <c r="O3135" s="11" t="str">
        <f aca="false">IF(J3135+L3135=0,"",J3135/(J3135+L3135))</f>
        <v/>
      </c>
      <c r="P3135" s="11" t="n">
        <f aca="false">2*J3135/(2*J3135+L3135+K3135)</f>
        <v>0</v>
      </c>
      <c r="Q3135" s="11" t="n">
        <f aca="false">L3135/(L3135+M3135)</f>
        <v>0</v>
      </c>
      <c r="R3135" s="6" t="n">
        <v>0</v>
      </c>
      <c r="S3135" s="11"/>
      <c r="T3135" s="11" t="n">
        <v>0</v>
      </c>
      <c r="U3135" s="11" t="n">
        <v>1</v>
      </c>
      <c r="V3135" s="11" t="n">
        <v>1</v>
      </c>
    </row>
    <row r="3136" customFormat="false" ht="15" hidden="false" customHeight="false" outlineLevel="0" collapsed="false">
      <c r="A3136" s="6" t="s">
        <v>60</v>
      </c>
      <c r="B3136" s="6" t="s">
        <v>59</v>
      </c>
      <c r="C3136" s="6" t="s">
        <v>51</v>
      </c>
      <c r="D3136" s="6" t="s">
        <v>119</v>
      </c>
      <c r="E3136" s="6" t="n">
        <v>16</v>
      </c>
      <c r="F3136" s="6" t="n">
        <v>5</v>
      </c>
      <c r="G3136" s="6" t="s">
        <v>78</v>
      </c>
      <c r="H3136" s="11" t="n">
        <v>0.001</v>
      </c>
      <c r="I3136" s="6" t="n">
        <v>200</v>
      </c>
      <c r="J3136" s="6" t="n">
        <v>0</v>
      </c>
      <c r="K3136" s="6" t="n">
        <v>200</v>
      </c>
      <c r="L3136" s="6" t="n">
        <v>0</v>
      </c>
      <c r="M3136" s="6" t="n">
        <v>200</v>
      </c>
      <c r="N3136" s="11" t="n">
        <f aca="false">J3136/(J3136+K3136)</f>
        <v>0</v>
      </c>
      <c r="O3136" s="11" t="str">
        <f aca="false">IF(J3136+L3136=0,"",J3136/(J3136+L3136))</f>
        <v/>
      </c>
      <c r="P3136" s="11" t="n">
        <f aca="false">2*J3136/(2*J3136+L3136+K3136)</f>
        <v>0</v>
      </c>
      <c r="Q3136" s="11" t="n">
        <f aca="false">L3136/(L3136+M3136)</f>
        <v>0</v>
      </c>
      <c r="R3136" s="6" t="n">
        <v>4</v>
      </c>
      <c r="S3136" s="11" t="n">
        <v>0</v>
      </c>
      <c r="T3136" s="11" t="n">
        <v>0</v>
      </c>
      <c r="U3136" s="11" t="n">
        <v>0.88</v>
      </c>
      <c r="V3136" s="11" t="n">
        <v>0.885</v>
      </c>
    </row>
    <row r="3137" customFormat="false" ht="15" hidden="false" customHeight="false" outlineLevel="0" collapsed="false">
      <c r="A3137" s="6" t="s">
        <v>60</v>
      </c>
      <c r="B3137" s="6" t="s">
        <v>59</v>
      </c>
      <c r="C3137" s="6" t="s">
        <v>51</v>
      </c>
      <c r="D3137" s="6" t="s">
        <v>119</v>
      </c>
      <c r="E3137" s="6" t="n">
        <v>16</v>
      </c>
      <c r="F3137" s="6" t="n">
        <v>6</v>
      </c>
      <c r="G3137" s="6" t="s">
        <v>68</v>
      </c>
      <c r="H3137" s="11" t="n">
        <v>0.001</v>
      </c>
      <c r="I3137" s="6" t="n">
        <v>20</v>
      </c>
      <c r="J3137" s="6" t="n">
        <v>0</v>
      </c>
      <c r="K3137" s="6" t="n">
        <v>20</v>
      </c>
      <c r="L3137" s="6" t="n">
        <v>0</v>
      </c>
      <c r="M3137" s="6" t="n">
        <v>20</v>
      </c>
      <c r="N3137" s="11" t="n">
        <f aca="false">J3137/(J3137+K3137)</f>
        <v>0</v>
      </c>
      <c r="O3137" s="11" t="str">
        <f aca="false">IF(J3137+L3137=0,"",J3137/(J3137+L3137))</f>
        <v/>
      </c>
      <c r="P3137" s="11" t="n">
        <f aca="false">2*J3137/(2*J3137+L3137+K3137)</f>
        <v>0</v>
      </c>
      <c r="Q3137" s="11" t="n">
        <f aca="false">L3137/(L3137+M3137)</f>
        <v>0</v>
      </c>
      <c r="R3137" s="6" t="n">
        <v>0</v>
      </c>
      <c r="S3137" s="11"/>
      <c r="T3137" s="11" t="n">
        <v>0</v>
      </c>
      <c r="U3137" s="11" t="n">
        <v>0.85</v>
      </c>
      <c r="V3137" s="11" t="n">
        <v>0.85</v>
      </c>
    </row>
    <row r="3138" customFormat="false" ht="15" hidden="false" customHeight="false" outlineLevel="0" collapsed="false">
      <c r="A3138" s="6" t="s">
        <v>60</v>
      </c>
      <c r="B3138" s="6" t="s">
        <v>59</v>
      </c>
      <c r="C3138" s="6" t="s">
        <v>51</v>
      </c>
      <c r="D3138" s="6" t="s">
        <v>119</v>
      </c>
      <c r="E3138" s="6" t="n">
        <v>16</v>
      </c>
      <c r="F3138" s="6" t="n">
        <v>6</v>
      </c>
      <c r="G3138" s="6" t="s">
        <v>69</v>
      </c>
      <c r="H3138" s="11" t="n">
        <v>0.001</v>
      </c>
      <c r="I3138" s="6" t="n">
        <v>20</v>
      </c>
      <c r="J3138" s="6" t="n">
        <v>0</v>
      </c>
      <c r="K3138" s="6" t="n">
        <v>20</v>
      </c>
      <c r="L3138" s="6" t="n">
        <v>0</v>
      </c>
      <c r="M3138" s="6" t="n">
        <v>20</v>
      </c>
      <c r="N3138" s="11" t="n">
        <f aca="false">J3138/(J3138+K3138)</f>
        <v>0</v>
      </c>
      <c r="O3138" s="11" t="str">
        <f aca="false">IF(J3138+L3138=0,"",J3138/(J3138+L3138))</f>
        <v/>
      </c>
      <c r="P3138" s="11" t="n">
        <f aca="false">2*J3138/(2*J3138+L3138+K3138)</f>
        <v>0</v>
      </c>
      <c r="Q3138" s="11" t="n">
        <f aca="false">L3138/(L3138+M3138)</f>
        <v>0</v>
      </c>
      <c r="R3138" s="6" t="n">
        <v>0</v>
      </c>
      <c r="S3138" s="11"/>
      <c r="T3138" s="11" t="n">
        <v>0</v>
      </c>
      <c r="U3138" s="11" t="n">
        <v>1</v>
      </c>
      <c r="V3138" s="11" t="n">
        <v>1</v>
      </c>
    </row>
    <row r="3139" customFormat="false" ht="15" hidden="false" customHeight="false" outlineLevel="0" collapsed="false">
      <c r="A3139" s="6" t="s">
        <v>60</v>
      </c>
      <c r="B3139" s="6" t="s">
        <v>59</v>
      </c>
      <c r="C3139" s="6" t="s">
        <v>51</v>
      </c>
      <c r="D3139" s="6" t="s">
        <v>119</v>
      </c>
      <c r="E3139" s="6" t="n">
        <v>16</v>
      </c>
      <c r="F3139" s="6" t="n">
        <v>6</v>
      </c>
      <c r="G3139" s="6" t="s">
        <v>70</v>
      </c>
      <c r="H3139" s="11" t="n">
        <v>0.001</v>
      </c>
      <c r="I3139" s="6" t="n">
        <v>20</v>
      </c>
      <c r="J3139" s="6" t="n">
        <v>0</v>
      </c>
      <c r="K3139" s="6" t="n">
        <v>20</v>
      </c>
      <c r="L3139" s="6" t="n">
        <v>0</v>
      </c>
      <c r="M3139" s="6" t="n">
        <v>20</v>
      </c>
      <c r="N3139" s="11" t="n">
        <f aca="false">J3139/(J3139+K3139)</f>
        <v>0</v>
      </c>
      <c r="O3139" s="11" t="str">
        <f aca="false">IF(J3139+L3139=0,"",J3139/(J3139+L3139))</f>
        <v/>
      </c>
      <c r="P3139" s="11" t="n">
        <f aca="false">2*J3139/(2*J3139+L3139+K3139)</f>
        <v>0</v>
      </c>
      <c r="Q3139" s="11" t="n">
        <f aca="false">L3139/(L3139+M3139)</f>
        <v>0</v>
      </c>
      <c r="R3139" s="6" t="n">
        <v>0</v>
      </c>
      <c r="S3139" s="11"/>
      <c r="T3139" s="11" t="n">
        <v>0</v>
      </c>
      <c r="U3139" s="11" t="n">
        <v>0.9</v>
      </c>
      <c r="V3139" s="11" t="n">
        <v>0.9</v>
      </c>
    </row>
    <row r="3140" customFormat="false" ht="15" hidden="false" customHeight="false" outlineLevel="0" collapsed="false">
      <c r="A3140" s="6" t="s">
        <v>60</v>
      </c>
      <c r="B3140" s="6" t="s">
        <v>59</v>
      </c>
      <c r="C3140" s="6" t="s">
        <v>51</v>
      </c>
      <c r="D3140" s="6" t="s">
        <v>119</v>
      </c>
      <c r="E3140" s="6" t="n">
        <v>16</v>
      </c>
      <c r="F3140" s="6" t="n">
        <v>6</v>
      </c>
      <c r="G3140" s="6" t="s">
        <v>71</v>
      </c>
      <c r="H3140" s="11" t="n">
        <v>0.001</v>
      </c>
      <c r="I3140" s="6" t="n">
        <v>20</v>
      </c>
      <c r="J3140" s="6" t="n">
        <v>0</v>
      </c>
      <c r="K3140" s="6" t="n">
        <v>20</v>
      </c>
      <c r="L3140" s="6" t="n">
        <v>0</v>
      </c>
      <c r="M3140" s="6" t="n">
        <v>20</v>
      </c>
      <c r="N3140" s="11" t="n">
        <f aca="false">J3140/(J3140+K3140)</f>
        <v>0</v>
      </c>
      <c r="O3140" s="11" t="str">
        <f aca="false">IF(J3140+L3140=0,"",J3140/(J3140+L3140))</f>
        <v/>
      </c>
      <c r="P3140" s="11" t="n">
        <f aca="false">2*J3140/(2*J3140+L3140+K3140)</f>
        <v>0</v>
      </c>
      <c r="Q3140" s="11" t="n">
        <f aca="false">L3140/(L3140+M3140)</f>
        <v>0</v>
      </c>
      <c r="R3140" s="6" t="n">
        <v>0</v>
      </c>
      <c r="S3140" s="11"/>
      <c r="T3140" s="11" t="n">
        <v>0</v>
      </c>
      <c r="U3140" s="11" t="n">
        <v>0.8</v>
      </c>
      <c r="V3140" s="11" t="n">
        <v>0.8</v>
      </c>
    </row>
    <row r="3141" customFormat="false" ht="15" hidden="false" customHeight="false" outlineLevel="0" collapsed="false">
      <c r="A3141" s="6" t="s">
        <v>60</v>
      </c>
      <c r="B3141" s="6" t="s">
        <v>59</v>
      </c>
      <c r="C3141" s="6" t="s">
        <v>51</v>
      </c>
      <c r="D3141" s="6" t="s">
        <v>119</v>
      </c>
      <c r="E3141" s="6" t="n">
        <v>16</v>
      </c>
      <c r="F3141" s="6" t="n">
        <v>6</v>
      </c>
      <c r="G3141" s="6" t="s">
        <v>72</v>
      </c>
      <c r="H3141" s="11" t="n">
        <v>0.001</v>
      </c>
      <c r="I3141" s="6" t="n">
        <v>20</v>
      </c>
      <c r="J3141" s="6" t="n">
        <v>0</v>
      </c>
      <c r="K3141" s="6" t="n">
        <v>20</v>
      </c>
      <c r="L3141" s="6" t="n">
        <v>0</v>
      </c>
      <c r="M3141" s="6" t="n">
        <v>20</v>
      </c>
      <c r="N3141" s="11" t="n">
        <f aca="false">J3141/(J3141+K3141)</f>
        <v>0</v>
      </c>
      <c r="O3141" s="11" t="str">
        <f aca="false">IF(J3141+L3141=0,"",J3141/(J3141+L3141))</f>
        <v/>
      </c>
      <c r="P3141" s="11" t="n">
        <f aca="false">2*J3141/(2*J3141+L3141+K3141)</f>
        <v>0</v>
      </c>
      <c r="Q3141" s="11" t="n">
        <f aca="false">L3141/(L3141+M3141)</f>
        <v>0</v>
      </c>
      <c r="R3141" s="6" t="n">
        <v>0</v>
      </c>
      <c r="S3141" s="11"/>
      <c r="T3141" s="11" t="n">
        <v>0</v>
      </c>
      <c r="U3141" s="11" t="n">
        <v>0.9</v>
      </c>
      <c r="V3141" s="11" t="n">
        <v>0.9</v>
      </c>
    </row>
    <row r="3142" customFormat="false" ht="15" hidden="false" customHeight="false" outlineLevel="0" collapsed="false">
      <c r="A3142" s="6" t="s">
        <v>60</v>
      </c>
      <c r="B3142" s="6" t="s">
        <v>59</v>
      </c>
      <c r="C3142" s="6" t="s">
        <v>51</v>
      </c>
      <c r="D3142" s="6" t="s">
        <v>119</v>
      </c>
      <c r="E3142" s="6" t="n">
        <v>16</v>
      </c>
      <c r="F3142" s="6" t="n">
        <v>6</v>
      </c>
      <c r="G3142" s="6" t="s">
        <v>73</v>
      </c>
      <c r="H3142" s="11" t="n">
        <v>0.001</v>
      </c>
      <c r="I3142" s="6" t="n">
        <v>20</v>
      </c>
      <c r="J3142" s="6" t="n">
        <v>0</v>
      </c>
      <c r="K3142" s="6" t="n">
        <v>20</v>
      </c>
      <c r="L3142" s="6" t="n">
        <v>0</v>
      </c>
      <c r="M3142" s="6" t="n">
        <v>20</v>
      </c>
      <c r="N3142" s="11" t="n">
        <f aca="false">J3142/(J3142+K3142)</f>
        <v>0</v>
      </c>
      <c r="O3142" s="11" t="str">
        <f aca="false">IF(J3142+L3142=0,"",J3142/(J3142+L3142))</f>
        <v/>
      </c>
      <c r="P3142" s="11" t="n">
        <f aca="false">2*J3142/(2*J3142+L3142+K3142)</f>
        <v>0</v>
      </c>
      <c r="Q3142" s="11" t="n">
        <f aca="false">L3142/(L3142+M3142)</f>
        <v>0</v>
      </c>
      <c r="R3142" s="6" t="n">
        <v>1</v>
      </c>
      <c r="S3142" s="11" t="n">
        <v>0</v>
      </c>
      <c r="T3142" s="11" t="n">
        <v>0</v>
      </c>
      <c r="U3142" s="11" t="n">
        <v>0.65</v>
      </c>
      <c r="V3142" s="11" t="n">
        <v>0.65</v>
      </c>
    </row>
    <row r="3143" customFormat="false" ht="15" hidden="false" customHeight="false" outlineLevel="0" collapsed="false">
      <c r="A3143" s="6" t="s">
        <v>60</v>
      </c>
      <c r="B3143" s="6" t="s">
        <v>59</v>
      </c>
      <c r="C3143" s="6" t="s">
        <v>51</v>
      </c>
      <c r="D3143" s="6" t="s">
        <v>119</v>
      </c>
      <c r="E3143" s="6" t="n">
        <v>16</v>
      </c>
      <c r="F3143" s="6" t="n">
        <v>6</v>
      </c>
      <c r="G3143" s="6" t="s">
        <v>74</v>
      </c>
      <c r="H3143" s="11" t="n">
        <v>0.001</v>
      </c>
      <c r="I3143" s="6" t="n">
        <v>20</v>
      </c>
      <c r="J3143" s="6" t="n">
        <v>0</v>
      </c>
      <c r="K3143" s="6" t="n">
        <v>20</v>
      </c>
      <c r="L3143" s="6" t="n">
        <v>0</v>
      </c>
      <c r="M3143" s="6" t="n">
        <v>20</v>
      </c>
      <c r="N3143" s="11" t="n">
        <f aca="false">J3143/(J3143+K3143)</f>
        <v>0</v>
      </c>
      <c r="O3143" s="11" t="str">
        <f aca="false">IF(J3143+L3143=0,"",J3143/(J3143+L3143))</f>
        <v/>
      </c>
      <c r="P3143" s="11" t="n">
        <f aca="false">2*J3143/(2*J3143+L3143+K3143)</f>
        <v>0</v>
      </c>
      <c r="Q3143" s="11" t="n">
        <f aca="false">L3143/(L3143+M3143)</f>
        <v>0</v>
      </c>
      <c r="R3143" s="6" t="n">
        <v>0</v>
      </c>
      <c r="S3143" s="11"/>
      <c r="T3143" s="11" t="n">
        <v>0</v>
      </c>
      <c r="U3143" s="11" t="n">
        <v>0.85</v>
      </c>
      <c r="V3143" s="11" t="n">
        <v>0.85</v>
      </c>
    </row>
    <row r="3144" customFormat="false" ht="15" hidden="false" customHeight="false" outlineLevel="0" collapsed="false">
      <c r="A3144" s="6" t="s">
        <v>60</v>
      </c>
      <c r="B3144" s="6" t="s">
        <v>59</v>
      </c>
      <c r="C3144" s="6" t="s">
        <v>51</v>
      </c>
      <c r="D3144" s="6" t="s">
        <v>119</v>
      </c>
      <c r="E3144" s="6" t="n">
        <v>16</v>
      </c>
      <c r="F3144" s="6" t="n">
        <v>6</v>
      </c>
      <c r="G3144" s="6" t="s">
        <v>75</v>
      </c>
      <c r="H3144" s="11" t="n">
        <v>0.001</v>
      </c>
      <c r="I3144" s="6" t="n">
        <v>20</v>
      </c>
      <c r="J3144" s="6" t="n">
        <v>0</v>
      </c>
      <c r="K3144" s="6" t="n">
        <v>20</v>
      </c>
      <c r="L3144" s="6" t="n">
        <v>0</v>
      </c>
      <c r="M3144" s="6" t="n">
        <v>20</v>
      </c>
      <c r="N3144" s="11" t="n">
        <f aca="false">J3144/(J3144+K3144)</f>
        <v>0</v>
      </c>
      <c r="O3144" s="11" t="str">
        <f aca="false">IF(J3144+L3144=0,"",J3144/(J3144+L3144))</f>
        <v/>
      </c>
      <c r="P3144" s="11" t="n">
        <f aca="false">2*J3144/(2*J3144+L3144+K3144)</f>
        <v>0</v>
      </c>
      <c r="Q3144" s="11" t="n">
        <f aca="false">L3144/(L3144+M3144)</f>
        <v>0</v>
      </c>
      <c r="R3144" s="6" t="n">
        <v>0</v>
      </c>
      <c r="S3144" s="11"/>
      <c r="T3144" s="11" t="n">
        <v>0</v>
      </c>
      <c r="U3144" s="11" t="n">
        <v>0.9</v>
      </c>
      <c r="V3144" s="11" t="n">
        <v>0.9</v>
      </c>
    </row>
    <row r="3145" customFormat="false" ht="15" hidden="false" customHeight="false" outlineLevel="0" collapsed="false">
      <c r="A3145" s="6" t="s">
        <v>60</v>
      </c>
      <c r="B3145" s="6" t="s">
        <v>59</v>
      </c>
      <c r="C3145" s="6" t="s">
        <v>51</v>
      </c>
      <c r="D3145" s="6" t="s">
        <v>119</v>
      </c>
      <c r="E3145" s="6" t="n">
        <v>16</v>
      </c>
      <c r="F3145" s="6" t="n">
        <v>6</v>
      </c>
      <c r="G3145" s="6" t="s">
        <v>76</v>
      </c>
      <c r="H3145" s="11" t="n">
        <v>0.001</v>
      </c>
      <c r="I3145" s="6" t="n">
        <v>20</v>
      </c>
      <c r="J3145" s="6" t="n">
        <v>0</v>
      </c>
      <c r="K3145" s="6" t="n">
        <v>20</v>
      </c>
      <c r="L3145" s="6" t="n">
        <v>0</v>
      </c>
      <c r="M3145" s="6" t="n">
        <v>20</v>
      </c>
      <c r="N3145" s="11" t="n">
        <f aca="false">J3145/(J3145+K3145)</f>
        <v>0</v>
      </c>
      <c r="O3145" s="11" t="str">
        <f aca="false">IF(J3145+L3145=0,"",J3145/(J3145+L3145))</f>
        <v/>
      </c>
      <c r="P3145" s="11" t="n">
        <f aca="false">2*J3145/(2*J3145+L3145+K3145)</f>
        <v>0</v>
      </c>
      <c r="Q3145" s="11" t="n">
        <f aca="false">L3145/(L3145+M3145)</f>
        <v>0</v>
      </c>
      <c r="R3145" s="6" t="n">
        <v>0</v>
      </c>
      <c r="S3145" s="11"/>
      <c r="T3145" s="11" t="n">
        <v>0</v>
      </c>
      <c r="U3145" s="11" t="n">
        <v>0.95</v>
      </c>
      <c r="V3145" s="11" t="n">
        <v>0.95</v>
      </c>
    </row>
    <row r="3146" customFormat="false" ht="15" hidden="false" customHeight="false" outlineLevel="0" collapsed="false">
      <c r="A3146" s="6" t="s">
        <v>60</v>
      </c>
      <c r="B3146" s="6" t="s">
        <v>59</v>
      </c>
      <c r="C3146" s="6" t="s">
        <v>51</v>
      </c>
      <c r="D3146" s="6" t="s">
        <v>119</v>
      </c>
      <c r="E3146" s="6" t="n">
        <v>16</v>
      </c>
      <c r="F3146" s="6" t="n">
        <v>6</v>
      </c>
      <c r="G3146" s="6" t="s">
        <v>77</v>
      </c>
      <c r="H3146" s="11" t="n">
        <v>0.001</v>
      </c>
      <c r="I3146" s="6" t="n">
        <v>20</v>
      </c>
      <c r="J3146" s="6" t="n">
        <v>0</v>
      </c>
      <c r="K3146" s="6" t="n">
        <v>20</v>
      </c>
      <c r="L3146" s="6" t="n">
        <v>0</v>
      </c>
      <c r="M3146" s="6" t="n">
        <v>20</v>
      </c>
      <c r="N3146" s="11" t="n">
        <f aca="false">J3146/(J3146+K3146)</f>
        <v>0</v>
      </c>
      <c r="O3146" s="11" t="str">
        <f aca="false">IF(J3146+L3146=0,"",J3146/(J3146+L3146))</f>
        <v/>
      </c>
      <c r="P3146" s="11" t="n">
        <f aca="false">2*J3146/(2*J3146+L3146+K3146)</f>
        <v>0</v>
      </c>
      <c r="Q3146" s="11" t="n">
        <f aca="false">L3146/(L3146+M3146)</f>
        <v>0</v>
      </c>
      <c r="R3146" s="6" t="n">
        <v>0</v>
      </c>
      <c r="S3146" s="11"/>
      <c r="T3146" s="11" t="n">
        <v>0</v>
      </c>
      <c r="U3146" s="11" t="n">
        <v>1</v>
      </c>
      <c r="V3146" s="11" t="n">
        <v>1</v>
      </c>
    </row>
    <row r="3147" customFormat="false" ht="15" hidden="false" customHeight="false" outlineLevel="0" collapsed="false">
      <c r="A3147" s="6" t="s">
        <v>60</v>
      </c>
      <c r="B3147" s="6" t="s">
        <v>59</v>
      </c>
      <c r="C3147" s="6" t="s">
        <v>51</v>
      </c>
      <c r="D3147" s="6" t="s">
        <v>119</v>
      </c>
      <c r="E3147" s="6" t="n">
        <v>16</v>
      </c>
      <c r="F3147" s="6" t="n">
        <v>6</v>
      </c>
      <c r="G3147" s="6" t="s">
        <v>78</v>
      </c>
      <c r="H3147" s="11" t="n">
        <v>0.001</v>
      </c>
      <c r="I3147" s="6" t="n">
        <v>200</v>
      </c>
      <c r="J3147" s="6" t="n">
        <v>0</v>
      </c>
      <c r="K3147" s="6" t="n">
        <v>200</v>
      </c>
      <c r="L3147" s="6" t="n">
        <v>0</v>
      </c>
      <c r="M3147" s="6" t="n">
        <v>200</v>
      </c>
      <c r="N3147" s="11" t="n">
        <f aca="false">J3147/(J3147+K3147)</f>
        <v>0</v>
      </c>
      <c r="O3147" s="11" t="str">
        <f aca="false">IF(J3147+L3147=0,"",J3147/(J3147+L3147))</f>
        <v/>
      </c>
      <c r="P3147" s="11" t="n">
        <f aca="false">2*J3147/(2*J3147+L3147+K3147)</f>
        <v>0</v>
      </c>
      <c r="Q3147" s="11" t="n">
        <f aca="false">L3147/(L3147+M3147)</f>
        <v>0</v>
      </c>
      <c r="R3147" s="6" t="n">
        <v>1</v>
      </c>
      <c r="S3147" s="11" t="n">
        <v>0</v>
      </c>
      <c r="T3147" s="11" t="n">
        <v>0</v>
      </c>
      <c r="U3147" s="11" t="n">
        <v>0.88</v>
      </c>
      <c r="V3147" s="11" t="n">
        <v>0.88</v>
      </c>
    </row>
    <row r="3148" customFormat="false" ht="15" hidden="false" customHeight="false" outlineLevel="0" collapsed="false">
      <c r="A3148" s="6" t="s">
        <v>60</v>
      </c>
      <c r="B3148" s="6" t="s">
        <v>59</v>
      </c>
      <c r="C3148" s="6" t="s">
        <v>51</v>
      </c>
      <c r="D3148" s="6" t="s">
        <v>119</v>
      </c>
      <c r="E3148" s="6" t="n">
        <v>16</v>
      </c>
      <c r="F3148" s="6" t="n">
        <v>7</v>
      </c>
      <c r="G3148" s="6" t="s">
        <v>68</v>
      </c>
      <c r="H3148" s="11" t="n">
        <v>0.001</v>
      </c>
      <c r="I3148" s="6" t="n">
        <v>20</v>
      </c>
      <c r="J3148" s="6" t="n">
        <v>0</v>
      </c>
      <c r="K3148" s="6" t="n">
        <v>20</v>
      </c>
      <c r="L3148" s="6" t="n">
        <v>0</v>
      </c>
      <c r="M3148" s="6" t="n">
        <v>20</v>
      </c>
      <c r="N3148" s="11" t="n">
        <f aca="false">J3148/(J3148+K3148)</f>
        <v>0</v>
      </c>
      <c r="O3148" s="11" t="str">
        <f aca="false">IF(J3148+L3148=0,"",J3148/(J3148+L3148))</f>
        <v/>
      </c>
      <c r="P3148" s="11" t="n">
        <f aca="false">2*J3148/(2*J3148+L3148+K3148)</f>
        <v>0</v>
      </c>
      <c r="Q3148" s="11" t="n">
        <f aca="false">L3148/(L3148+M3148)</f>
        <v>0</v>
      </c>
      <c r="R3148" s="6" t="n">
        <v>0</v>
      </c>
      <c r="S3148" s="11"/>
      <c r="T3148" s="11" t="n">
        <v>0</v>
      </c>
      <c r="U3148" s="11" t="n">
        <v>0.85</v>
      </c>
      <c r="V3148" s="11" t="n">
        <v>0.85</v>
      </c>
    </row>
    <row r="3149" customFormat="false" ht="15" hidden="false" customHeight="false" outlineLevel="0" collapsed="false">
      <c r="A3149" s="6" t="s">
        <v>60</v>
      </c>
      <c r="B3149" s="6" t="s">
        <v>59</v>
      </c>
      <c r="C3149" s="6" t="s">
        <v>51</v>
      </c>
      <c r="D3149" s="6" t="s">
        <v>119</v>
      </c>
      <c r="E3149" s="6" t="n">
        <v>16</v>
      </c>
      <c r="F3149" s="6" t="n">
        <v>7</v>
      </c>
      <c r="G3149" s="6" t="s">
        <v>69</v>
      </c>
      <c r="H3149" s="11" t="n">
        <v>0.001</v>
      </c>
      <c r="I3149" s="6" t="n">
        <v>20</v>
      </c>
      <c r="J3149" s="6" t="n">
        <v>0</v>
      </c>
      <c r="K3149" s="6" t="n">
        <v>20</v>
      </c>
      <c r="L3149" s="6" t="n">
        <v>0</v>
      </c>
      <c r="M3149" s="6" t="n">
        <v>20</v>
      </c>
      <c r="N3149" s="11" t="n">
        <f aca="false">J3149/(J3149+K3149)</f>
        <v>0</v>
      </c>
      <c r="O3149" s="11" t="str">
        <f aca="false">IF(J3149+L3149=0,"",J3149/(J3149+L3149))</f>
        <v/>
      </c>
      <c r="P3149" s="11" t="n">
        <f aca="false">2*J3149/(2*J3149+L3149+K3149)</f>
        <v>0</v>
      </c>
      <c r="Q3149" s="11" t="n">
        <f aca="false">L3149/(L3149+M3149)</f>
        <v>0</v>
      </c>
      <c r="R3149" s="6" t="n">
        <v>0</v>
      </c>
      <c r="S3149" s="11"/>
      <c r="T3149" s="11" t="n">
        <v>0</v>
      </c>
      <c r="U3149" s="11" t="n">
        <v>1</v>
      </c>
      <c r="V3149" s="11" t="n">
        <v>1</v>
      </c>
    </row>
    <row r="3150" customFormat="false" ht="15" hidden="false" customHeight="false" outlineLevel="0" collapsed="false">
      <c r="A3150" s="6" t="s">
        <v>60</v>
      </c>
      <c r="B3150" s="6" t="s">
        <v>59</v>
      </c>
      <c r="C3150" s="6" t="s">
        <v>51</v>
      </c>
      <c r="D3150" s="6" t="s">
        <v>119</v>
      </c>
      <c r="E3150" s="6" t="n">
        <v>16</v>
      </c>
      <c r="F3150" s="6" t="n">
        <v>7</v>
      </c>
      <c r="G3150" s="6" t="s">
        <v>70</v>
      </c>
      <c r="H3150" s="11" t="n">
        <v>0.001</v>
      </c>
      <c r="I3150" s="6" t="n">
        <v>20</v>
      </c>
      <c r="J3150" s="6" t="n">
        <v>0</v>
      </c>
      <c r="K3150" s="6" t="n">
        <v>20</v>
      </c>
      <c r="L3150" s="6" t="n">
        <v>0</v>
      </c>
      <c r="M3150" s="6" t="n">
        <v>20</v>
      </c>
      <c r="N3150" s="11" t="n">
        <f aca="false">J3150/(J3150+K3150)</f>
        <v>0</v>
      </c>
      <c r="O3150" s="11" t="str">
        <f aca="false">IF(J3150+L3150=0,"",J3150/(J3150+L3150))</f>
        <v/>
      </c>
      <c r="P3150" s="11" t="n">
        <f aca="false">2*J3150/(2*J3150+L3150+K3150)</f>
        <v>0</v>
      </c>
      <c r="Q3150" s="11" t="n">
        <f aca="false">L3150/(L3150+M3150)</f>
        <v>0</v>
      </c>
      <c r="R3150" s="6" t="n">
        <v>0</v>
      </c>
      <c r="S3150" s="11"/>
      <c r="T3150" s="11" t="n">
        <v>0</v>
      </c>
      <c r="U3150" s="11" t="n">
        <v>0.9</v>
      </c>
      <c r="V3150" s="11" t="n">
        <v>0.9</v>
      </c>
    </row>
    <row r="3151" customFormat="false" ht="15" hidden="false" customHeight="false" outlineLevel="0" collapsed="false">
      <c r="A3151" s="6" t="s">
        <v>60</v>
      </c>
      <c r="B3151" s="6" t="s">
        <v>59</v>
      </c>
      <c r="C3151" s="6" t="s">
        <v>51</v>
      </c>
      <c r="D3151" s="6" t="s">
        <v>119</v>
      </c>
      <c r="E3151" s="6" t="n">
        <v>16</v>
      </c>
      <c r="F3151" s="6" t="n">
        <v>7</v>
      </c>
      <c r="G3151" s="6" t="s">
        <v>71</v>
      </c>
      <c r="H3151" s="11" t="n">
        <v>0.001</v>
      </c>
      <c r="I3151" s="6" t="n">
        <v>20</v>
      </c>
      <c r="J3151" s="6" t="n">
        <v>0</v>
      </c>
      <c r="K3151" s="6" t="n">
        <v>20</v>
      </c>
      <c r="L3151" s="6" t="n">
        <v>0</v>
      </c>
      <c r="M3151" s="6" t="n">
        <v>20</v>
      </c>
      <c r="N3151" s="11" t="n">
        <f aca="false">J3151/(J3151+K3151)</f>
        <v>0</v>
      </c>
      <c r="O3151" s="11" t="str">
        <f aca="false">IF(J3151+L3151=0,"",J3151/(J3151+L3151))</f>
        <v/>
      </c>
      <c r="P3151" s="11" t="n">
        <f aca="false">2*J3151/(2*J3151+L3151+K3151)</f>
        <v>0</v>
      </c>
      <c r="Q3151" s="11" t="n">
        <f aca="false">L3151/(L3151+M3151)</f>
        <v>0</v>
      </c>
      <c r="R3151" s="6" t="n">
        <v>0</v>
      </c>
      <c r="S3151" s="11"/>
      <c r="T3151" s="11" t="n">
        <v>0</v>
      </c>
      <c r="U3151" s="11" t="n">
        <v>0.8</v>
      </c>
      <c r="V3151" s="11" t="n">
        <v>0.8</v>
      </c>
    </row>
    <row r="3152" customFormat="false" ht="15" hidden="false" customHeight="false" outlineLevel="0" collapsed="false">
      <c r="A3152" s="6" t="s">
        <v>60</v>
      </c>
      <c r="B3152" s="6" t="s">
        <v>59</v>
      </c>
      <c r="C3152" s="6" t="s">
        <v>51</v>
      </c>
      <c r="D3152" s="6" t="s">
        <v>119</v>
      </c>
      <c r="E3152" s="6" t="n">
        <v>16</v>
      </c>
      <c r="F3152" s="6" t="n">
        <v>7</v>
      </c>
      <c r="G3152" s="6" t="s">
        <v>72</v>
      </c>
      <c r="H3152" s="11" t="n">
        <v>0.001</v>
      </c>
      <c r="I3152" s="6" t="n">
        <v>20</v>
      </c>
      <c r="J3152" s="6" t="n">
        <v>0</v>
      </c>
      <c r="K3152" s="6" t="n">
        <v>20</v>
      </c>
      <c r="L3152" s="6" t="n">
        <v>0</v>
      </c>
      <c r="M3152" s="6" t="n">
        <v>20</v>
      </c>
      <c r="N3152" s="11" t="n">
        <f aca="false">J3152/(J3152+K3152)</f>
        <v>0</v>
      </c>
      <c r="O3152" s="11" t="str">
        <f aca="false">IF(J3152+L3152=0,"",J3152/(J3152+L3152))</f>
        <v/>
      </c>
      <c r="P3152" s="11" t="n">
        <f aca="false">2*J3152/(2*J3152+L3152+K3152)</f>
        <v>0</v>
      </c>
      <c r="Q3152" s="11" t="n">
        <f aca="false">L3152/(L3152+M3152)</f>
        <v>0</v>
      </c>
      <c r="R3152" s="6" t="n">
        <v>0</v>
      </c>
      <c r="S3152" s="11"/>
      <c r="T3152" s="11" t="n">
        <v>0</v>
      </c>
      <c r="U3152" s="11" t="n">
        <v>0.9</v>
      </c>
      <c r="V3152" s="11" t="n">
        <v>0.9</v>
      </c>
    </row>
    <row r="3153" customFormat="false" ht="15" hidden="false" customHeight="false" outlineLevel="0" collapsed="false">
      <c r="A3153" s="6" t="s">
        <v>60</v>
      </c>
      <c r="B3153" s="6" t="s">
        <v>59</v>
      </c>
      <c r="C3153" s="6" t="s">
        <v>51</v>
      </c>
      <c r="D3153" s="6" t="s">
        <v>119</v>
      </c>
      <c r="E3153" s="6" t="n">
        <v>16</v>
      </c>
      <c r="F3153" s="6" t="n">
        <v>7</v>
      </c>
      <c r="G3153" s="6" t="s">
        <v>73</v>
      </c>
      <c r="H3153" s="11" t="n">
        <v>0.001</v>
      </c>
      <c r="I3153" s="6" t="n">
        <v>20</v>
      </c>
      <c r="J3153" s="6" t="n">
        <v>0</v>
      </c>
      <c r="K3153" s="6" t="n">
        <v>20</v>
      </c>
      <c r="L3153" s="6" t="n">
        <v>0</v>
      </c>
      <c r="M3153" s="6" t="n">
        <v>20</v>
      </c>
      <c r="N3153" s="11" t="n">
        <f aca="false">J3153/(J3153+K3153)</f>
        <v>0</v>
      </c>
      <c r="O3153" s="11" t="str">
        <f aca="false">IF(J3153+L3153=0,"",J3153/(J3153+L3153))</f>
        <v/>
      </c>
      <c r="P3153" s="11" t="n">
        <f aca="false">2*J3153/(2*J3153+L3153+K3153)</f>
        <v>0</v>
      </c>
      <c r="Q3153" s="11" t="n">
        <f aca="false">L3153/(L3153+M3153)</f>
        <v>0</v>
      </c>
      <c r="R3153" s="6" t="n">
        <v>1</v>
      </c>
      <c r="S3153" s="11" t="n">
        <v>0</v>
      </c>
      <c r="T3153" s="11" t="n">
        <v>0</v>
      </c>
      <c r="U3153" s="11" t="n">
        <v>0.65</v>
      </c>
      <c r="V3153" s="11" t="n">
        <v>0.65</v>
      </c>
    </row>
    <row r="3154" customFormat="false" ht="15" hidden="false" customHeight="false" outlineLevel="0" collapsed="false">
      <c r="A3154" s="6" t="s">
        <v>60</v>
      </c>
      <c r="B3154" s="6" t="s">
        <v>59</v>
      </c>
      <c r="C3154" s="6" t="s">
        <v>51</v>
      </c>
      <c r="D3154" s="6" t="s">
        <v>119</v>
      </c>
      <c r="E3154" s="6" t="n">
        <v>16</v>
      </c>
      <c r="F3154" s="6" t="n">
        <v>7</v>
      </c>
      <c r="G3154" s="6" t="s">
        <v>74</v>
      </c>
      <c r="H3154" s="11" t="n">
        <v>0.001</v>
      </c>
      <c r="I3154" s="6" t="n">
        <v>20</v>
      </c>
      <c r="J3154" s="6" t="n">
        <v>0</v>
      </c>
      <c r="K3154" s="6" t="n">
        <v>20</v>
      </c>
      <c r="L3154" s="6" t="n">
        <v>0</v>
      </c>
      <c r="M3154" s="6" t="n">
        <v>20</v>
      </c>
      <c r="N3154" s="11" t="n">
        <f aca="false">J3154/(J3154+K3154)</f>
        <v>0</v>
      </c>
      <c r="O3154" s="11" t="str">
        <f aca="false">IF(J3154+L3154=0,"",J3154/(J3154+L3154))</f>
        <v/>
      </c>
      <c r="P3154" s="11" t="n">
        <f aca="false">2*J3154/(2*J3154+L3154+K3154)</f>
        <v>0</v>
      </c>
      <c r="Q3154" s="11" t="n">
        <f aca="false">L3154/(L3154+M3154)</f>
        <v>0</v>
      </c>
      <c r="R3154" s="6" t="n">
        <v>1</v>
      </c>
      <c r="S3154" s="11" t="n">
        <v>0</v>
      </c>
      <c r="T3154" s="11" t="n">
        <v>0</v>
      </c>
      <c r="U3154" s="11" t="n">
        <v>0.85</v>
      </c>
      <c r="V3154" s="11" t="n">
        <v>0.9</v>
      </c>
    </row>
    <row r="3155" customFormat="false" ht="15" hidden="false" customHeight="false" outlineLevel="0" collapsed="false">
      <c r="A3155" s="6" t="s">
        <v>60</v>
      </c>
      <c r="B3155" s="6" t="s">
        <v>59</v>
      </c>
      <c r="C3155" s="6" t="s">
        <v>51</v>
      </c>
      <c r="D3155" s="6" t="s">
        <v>119</v>
      </c>
      <c r="E3155" s="6" t="n">
        <v>16</v>
      </c>
      <c r="F3155" s="6" t="n">
        <v>7</v>
      </c>
      <c r="G3155" s="6" t="s">
        <v>75</v>
      </c>
      <c r="H3155" s="11" t="n">
        <v>0.001</v>
      </c>
      <c r="I3155" s="6" t="n">
        <v>20</v>
      </c>
      <c r="J3155" s="6" t="n">
        <v>0</v>
      </c>
      <c r="K3155" s="6" t="n">
        <v>20</v>
      </c>
      <c r="L3155" s="6" t="n">
        <v>0</v>
      </c>
      <c r="M3155" s="6" t="n">
        <v>20</v>
      </c>
      <c r="N3155" s="11" t="n">
        <f aca="false">J3155/(J3155+K3155)</f>
        <v>0</v>
      </c>
      <c r="O3155" s="11" t="str">
        <f aca="false">IF(J3155+L3155=0,"",J3155/(J3155+L3155))</f>
        <v/>
      </c>
      <c r="P3155" s="11" t="n">
        <f aca="false">2*J3155/(2*J3155+L3155+K3155)</f>
        <v>0</v>
      </c>
      <c r="Q3155" s="11" t="n">
        <f aca="false">L3155/(L3155+M3155)</f>
        <v>0</v>
      </c>
      <c r="R3155" s="6" t="n">
        <v>0</v>
      </c>
      <c r="S3155" s="11"/>
      <c r="T3155" s="11" t="n">
        <v>0</v>
      </c>
      <c r="U3155" s="11" t="n">
        <v>0.9</v>
      </c>
      <c r="V3155" s="11" t="n">
        <v>0.9</v>
      </c>
    </row>
    <row r="3156" customFormat="false" ht="15" hidden="false" customHeight="false" outlineLevel="0" collapsed="false">
      <c r="A3156" s="6" t="s">
        <v>60</v>
      </c>
      <c r="B3156" s="6" t="s">
        <v>59</v>
      </c>
      <c r="C3156" s="6" t="s">
        <v>51</v>
      </c>
      <c r="D3156" s="6" t="s">
        <v>119</v>
      </c>
      <c r="E3156" s="6" t="n">
        <v>16</v>
      </c>
      <c r="F3156" s="6" t="n">
        <v>7</v>
      </c>
      <c r="G3156" s="6" t="s">
        <v>76</v>
      </c>
      <c r="H3156" s="11" t="n">
        <v>0.001</v>
      </c>
      <c r="I3156" s="6" t="n">
        <v>20</v>
      </c>
      <c r="J3156" s="6" t="n">
        <v>0</v>
      </c>
      <c r="K3156" s="6" t="n">
        <v>20</v>
      </c>
      <c r="L3156" s="6" t="n">
        <v>0</v>
      </c>
      <c r="M3156" s="6" t="n">
        <v>20</v>
      </c>
      <c r="N3156" s="11" t="n">
        <f aca="false">J3156/(J3156+K3156)</f>
        <v>0</v>
      </c>
      <c r="O3156" s="11" t="str">
        <f aca="false">IF(J3156+L3156=0,"",J3156/(J3156+L3156))</f>
        <v/>
      </c>
      <c r="P3156" s="11" t="n">
        <f aca="false">2*J3156/(2*J3156+L3156+K3156)</f>
        <v>0</v>
      </c>
      <c r="Q3156" s="11" t="n">
        <f aca="false">L3156/(L3156+M3156)</f>
        <v>0</v>
      </c>
      <c r="R3156" s="6" t="n">
        <v>0</v>
      </c>
      <c r="S3156" s="11"/>
      <c r="T3156" s="11" t="n">
        <v>0</v>
      </c>
      <c r="U3156" s="11" t="n">
        <v>0.95</v>
      </c>
      <c r="V3156" s="11" t="n">
        <v>0.95</v>
      </c>
    </row>
    <row r="3157" customFormat="false" ht="15" hidden="false" customHeight="false" outlineLevel="0" collapsed="false">
      <c r="A3157" s="6" t="s">
        <v>60</v>
      </c>
      <c r="B3157" s="6" t="s">
        <v>59</v>
      </c>
      <c r="C3157" s="6" t="s">
        <v>51</v>
      </c>
      <c r="D3157" s="6" t="s">
        <v>119</v>
      </c>
      <c r="E3157" s="6" t="n">
        <v>16</v>
      </c>
      <c r="F3157" s="6" t="n">
        <v>7</v>
      </c>
      <c r="G3157" s="6" t="s">
        <v>77</v>
      </c>
      <c r="H3157" s="11" t="n">
        <v>0.001</v>
      </c>
      <c r="I3157" s="6" t="n">
        <v>20</v>
      </c>
      <c r="J3157" s="6" t="n">
        <v>0</v>
      </c>
      <c r="K3157" s="6" t="n">
        <v>20</v>
      </c>
      <c r="L3157" s="6" t="n">
        <v>0</v>
      </c>
      <c r="M3157" s="6" t="n">
        <v>20</v>
      </c>
      <c r="N3157" s="11" t="n">
        <f aca="false">J3157/(J3157+K3157)</f>
        <v>0</v>
      </c>
      <c r="O3157" s="11" t="str">
        <f aca="false">IF(J3157+L3157=0,"",J3157/(J3157+L3157))</f>
        <v/>
      </c>
      <c r="P3157" s="11" t="n">
        <f aca="false">2*J3157/(2*J3157+L3157+K3157)</f>
        <v>0</v>
      </c>
      <c r="Q3157" s="11" t="n">
        <f aca="false">L3157/(L3157+M3157)</f>
        <v>0</v>
      </c>
      <c r="R3157" s="6" t="n">
        <v>0</v>
      </c>
      <c r="S3157" s="11"/>
      <c r="T3157" s="11" t="n">
        <v>0</v>
      </c>
      <c r="U3157" s="11" t="n">
        <v>1</v>
      </c>
      <c r="V3157" s="11" t="n">
        <v>1</v>
      </c>
    </row>
    <row r="3158" customFormat="false" ht="15" hidden="false" customHeight="false" outlineLevel="0" collapsed="false">
      <c r="A3158" s="6" t="s">
        <v>60</v>
      </c>
      <c r="B3158" s="6" t="s">
        <v>59</v>
      </c>
      <c r="C3158" s="6" t="s">
        <v>51</v>
      </c>
      <c r="D3158" s="6" t="s">
        <v>119</v>
      </c>
      <c r="E3158" s="6" t="n">
        <v>16</v>
      </c>
      <c r="F3158" s="6" t="n">
        <v>7</v>
      </c>
      <c r="G3158" s="6" t="s">
        <v>78</v>
      </c>
      <c r="H3158" s="11" t="n">
        <v>0.001</v>
      </c>
      <c r="I3158" s="6" t="n">
        <v>200</v>
      </c>
      <c r="J3158" s="6" t="n">
        <v>0</v>
      </c>
      <c r="K3158" s="6" t="n">
        <v>200</v>
      </c>
      <c r="L3158" s="6" t="n">
        <v>0</v>
      </c>
      <c r="M3158" s="6" t="n">
        <v>200</v>
      </c>
      <c r="N3158" s="11" t="n">
        <f aca="false">J3158/(J3158+K3158)</f>
        <v>0</v>
      </c>
      <c r="O3158" s="11" t="str">
        <f aca="false">IF(J3158+L3158=0,"",J3158/(J3158+L3158))</f>
        <v/>
      </c>
      <c r="P3158" s="11" t="n">
        <f aca="false">2*J3158/(2*J3158+L3158+K3158)</f>
        <v>0</v>
      </c>
      <c r="Q3158" s="11" t="n">
        <f aca="false">L3158/(L3158+M3158)</f>
        <v>0</v>
      </c>
      <c r="R3158" s="6" t="n">
        <v>2</v>
      </c>
      <c r="S3158" s="11" t="n">
        <v>0</v>
      </c>
      <c r="T3158" s="11" t="n">
        <v>0</v>
      </c>
      <c r="U3158" s="11" t="n">
        <v>0.88</v>
      </c>
      <c r="V3158" s="11" t="n">
        <v>0.885</v>
      </c>
    </row>
    <row r="3159" customFormat="false" ht="15" hidden="false" customHeight="false" outlineLevel="0" collapsed="false">
      <c r="A3159" s="6" t="s">
        <v>60</v>
      </c>
      <c r="B3159" s="6" t="s">
        <v>59</v>
      </c>
      <c r="C3159" s="6" t="s">
        <v>51</v>
      </c>
      <c r="D3159" s="6" t="s">
        <v>119</v>
      </c>
      <c r="E3159" s="6" t="n">
        <v>16</v>
      </c>
      <c r="F3159" s="6" t="n">
        <v>8</v>
      </c>
      <c r="G3159" s="6" t="s">
        <v>68</v>
      </c>
      <c r="H3159" s="11" t="n">
        <v>0.001</v>
      </c>
      <c r="I3159" s="6" t="n">
        <v>20</v>
      </c>
      <c r="J3159" s="6" t="n">
        <v>0</v>
      </c>
      <c r="K3159" s="6" t="n">
        <v>20</v>
      </c>
      <c r="L3159" s="6" t="n">
        <v>0</v>
      </c>
      <c r="M3159" s="6" t="n">
        <v>20</v>
      </c>
      <c r="N3159" s="11" t="n">
        <f aca="false">J3159/(J3159+K3159)</f>
        <v>0</v>
      </c>
      <c r="O3159" s="11" t="str">
        <f aca="false">IF(J3159+L3159=0,"",J3159/(J3159+L3159))</f>
        <v/>
      </c>
      <c r="P3159" s="11" t="n">
        <f aca="false">2*J3159/(2*J3159+L3159+K3159)</f>
        <v>0</v>
      </c>
      <c r="Q3159" s="11" t="n">
        <f aca="false">L3159/(L3159+M3159)</f>
        <v>0</v>
      </c>
      <c r="R3159" s="6" t="n">
        <v>0</v>
      </c>
      <c r="S3159" s="11"/>
      <c r="T3159" s="11" t="n">
        <v>0</v>
      </c>
      <c r="U3159" s="11" t="n">
        <v>0.85</v>
      </c>
      <c r="V3159" s="11" t="n">
        <v>0.85</v>
      </c>
    </row>
    <row r="3160" customFormat="false" ht="15" hidden="false" customHeight="false" outlineLevel="0" collapsed="false">
      <c r="A3160" s="6" t="s">
        <v>60</v>
      </c>
      <c r="B3160" s="6" t="s">
        <v>59</v>
      </c>
      <c r="C3160" s="6" t="s">
        <v>51</v>
      </c>
      <c r="D3160" s="6" t="s">
        <v>119</v>
      </c>
      <c r="E3160" s="6" t="n">
        <v>16</v>
      </c>
      <c r="F3160" s="6" t="n">
        <v>8</v>
      </c>
      <c r="G3160" s="6" t="s">
        <v>69</v>
      </c>
      <c r="H3160" s="11" t="n">
        <v>0.001</v>
      </c>
      <c r="I3160" s="6" t="n">
        <v>20</v>
      </c>
      <c r="J3160" s="6" t="n">
        <v>0</v>
      </c>
      <c r="K3160" s="6" t="n">
        <v>20</v>
      </c>
      <c r="L3160" s="6" t="n">
        <v>0</v>
      </c>
      <c r="M3160" s="6" t="n">
        <v>20</v>
      </c>
      <c r="N3160" s="11" t="n">
        <f aca="false">J3160/(J3160+K3160)</f>
        <v>0</v>
      </c>
      <c r="O3160" s="11" t="str">
        <f aca="false">IF(J3160+L3160=0,"",J3160/(J3160+L3160))</f>
        <v/>
      </c>
      <c r="P3160" s="11" t="n">
        <f aca="false">2*J3160/(2*J3160+L3160+K3160)</f>
        <v>0</v>
      </c>
      <c r="Q3160" s="11" t="n">
        <f aca="false">L3160/(L3160+M3160)</f>
        <v>0</v>
      </c>
      <c r="R3160" s="6" t="n">
        <v>0</v>
      </c>
      <c r="S3160" s="11"/>
      <c r="T3160" s="11" t="n">
        <v>0</v>
      </c>
      <c r="U3160" s="11" t="n">
        <v>1</v>
      </c>
      <c r="V3160" s="11" t="n">
        <v>1</v>
      </c>
    </row>
    <row r="3161" customFormat="false" ht="15" hidden="false" customHeight="false" outlineLevel="0" collapsed="false">
      <c r="A3161" s="6" t="s">
        <v>60</v>
      </c>
      <c r="B3161" s="6" t="s">
        <v>59</v>
      </c>
      <c r="C3161" s="6" t="s">
        <v>51</v>
      </c>
      <c r="D3161" s="6" t="s">
        <v>119</v>
      </c>
      <c r="E3161" s="6" t="n">
        <v>16</v>
      </c>
      <c r="F3161" s="6" t="n">
        <v>8</v>
      </c>
      <c r="G3161" s="6" t="s">
        <v>70</v>
      </c>
      <c r="H3161" s="11" t="n">
        <v>0.001</v>
      </c>
      <c r="I3161" s="6" t="n">
        <v>20</v>
      </c>
      <c r="J3161" s="6" t="n">
        <v>0</v>
      </c>
      <c r="K3161" s="6" t="n">
        <v>20</v>
      </c>
      <c r="L3161" s="6" t="n">
        <v>0</v>
      </c>
      <c r="M3161" s="6" t="n">
        <v>20</v>
      </c>
      <c r="N3161" s="11" t="n">
        <f aca="false">J3161/(J3161+K3161)</f>
        <v>0</v>
      </c>
      <c r="O3161" s="11" t="str">
        <f aca="false">IF(J3161+L3161=0,"",J3161/(J3161+L3161))</f>
        <v/>
      </c>
      <c r="P3161" s="11" t="n">
        <f aca="false">2*J3161/(2*J3161+L3161+K3161)</f>
        <v>0</v>
      </c>
      <c r="Q3161" s="11" t="n">
        <f aca="false">L3161/(L3161+M3161)</f>
        <v>0</v>
      </c>
      <c r="R3161" s="6" t="n">
        <v>0</v>
      </c>
      <c r="S3161" s="11"/>
      <c r="T3161" s="11" t="n">
        <v>0</v>
      </c>
      <c r="U3161" s="11" t="n">
        <v>0.9</v>
      </c>
      <c r="V3161" s="11" t="n">
        <v>0.9</v>
      </c>
    </row>
    <row r="3162" customFormat="false" ht="15" hidden="false" customHeight="false" outlineLevel="0" collapsed="false">
      <c r="A3162" s="6" t="s">
        <v>60</v>
      </c>
      <c r="B3162" s="6" t="s">
        <v>59</v>
      </c>
      <c r="C3162" s="6" t="s">
        <v>51</v>
      </c>
      <c r="D3162" s="6" t="s">
        <v>119</v>
      </c>
      <c r="E3162" s="6" t="n">
        <v>16</v>
      </c>
      <c r="F3162" s="6" t="n">
        <v>8</v>
      </c>
      <c r="G3162" s="6" t="s">
        <v>71</v>
      </c>
      <c r="H3162" s="11" t="n">
        <v>0.001</v>
      </c>
      <c r="I3162" s="6" t="n">
        <v>20</v>
      </c>
      <c r="J3162" s="6" t="n">
        <v>0</v>
      </c>
      <c r="K3162" s="6" t="n">
        <v>20</v>
      </c>
      <c r="L3162" s="6" t="n">
        <v>0</v>
      </c>
      <c r="M3162" s="6" t="n">
        <v>20</v>
      </c>
      <c r="N3162" s="11" t="n">
        <f aca="false">J3162/(J3162+K3162)</f>
        <v>0</v>
      </c>
      <c r="O3162" s="11" t="str">
        <f aca="false">IF(J3162+L3162=0,"",J3162/(J3162+L3162))</f>
        <v/>
      </c>
      <c r="P3162" s="11" t="n">
        <f aca="false">2*J3162/(2*J3162+L3162+K3162)</f>
        <v>0</v>
      </c>
      <c r="Q3162" s="11" t="n">
        <f aca="false">L3162/(L3162+M3162)</f>
        <v>0</v>
      </c>
      <c r="R3162" s="6" t="n">
        <v>0</v>
      </c>
      <c r="S3162" s="11"/>
      <c r="T3162" s="11" t="n">
        <v>0</v>
      </c>
      <c r="U3162" s="11" t="n">
        <v>0.8</v>
      </c>
      <c r="V3162" s="11" t="n">
        <v>0.8</v>
      </c>
    </row>
    <row r="3163" customFormat="false" ht="15" hidden="false" customHeight="false" outlineLevel="0" collapsed="false">
      <c r="A3163" s="6" t="s">
        <v>60</v>
      </c>
      <c r="B3163" s="6" t="s">
        <v>59</v>
      </c>
      <c r="C3163" s="6" t="s">
        <v>51</v>
      </c>
      <c r="D3163" s="6" t="s">
        <v>119</v>
      </c>
      <c r="E3163" s="6" t="n">
        <v>16</v>
      </c>
      <c r="F3163" s="6" t="n">
        <v>8</v>
      </c>
      <c r="G3163" s="6" t="s">
        <v>72</v>
      </c>
      <c r="H3163" s="11" t="n">
        <v>0.001</v>
      </c>
      <c r="I3163" s="6" t="n">
        <v>20</v>
      </c>
      <c r="J3163" s="6" t="n">
        <v>0</v>
      </c>
      <c r="K3163" s="6" t="n">
        <v>20</v>
      </c>
      <c r="L3163" s="6" t="n">
        <v>0</v>
      </c>
      <c r="M3163" s="6" t="n">
        <v>20</v>
      </c>
      <c r="N3163" s="11" t="n">
        <f aca="false">J3163/(J3163+K3163)</f>
        <v>0</v>
      </c>
      <c r="O3163" s="11" t="str">
        <f aca="false">IF(J3163+L3163=0,"",J3163/(J3163+L3163))</f>
        <v/>
      </c>
      <c r="P3163" s="11" t="n">
        <f aca="false">2*J3163/(2*J3163+L3163+K3163)</f>
        <v>0</v>
      </c>
      <c r="Q3163" s="11" t="n">
        <f aca="false">L3163/(L3163+M3163)</f>
        <v>0</v>
      </c>
      <c r="R3163" s="6" t="n">
        <v>0</v>
      </c>
      <c r="S3163" s="11"/>
      <c r="T3163" s="11" t="n">
        <v>0</v>
      </c>
      <c r="U3163" s="11" t="n">
        <v>0.9</v>
      </c>
      <c r="V3163" s="11" t="n">
        <v>0.9</v>
      </c>
    </row>
    <row r="3164" customFormat="false" ht="15" hidden="false" customHeight="false" outlineLevel="0" collapsed="false">
      <c r="A3164" s="6" t="s">
        <v>60</v>
      </c>
      <c r="B3164" s="6" t="s">
        <v>59</v>
      </c>
      <c r="C3164" s="6" t="s">
        <v>51</v>
      </c>
      <c r="D3164" s="6" t="s">
        <v>119</v>
      </c>
      <c r="E3164" s="6" t="n">
        <v>16</v>
      </c>
      <c r="F3164" s="6" t="n">
        <v>8</v>
      </c>
      <c r="G3164" s="6" t="s">
        <v>73</v>
      </c>
      <c r="H3164" s="11" t="n">
        <v>0.001</v>
      </c>
      <c r="I3164" s="6" t="n">
        <v>20</v>
      </c>
      <c r="J3164" s="6" t="n">
        <v>0</v>
      </c>
      <c r="K3164" s="6" t="n">
        <v>20</v>
      </c>
      <c r="L3164" s="6" t="n">
        <v>0</v>
      </c>
      <c r="M3164" s="6" t="n">
        <v>20</v>
      </c>
      <c r="N3164" s="11" t="n">
        <f aca="false">J3164/(J3164+K3164)</f>
        <v>0</v>
      </c>
      <c r="O3164" s="11" t="str">
        <f aca="false">IF(J3164+L3164=0,"",J3164/(J3164+L3164))</f>
        <v/>
      </c>
      <c r="P3164" s="11" t="n">
        <f aca="false">2*J3164/(2*J3164+L3164+K3164)</f>
        <v>0</v>
      </c>
      <c r="Q3164" s="11" t="n">
        <f aca="false">L3164/(L3164+M3164)</f>
        <v>0</v>
      </c>
      <c r="R3164" s="6" t="n">
        <v>1</v>
      </c>
      <c r="S3164" s="11" t="n">
        <v>0</v>
      </c>
      <c r="T3164" s="11" t="n">
        <v>0</v>
      </c>
      <c r="U3164" s="11" t="n">
        <v>0.65</v>
      </c>
      <c r="V3164" s="11" t="n">
        <v>0.65</v>
      </c>
    </row>
    <row r="3165" customFormat="false" ht="15" hidden="false" customHeight="false" outlineLevel="0" collapsed="false">
      <c r="A3165" s="6" t="s">
        <v>60</v>
      </c>
      <c r="B3165" s="6" t="s">
        <v>59</v>
      </c>
      <c r="C3165" s="6" t="s">
        <v>51</v>
      </c>
      <c r="D3165" s="6" t="s">
        <v>119</v>
      </c>
      <c r="E3165" s="6" t="n">
        <v>16</v>
      </c>
      <c r="F3165" s="6" t="n">
        <v>8</v>
      </c>
      <c r="G3165" s="6" t="s">
        <v>74</v>
      </c>
      <c r="H3165" s="11" t="n">
        <v>0.001</v>
      </c>
      <c r="I3165" s="6" t="n">
        <v>20</v>
      </c>
      <c r="J3165" s="6" t="n">
        <v>0</v>
      </c>
      <c r="K3165" s="6" t="n">
        <v>20</v>
      </c>
      <c r="L3165" s="6" t="n">
        <v>0</v>
      </c>
      <c r="M3165" s="6" t="n">
        <v>20</v>
      </c>
      <c r="N3165" s="11" t="n">
        <f aca="false">J3165/(J3165+K3165)</f>
        <v>0</v>
      </c>
      <c r="O3165" s="11" t="str">
        <f aca="false">IF(J3165+L3165=0,"",J3165/(J3165+L3165))</f>
        <v/>
      </c>
      <c r="P3165" s="11" t="n">
        <f aca="false">2*J3165/(2*J3165+L3165+K3165)</f>
        <v>0</v>
      </c>
      <c r="Q3165" s="11" t="n">
        <f aca="false">L3165/(L3165+M3165)</f>
        <v>0</v>
      </c>
      <c r="R3165" s="6" t="n">
        <v>0</v>
      </c>
      <c r="S3165" s="11"/>
      <c r="T3165" s="11" t="n">
        <v>0</v>
      </c>
      <c r="U3165" s="11" t="n">
        <v>0.85</v>
      </c>
      <c r="V3165" s="11" t="n">
        <v>0.85</v>
      </c>
    </row>
    <row r="3166" customFormat="false" ht="15" hidden="false" customHeight="false" outlineLevel="0" collapsed="false">
      <c r="A3166" s="6" t="s">
        <v>60</v>
      </c>
      <c r="B3166" s="6" t="s">
        <v>59</v>
      </c>
      <c r="C3166" s="6" t="s">
        <v>51</v>
      </c>
      <c r="D3166" s="6" t="s">
        <v>119</v>
      </c>
      <c r="E3166" s="6" t="n">
        <v>16</v>
      </c>
      <c r="F3166" s="6" t="n">
        <v>8</v>
      </c>
      <c r="G3166" s="6" t="s">
        <v>75</v>
      </c>
      <c r="H3166" s="11" t="n">
        <v>0.001</v>
      </c>
      <c r="I3166" s="6" t="n">
        <v>20</v>
      </c>
      <c r="J3166" s="6" t="n">
        <v>0</v>
      </c>
      <c r="K3166" s="6" t="n">
        <v>20</v>
      </c>
      <c r="L3166" s="6" t="n">
        <v>0</v>
      </c>
      <c r="M3166" s="6" t="n">
        <v>20</v>
      </c>
      <c r="N3166" s="11" t="n">
        <f aca="false">J3166/(J3166+K3166)</f>
        <v>0</v>
      </c>
      <c r="O3166" s="11" t="str">
        <f aca="false">IF(J3166+L3166=0,"",J3166/(J3166+L3166))</f>
        <v/>
      </c>
      <c r="P3166" s="11" t="n">
        <f aca="false">2*J3166/(2*J3166+L3166+K3166)</f>
        <v>0</v>
      </c>
      <c r="Q3166" s="11" t="n">
        <f aca="false">L3166/(L3166+M3166)</f>
        <v>0</v>
      </c>
      <c r="R3166" s="6" t="n">
        <v>1</v>
      </c>
      <c r="S3166" s="11" t="n">
        <v>0</v>
      </c>
      <c r="T3166" s="11" t="n">
        <v>0</v>
      </c>
      <c r="U3166" s="11" t="n">
        <v>0.9</v>
      </c>
      <c r="V3166" s="11" t="n">
        <v>0.95</v>
      </c>
    </row>
    <row r="3167" customFormat="false" ht="15" hidden="false" customHeight="false" outlineLevel="0" collapsed="false">
      <c r="A3167" s="6" t="s">
        <v>60</v>
      </c>
      <c r="B3167" s="6" t="s">
        <v>59</v>
      </c>
      <c r="C3167" s="6" t="s">
        <v>51</v>
      </c>
      <c r="D3167" s="6" t="s">
        <v>119</v>
      </c>
      <c r="E3167" s="6" t="n">
        <v>16</v>
      </c>
      <c r="F3167" s="6" t="n">
        <v>8</v>
      </c>
      <c r="G3167" s="6" t="s">
        <v>76</v>
      </c>
      <c r="H3167" s="11" t="n">
        <v>0.001</v>
      </c>
      <c r="I3167" s="6" t="n">
        <v>20</v>
      </c>
      <c r="J3167" s="6" t="n">
        <v>0</v>
      </c>
      <c r="K3167" s="6" t="n">
        <v>20</v>
      </c>
      <c r="L3167" s="6" t="n">
        <v>0</v>
      </c>
      <c r="M3167" s="6" t="n">
        <v>20</v>
      </c>
      <c r="N3167" s="11" t="n">
        <f aca="false">J3167/(J3167+K3167)</f>
        <v>0</v>
      </c>
      <c r="O3167" s="11" t="str">
        <f aca="false">IF(J3167+L3167=0,"",J3167/(J3167+L3167))</f>
        <v/>
      </c>
      <c r="P3167" s="11" t="n">
        <f aca="false">2*J3167/(2*J3167+L3167+K3167)</f>
        <v>0</v>
      </c>
      <c r="Q3167" s="11" t="n">
        <f aca="false">L3167/(L3167+M3167)</f>
        <v>0</v>
      </c>
      <c r="R3167" s="6" t="n">
        <v>0</v>
      </c>
      <c r="S3167" s="11"/>
      <c r="T3167" s="11" t="n">
        <v>0</v>
      </c>
      <c r="U3167" s="11" t="n">
        <v>0.95</v>
      </c>
      <c r="V3167" s="11" t="n">
        <v>0.95</v>
      </c>
    </row>
    <row r="3168" customFormat="false" ht="15" hidden="false" customHeight="false" outlineLevel="0" collapsed="false">
      <c r="A3168" s="6" t="s">
        <v>60</v>
      </c>
      <c r="B3168" s="6" t="s">
        <v>59</v>
      </c>
      <c r="C3168" s="6" t="s">
        <v>51</v>
      </c>
      <c r="D3168" s="6" t="s">
        <v>119</v>
      </c>
      <c r="E3168" s="6" t="n">
        <v>16</v>
      </c>
      <c r="F3168" s="6" t="n">
        <v>8</v>
      </c>
      <c r="G3168" s="6" t="s">
        <v>77</v>
      </c>
      <c r="H3168" s="11" t="n">
        <v>0.001</v>
      </c>
      <c r="I3168" s="6" t="n">
        <v>20</v>
      </c>
      <c r="J3168" s="6" t="n">
        <v>0</v>
      </c>
      <c r="K3168" s="6" t="n">
        <v>20</v>
      </c>
      <c r="L3168" s="6" t="n">
        <v>0</v>
      </c>
      <c r="M3168" s="6" t="n">
        <v>20</v>
      </c>
      <c r="N3168" s="11" t="n">
        <f aca="false">J3168/(J3168+K3168)</f>
        <v>0</v>
      </c>
      <c r="O3168" s="11" t="str">
        <f aca="false">IF(J3168+L3168=0,"",J3168/(J3168+L3168))</f>
        <v/>
      </c>
      <c r="P3168" s="11" t="n">
        <f aca="false">2*J3168/(2*J3168+L3168+K3168)</f>
        <v>0</v>
      </c>
      <c r="Q3168" s="11" t="n">
        <f aca="false">L3168/(L3168+M3168)</f>
        <v>0</v>
      </c>
      <c r="R3168" s="6" t="n">
        <v>0</v>
      </c>
      <c r="S3168" s="11"/>
      <c r="T3168" s="11" t="n">
        <v>0</v>
      </c>
      <c r="U3168" s="11" t="n">
        <v>1</v>
      </c>
      <c r="V3168" s="11" t="n">
        <v>1</v>
      </c>
    </row>
    <row r="3169" customFormat="false" ht="15" hidden="false" customHeight="false" outlineLevel="0" collapsed="false">
      <c r="A3169" s="6" t="s">
        <v>60</v>
      </c>
      <c r="B3169" s="6" t="s">
        <v>59</v>
      </c>
      <c r="C3169" s="6" t="s">
        <v>51</v>
      </c>
      <c r="D3169" s="6" t="s">
        <v>119</v>
      </c>
      <c r="E3169" s="6" t="n">
        <v>16</v>
      </c>
      <c r="F3169" s="6" t="n">
        <v>8</v>
      </c>
      <c r="G3169" s="6" t="s">
        <v>78</v>
      </c>
      <c r="H3169" s="11" t="n">
        <v>0.001</v>
      </c>
      <c r="I3169" s="6" t="n">
        <v>200</v>
      </c>
      <c r="J3169" s="6" t="n">
        <v>0</v>
      </c>
      <c r="K3169" s="6" t="n">
        <v>200</v>
      </c>
      <c r="L3169" s="6" t="n">
        <v>0</v>
      </c>
      <c r="M3169" s="6" t="n">
        <v>200</v>
      </c>
      <c r="N3169" s="11" t="n">
        <f aca="false">J3169/(J3169+K3169)</f>
        <v>0</v>
      </c>
      <c r="O3169" s="11" t="str">
        <f aca="false">IF(J3169+L3169=0,"",J3169/(J3169+L3169))</f>
        <v/>
      </c>
      <c r="P3169" s="11" t="n">
        <f aca="false">2*J3169/(2*J3169+L3169+K3169)</f>
        <v>0</v>
      </c>
      <c r="Q3169" s="11" t="n">
        <f aca="false">L3169/(L3169+M3169)</f>
        <v>0</v>
      </c>
      <c r="R3169" s="6" t="n">
        <v>2</v>
      </c>
      <c r="S3169" s="11" t="n">
        <v>0</v>
      </c>
      <c r="T3169" s="11" t="n">
        <v>0</v>
      </c>
      <c r="U3169" s="11" t="n">
        <v>0.88</v>
      </c>
      <c r="V3169" s="11" t="n">
        <v>0.885</v>
      </c>
    </row>
    <row r="3170" customFormat="false" ht="15" hidden="false" customHeight="false" outlineLevel="0" collapsed="false">
      <c r="A3170" s="6" t="s">
        <v>60</v>
      </c>
      <c r="B3170" s="6" t="s">
        <v>59</v>
      </c>
      <c r="C3170" s="6" t="s">
        <v>51</v>
      </c>
      <c r="D3170" s="6" t="s">
        <v>119</v>
      </c>
      <c r="E3170" s="6" t="n">
        <v>16</v>
      </c>
      <c r="F3170" s="6" t="n">
        <v>9</v>
      </c>
      <c r="G3170" s="6" t="s">
        <v>68</v>
      </c>
      <c r="H3170" s="11" t="n">
        <v>0.001</v>
      </c>
      <c r="I3170" s="6" t="n">
        <v>20</v>
      </c>
      <c r="J3170" s="6" t="n">
        <v>0</v>
      </c>
      <c r="K3170" s="6" t="n">
        <v>20</v>
      </c>
      <c r="L3170" s="6" t="n">
        <v>0</v>
      </c>
      <c r="M3170" s="6" t="n">
        <v>20</v>
      </c>
      <c r="N3170" s="11" t="n">
        <f aca="false">J3170/(J3170+K3170)</f>
        <v>0</v>
      </c>
      <c r="O3170" s="11" t="str">
        <f aca="false">IF(J3170+L3170=0,"",J3170/(J3170+L3170))</f>
        <v/>
      </c>
      <c r="P3170" s="11" t="n">
        <f aca="false">2*J3170/(2*J3170+L3170+K3170)</f>
        <v>0</v>
      </c>
      <c r="Q3170" s="11" t="n">
        <f aca="false">L3170/(L3170+M3170)</f>
        <v>0</v>
      </c>
      <c r="R3170" s="6" t="n">
        <v>0</v>
      </c>
      <c r="S3170" s="11"/>
      <c r="T3170" s="11" t="n">
        <v>0</v>
      </c>
      <c r="U3170" s="11" t="n">
        <v>0.85</v>
      </c>
      <c r="V3170" s="11" t="n">
        <v>0.85</v>
      </c>
    </row>
    <row r="3171" customFormat="false" ht="15" hidden="false" customHeight="false" outlineLevel="0" collapsed="false">
      <c r="A3171" s="6" t="s">
        <v>60</v>
      </c>
      <c r="B3171" s="6" t="s">
        <v>59</v>
      </c>
      <c r="C3171" s="6" t="s">
        <v>51</v>
      </c>
      <c r="D3171" s="6" t="s">
        <v>119</v>
      </c>
      <c r="E3171" s="6" t="n">
        <v>16</v>
      </c>
      <c r="F3171" s="6" t="n">
        <v>9</v>
      </c>
      <c r="G3171" s="6" t="s">
        <v>69</v>
      </c>
      <c r="H3171" s="11" t="n">
        <v>0.001</v>
      </c>
      <c r="I3171" s="6" t="n">
        <v>20</v>
      </c>
      <c r="J3171" s="6" t="n">
        <v>0</v>
      </c>
      <c r="K3171" s="6" t="n">
        <v>20</v>
      </c>
      <c r="L3171" s="6" t="n">
        <v>0</v>
      </c>
      <c r="M3171" s="6" t="n">
        <v>20</v>
      </c>
      <c r="N3171" s="11" t="n">
        <f aca="false">J3171/(J3171+K3171)</f>
        <v>0</v>
      </c>
      <c r="O3171" s="11" t="str">
        <f aca="false">IF(J3171+L3171=0,"",J3171/(J3171+L3171))</f>
        <v/>
      </c>
      <c r="P3171" s="11" t="n">
        <f aca="false">2*J3171/(2*J3171+L3171+K3171)</f>
        <v>0</v>
      </c>
      <c r="Q3171" s="11" t="n">
        <f aca="false">L3171/(L3171+M3171)</f>
        <v>0</v>
      </c>
      <c r="R3171" s="6" t="n">
        <v>0</v>
      </c>
      <c r="S3171" s="11"/>
      <c r="T3171" s="11" t="n">
        <v>0</v>
      </c>
      <c r="U3171" s="11" t="n">
        <v>1</v>
      </c>
      <c r="V3171" s="11" t="n">
        <v>1</v>
      </c>
    </row>
    <row r="3172" customFormat="false" ht="15" hidden="false" customHeight="false" outlineLevel="0" collapsed="false">
      <c r="A3172" s="6" t="s">
        <v>60</v>
      </c>
      <c r="B3172" s="6" t="s">
        <v>59</v>
      </c>
      <c r="C3172" s="6" t="s">
        <v>51</v>
      </c>
      <c r="D3172" s="6" t="s">
        <v>119</v>
      </c>
      <c r="E3172" s="6" t="n">
        <v>16</v>
      </c>
      <c r="F3172" s="6" t="n">
        <v>9</v>
      </c>
      <c r="G3172" s="6" t="s">
        <v>70</v>
      </c>
      <c r="H3172" s="11" t="n">
        <v>0.001</v>
      </c>
      <c r="I3172" s="6" t="n">
        <v>20</v>
      </c>
      <c r="J3172" s="6" t="n">
        <v>0</v>
      </c>
      <c r="K3172" s="6" t="n">
        <v>20</v>
      </c>
      <c r="L3172" s="6" t="n">
        <v>0</v>
      </c>
      <c r="M3172" s="6" t="n">
        <v>20</v>
      </c>
      <c r="N3172" s="11" t="n">
        <f aca="false">J3172/(J3172+K3172)</f>
        <v>0</v>
      </c>
      <c r="O3172" s="11" t="str">
        <f aca="false">IF(J3172+L3172=0,"",J3172/(J3172+L3172))</f>
        <v/>
      </c>
      <c r="P3172" s="11" t="n">
        <f aca="false">2*J3172/(2*J3172+L3172+K3172)</f>
        <v>0</v>
      </c>
      <c r="Q3172" s="11" t="n">
        <f aca="false">L3172/(L3172+M3172)</f>
        <v>0</v>
      </c>
      <c r="R3172" s="6" t="n">
        <v>0</v>
      </c>
      <c r="S3172" s="11"/>
      <c r="T3172" s="11" t="n">
        <v>0</v>
      </c>
      <c r="U3172" s="11" t="n">
        <v>0.9</v>
      </c>
      <c r="V3172" s="11" t="n">
        <v>0.9</v>
      </c>
    </row>
    <row r="3173" customFormat="false" ht="15" hidden="false" customHeight="false" outlineLevel="0" collapsed="false">
      <c r="A3173" s="6" t="s">
        <v>60</v>
      </c>
      <c r="B3173" s="6" t="s">
        <v>59</v>
      </c>
      <c r="C3173" s="6" t="s">
        <v>51</v>
      </c>
      <c r="D3173" s="6" t="s">
        <v>119</v>
      </c>
      <c r="E3173" s="6" t="n">
        <v>16</v>
      </c>
      <c r="F3173" s="6" t="n">
        <v>9</v>
      </c>
      <c r="G3173" s="6" t="s">
        <v>71</v>
      </c>
      <c r="H3173" s="11" t="n">
        <v>0.001</v>
      </c>
      <c r="I3173" s="6" t="n">
        <v>20</v>
      </c>
      <c r="J3173" s="6" t="n">
        <v>0</v>
      </c>
      <c r="K3173" s="6" t="n">
        <v>20</v>
      </c>
      <c r="L3173" s="6" t="n">
        <v>0</v>
      </c>
      <c r="M3173" s="6" t="n">
        <v>20</v>
      </c>
      <c r="N3173" s="11" t="n">
        <f aca="false">J3173/(J3173+K3173)</f>
        <v>0</v>
      </c>
      <c r="O3173" s="11" t="str">
        <f aca="false">IF(J3173+L3173=0,"",J3173/(J3173+L3173))</f>
        <v/>
      </c>
      <c r="P3173" s="11" t="n">
        <f aca="false">2*J3173/(2*J3173+L3173+K3173)</f>
        <v>0</v>
      </c>
      <c r="Q3173" s="11" t="n">
        <f aca="false">L3173/(L3173+M3173)</f>
        <v>0</v>
      </c>
      <c r="R3173" s="6" t="n">
        <v>0</v>
      </c>
      <c r="S3173" s="11"/>
      <c r="T3173" s="11" t="n">
        <v>0</v>
      </c>
      <c r="U3173" s="11" t="n">
        <v>0.8</v>
      </c>
      <c r="V3173" s="11" t="n">
        <v>0.8</v>
      </c>
    </row>
    <row r="3174" customFormat="false" ht="15" hidden="false" customHeight="false" outlineLevel="0" collapsed="false">
      <c r="A3174" s="6" t="s">
        <v>60</v>
      </c>
      <c r="B3174" s="6" t="s">
        <v>59</v>
      </c>
      <c r="C3174" s="6" t="s">
        <v>51</v>
      </c>
      <c r="D3174" s="6" t="s">
        <v>119</v>
      </c>
      <c r="E3174" s="6" t="n">
        <v>16</v>
      </c>
      <c r="F3174" s="6" t="n">
        <v>9</v>
      </c>
      <c r="G3174" s="6" t="s">
        <v>72</v>
      </c>
      <c r="H3174" s="11" t="n">
        <v>0.001</v>
      </c>
      <c r="I3174" s="6" t="n">
        <v>20</v>
      </c>
      <c r="J3174" s="6" t="n">
        <v>0</v>
      </c>
      <c r="K3174" s="6" t="n">
        <v>20</v>
      </c>
      <c r="L3174" s="6" t="n">
        <v>0</v>
      </c>
      <c r="M3174" s="6" t="n">
        <v>20</v>
      </c>
      <c r="N3174" s="11" t="n">
        <f aca="false">J3174/(J3174+K3174)</f>
        <v>0</v>
      </c>
      <c r="O3174" s="11" t="str">
        <f aca="false">IF(J3174+L3174=0,"",J3174/(J3174+L3174))</f>
        <v/>
      </c>
      <c r="P3174" s="11" t="n">
        <f aca="false">2*J3174/(2*J3174+L3174+K3174)</f>
        <v>0</v>
      </c>
      <c r="Q3174" s="11" t="n">
        <f aca="false">L3174/(L3174+M3174)</f>
        <v>0</v>
      </c>
      <c r="R3174" s="6" t="n">
        <v>0</v>
      </c>
      <c r="S3174" s="11"/>
      <c r="T3174" s="11" t="n">
        <v>0</v>
      </c>
      <c r="U3174" s="11" t="n">
        <v>0.9</v>
      </c>
      <c r="V3174" s="11" t="n">
        <v>0.9</v>
      </c>
    </row>
    <row r="3175" customFormat="false" ht="15" hidden="false" customHeight="false" outlineLevel="0" collapsed="false">
      <c r="A3175" s="6" t="s">
        <v>60</v>
      </c>
      <c r="B3175" s="6" t="s">
        <v>59</v>
      </c>
      <c r="C3175" s="6" t="s">
        <v>51</v>
      </c>
      <c r="D3175" s="6" t="s">
        <v>119</v>
      </c>
      <c r="E3175" s="6" t="n">
        <v>16</v>
      </c>
      <c r="F3175" s="6" t="n">
        <v>9</v>
      </c>
      <c r="G3175" s="6" t="s">
        <v>73</v>
      </c>
      <c r="H3175" s="11" t="n">
        <v>0.001</v>
      </c>
      <c r="I3175" s="6" t="n">
        <v>20</v>
      </c>
      <c r="J3175" s="6" t="n">
        <v>0</v>
      </c>
      <c r="K3175" s="6" t="n">
        <v>20</v>
      </c>
      <c r="L3175" s="6" t="n">
        <v>0</v>
      </c>
      <c r="M3175" s="6" t="n">
        <v>20</v>
      </c>
      <c r="N3175" s="11" t="n">
        <f aca="false">J3175/(J3175+K3175)</f>
        <v>0</v>
      </c>
      <c r="O3175" s="11" t="str">
        <f aca="false">IF(J3175+L3175=0,"",J3175/(J3175+L3175))</f>
        <v/>
      </c>
      <c r="P3175" s="11" t="n">
        <f aca="false">2*J3175/(2*J3175+L3175+K3175)</f>
        <v>0</v>
      </c>
      <c r="Q3175" s="11" t="n">
        <f aca="false">L3175/(L3175+M3175)</f>
        <v>0</v>
      </c>
      <c r="R3175" s="6" t="n">
        <v>1</v>
      </c>
      <c r="S3175" s="11" t="n">
        <v>0</v>
      </c>
      <c r="T3175" s="11" t="n">
        <v>0</v>
      </c>
      <c r="U3175" s="11" t="n">
        <v>0.65</v>
      </c>
      <c r="V3175" s="11" t="n">
        <v>0.65</v>
      </c>
    </row>
    <row r="3176" customFormat="false" ht="15" hidden="false" customHeight="false" outlineLevel="0" collapsed="false">
      <c r="A3176" s="6" t="s">
        <v>60</v>
      </c>
      <c r="B3176" s="6" t="s">
        <v>59</v>
      </c>
      <c r="C3176" s="6" t="s">
        <v>51</v>
      </c>
      <c r="D3176" s="6" t="s">
        <v>119</v>
      </c>
      <c r="E3176" s="6" t="n">
        <v>16</v>
      </c>
      <c r="F3176" s="6" t="n">
        <v>9</v>
      </c>
      <c r="G3176" s="6" t="s">
        <v>74</v>
      </c>
      <c r="H3176" s="11" t="n">
        <v>0.001</v>
      </c>
      <c r="I3176" s="6" t="n">
        <v>20</v>
      </c>
      <c r="J3176" s="6" t="n">
        <v>0</v>
      </c>
      <c r="K3176" s="6" t="n">
        <v>20</v>
      </c>
      <c r="L3176" s="6" t="n">
        <v>0</v>
      </c>
      <c r="M3176" s="6" t="n">
        <v>20</v>
      </c>
      <c r="N3176" s="11" t="n">
        <f aca="false">J3176/(J3176+K3176)</f>
        <v>0</v>
      </c>
      <c r="O3176" s="11" t="str">
        <f aca="false">IF(J3176+L3176=0,"",J3176/(J3176+L3176))</f>
        <v/>
      </c>
      <c r="P3176" s="11" t="n">
        <f aca="false">2*J3176/(2*J3176+L3176+K3176)</f>
        <v>0</v>
      </c>
      <c r="Q3176" s="11" t="n">
        <f aca="false">L3176/(L3176+M3176)</f>
        <v>0</v>
      </c>
      <c r="R3176" s="6" t="n">
        <v>1</v>
      </c>
      <c r="S3176" s="11" t="n">
        <v>0</v>
      </c>
      <c r="T3176" s="11" t="n">
        <v>0</v>
      </c>
      <c r="U3176" s="11" t="n">
        <v>0.85</v>
      </c>
      <c r="V3176" s="11" t="n">
        <v>0.9</v>
      </c>
    </row>
    <row r="3177" customFormat="false" ht="15" hidden="false" customHeight="false" outlineLevel="0" collapsed="false">
      <c r="A3177" s="6" t="s">
        <v>60</v>
      </c>
      <c r="B3177" s="6" t="s">
        <v>59</v>
      </c>
      <c r="C3177" s="6" t="s">
        <v>51</v>
      </c>
      <c r="D3177" s="6" t="s">
        <v>119</v>
      </c>
      <c r="E3177" s="6" t="n">
        <v>16</v>
      </c>
      <c r="F3177" s="6" t="n">
        <v>9</v>
      </c>
      <c r="G3177" s="6" t="s">
        <v>75</v>
      </c>
      <c r="H3177" s="11" t="n">
        <v>0.001</v>
      </c>
      <c r="I3177" s="6" t="n">
        <v>20</v>
      </c>
      <c r="J3177" s="6" t="n">
        <v>0</v>
      </c>
      <c r="K3177" s="6" t="n">
        <v>20</v>
      </c>
      <c r="L3177" s="6" t="n">
        <v>0</v>
      </c>
      <c r="M3177" s="6" t="n">
        <v>20</v>
      </c>
      <c r="N3177" s="11" t="n">
        <f aca="false">J3177/(J3177+K3177)</f>
        <v>0</v>
      </c>
      <c r="O3177" s="11" t="str">
        <f aca="false">IF(J3177+L3177=0,"",J3177/(J3177+L3177))</f>
        <v/>
      </c>
      <c r="P3177" s="11" t="n">
        <f aca="false">2*J3177/(2*J3177+L3177+K3177)</f>
        <v>0</v>
      </c>
      <c r="Q3177" s="11" t="n">
        <f aca="false">L3177/(L3177+M3177)</f>
        <v>0</v>
      </c>
      <c r="R3177" s="6" t="n">
        <v>0</v>
      </c>
      <c r="S3177" s="11"/>
      <c r="T3177" s="11" t="n">
        <v>0</v>
      </c>
      <c r="U3177" s="11" t="n">
        <v>0.9</v>
      </c>
      <c r="V3177" s="11" t="n">
        <v>0.9</v>
      </c>
    </row>
    <row r="3178" customFormat="false" ht="15" hidden="false" customHeight="false" outlineLevel="0" collapsed="false">
      <c r="A3178" s="6" t="s">
        <v>60</v>
      </c>
      <c r="B3178" s="6" t="s">
        <v>59</v>
      </c>
      <c r="C3178" s="6" t="s">
        <v>51</v>
      </c>
      <c r="D3178" s="6" t="s">
        <v>119</v>
      </c>
      <c r="E3178" s="6" t="n">
        <v>16</v>
      </c>
      <c r="F3178" s="6" t="n">
        <v>9</v>
      </c>
      <c r="G3178" s="6" t="s">
        <v>76</v>
      </c>
      <c r="H3178" s="11" t="n">
        <v>0.001</v>
      </c>
      <c r="I3178" s="6" t="n">
        <v>20</v>
      </c>
      <c r="J3178" s="6" t="n">
        <v>0</v>
      </c>
      <c r="K3178" s="6" t="n">
        <v>20</v>
      </c>
      <c r="L3178" s="6" t="n">
        <v>0</v>
      </c>
      <c r="M3178" s="6" t="n">
        <v>20</v>
      </c>
      <c r="N3178" s="11" t="n">
        <f aca="false">J3178/(J3178+K3178)</f>
        <v>0</v>
      </c>
      <c r="O3178" s="11" t="str">
        <f aca="false">IF(J3178+L3178=0,"",J3178/(J3178+L3178))</f>
        <v/>
      </c>
      <c r="P3178" s="11" t="n">
        <f aca="false">2*J3178/(2*J3178+L3178+K3178)</f>
        <v>0</v>
      </c>
      <c r="Q3178" s="11" t="n">
        <f aca="false">L3178/(L3178+M3178)</f>
        <v>0</v>
      </c>
      <c r="R3178" s="6" t="n">
        <v>0</v>
      </c>
      <c r="S3178" s="11"/>
      <c r="T3178" s="11" t="n">
        <v>0</v>
      </c>
      <c r="U3178" s="11" t="n">
        <v>0.95</v>
      </c>
      <c r="V3178" s="11" t="n">
        <v>0.95</v>
      </c>
    </row>
    <row r="3179" customFormat="false" ht="15" hidden="false" customHeight="false" outlineLevel="0" collapsed="false">
      <c r="A3179" s="6" t="s">
        <v>60</v>
      </c>
      <c r="B3179" s="6" t="s">
        <v>59</v>
      </c>
      <c r="C3179" s="6" t="s">
        <v>51</v>
      </c>
      <c r="D3179" s="6" t="s">
        <v>119</v>
      </c>
      <c r="E3179" s="6" t="n">
        <v>16</v>
      </c>
      <c r="F3179" s="6" t="n">
        <v>9</v>
      </c>
      <c r="G3179" s="6" t="s">
        <v>77</v>
      </c>
      <c r="H3179" s="11" t="n">
        <v>0.001</v>
      </c>
      <c r="I3179" s="6" t="n">
        <v>20</v>
      </c>
      <c r="J3179" s="6" t="n">
        <v>0</v>
      </c>
      <c r="K3179" s="6" t="n">
        <v>20</v>
      </c>
      <c r="L3179" s="6" t="n">
        <v>0</v>
      </c>
      <c r="M3179" s="6" t="n">
        <v>20</v>
      </c>
      <c r="N3179" s="11" t="n">
        <f aca="false">J3179/(J3179+K3179)</f>
        <v>0</v>
      </c>
      <c r="O3179" s="11" t="str">
        <f aca="false">IF(J3179+L3179=0,"",J3179/(J3179+L3179))</f>
        <v/>
      </c>
      <c r="P3179" s="11" t="n">
        <f aca="false">2*J3179/(2*J3179+L3179+K3179)</f>
        <v>0</v>
      </c>
      <c r="Q3179" s="11" t="n">
        <f aca="false">L3179/(L3179+M3179)</f>
        <v>0</v>
      </c>
      <c r="R3179" s="6" t="n">
        <v>0</v>
      </c>
      <c r="S3179" s="11"/>
      <c r="T3179" s="11" t="n">
        <v>0</v>
      </c>
      <c r="U3179" s="11" t="n">
        <v>1</v>
      </c>
      <c r="V3179" s="11" t="n">
        <v>1</v>
      </c>
    </row>
    <row r="3180" customFormat="false" ht="15" hidden="false" customHeight="false" outlineLevel="0" collapsed="false">
      <c r="A3180" s="6" t="s">
        <v>60</v>
      </c>
      <c r="B3180" s="6" t="s">
        <v>59</v>
      </c>
      <c r="C3180" s="6" t="s">
        <v>51</v>
      </c>
      <c r="D3180" s="6" t="s">
        <v>119</v>
      </c>
      <c r="E3180" s="6" t="n">
        <v>16</v>
      </c>
      <c r="F3180" s="6" t="n">
        <v>9</v>
      </c>
      <c r="G3180" s="6" t="s">
        <v>78</v>
      </c>
      <c r="H3180" s="11" t="n">
        <v>0.001</v>
      </c>
      <c r="I3180" s="6" t="n">
        <v>200</v>
      </c>
      <c r="J3180" s="6" t="n">
        <v>0</v>
      </c>
      <c r="K3180" s="6" t="n">
        <v>200</v>
      </c>
      <c r="L3180" s="6" t="n">
        <v>0</v>
      </c>
      <c r="M3180" s="6" t="n">
        <v>200</v>
      </c>
      <c r="N3180" s="11" t="n">
        <f aca="false">J3180/(J3180+K3180)</f>
        <v>0</v>
      </c>
      <c r="O3180" s="11" t="str">
        <f aca="false">IF(J3180+L3180=0,"",J3180/(J3180+L3180))</f>
        <v/>
      </c>
      <c r="P3180" s="11" t="n">
        <f aca="false">2*J3180/(2*J3180+L3180+K3180)</f>
        <v>0</v>
      </c>
      <c r="Q3180" s="11" t="n">
        <f aca="false">L3180/(L3180+M3180)</f>
        <v>0</v>
      </c>
      <c r="R3180" s="6" t="n">
        <v>2</v>
      </c>
      <c r="S3180" s="11" t="n">
        <v>0</v>
      </c>
      <c r="T3180" s="11" t="n">
        <v>0</v>
      </c>
      <c r="U3180" s="11" t="n">
        <v>0.88</v>
      </c>
      <c r="V3180" s="11" t="n">
        <v>0.885</v>
      </c>
    </row>
    <row r="3181" customFormat="false" ht="15" hidden="false" customHeight="false" outlineLevel="0" collapsed="false">
      <c r="A3181" s="6" t="s">
        <v>60</v>
      </c>
      <c r="B3181" s="6" t="s">
        <v>59</v>
      </c>
      <c r="C3181" s="6" t="s">
        <v>51</v>
      </c>
      <c r="D3181" s="6" t="s">
        <v>119</v>
      </c>
      <c r="E3181" s="6" t="n">
        <v>16</v>
      </c>
      <c r="F3181" s="6" t="n">
        <v>10</v>
      </c>
      <c r="G3181" s="6" t="s">
        <v>68</v>
      </c>
      <c r="H3181" s="11" t="n">
        <v>0.001</v>
      </c>
      <c r="I3181" s="6" t="n">
        <v>20</v>
      </c>
      <c r="J3181" s="6" t="n">
        <v>0</v>
      </c>
      <c r="K3181" s="6" t="n">
        <v>20</v>
      </c>
      <c r="L3181" s="6" t="n">
        <v>0</v>
      </c>
      <c r="M3181" s="6" t="n">
        <v>20</v>
      </c>
      <c r="N3181" s="11" t="n">
        <f aca="false">J3181/(J3181+K3181)</f>
        <v>0</v>
      </c>
      <c r="O3181" s="11" t="str">
        <f aca="false">IF(J3181+L3181=0,"",J3181/(J3181+L3181))</f>
        <v/>
      </c>
      <c r="P3181" s="11" t="n">
        <f aca="false">2*J3181/(2*J3181+L3181+K3181)</f>
        <v>0</v>
      </c>
      <c r="Q3181" s="11" t="n">
        <f aca="false">L3181/(L3181+M3181)</f>
        <v>0</v>
      </c>
      <c r="R3181" s="6" t="n">
        <v>0</v>
      </c>
      <c r="S3181" s="11"/>
      <c r="T3181" s="11" t="n">
        <v>0</v>
      </c>
      <c r="U3181" s="11" t="n">
        <v>0.85</v>
      </c>
      <c r="V3181" s="11" t="n">
        <v>0.85</v>
      </c>
    </row>
    <row r="3182" customFormat="false" ht="15" hidden="false" customHeight="false" outlineLevel="0" collapsed="false">
      <c r="A3182" s="6" t="s">
        <v>60</v>
      </c>
      <c r="B3182" s="6" t="s">
        <v>59</v>
      </c>
      <c r="C3182" s="6" t="s">
        <v>51</v>
      </c>
      <c r="D3182" s="6" t="s">
        <v>119</v>
      </c>
      <c r="E3182" s="6" t="n">
        <v>16</v>
      </c>
      <c r="F3182" s="6" t="n">
        <v>10</v>
      </c>
      <c r="G3182" s="6" t="s">
        <v>69</v>
      </c>
      <c r="H3182" s="11" t="n">
        <v>0.001</v>
      </c>
      <c r="I3182" s="6" t="n">
        <v>20</v>
      </c>
      <c r="J3182" s="6" t="n">
        <v>0</v>
      </c>
      <c r="K3182" s="6" t="n">
        <v>20</v>
      </c>
      <c r="L3182" s="6" t="n">
        <v>0</v>
      </c>
      <c r="M3182" s="6" t="n">
        <v>20</v>
      </c>
      <c r="N3182" s="11" t="n">
        <f aca="false">J3182/(J3182+K3182)</f>
        <v>0</v>
      </c>
      <c r="O3182" s="11" t="str">
        <f aca="false">IF(J3182+L3182=0,"",J3182/(J3182+L3182))</f>
        <v/>
      </c>
      <c r="P3182" s="11" t="n">
        <f aca="false">2*J3182/(2*J3182+L3182+K3182)</f>
        <v>0</v>
      </c>
      <c r="Q3182" s="11" t="n">
        <f aca="false">L3182/(L3182+M3182)</f>
        <v>0</v>
      </c>
      <c r="R3182" s="6" t="n">
        <v>0</v>
      </c>
      <c r="S3182" s="11"/>
      <c r="T3182" s="11" t="n">
        <v>0</v>
      </c>
      <c r="U3182" s="11" t="n">
        <v>1</v>
      </c>
      <c r="V3182" s="11" t="n">
        <v>1</v>
      </c>
    </row>
    <row r="3183" customFormat="false" ht="15" hidden="false" customHeight="false" outlineLevel="0" collapsed="false">
      <c r="A3183" s="6" t="s">
        <v>60</v>
      </c>
      <c r="B3183" s="6" t="s">
        <v>59</v>
      </c>
      <c r="C3183" s="6" t="s">
        <v>51</v>
      </c>
      <c r="D3183" s="6" t="s">
        <v>119</v>
      </c>
      <c r="E3183" s="6" t="n">
        <v>16</v>
      </c>
      <c r="F3183" s="6" t="n">
        <v>10</v>
      </c>
      <c r="G3183" s="6" t="s">
        <v>70</v>
      </c>
      <c r="H3183" s="11" t="n">
        <v>0.001</v>
      </c>
      <c r="I3183" s="6" t="n">
        <v>20</v>
      </c>
      <c r="J3183" s="6" t="n">
        <v>0</v>
      </c>
      <c r="K3183" s="6" t="n">
        <v>20</v>
      </c>
      <c r="L3183" s="6" t="n">
        <v>0</v>
      </c>
      <c r="M3183" s="6" t="n">
        <v>20</v>
      </c>
      <c r="N3183" s="11" t="n">
        <f aca="false">J3183/(J3183+K3183)</f>
        <v>0</v>
      </c>
      <c r="O3183" s="11" t="str">
        <f aca="false">IF(J3183+L3183=0,"",J3183/(J3183+L3183))</f>
        <v/>
      </c>
      <c r="P3183" s="11" t="n">
        <f aca="false">2*J3183/(2*J3183+L3183+K3183)</f>
        <v>0</v>
      </c>
      <c r="Q3183" s="11" t="n">
        <f aca="false">L3183/(L3183+M3183)</f>
        <v>0</v>
      </c>
      <c r="R3183" s="6" t="n">
        <v>0</v>
      </c>
      <c r="S3183" s="11"/>
      <c r="T3183" s="11" t="n">
        <v>0</v>
      </c>
      <c r="U3183" s="11" t="n">
        <v>0.9</v>
      </c>
      <c r="V3183" s="11" t="n">
        <v>0.9</v>
      </c>
    </row>
    <row r="3184" customFormat="false" ht="15" hidden="false" customHeight="false" outlineLevel="0" collapsed="false">
      <c r="A3184" s="6" t="s">
        <v>60</v>
      </c>
      <c r="B3184" s="6" t="s">
        <v>59</v>
      </c>
      <c r="C3184" s="6" t="s">
        <v>51</v>
      </c>
      <c r="D3184" s="6" t="s">
        <v>119</v>
      </c>
      <c r="E3184" s="6" t="n">
        <v>16</v>
      </c>
      <c r="F3184" s="6" t="n">
        <v>10</v>
      </c>
      <c r="G3184" s="6" t="s">
        <v>71</v>
      </c>
      <c r="H3184" s="11" t="n">
        <v>0.001</v>
      </c>
      <c r="I3184" s="6" t="n">
        <v>20</v>
      </c>
      <c r="J3184" s="6" t="n">
        <v>0</v>
      </c>
      <c r="K3184" s="6" t="n">
        <v>20</v>
      </c>
      <c r="L3184" s="6" t="n">
        <v>0</v>
      </c>
      <c r="M3184" s="6" t="n">
        <v>20</v>
      </c>
      <c r="N3184" s="11" t="n">
        <f aca="false">J3184/(J3184+K3184)</f>
        <v>0</v>
      </c>
      <c r="O3184" s="11" t="str">
        <f aca="false">IF(J3184+L3184=0,"",J3184/(J3184+L3184))</f>
        <v/>
      </c>
      <c r="P3184" s="11" t="n">
        <f aca="false">2*J3184/(2*J3184+L3184+K3184)</f>
        <v>0</v>
      </c>
      <c r="Q3184" s="11" t="n">
        <f aca="false">L3184/(L3184+M3184)</f>
        <v>0</v>
      </c>
      <c r="R3184" s="6" t="n">
        <v>0</v>
      </c>
      <c r="S3184" s="11"/>
      <c r="T3184" s="11" t="n">
        <v>0</v>
      </c>
      <c r="U3184" s="11" t="n">
        <v>0.8</v>
      </c>
      <c r="V3184" s="11" t="n">
        <v>0.8</v>
      </c>
    </row>
    <row r="3185" customFormat="false" ht="15" hidden="false" customHeight="false" outlineLevel="0" collapsed="false">
      <c r="A3185" s="6" t="s">
        <v>60</v>
      </c>
      <c r="B3185" s="6" t="s">
        <v>59</v>
      </c>
      <c r="C3185" s="6" t="s">
        <v>51</v>
      </c>
      <c r="D3185" s="6" t="s">
        <v>119</v>
      </c>
      <c r="E3185" s="6" t="n">
        <v>16</v>
      </c>
      <c r="F3185" s="6" t="n">
        <v>10</v>
      </c>
      <c r="G3185" s="6" t="s">
        <v>72</v>
      </c>
      <c r="H3185" s="11" t="n">
        <v>0.001</v>
      </c>
      <c r="I3185" s="6" t="n">
        <v>20</v>
      </c>
      <c r="J3185" s="6" t="n">
        <v>0</v>
      </c>
      <c r="K3185" s="6" t="n">
        <v>20</v>
      </c>
      <c r="L3185" s="6" t="n">
        <v>0</v>
      </c>
      <c r="M3185" s="6" t="n">
        <v>20</v>
      </c>
      <c r="N3185" s="11" t="n">
        <f aca="false">J3185/(J3185+K3185)</f>
        <v>0</v>
      </c>
      <c r="O3185" s="11" t="str">
        <f aca="false">IF(J3185+L3185=0,"",J3185/(J3185+L3185))</f>
        <v/>
      </c>
      <c r="P3185" s="11" t="n">
        <f aca="false">2*J3185/(2*J3185+L3185+K3185)</f>
        <v>0</v>
      </c>
      <c r="Q3185" s="11" t="n">
        <f aca="false">L3185/(L3185+M3185)</f>
        <v>0</v>
      </c>
      <c r="R3185" s="6" t="n">
        <v>0</v>
      </c>
      <c r="S3185" s="11"/>
      <c r="T3185" s="11" t="n">
        <v>0</v>
      </c>
      <c r="U3185" s="11" t="n">
        <v>0.9</v>
      </c>
      <c r="V3185" s="11" t="n">
        <v>0.9</v>
      </c>
    </row>
    <row r="3186" customFormat="false" ht="15" hidden="false" customHeight="false" outlineLevel="0" collapsed="false">
      <c r="A3186" s="6" t="s">
        <v>60</v>
      </c>
      <c r="B3186" s="6" t="s">
        <v>59</v>
      </c>
      <c r="C3186" s="6" t="s">
        <v>51</v>
      </c>
      <c r="D3186" s="6" t="s">
        <v>119</v>
      </c>
      <c r="E3186" s="6" t="n">
        <v>16</v>
      </c>
      <c r="F3186" s="6" t="n">
        <v>10</v>
      </c>
      <c r="G3186" s="6" t="s">
        <v>73</v>
      </c>
      <c r="H3186" s="11" t="n">
        <v>0.001</v>
      </c>
      <c r="I3186" s="6" t="n">
        <v>20</v>
      </c>
      <c r="J3186" s="6" t="n">
        <v>0</v>
      </c>
      <c r="K3186" s="6" t="n">
        <v>20</v>
      </c>
      <c r="L3186" s="6" t="n">
        <v>0</v>
      </c>
      <c r="M3186" s="6" t="n">
        <v>20</v>
      </c>
      <c r="N3186" s="11" t="n">
        <f aca="false">J3186/(J3186+K3186)</f>
        <v>0</v>
      </c>
      <c r="O3186" s="11" t="str">
        <f aca="false">IF(J3186+L3186=0,"",J3186/(J3186+L3186))</f>
        <v/>
      </c>
      <c r="P3186" s="11" t="n">
        <f aca="false">2*J3186/(2*J3186+L3186+K3186)</f>
        <v>0</v>
      </c>
      <c r="Q3186" s="11" t="n">
        <f aca="false">L3186/(L3186+M3186)</f>
        <v>0</v>
      </c>
      <c r="R3186" s="6" t="n">
        <v>1</v>
      </c>
      <c r="S3186" s="11" t="n">
        <v>0</v>
      </c>
      <c r="T3186" s="11" t="n">
        <v>0</v>
      </c>
      <c r="U3186" s="11" t="n">
        <v>0.65</v>
      </c>
      <c r="V3186" s="11" t="n">
        <v>0.65</v>
      </c>
    </row>
    <row r="3187" customFormat="false" ht="15" hidden="false" customHeight="false" outlineLevel="0" collapsed="false">
      <c r="A3187" s="6" t="s">
        <v>60</v>
      </c>
      <c r="B3187" s="6" t="s">
        <v>59</v>
      </c>
      <c r="C3187" s="6" t="s">
        <v>51</v>
      </c>
      <c r="D3187" s="6" t="s">
        <v>119</v>
      </c>
      <c r="E3187" s="6" t="n">
        <v>16</v>
      </c>
      <c r="F3187" s="6" t="n">
        <v>10</v>
      </c>
      <c r="G3187" s="6" t="s">
        <v>74</v>
      </c>
      <c r="H3187" s="11" t="n">
        <v>0.001</v>
      </c>
      <c r="I3187" s="6" t="n">
        <v>20</v>
      </c>
      <c r="J3187" s="6" t="n">
        <v>0</v>
      </c>
      <c r="K3187" s="6" t="n">
        <v>20</v>
      </c>
      <c r="L3187" s="6" t="n">
        <v>0</v>
      </c>
      <c r="M3187" s="6" t="n">
        <v>20</v>
      </c>
      <c r="N3187" s="11" t="n">
        <f aca="false">J3187/(J3187+K3187)</f>
        <v>0</v>
      </c>
      <c r="O3187" s="11" t="str">
        <f aca="false">IF(J3187+L3187=0,"",J3187/(J3187+L3187))</f>
        <v/>
      </c>
      <c r="P3187" s="11" t="n">
        <f aca="false">2*J3187/(2*J3187+L3187+K3187)</f>
        <v>0</v>
      </c>
      <c r="Q3187" s="11" t="n">
        <f aca="false">L3187/(L3187+M3187)</f>
        <v>0</v>
      </c>
      <c r="R3187" s="6" t="n">
        <v>2</v>
      </c>
      <c r="S3187" s="11" t="n">
        <v>0</v>
      </c>
      <c r="T3187" s="11" t="n">
        <v>0</v>
      </c>
      <c r="U3187" s="11" t="n">
        <v>0.85</v>
      </c>
      <c r="V3187" s="11" t="n">
        <v>0.9</v>
      </c>
    </row>
    <row r="3188" customFormat="false" ht="15" hidden="false" customHeight="false" outlineLevel="0" collapsed="false">
      <c r="A3188" s="6" t="s">
        <v>60</v>
      </c>
      <c r="B3188" s="6" t="s">
        <v>59</v>
      </c>
      <c r="C3188" s="6" t="s">
        <v>51</v>
      </c>
      <c r="D3188" s="6" t="s">
        <v>119</v>
      </c>
      <c r="E3188" s="6" t="n">
        <v>16</v>
      </c>
      <c r="F3188" s="6" t="n">
        <v>10</v>
      </c>
      <c r="G3188" s="6" t="s">
        <v>75</v>
      </c>
      <c r="H3188" s="11" t="n">
        <v>0.001</v>
      </c>
      <c r="I3188" s="6" t="n">
        <v>20</v>
      </c>
      <c r="J3188" s="6" t="n">
        <v>0</v>
      </c>
      <c r="K3188" s="6" t="n">
        <v>20</v>
      </c>
      <c r="L3188" s="6" t="n">
        <v>0</v>
      </c>
      <c r="M3188" s="6" t="n">
        <v>20</v>
      </c>
      <c r="N3188" s="11" t="n">
        <f aca="false">J3188/(J3188+K3188)</f>
        <v>0</v>
      </c>
      <c r="O3188" s="11" t="str">
        <f aca="false">IF(J3188+L3188=0,"",J3188/(J3188+L3188))</f>
        <v/>
      </c>
      <c r="P3188" s="11" t="n">
        <f aca="false">2*J3188/(2*J3188+L3188+K3188)</f>
        <v>0</v>
      </c>
      <c r="Q3188" s="11" t="n">
        <f aca="false">L3188/(L3188+M3188)</f>
        <v>0</v>
      </c>
      <c r="R3188" s="6" t="n">
        <v>0</v>
      </c>
      <c r="S3188" s="11"/>
      <c r="T3188" s="11" t="n">
        <v>0</v>
      </c>
      <c r="U3188" s="11" t="n">
        <v>0.9</v>
      </c>
      <c r="V3188" s="11" t="n">
        <v>0.9</v>
      </c>
    </row>
    <row r="3189" customFormat="false" ht="15" hidden="false" customHeight="false" outlineLevel="0" collapsed="false">
      <c r="A3189" s="6" t="s">
        <v>60</v>
      </c>
      <c r="B3189" s="6" t="s">
        <v>59</v>
      </c>
      <c r="C3189" s="6" t="s">
        <v>51</v>
      </c>
      <c r="D3189" s="6" t="s">
        <v>119</v>
      </c>
      <c r="E3189" s="6" t="n">
        <v>16</v>
      </c>
      <c r="F3189" s="6" t="n">
        <v>10</v>
      </c>
      <c r="G3189" s="6" t="s">
        <v>76</v>
      </c>
      <c r="H3189" s="11" t="n">
        <v>0.001</v>
      </c>
      <c r="I3189" s="6" t="n">
        <v>20</v>
      </c>
      <c r="J3189" s="6" t="n">
        <v>0</v>
      </c>
      <c r="K3189" s="6" t="n">
        <v>20</v>
      </c>
      <c r="L3189" s="6" t="n">
        <v>0</v>
      </c>
      <c r="M3189" s="6" t="n">
        <v>20</v>
      </c>
      <c r="N3189" s="11" t="n">
        <f aca="false">J3189/(J3189+K3189)</f>
        <v>0</v>
      </c>
      <c r="O3189" s="11" t="str">
        <f aca="false">IF(J3189+L3189=0,"",J3189/(J3189+L3189))</f>
        <v/>
      </c>
      <c r="P3189" s="11" t="n">
        <f aca="false">2*J3189/(2*J3189+L3189+K3189)</f>
        <v>0</v>
      </c>
      <c r="Q3189" s="11" t="n">
        <f aca="false">L3189/(L3189+M3189)</f>
        <v>0</v>
      </c>
      <c r="R3189" s="6" t="n">
        <v>0</v>
      </c>
      <c r="S3189" s="11"/>
      <c r="T3189" s="11" t="n">
        <v>0</v>
      </c>
      <c r="U3189" s="11" t="n">
        <v>0.95</v>
      </c>
      <c r="V3189" s="11" t="n">
        <v>0.95</v>
      </c>
    </row>
    <row r="3190" customFormat="false" ht="15" hidden="false" customHeight="false" outlineLevel="0" collapsed="false">
      <c r="A3190" s="6" t="s">
        <v>60</v>
      </c>
      <c r="B3190" s="6" t="s">
        <v>59</v>
      </c>
      <c r="C3190" s="6" t="s">
        <v>51</v>
      </c>
      <c r="D3190" s="6" t="s">
        <v>119</v>
      </c>
      <c r="E3190" s="6" t="n">
        <v>16</v>
      </c>
      <c r="F3190" s="6" t="n">
        <v>10</v>
      </c>
      <c r="G3190" s="6" t="s">
        <v>77</v>
      </c>
      <c r="H3190" s="11" t="n">
        <v>0.001</v>
      </c>
      <c r="I3190" s="6" t="n">
        <v>20</v>
      </c>
      <c r="J3190" s="6" t="n">
        <v>0</v>
      </c>
      <c r="K3190" s="6" t="n">
        <v>20</v>
      </c>
      <c r="L3190" s="6" t="n">
        <v>0</v>
      </c>
      <c r="M3190" s="6" t="n">
        <v>20</v>
      </c>
      <c r="N3190" s="11" t="n">
        <f aca="false">J3190/(J3190+K3190)</f>
        <v>0</v>
      </c>
      <c r="O3190" s="11" t="str">
        <f aca="false">IF(J3190+L3190=0,"",J3190/(J3190+L3190))</f>
        <v/>
      </c>
      <c r="P3190" s="11" t="n">
        <f aca="false">2*J3190/(2*J3190+L3190+K3190)</f>
        <v>0</v>
      </c>
      <c r="Q3190" s="11" t="n">
        <f aca="false">L3190/(L3190+M3190)</f>
        <v>0</v>
      </c>
      <c r="R3190" s="6" t="n">
        <v>0</v>
      </c>
      <c r="S3190" s="11"/>
      <c r="T3190" s="11" t="n">
        <v>0</v>
      </c>
      <c r="U3190" s="11" t="n">
        <v>1</v>
      </c>
      <c r="V3190" s="11" t="n">
        <v>1</v>
      </c>
    </row>
    <row r="3191" customFormat="false" ht="15" hidden="false" customHeight="false" outlineLevel="0" collapsed="false">
      <c r="A3191" s="6" t="s">
        <v>60</v>
      </c>
      <c r="B3191" s="6" t="s">
        <v>59</v>
      </c>
      <c r="C3191" s="6" t="s">
        <v>51</v>
      </c>
      <c r="D3191" s="6" t="s">
        <v>119</v>
      </c>
      <c r="E3191" s="6" t="n">
        <v>16</v>
      </c>
      <c r="F3191" s="6" t="n">
        <v>10</v>
      </c>
      <c r="G3191" s="6" t="s">
        <v>78</v>
      </c>
      <c r="H3191" s="11" t="n">
        <v>0.001</v>
      </c>
      <c r="I3191" s="6" t="n">
        <v>200</v>
      </c>
      <c r="J3191" s="6" t="n">
        <v>0</v>
      </c>
      <c r="K3191" s="6" t="n">
        <v>200</v>
      </c>
      <c r="L3191" s="6" t="n">
        <v>0</v>
      </c>
      <c r="M3191" s="6" t="n">
        <v>200</v>
      </c>
      <c r="N3191" s="11" t="n">
        <f aca="false">J3191/(J3191+K3191)</f>
        <v>0</v>
      </c>
      <c r="O3191" s="11" t="str">
        <f aca="false">IF(J3191+L3191=0,"",J3191/(J3191+L3191))</f>
        <v/>
      </c>
      <c r="P3191" s="11" t="n">
        <f aca="false">2*J3191/(2*J3191+L3191+K3191)</f>
        <v>0</v>
      </c>
      <c r="Q3191" s="11" t="n">
        <f aca="false">L3191/(L3191+M3191)</f>
        <v>0</v>
      </c>
      <c r="R3191" s="6" t="n">
        <v>3</v>
      </c>
      <c r="S3191" s="11" t="n">
        <v>0</v>
      </c>
      <c r="T3191" s="11" t="n">
        <v>0</v>
      </c>
      <c r="U3191" s="11" t="n">
        <v>0.88</v>
      </c>
      <c r="V3191" s="11" t="n">
        <v>0.885</v>
      </c>
    </row>
    <row r="3192" customFormat="false" ht="15" hidden="false" customHeight="false" outlineLevel="0" collapsed="false">
      <c r="A3192" s="6" t="s">
        <v>62</v>
      </c>
      <c r="B3192" s="6" t="s">
        <v>63</v>
      </c>
      <c r="C3192" s="6" t="s">
        <v>44</v>
      </c>
      <c r="D3192" s="6" t="s">
        <v>114</v>
      </c>
      <c r="E3192" s="6" t="n">
        <v>16</v>
      </c>
      <c r="F3192" s="6" t="n">
        <v>1</v>
      </c>
      <c r="G3192" s="6" t="s">
        <v>68</v>
      </c>
      <c r="H3192" s="11" t="n">
        <v>0.001</v>
      </c>
      <c r="I3192" s="6" t="n">
        <v>20</v>
      </c>
      <c r="J3192" s="6" t="n">
        <v>0</v>
      </c>
      <c r="K3192" s="6" t="n">
        <v>20</v>
      </c>
      <c r="L3192" s="6" t="n">
        <v>0</v>
      </c>
      <c r="M3192" s="6" t="n">
        <v>20</v>
      </c>
      <c r="N3192" s="11" t="n">
        <f aca="false">J3192/(J3192+K3192)</f>
        <v>0</v>
      </c>
      <c r="O3192" s="11" t="str">
        <f aca="false">IF(J3192+L3192=0,"",J3192/(J3192+L3192))</f>
        <v/>
      </c>
      <c r="P3192" s="11" t="n">
        <f aca="false">2*J3192/(2*J3192+L3192+K3192)</f>
        <v>0</v>
      </c>
      <c r="Q3192" s="11" t="n">
        <f aca="false">L3192/(L3192+M3192)</f>
        <v>0</v>
      </c>
      <c r="R3192" s="6" t="n">
        <v>1</v>
      </c>
      <c r="S3192" s="11" t="n">
        <v>0</v>
      </c>
      <c r="T3192" s="11" t="n">
        <v>0</v>
      </c>
      <c r="U3192" s="11" t="n">
        <v>0.85</v>
      </c>
      <c r="V3192" s="11" t="n">
        <v>0.9</v>
      </c>
    </row>
    <row r="3193" customFormat="false" ht="15" hidden="false" customHeight="false" outlineLevel="0" collapsed="false">
      <c r="A3193" s="6" t="s">
        <v>62</v>
      </c>
      <c r="B3193" s="6" t="s">
        <v>63</v>
      </c>
      <c r="C3193" s="6" t="s">
        <v>44</v>
      </c>
      <c r="D3193" s="6" t="s">
        <v>114</v>
      </c>
      <c r="E3193" s="6" t="n">
        <v>16</v>
      </c>
      <c r="F3193" s="6" t="n">
        <v>1</v>
      </c>
      <c r="G3193" s="6" t="s">
        <v>69</v>
      </c>
      <c r="H3193" s="11" t="n">
        <v>0.001</v>
      </c>
      <c r="I3193" s="6" t="n">
        <v>20</v>
      </c>
      <c r="J3193" s="6" t="n">
        <v>0</v>
      </c>
      <c r="K3193" s="6" t="n">
        <v>20</v>
      </c>
      <c r="L3193" s="6" t="n">
        <v>0</v>
      </c>
      <c r="M3193" s="6" t="n">
        <v>20</v>
      </c>
      <c r="N3193" s="11" t="n">
        <f aca="false">J3193/(J3193+K3193)</f>
        <v>0</v>
      </c>
      <c r="O3193" s="11" t="str">
        <f aca="false">IF(J3193+L3193=0,"",J3193/(J3193+L3193))</f>
        <v/>
      </c>
      <c r="P3193" s="11" t="n">
        <f aca="false">2*J3193/(2*J3193+L3193+K3193)</f>
        <v>0</v>
      </c>
      <c r="Q3193" s="11" t="n">
        <f aca="false">L3193/(L3193+M3193)</f>
        <v>0</v>
      </c>
      <c r="R3193" s="6" t="n">
        <v>0</v>
      </c>
      <c r="S3193" s="11"/>
      <c r="T3193" s="11" t="n">
        <v>0</v>
      </c>
      <c r="U3193" s="11" t="n">
        <v>1</v>
      </c>
      <c r="V3193" s="11" t="n">
        <v>1</v>
      </c>
    </row>
    <row r="3194" customFormat="false" ht="15" hidden="false" customHeight="false" outlineLevel="0" collapsed="false">
      <c r="A3194" s="6" t="s">
        <v>62</v>
      </c>
      <c r="B3194" s="6" t="s">
        <v>63</v>
      </c>
      <c r="C3194" s="6" t="s">
        <v>44</v>
      </c>
      <c r="D3194" s="6" t="s">
        <v>114</v>
      </c>
      <c r="E3194" s="6" t="n">
        <v>16</v>
      </c>
      <c r="F3194" s="6" t="n">
        <v>1</v>
      </c>
      <c r="G3194" s="6" t="s">
        <v>70</v>
      </c>
      <c r="H3194" s="11" t="n">
        <v>0.001</v>
      </c>
      <c r="I3194" s="6" t="n">
        <v>20</v>
      </c>
      <c r="J3194" s="6" t="n">
        <v>0</v>
      </c>
      <c r="K3194" s="6" t="n">
        <v>20</v>
      </c>
      <c r="L3194" s="6" t="n">
        <v>0</v>
      </c>
      <c r="M3194" s="6" t="n">
        <v>20</v>
      </c>
      <c r="N3194" s="11" t="n">
        <f aca="false">J3194/(J3194+K3194)</f>
        <v>0</v>
      </c>
      <c r="O3194" s="11" t="str">
        <f aca="false">IF(J3194+L3194=0,"",J3194/(J3194+L3194))</f>
        <v/>
      </c>
      <c r="P3194" s="11" t="n">
        <f aca="false">2*J3194/(2*J3194+L3194+K3194)</f>
        <v>0</v>
      </c>
      <c r="Q3194" s="11" t="n">
        <f aca="false">L3194/(L3194+M3194)</f>
        <v>0</v>
      </c>
      <c r="R3194" s="6" t="n">
        <v>1</v>
      </c>
      <c r="S3194" s="11" t="n">
        <v>0</v>
      </c>
      <c r="T3194" s="11" t="n">
        <v>0</v>
      </c>
      <c r="U3194" s="11" t="n">
        <v>0.9</v>
      </c>
      <c r="V3194" s="11" t="n">
        <v>0.95</v>
      </c>
    </row>
    <row r="3195" customFormat="false" ht="15" hidden="false" customHeight="false" outlineLevel="0" collapsed="false">
      <c r="A3195" s="6" t="s">
        <v>62</v>
      </c>
      <c r="B3195" s="6" t="s">
        <v>63</v>
      </c>
      <c r="C3195" s="6" t="s">
        <v>44</v>
      </c>
      <c r="D3195" s="6" t="s">
        <v>114</v>
      </c>
      <c r="E3195" s="6" t="n">
        <v>16</v>
      </c>
      <c r="F3195" s="6" t="n">
        <v>1</v>
      </c>
      <c r="G3195" s="6" t="s">
        <v>71</v>
      </c>
      <c r="H3195" s="11" t="n">
        <v>0.001</v>
      </c>
      <c r="I3195" s="6" t="n">
        <v>20</v>
      </c>
      <c r="J3195" s="6" t="n">
        <v>0</v>
      </c>
      <c r="K3195" s="6" t="n">
        <v>20</v>
      </c>
      <c r="L3195" s="6" t="n">
        <v>0</v>
      </c>
      <c r="M3195" s="6" t="n">
        <v>20</v>
      </c>
      <c r="N3195" s="11" t="n">
        <f aca="false">J3195/(J3195+K3195)</f>
        <v>0</v>
      </c>
      <c r="O3195" s="11" t="str">
        <f aca="false">IF(J3195+L3195=0,"",J3195/(J3195+L3195))</f>
        <v/>
      </c>
      <c r="P3195" s="11" t="n">
        <f aca="false">2*J3195/(2*J3195+L3195+K3195)</f>
        <v>0</v>
      </c>
      <c r="Q3195" s="11" t="n">
        <f aca="false">L3195/(L3195+M3195)</f>
        <v>0</v>
      </c>
      <c r="R3195" s="6" t="n">
        <v>1</v>
      </c>
      <c r="S3195" s="11" t="n">
        <v>0</v>
      </c>
      <c r="T3195" s="11" t="n">
        <v>0</v>
      </c>
      <c r="U3195" s="11" t="n">
        <v>0.8</v>
      </c>
      <c r="V3195" s="11" t="n">
        <v>0.85</v>
      </c>
    </row>
    <row r="3196" customFormat="false" ht="15" hidden="false" customHeight="false" outlineLevel="0" collapsed="false">
      <c r="A3196" s="6" t="s">
        <v>62</v>
      </c>
      <c r="B3196" s="6" t="s">
        <v>63</v>
      </c>
      <c r="C3196" s="6" t="s">
        <v>44</v>
      </c>
      <c r="D3196" s="6" t="s">
        <v>114</v>
      </c>
      <c r="E3196" s="6" t="n">
        <v>16</v>
      </c>
      <c r="F3196" s="6" t="n">
        <v>1</v>
      </c>
      <c r="G3196" s="6" t="s">
        <v>72</v>
      </c>
      <c r="H3196" s="11" t="n">
        <v>0.001</v>
      </c>
      <c r="I3196" s="6" t="n">
        <v>20</v>
      </c>
      <c r="J3196" s="6" t="n">
        <v>0</v>
      </c>
      <c r="K3196" s="6" t="n">
        <v>20</v>
      </c>
      <c r="L3196" s="6" t="n">
        <v>0</v>
      </c>
      <c r="M3196" s="6" t="n">
        <v>20</v>
      </c>
      <c r="N3196" s="11" t="n">
        <f aca="false">J3196/(J3196+K3196)</f>
        <v>0</v>
      </c>
      <c r="O3196" s="11" t="str">
        <f aca="false">IF(J3196+L3196=0,"",J3196/(J3196+L3196))</f>
        <v/>
      </c>
      <c r="P3196" s="11" t="n">
        <f aca="false">2*J3196/(2*J3196+L3196+K3196)</f>
        <v>0</v>
      </c>
      <c r="Q3196" s="11" t="n">
        <f aca="false">L3196/(L3196+M3196)</f>
        <v>0</v>
      </c>
      <c r="R3196" s="6" t="n">
        <v>1</v>
      </c>
      <c r="S3196" s="11" t="n">
        <v>0</v>
      </c>
      <c r="T3196" s="11" t="n">
        <v>0</v>
      </c>
      <c r="U3196" s="11" t="n">
        <v>0.9</v>
      </c>
      <c r="V3196" s="11" t="n">
        <v>0.85</v>
      </c>
    </row>
    <row r="3197" customFormat="false" ht="15" hidden="false" customHeight="false" outlineLevel="0" collapsed="false">
      <c r="A3197" s="6" t="s">
        <v>62</v>
      </c>
      <c r="B3197" s="6" t="s">
        <v>63</v>
      </c>
      <c r="C3197" s="6" t="s">
        <v>44</v>
      </c>
      <c r="D3197" s="6" t="s">
        <v>114</v>
      </c>
      <c r="E3197" s="6" t="n">
        <v>16</v>
      </c>
      <c r="F3197" s="6" t="n">
        <v>1</v>
      </c>
      <c r="G3197" s="6" t="s">
        <v>73</v>
      </c>
      <c r="H3197" s="11" t="n">
        <v>0.001</v>
      </c>
      <c r="I3197" s="6" t="n">
        <v>20</v>
      </c>
      <c r="J3197" s="6" t="n">
        <v>0</v>
      </c>
      <c r="K3197" s="6" t="n">
        <v>20</v>
      </c>
      <c r="L3197" s="6" t="n">
        <v>0</v>
      </c>
      <c r="M3197" s="6" t="n">
        <v>20</v>
      </c>
      <c r="N3197" s="11" t="n">
        <f aca="false">J3197/(J3197+K3197)</f>
        <v>0</v>
      </c>
      <c r="O3197" s="11" t="str">
        <f aca="false">IF(J3197+L3197=0,"",J3197/(J3197+L3197))</f>
        <v/>
      </c>
      <c r="P3197" s="11" t="n">
        <f aca="false">2*J3197/(2*J3197+L3197+K3197)</f>
        <v>0</v>
      </c>
      <c r="Q3197" s="11" t="n">
        <f aca="false">L3197/(L3197+M3197)</f>
        <v>0</v>
      </c>
      <c r="R3197" s="6" t="n">
        <v>1</v>
      </c>
      <c r="S3197" s="11" t="n">
        <v>0</v>
      </c>
      <c r="T3197" s="11" t="n">
        <v>0</v>
      </c>
      <c r="U3197" s="11" t="n">
        <v>0.65</v>
      </c>
      <c r="V3197" s="11" t="n">
        <v>0.6</v>
      </c>
    </row>
    <row r="3198" customFormat="false" ht="15" hidden="false" customHeight="false" outlineLevel="0" collapsed="false">
      <c r="A3198" s="6" t="s">
        <v>62</v>
      </c>
      <c r="B3198" s="6" t="s">
        <v>63</v>
      </c>
      <c r="C3198" s="6" t="s">
        <v>44</v>
      </c>
      <c r="D3198" s="6" t="s">
        <v>114</v>
      </c>
      <c r="E3198" s="6" t="n">
        <v>16</v>
      </c>
      <c r="F3198" s="6" t="n">
        <v>1</v>
      </c>
      <c r="G3198" s="6" t="s">
        <v>74</v>
      </c>
      <c r="H3198" s="11" t="n">
        <v>0.001</v>
      </c>
      <c r="I3198" s="6" t="n">
        <v>20</v>
      </c>
      <c r="J3198" s="6" t="n">
        <v>0</v>
      </c>
      <c r="K3198" s="6" t="n">
        <v>20</v>
      </c>
      <c r="L3198" s="6" t="n">
        <v>0</v>
      </c>
      <c r="M3198" s="6" t="n">
        <v>20</v>
      </c>
      <c r="N3198" s="11" t="n">
        <f aca="false">J3198/(J3198+K3198)</f>
        <v>0</v>
      </c>
      <c r="O3198" s="11" t="str">
        <f aca="false">IF(J3198+L3198=0,"",J3198/(J3198+L3198))</f>
        <v/>
      </c>
      <c r="P3198" s="11" t="n">
        <f aca="false">2*J3198/(2*J3198+L3198+K3198)</f>
        <v>0</v>
      </c>
      <c r="Q3198" s="11" t="n">
        <f aca="false">L3198/(L3198+M3198)</f>
        <v>0</v>
      </c>
      <c r="R3198" s="6" t="n">
        <v>2</v>
      </c>
      <c r="S3198" s="11" t="n">
        <v>0</v>
      </c>
      <c r="T3198" s="11" t="n">
        <v>0</v>
      </c>
      <c r="U3198" s="11" t="n">
        <v>0.85</v>
      </c>
      <c r="V3198" s="11" t="n">
        <v>0.8</v>
      </c>
    </row>
    <row r="3199" customFormat="false" ht="15" hidden="false" customHeight="false" outlineLevel="0" collapsed="false">
      <c r="A3199" s="6" t="s">
        <v>62</v>
      </c>
      <c r="B3199" s="6" t="s">
        <v>63</v>
      </c>
      <c r="C3199" s="6" t="s">
        <v>44</v>
      </c>
      <c r="D3199" s="6" t="s">
        <v>114</v>
      </c>
      <c r="E3199" s="6" t="n">
        <v>16</v>
      </c>
      <c r="F3199" s="6" t="n">
        <v>1</v>
      </c>
      <c r="G3199" s="6" t="s">
        <v>75</v>
      </c>
      <c r="H3199" s="11" t="n">
        <v>0.001</v>
      </c>
      <c r="I3199" s="6" t="n">
        <v>20</v>
      </c>
      <c r="J3199" s="6" t="n">
        <v>0</v>
      </c>
      <c r="K3199" s="6" t="n">
        <v>20</v>
      </c>
      <c r="L3199" s="6" t="n">
        <v>0</v>
      </c>
      <c r="M3199" s="6" t="n">
        <v>20</v>
      </c>
      <c r="N3199" s="11" t="n">
        <f aca="false">J3199/(J3199+K3199)</f>
        <v>0</v>
      </c>
      <c r="O3199" s="11" t="str">
        <f aca="false">IF(J3199+L3199=0,"",J3199/(J3199+L3199))</f>
        <v/>
      </c>
      <c r="P3199" s="11" t="n">
        <f aca="false">2*J3199/(2*J3199+L3199+K3199)</f>
        <v>0</v>
      </c>
      <c r="Q3199" s="11" t="n">
        <f aca="false">L3199/(L3199+M3199)</f>
        <v>0</v>
      </c>
      <c r="R3199" s="6" t="n">
        <v>1</v>
      </c>
      <c r="S3199" s="11" t="n">
        <v>0</v>
      </c>
      <c r="T3199" s="11" t="n">
        <v>0</v>
      </c>
      <c r="U3199" s="11" t="n">
        <v>0.9</v>
      </c>
      <c r="V3199" s="11" t="n">
        <v>0.85</v>
      </c>
    </row>
    <row r="3200" customFormat="false" ht="15" hidden="false" customHeight="false" outlineLevel="0" collapsed="false">
      <c r="A3200" s="6" t="s">
        <v>62</v>
      </c>
      <c r="B3200" s="6" t="s">
        <v>63</v>
      </c>
      <c r="C3200" s="6" t="s">
        <v>44</v>
      </c>
      <c r="D3200" s="6" t="s">
        <v>114</v>
      </c>
      <c r="E3200" s="6" t="n">
        <v>16</v>
      </c>
      <c r="F3200" s="6" t="n">
        <v>1</v>
      </c>
      <c r="G3200" s="6" t="s">
        <v>76</v>
      </c>
      <c r="H3200" s="11" t="n">
        <v>0.001</v>
      </c>
      <c r="I3200" s="6" t="n">
        <v>20</v>
      </c>
      <c r="J3200" s="6" t="n">
        <v>0</v>
      </c>
      <c r="K3200" s="6" t="n">
        <v>20</v>
      </c>
      <c r="L3200" s="6" t="n">
        <v>0</v>
      </c>
      <c r="M3200" s="6" t="n">
        <v>20</v>
      </c>
      <c r="N3200" s="11" t="n">
        <f aca="false">J3200/(J3200+K3200)</f>
        <v>0</v>
      </c>
      <c r="O3200" s="11" t="str">
        <f aca="false">IF(J3200+L3200=0,"",J3200/(J3200+L3200))</f>
        <v/>
      </c>
      <c r="P3200" s="11" t="n">
        <f aca="false">2*J3200/(2*J3200+L3200+K3200)</f>
        <v>0</v>
      </c>
      <c r="Q3200" s="11" t="n">
        <f aca="false">L3200/(L3200+M3200)</f>
        <v>0</v>
      </c>
      <c r="R3200" s="6" t="n">
        <v>0</v>
      </c>
      <c r="S3200" s="11"/>
      <c r="T3200" s="11" t="n">
        <v>0</v>
      </c>
      <c r="U3200" s="11" t="n">
        <v>0.95</v>
      </c>
      <c r="V3200" s="11" t="n">
        <v>0.95</v>
      </c>
    </row>
    <row r="3201" customFormat="false" ht="15" hidden="false" customHeight="false" outlineLevel="0" collapsed="false">
      <c r="A3201" s="6" t="s">
        <v>62</v>
      </c>
      <c r="B3201" s="6" t="s">
        <v>63</v>
      </c>
      <c r="C3201" s="6" t="s">
        <v>44</v>
      </c>
      <c r="D3201" s="6" t="s">
        <v>114</v>
      </c>
      <c r="E3201" s="6" t="n">
        <v>16</v>
      </c>
      <c r="F3201" s="6" t="n">
        <v>1</v>
      </c>
      <c r="G3201" s="6" t="s">
        <v>77</v>
      </c>
      <c r="H3201" s="11" t="n">
        <v>0.001</v>
      </c>
      <c r="I3201" s="6" t="n">
        <v>20</v>
      </c>
      <c r="J3201" s="6" t="n">
        <v>0</v>
      </c>
      <c r="K3201" s="6" t="n">
        <v>20</v>
      </c>
      <c r="L3201" s="6" t="n">
        <v>0</v>
      </c>
      <c r="M3201" s="6" t="n">
        <v>20</v>
      </c>
      <c r="N3201" s="11" t="n">
        <f aca="false">J3201/(J3201+K3201)</f>
        <v>0</v>
      </c>
      <c r="O3201" s="11" t="str">
        <f aca="false">IF(J3201+L3201=0,"",J3201/(J3201+L3201))</f>
        <v/>
      </c>
      <c r="P3201" s="11" t="n">
        <f aca="false">2*J3201/(2*J3201+L3201+K3201)</f>
        <v>0</v>
      </c>
      <c r="Q3201" s="11" t="n">
        <f aca="false">L3201/(L3201+M3201)</f>
        <v>0</v>
      </c>
      <c r="R3201" s="6" t="n">
        <v>0</v>
      </c>
      <c r="S3201" s="11"/>
      <c r="T3201" s="11" t="n">
        <v>0</v>
      </c>
      <c r="U3201" s="11" t="n">
        <v>1</v>
      </c>
      <c r="V3201" s="11" t="n">
        <v>1</v>
      </c>
    </row>
    <row r="3202" customFormat="false" ht="15" hidden="false" customHeight="false" outlineLevel="0" collapsed="false">
      <c r="A3202" s="6" t="s">
        <v>62</v>
      </c>
      <c r="B3202" s="6" t="s">
        <v>63</v>
      </c>
      <c r="C3202" s="6" t="s">
        <v>44</v>
      </c>
      <c r="D3202" s="6" t="s">
        <v>114</v>
      </c>
      <c r="E3202" s="6" t="n">
        <v>16</v>
      </c>
      <c r="F3202" s="6" t="n">
        <v>1</v>
      </c>
      <c r="G3202" s="6" t="s">
        <v>78</v>
      </c>
      <c r="H3202" s="11" t="n">
        <v>0.001</v>
      </c>
      <c r="I3202" s="6" t="n">
        <v>200</v>
      </c>
      <c r="J3202" s="6" t="n">
        <v>0</v>
      </c>
      <c r="K3202" s="6" t="n">
        <v>200</v>
      </c>
      <c r="L3202" s="6" t="n">
        <v>0</v>
      </c>
      <c r="M3202" s="6" t="n">
        <v>200</v>
      </c>
      <c r="N3202" s="11" t="n">
        <f aca="false">J3202/(J3202+K3202)</f>
        <v>0</v>
      </c>
      <c r="O3202" s="11" t="str">
        <f aca="false">IF(J3202+L3202=0,"",J3202/(J3202+L3202))</f>
        <v/>
      </c>
      <c r="P3202" s="11" t="n">
        <f aca="false">2*J3202/(2*J3202+L3202+K3202)</f>
        <v>0</v>
      </c>
      <c r="Q3202" s="11" t="n">
        <f aca="false">L3202/(L3202+M3202)</f>
        <v>0</v>
      </c>
      <c r="R3202" s="6" t="n">
        <v>8</v>
      </c>
      <c r="S3202" s="11" t="n">
        <v>0</v>
      </c>
      <c r="T3202" s="11" t="n">
        <v>0</v>
      </c>
      <c r="U3202" s="11" t="n">
        <v>0.88</v>
      </c>
      <c r="V3202" s="11" t="n">
        <v>0.875</v>
      </c>
    </row>
    <row r="3203" customFormat="false" ht="15" hidden="false" customHeight="false" outlineLevel="0" collapsed="false">
      <c r="A3203" s="6" t="s">
        <v>62</v>
      </c>
      <c r="B3203" s="6" t="s">
        <v>63</v>
      </c>
      <c r="C3203" s="6" t="s">
        <v>44</v>
      </c>
      <c r="D3203" s="6" t="s">
        <v>114</v>
      </c>
      <c r="E3203" s="6" t="n">
        <v>16</v>
      </c>
      <c r="F3203" s="6" t="n">
        <v>2</v>
      </c>
      <c r="G3203" s="6" t="s">
        <v>68</v>
      </c>
      <c r="H3203" s="11" t="n">
        <v>0.001</v>
      </c>
      <c r="I3203" s="6" t="n">
        <v>20</v>
      </c>
      <c r="J3203" s="6" t="n">
        <v>0</v>
      </c>
      <c r="K3203" s="6" t="n">
        <v>20</v>
      </c>
      <c r="L3203" s="6" t="n">
        <v>0</v>
      </c>
      <c r="M3203" s="6" t="n">
        <v>20</v>
      </c>
      <c r="N3203" s="11" t="n">
        <f aca="false">J3203/(J3203+K3203)</f>
        <v>0</v>
      </c>
      <c r="O3203" s="11" t="str">
        <f aca="false">IF(J3203+L3203=0,"",J3203/(J3203+L3203))</f>
        <v/>
      </c>
      <c r="P3203" s="11" t="n">
        <f aca="false">2*J3203/(2*J3203+L3203+K3203)</f>
        <v>0</v>
      </c>
      <c r="Q3203" s="11" t="n">
        <f aca="false">L3203/(L3203+M3203)</f>
        <v>0</v>
      </c>
      <c r="R3203" s="6" t="n">
        <v>0</v>
      </c>
      <c r="S3203" s="11"/>
      <c r="T3203" s="11" t="n">
        <v>0</v>
      </c>
      <c r="U3203" s="11" t="n">
        <v>0.85</v>
      </c>
      <c r="V3203" s="11" t="n">
        <v>0.85</v>
      </c>
    </row>
    <row r="3204" customFormat="false" ht="15" hidden="false" customHeight="false" outlineLevel="0" collapsed="false">
      <c r="A3204" s="6" t="s">
        <v>62</v>
      </c>
      <c r="B3204" s="6" t="s">
        <v>63</v>
      </c>
      <c r="C3204" s="6" t="s">
        <v>44</v>
      </c>
      <c r="D3204" s="6" t="s">
        <v>114</v>
      </c>
      <c r="E3204" s="6" t="n">
        <v>16</v>
      </c>
      <c r="F3204" s="6" t="n">
        <v>2</v>
      </c>
      <c r="G3204" s="6" t="s">
        <v>69</v>
      </c>
      <c r="H3204" s="11" t="n">
        <v>0.001</v>
      </c>
      <c r="I3204" s="6" t="n">
        <v>20</v>
      </c>
      <c r="J3204" s="6" t="n">
        <v>0</v>
      </c>
      <c r="K3204" s="6" t="n">
        <v>20</v>
      </c>
      <c r="L3204" s="6" t="n">
        <v>0</v>
      </c>
      <c r="M3204" s="6" t="n">
        <v>20</v>
      </c>
      <c r="N3204" s="11" t="n">
        <f aca="false">J3204/(J3204+K3204)</f>
        <v>0</v>
      </c>
      <c r="O3204" s="11" t="str">
        <f aca="false">IF(J3204+L3204=0,"",J3204/(J3204+L3204))</f>
        <v/>
      </c>
      <c r="P3204" s="11" t="n">
        <f aca="false">2*J3204/(2*J3204+L3204+K3204)</f>
        <v>0</v>
      </c>
      <c r="Q3204" s="11" t="n">
        <f aca="false">L3204/(L3204+M3204)</f>
        <v>0</v>
      </c>
      <c r="R3204" s="6" t="n">
        <v>0</v>
      </c>
      <c r="S3204" s="11"/>
      <c r="T3204" s="11" t="n">
        <v>0</v>
      </c>
      <c r="U3204" s="11" t="n">
        <v>1</v>
      </c>
      <c r="V3204" s="11" t="n">
        <v>1</v>
      </c>
    </row>
    <row r="3205" customFormat="false" ht="15" hidden="false" customHeight="false" outlineLevel="0" collapsed="false">
      <c r="A3205" s="6" t="s">
        <v>62</v>
      </c>
      <c r="B3205" s="6" t="s">
        <v>63</v>
      </c>
      <c r="C3205" s="6" t="s">
        <v>44</v>
      </c>
      <c r="D3205" s="6" t="s">
        <v>114</v>
      </c>
      <c r="E3205" s="6" t="n">
        <v>16</v>
      </c>
      <c r="F3205" s="6" t="n">
        <v>2</v>
      </c>
      <c r="G3205" s="6" t="s">
        <v>70</v>
      </c>
      <c r="H3205" s="11" t="n">
        <v>0.001</v>
      </c>
      <c r="I3205" s="6" t="n">
        <v>20</v>
      </c>
      <c r="J3205" s="6" t="n">
        <v>0</v>
      </c>
      <c r="K3205" s="6" t="n">
        <v>20</v>
      </c>
      <c r="L3205" s="6" t="n">
        <v>0</v>
      </c>
      <c r="M3205" s="6" t="n">
        <v>20</v>
      </c>
      <c r="N3205" s="11" t="n">
        <f aca="false">J3205/(J3205+K3205)</f>
        <v>0</v>
      </c>
      <c r="O3205" s="11" t="str">
        <f aca="false">IF(J3205+L3205=0,"",J3205/(J3205+L3205))</f>
        <v/>
      </c>
      <c r="P3205" s="11" t="n">
        <f aca="false">2*J3205/(2*J3205+L3205+K3205)</f>
        <v>0</v>
      </c>
      <c r="Q3205" s="11" t="n">
        <f aca="false">L3205/(L3205+M3205)</f>
        <v>0</v>
      </c>
      <c r="R3205" s="6" t="n">
        <v>0</v>
      </c>
      <c r="S3205" s="11"/>
      <c r="T3205" s="11" t="n">
        <v>0</v>
      </c>
      <c r="U3205" s="11" t="n">
        <v>0.9</v>
      </c>
      <c r="V3205" s="11" t="n">
        <v>0.9</v>
      </c>
    </row>
    <row r="3206" customFormat="false" ht="15" hidden="false" customHeight="false" outlineLevel="0" collapsed="false">
      <c r="A3206" s="6" t="s">
        <v>62</v>
      </c>
      <c r="B3206" s="6" t="s">
        <v>63</v>
      </c>
      <c r="C3206" s="6" t="s">
        <v>44</v>
      </c>
      <c r="D3206" s="6" t="s">
        <v>114</v>
      </c>
      <c r="E3206" s="6" t="n">
        <v>16</v>
      </c>
      <c r="F3206" s="6" t="n">
        <v>2</v>
      </c>
      <c r="G3206" s="6" t="s">
        <v>71</v>
      </c>
      <c r="H3206" s="11" t="n">
        <v>0.001</v>
      </c>
      <c r="I3206" s="6" t="n">
        <v>20</v>
      </c>
      <c r="J3206" s="6" t="n">
        <v>0</v>
      </c>
      <c r="K3206" s="6" t="n">
        <v>20</v>
      </c>
      <c r="L3206" s="6" t="n">
        <v>0</v>
      </c>
      <c r="M3206" s="6" t="n">
        <v>20</v>
      </c>
      <c r="N3206" s="11" t="n">
        <f aca="false">J3206/(J3206+K3206)</f>
        <v>0</v>
      </c>
      <c r="O3206" s="11" t="str">
        <f aca="false">IF(J3206+L3206=0,"",J3206/(J3206+L3206))</f>
        <v/>
      </c>
      <c r="P3206" s="11" t="n">
        <f aca="false">2*J3206/(2*J3206+L3206+K3206)</f>
        <v>0</v>
      </c>
      <c r="Q3206" s="11" t="n">
        <f aca="false">L3206/(L3206+M3206)</f>
        <v>0</v>
      </c>
      <c r="R3206" s="6" t="n">
        <v>0</v>
      </c>
      <c r="S3206" s="11"/>
      <c r="T3206" s="11" t="n">
        <v>0</v>
      </c>
      <c r="U3206" s="11" t="n">
        <v>0.8</v>
      </c>
      <c r="V3206" s="11" t="n">
        <v>0.8</v>
      </c>
    </row>
    <row r="3207" customFormat="false" ht="15" hidden="false" customHeight="false" outlineLevel="0" collapsed="false">
      <c r="A3207" s="6" t="s">
        <v>62</v>
      </c>
      <c r="B3207" s="6" t="s">
        <v>63</v>
      </c>
      <c r="C3207" s="6" t="s">
        <v>44</v>
      </c>
      <c r="D3207" s="6" t="s">
        <v>114</v>
      </c>
      <c r="E3207" s="6" t="n">
        <v>16</v>
      </c>
      <c r="F3207" s="6" t="n">
        <v>2</v>
      </c>
      <c r="G3207" s="6" t="s">
        <v>72</v>
      </c>
      <c r="H3207" s="11" t="n">
        <v>0.001</v>
      </c>
      <c r="I3207" s="6" t="n">
        <v>20</v>
      </c>
      <c r="J3207" s="6" t="n">
        <v>0</v>
      </c>
      <c r="K3207" s="6" t="n">
        <v>20</v>
      </c>
      <c r="L3207" s="6" t="n">
        <v>0</v>
      </c>
      <c r="M3207" s="6" t="n">
        <v>20</v>
      </c>
      <c r="N3207" s="11" t="n">
        <f aca="false">J3207/(J3207+K3207)</f>
        <v>0</v>
      </c>
      <c r="O3207" s="11" t="str">
        <f aca="false">IF(J3207+L3207=0,"",J3207/(J3207+L3207))</f>
        <v/>
      </c>
      <c r="P3207" s="11" t="n">
        <f aca="false">2*J3207/(2*J3207+L3207+K3207)</f>
        <v>0</v>
      </c>
      <c r="Q3207" s="11" t="n">
        <f aca="false">L3207/(L3207+M3207)</f>
        <v>0</v>
      </c>
      <c r="R3207" s="6" t="n">
        <v>0</v>
      </c>
      <c r="S3207" s="11"/>
      <c r="T3207" s="11" t="n">
        <v>0</v>
      </c>
      <c r="U3207" s="11" t="n">
        <v>0.9</v>
      </c>
      <c r="V3207" s="11" t="n">
        <v>0.9</v>
      </c>
    </row>
    <row r="3208" customFormat="false" ht="15" hidden="false" customHeight="false" outlineLevel="0" collapsed="false">
      <c r="A3208" s="6" t="s">
        <v>62</v>
      </c>
      <c r="B3208" s="6" t="s">
        <v>63</v>
      </c>
      <c r="C3208" s="6" t="s">
        <v>44</v>
      </c>
      <c r="D3208" s="6" t="s">
        <v>114</v>
      </c>
      <c r="E3208" s="6" t="n">
        <v>16</v>
      </c>
      <c r="F3208" s="6" t="n">
        <v>2</v>
      </c>
      <c r="G3208" s="6" t="s">
        <v>73</v>
      </c>
      <c r="H3208" s="11" t="n">
        <v>0.001</v>
      </c>
      <c r="I3208" s="6" t="n">
        <v>20</v>
      </c>
      <c r="J3208" s="6" t="n">
        <v>0</v>
      </c>
      <c r="K3208" s="6" t="n">
        <v>20</v>
      </c>
      <c r="L3208" s="6" t="n">
        <v>0</v>
      </c>
      <c r="M3208" s="6" t="n">
        <v>20</v>
      </c>
      <c r="N3208" s="11" t="n">
        <f aca="false">J3208/(J3208+K3208)</f>
        <v>0</v>
      </c>
      <c r="O3208" s="11" t="str">
        <f aca="false">IF(J3208+L3208=0,"",J3208/(J3208+L3208))</f>
        <v/>
      </c>
      <c r="P3208" s="11" t="n">
        <f aca="false">2*J3208/(2*J3208+L3208+K3208)</f>
        <v>0</v>
      </c>
      <c r="Q3208" s="11" t="n">
        <f aca="false">L3208/(L3208+M3208)</f>
        <v>0</v>
      </c>
      <c r="R3208" s="6" t="n">
        <v>1</v>
      </c>
      <c r="S3208" s="11" t="n">
        <v>0</v>
      </c>
      <c r="T3208" s="11" t="n">
        <v>0</v>
      </c>
      <c r="U3208" s="11" t="n">
        <v>0.65</v>
      </c>
      <c r="V3208" s="11" t="n">
        <v>0.65</v>
      </c>
    </row>
    <row r="3209" customFormat="false" ht="15" hidden="false" customHeight="false" outlineLevel="0" collapsed="false">
      <c r="A3209" s="6" t="s">
        <v>62</v>
      </c>
      <c r="B3209" s="6" t="s">
        <v>63</v>
      </c>
      <c r="C3209" s="6" t="s">
        <v>44</v>
      </c>
      <c r="D3209" s="6" t="s">
        <v>114</v>
      </c>
      <c r="E3209" s="6" t="n">
        <v>16</v>
      </c>
      <c r="F3209" s="6" t="n">
        <v>2</v>
      </c>
      <c r="G3209" s="6" t="s">
        <v>74</v>
      </c>
      <c r="H3209" s="11" t="n">
        <v>0.001</v>
      </c>
      <c r="I3209" s="6" t="n">
        <v>20</v>
      </c>
      <c r="J3209" s="6" t="n">
        <v>0</v>
      </c>
      <c r="K3209" s="6" t="n">
        <v>20</v>
      </c>
      <c r="L3209" s="6" t="n">
        <v>0</v>
      </c>
      <c r="M3209" s="6" t="n">
        <v>20</v>
      </c>
      <c r="N3209" s="11" t="n">
        <f aca="false">J3209/(J3209+K3209)</f>
        <v>0</v>
      </c>
      <c r="O3209" s="11" t="str">
        <f aca="false">IF(J3209+L3209=0,"",J3209/(J3209+L3209))</f>
        <v/>
      </c>
      <c r="P3209" s="11" t="n">
        <f aca="false">2*J3209/(2*J3209+L3209+K3209)</f>
        <v>0</v>
      </c>
      <c r="Q3209" s="11" t="n">
        <f aca="false">L3209/(L3209+M3209)</f>
        <v>0</v>
      </c>
      <c r="R3209" s="6" t="n">
        <v>3</v>
      </c>
      <c r="S3209" s="11" t="n">
        <v>0</v>
      </c>
      <c r="T3209" s="11" t="n">
        <v>0</v>
      </c>
      <c r="U3209" s="11" t="n">
        <v>0.85</v>
      </c>
      <c r="V3209" s="11" t="n">
        <v>0.95</v>
      </c>
    </row>
    <row r="3210" customFormat="false" ht="15" hidden="false" customHeight="false" outlineLevel="0" collapsed="false">
      <c r="A3210" s="6" t="s">
        <v>62</v>
      </c>
      <c r="B3210" s="6" t="s">
        <v>63</v>
      </c>
      <c r="C3210" s="6" t="s">
        <v>44</v>
      </c>
      <c r="D3210" s="6" t="s">
        <v>114</v>
      </c>
      <c r="E3210" s="6" t="n">
        <v>16</v>
      </c>
      <c r="F3210" s="6" t="n">
        <v>2</v>
      </c>
      <c r="G3210" s="6" t="s">
        <v>75</v>
      </c>
      <c r="H3210" s="11" t="n">
        <v>0.001</v>
      </c>
      <c r="I3210" s="6" t="n">
        <v>20</v>
      </c>
      <c r="J3210" s="6" t="n">
        <v>0</v>
      </c>
      <c r="K3210" s="6" t="n">
        <v>20</v>
      </c>
      <c r="L3210" s="6" t="n">
        <v>0</v>
      </c>
      <c r="M3210" s="6" t="n">
        <v>20</v>
      </c>
      <c r="N3210" s="11" t="n">
        <f aca="false">J3210/(J3210+K3210)</f>
        <v>0</v>
      </c>
      <c r="O3210" s="11" t="str">
        <f aca="false">IF(J3210+L3210=0,"",J3210/(J3210+L3210))</f>
        <v/>
      </c>
      <c r="P3210" s="11" t="n">
        <f aca="false">2*J3210/(2*J3210+L3210+K3210)</f>
        <v>0</v>
      </c>
      <c r="Q3210" s="11" t="n">
        <f aca="false">L3210/(L3210+M3210)</f>
        <v>0</v>
      </c>
      <c r="R3210" s="6" t="n">
        <v>1</v>
      </c>
      <c r="S3210" s="11" t="n">
        <v>0</v>
      </c>
      <c r="T3210" s="11" t="n">
        <v>0</v>
      </c>
      <c r="U3210" s="11" t="n">
        <v>0.9</v>
      </c>
      <c r="V3210" s="11" t="n">
        <v>0.9</v>
      </c>
    </row>
    <row r="3211" customFormat="false" ht="15" hidden="false" customHeight="false" outlineLevel="0" collapsed="false">
      <c r="A3211" s="6" t="s">
        <v>62</v>
      </c>
      <c r="B3211" s="6" t="s">
        <v>63</v>
      </c>
      <c r="C3211" s="6" t="s">
        <v>44</v>
      </c>
      <c r="D3211" s="6" t="s">
        <v>114</v>
      </c>
      <c r="E3211" s="6" t="n">
        <v>16</v>
      </c>
      <c r="F3211" s="6" t="n">
        <v>2</v>
      </c>
      <c r="G3211" s="6" t="s">
        <v>76</v>
      </c>
      <c r="H3211" s="11" t="n">
        <v>0.001</v>
      </c>
      <c r="I3211" s="6" t="n">
        <v>20</v>
      </c>
      <c r="J3211" s="6" t="n">
        <v>0</v>
      </c>
      <c r="K3211" s="6" t="n">
        <v>20</v>
      </c>
      <c r="L3211" s="6" t="n">
        <v>0</v>
      </c>
      <c r="M3211" s="6" t="n">
        <v>20</v>
      </c>
      <c r="N3211" s="11" t="n">
        <f aca="false">J3211/(J3211+K3211)</f>
        <v>0</v>
      </c>
      <c r="O3211" s="11" t="str">
        <f aca="false">IF(J3211+L3211=0,"",J3211/(J3211+L3211))</f>
        <v/>
      </c>
      <c r="P3211" s="11" t="n">
        <f aca="false">2*J3211/(2*J3211+L3211+K3211)</f>
        <v>0</v>
      </c>
      <c r="Q3211" s="11" t="n">
        <f aca="false">L3211/(L3211+M3211)</f>
        <v>0</v>
      </c>
      <c r="R3211" s="6" t="n">
        <v>0</v>
      </c>
      <c r="S3211" s="11"/>
      <c r="T3211" s="11" t="n">
        <v>0</v>
      </c>
      <c r="U3211" s="11" t="n">
        <v>0.95</v>
      </c>
      <c r="V3211" s="11" t="n">
        <v>0.95</v>
      </c>
    </row>
    <row r="3212" customFormat="false" ht="15" hidden="false" customHeight="false" outlineLevel="0" collapsed="false">
      <c r="A3212" s="6" t="s">
        <v>62</v>
      </c>
      <c r="B3212" s="6" t="s">
        <v>63</v>
      </c>
      <c r="C3212" s="6" t="s">
        <v>44</v>
      </c>
      <c r="D3212" s="6" t="s">
        <v>114</v>
      </c>
      <c r="E3212" s="6" t="n">
        <v>16</v>
      </c>
      <c r="F3212" s="6" t="n">
        <v>2</v>
      </c>
      <c r="G3212" s="6" t="s">
        <v>77</v>
      </c>
      <c r="H3212" s="11" t="n">
        <v>0.001</v>
      </c>
      <c r="I3212" s="6" t="n">
        <v>20</v>
      </c>
      <c r="J3212" s="6" t="n">
        <v>0</v>
      </c>
      <c r="K3212" s="6" t="n">
        <v>20</v>
      </c>
      <c r="L3212" s="6" t="n">
        <v>0</v>
      </c>
      <c r="M3212" s="6" t="n">
        <v>20</v>
      </c>
      <c r="N3212" s="11" t="n">
        <f aca="false">J3212/(J3212+K3212)</f>
        <v>0</v>
      </c>
      <c r="O3212" s="11" t="str">
        <f aca="false">IF(J3212+L3212=0,"",J3212/(J3212+L3212))</f>
        <v/>
      </c>
      <c r="P3212" s="11" t="n">
        <f aca="false">2*J3212/(2*J3212+L3212+K3212)</f>
        <v>0</v>
      </c>
      <c r="Q3212" s="11" t="n">
        <f aca="false">L3212/(L3212+M3212)</f>
        <v>0</v>
      </c>
      <c r="R3212" s="6" t="n">
        <v>0</v>
      </c>
      <c r="S3212" s="11"/>
      <c r="T3212" s="11" t="n">
        <v>0</v>
      </c>
      <c r="U3212" s="11" t="n">
        <v>1</v>
      </c>
      <c r="V3212" s="11" t="n">
        <v>1</v>
      </c>
    </row>
    <row r="3213" customFormat="false" ht="15" hidden="false" customHeight="false" outlineLevel="0" collapsed="false">
      <c r="A3213" s="6" t="s">
        <v>62</v>
      </c>
      <c r="B3213" s="6" t="s">
        <v>63</v>
      </c>
      <c r="C3213" s="6" t="s">
        <v>44</v>
      </c>
      <c r="D3213" s="6" t="s">
        <v>114</v>
      </c>
      <c r="E3213" s="6" t="n">
        <v>16</v>
      </c>
      <c r="F3213" s="6" t="n">
        <v>2</v>
      </c>
      <c r="G3213" s="6" t="s">
        <v>78</v>
      </c>
      <c r="H3213" s="11" t="n">
        <v>0.001</v>
      </c>
      <c r="I3213" s="6" t="n">
        <v>200</v>
      </c>
      <c r="J3213" s="6" t="n">
        <v>0</v>
      </c>
      <c r="K3213" s="6" t="n">
        <v>200</v>
      </c>
      <c r="L3213" s="6" t="n">
        <v>0</v>
      </c>
      <c r="M3213" s="6" t="n">
        <v>200</v>
      </c>
      <c r="N3213" s="11" t="n">
        <f aca="false">J3213/(J3213+K3213)</f>
        <v>0</v>
      </c>
      <c r="O3213" s="11" t="str">
        <f aca="false">IF(J3213+L3213=0,"",J3213/(J3213+L3213))</f>
        <v/>
      </c>
      <c r="P3213" s="11" t="n">
        <f aca="false">2*J3213/(2*J3213+L3213+K3213)</f>
        <v>0</v>
      </c>
      <c r="Q3213" s="11" t="n">
        <f aca="false">L3213/(L3213+M3213)</f>
        <v>0</v>
      </c>
      <c r="R3213" s="6" t="n">
        <v>5</v>
      </c>
      <c r="S3213" s="11" t="n">
        <v>0</v>
      </c>
      <c r="T3213" s="11" t="n">
        <v>0</v>
      </c>
      <c r="U3213" s="11" t="n">
        <v>0.88</v>
      </c>
      <c r="V3213" s="11" t="n">
        <v>0.89</v>
      </c>
    </row>
    <row r="3214" customFormat="false" ht="15" hidden="false" customHeight="false" outlineLevel="0" collapsed="false">
      <c r="A3214" s="6" t="s">
        <v>62</v>
      </c>
      <c r="B3214" s="6" t="s">
        <v>63</v>
      </c>
      <c r="C3214" s="6" t="s">
        <v>44</v>
      </c>
      <c r="D3214" s="6" t="s">
        <v>114</v>
      </c>
      <c r="E3214" s="6" t="n">
        <v>16</v>
      </c>
      <c r="F3214" s="6" t="n">
        <v>3</v>
      </c>
      <c r="G3214" s="6" t="s">
        <v>68</v>
      </c>
      <c r="H3214" s="11" t="n">
        <v>0.001</v>
      </c>
      <c r="I3214" s="6" t="n">
        <v>20</v>
      </c>
      <c r="J3214" s="6" t="n">
        <v>0</v>
      </c>
      <c r="K3214" s="6" t="n">
        <v>20</v>
      </c>
      <c r="L3214" s="6" t="n">
        <v>0</v>
      </c>
      <c r="M3214" s="6" t="n">
        <v>20</v>
      </c>
      <c r="N3214" s="11" t="n">
        <f aca="false">J3214/(J3214+K3214)</f>
        <v>0</v>
      </c>
      <c r="O3214" s="11" t="str">
        <f aca="false">IF(J3214+L3214=0,"",J3214/(J3214+L3214))</f>
        <v/>
      </c>
      <c r="P3214" s="11" t="n">
        <f aca="false">2*J3214/(2*J3214+L3214+K3214)</f>
        <v>0</v>
      </c>
      <c r="Q3214" s="11" t="n">
        <f aca="false">L3214/(L3214+M3214)</f>
        <v>0</v>
      </c>
      <c r="R3214" s="6" t="n">
        <v>0</v>
      </c>
      <c r="S3214" s="11"/>
      <c r="T3214" s="11" t="n">
        <v>0</v>
      </c>
      <c r="U3214" s="11" t="n">
        <v>0.85</v>
      </c>
      <c r="V3214" s="11" t="n">
        <v>0.85</v>
      </c>
    </row>
    <row r="3215" customFormat="false" ht="15" hidden="false" customHeight="false" outlineLevel="0" collapsed="false">
      <c r="A3215" s="6" t="s">
        <v>62</v>
      </c>
      <c r="B3215" s="6" t="s">
        <v>63</v>
      </c>
      <c r="C3215" s="6" t="s">
        <v>44</v>
      </c>
      <c r="D3215" s="6" t="s">
        <v>114</v>
      </c>
      <c r="E3215" s="6" t="n">
        <v>16</v>
      </c>
      <c r="F3215" s="6" t="n">
        <v>3</v>
      </c>
      <c r="G3215" s="6" t="s">
        <v>69</v>
      </c>
      <c r="H3215" s="11" t="n">
        <v>0.001</v>
      </c>
      <c r="I3215" s="6" t="n">
        <v>20</v>
      </c>
      <c r="J3215" s="6" t="n">
        <v>0</v>
      </c>
      <c r="K3215" s="6" t="n">
        <v>20</v>
      </c>
      <c r="L3215" s="6" t="n">
        <v>0</v>
      </c>
      <c r="M3215" s="6" t="n">
        <v>20</v>
      </c>
      <c r="N3215" s="11" t="n">
        <f aca="false">J3215/(J3215+K3215)</f>
        <v>0</v>
      </c>
      <c r="O3215" s="11" t="str">
        <f aca="false">IF(J3215+L3215=0,"",J3215/(J3215+L3215))</f>
        <v/>
      </c>
      <c r="P3215" s="11" t="n">
        <f aca="false">2*J3215/(2*J3215+L3215+K3215)</f>
        <v>0</v>
      </c>
      <c r="Q3215" s="11" t="n">
        <f aca="false">L3215/(L3215+M3215)</f>
        <v>0</v>
      </c>
      <c r="R3215" s="6" t="n">
        <v>0</v>
      </c>
      <c r="S3215" s="11"/>
      <c r="T3215" s="11" t="n">
        <v>0</v>
      </c>
      <c r="U3215" s="11" t="n">
        <v>1</v>
      </c>
      <c r="V3215" s="11" t="n">
        <v>1</v>
      </c>
    </row>
    <row r="3216" customFormat="false" ht="15" hidden="false" customHeight="false" outlineLevel="0" collapsed="false">
      <c r="A3216" s="6" t="s">
        <v>62</v>
      </c>
      <c r="B3216" s="6" t="s">
        <v>63</v>
      </c>
      <c r="C3216" s="6" t="s">
        <v>44</v>
      </c>
      <c r="D3216" s="6" t="s">
        <v>114</v>
      </c>
      <c r="E3216" s="6" t="n">
        <v>16</v>
      </c>
      <c r="F3216" s="6" t="n">
        <v>3</v>
      </c>
      <c r="G3216" s="6" t="s">
        <v>70</v>
      </c>
      <c r="H3216" s="11" t="n">
        <v>0.001</v>
      </c>
      <c r="I3216" s="6" t="n">
        <v>20</v>
      </c>
      <c r="J3216" s="6" t="n">
        <v>0</v>
      </c>
      <c r="K3216" s="6" t="n">
        <v>20</v>
      </c>
      <c r="L3216" s="6" t="n">
        <v>0</v>
      </c>
      <c r="M3216" s="6" t="n">
        <v>20</v>
      </c>
      <c r="N3216" s="11" t="n">
        <f aca="false">J3216/(J3216+K3216)</f>
        <v>0</v>
      </c>
      <c r="O3216" s="11" t="str">
        <f aca="false">IF(J3216+L3216=0,"",J3216/(J3216+L3216))</f>
        <v/>
      </c>
      <c r="P3216" s="11" t="n">
        <f aca="false">2*J3216/(2*J3216+L3216+K3216)</f>
        <v>0</v>
      </c>
      <c r="Q3216" s="11" t="n">
        <f aca="false">L3216/(L3216+M3216)</f>
        <v>0</v>
      </c>
      <c r="R3216" s="6" t="n">
        <v>0</v>
      </c>
      <c r="S3216" s="11"/>
      <c r="T3216" s="11" t="n">
        <v>0</v>
      </c>
      <c r="U3216" s="11" t="n">
        <v>0.9</v>
      </c>
      <c r="V3216" s="11" t="n">
        <v>0.9</v>
      </c>
    </row>
    <row r="3217" customFormat="false" ht="15" hidden="false" customHeight="false" outlineLevel="0" collapsed="false">
      <c r="A3217" s="6" t="s">
        <v>62</v>
      </c>
      <c r="B3217" s="6" t="s">
        <v>63</v>
      </c>
      <c r="C3217" s="6" t="s">
        <v>44</v>
      </c>
      <c r="D3217" s="6" t="s">
        <v>114</v>
      </c>
      <c r="E3217" s="6" t="n">
        <v>16</v>
      </c>
      <c r="F3217" s="6" t="n">
        <v>3</v>
      </c>
      <c r="G3217" s="6" t="s">
        <v>71</v>
      </c>
      <c r="H3217" s="11" t="n">
        <v>0.001</v>
      </c>
      <c r="I3217" s="6" t="n">
        <v>20</v>
      </c>
      <c r="J3217" s="6" t="n">
        <v>0</v>
      </c>
      <c r="K3217" s="6" t="n">
        <v>20</v>
      </c>
      <c r="L3217" s="6" t="n">
        <v>0</v>
      </c>
      <c r="M3217" s="6" t="n">
        <v>20</v>
      </c>
      <c r="N3217" s="11" t="n">
        <f aca="false">J3217/(J3217+K3217)</f>
        <v>0</v>
      </c>
      <c r="O3217" s="11" t="str">
        <f aca="false">IF(J3217+L3217=0,"",J3217/(J3217+L3217))</f>
        <v/>
      </c>
      <c r="P3217" s="11" t="n">
        <f aca="false">2*J3217/(2*J3217+L3217+K3217)</f>
        <v>0</v>
      </c>
      <c r="Q3217" s="11" t="n">
        <f aca="false">L3217/(L3217+M3217)</f>
        <v>0</v>
      </c>
      <c r="R3217" s="6" t="n">
        <v>1</v>
      </c>
      <c r="S3217" s="11" t="n">
        <v>0</v>
      </c>
      <c r="T3217" s="11" t="n">
        <v>0</v>
      </c>
      <c r="U3217" s="11" t="n">
        <v>0.8</v>
      </c>
      <c r="V3217" s="11" t="n">
        <v>0.75</v>
      </c>
    </row>
    <row r="3218" customFormat="false" ht="15" hidden="false" customHeight="false" outlineLevel="0" collapsed="false">
      <c r="A3218" s="6" t="s">
        <v>62</v>
      </c>
      <c r="B3218" s="6" t="s">
        <v>63</v>
      </c>
      <c r="C3218" s="6" t="s">
        <v>44</v>
      </c>
      <c r="D3218" s="6" t="s">
        <v>114</v>
      </c>
      <c r="E3218" s="6" t="n">
        <v>16</v>
      </c>
      <c r="F3218" s="6" t="n">
        <v>3</v>
      </c>
      <c r="G3218" s="6" t="s">
        <v>72</v>
      </c>
      <c r="H3218" s="11" t="n">
        <v>0.001</v>
      </c>
      <c r="I3218" s="6" t="n">
        <v>20</v>
      </c>
      <c r="J3218" s="6" t="n">
        <v>0</v>
      </c>
      <c r="K3218" s="6" t="n">
        <v>20</v>
      </c>
      <c r="L3218" s="6" t="n">
        <v>0</v>
      </c>
      <c r="M3218" s="6" t="n">
        <v>20</v>
      </c>
      <c r="N3218" s="11" t="n">
        <f aca="false">J3218/(J3218+K3218)</f>
        <v>0</v>
      </c>
      <c r="O3218" s="11" t="str">
        <f aca="false">IF(J3218+L3218=0,"",J3218/(J3218+L3218))</f>
        <v/>
      </c>
      <c r="P3218" s="11" t="n">
        <f aca="false">2*J3218/(2*J3218+L3218+K3218)</f>
        <v>0</v>
      </c>
      <c r="Q3218" s="11" t="n">
        <f aca="false">L3218/(L3218+M3218)</f>
        <v>0</v>
      </c>
      <c r="R3218" s="6" t="n">
        <v>0</v>
      </c>
      <c r="S3218" s="11"/>
      <c r="T3218" s="11" t="n">
        <v>0</v>
      </c>
      <c r="U3218" s="11" t="n">
        <v>0.9</v>
      </c>
      <c r="V3218" s="11" t="n">
        <v>0.9</v>
      </c>
    </row>
    <row r="3219" customFormat="false" ht="15" hidden="false" customHeight="false" outlineLevel="0" collapsed="false">
      <c r="A3219" s="6" t="s">
        <v>62</v>
      </c>
      <c r="B3219" s="6" t="s">
        <v>63</v>
      </c>
      <c r="C3219" s="6" t="s">
        <v>44</v>
      </c>
      <c r="D3219" s="6" t="s">
        <v>114</v>
      </c>
      <c r="E3219" s="6" t="n">
        <v>16</v>
      </c>
      <c r="F3219" s="6" t="n">
        <v>3</v>
      </c>
      <c r="G3219" s="6" t="s">
        <v>73</v>
      </c>
      <c r="H3219" s="11" t="n">
        <v>0.001</v>
      </c>
      <c r="I3219" s="6" t="n">
        <v>20</v>
      </c>
      <c r="J3219" s="6" t="n">
        <v>0</v>
      </c>
      <c r="K3219" s="6" t="n">
        <v>20</v>
      </c>
      <c r="L3219" s="6" t="n">
        <v>0</v>
      </c>
      <c r="M3219" s="6" t="n">
        <v>20</v>
      </c>
      <c r="N3219" s="11" t="n">
        <f aca="false">J3219/(J3219+K3219)</f>
        <v>0</v>
      </c>
      <c r="O3219" s="11" t="str">
        <f aca="false">IF(J3219+L3219=0,"",J3219/(J3219+L3219))</f>
        <v/>
      </c>
      <c r="P3219" s="11" t="n">
        <f aca="false">2*J3219/(2*J3219+L3219+K3219)</f>
        <v>0</v>
      </c>
      <c r="Q3219" s="11" t="n">
        <f aca="false">L3219/(L3219+M3219)</f>
        <v>0</v>
      </c>
      <c r="R3219" s="6" t="n">
        <v>1</v>
      </c>
      <c r="S3219" s="11" t="n">
        <v>0</v>
      </c>
      <c r="T3219" s="11" t="n">
        <v>0</v>
      </c>
      <c r="U3219" s="11" t="n">
        <v>0.65</v>
      </c>
      <c r="V3219" s="11" t="n">
        <v>0.65</v>
      </c>
    </row>
    <row r="3220" customFormat="false" ht="15" hidden="false" customHeight="false" outlineLevel="0" collapsed="false">
      <c r="A3220" s="6" t="s">
        <v>62</v>
      </c>
      <c r="B3220" s="6" t="s">
        <v>63</v>
      </c>
      <c r="C3220" s="6" t="s">
        <v>44</v>
      </c>
      <c r="D3220" s="6" t="s">
        <v>114</v>
      </c>
      <c r="E3220" s="6" t="n">
        <v>16</v>
      </c>
      <c r="F3220" s="6" t="n">
        <v>3</v>
      </c>
      <c r="G3220" s="6" t="s">
        <v>74</v>
      </c>
      <c r="H3220" s="11" t="n">
        <v>0.001</v>
      </c>
      <c r="I3220" s="6" t="n">
        <v>20</v>
      </c>
      <c r="J3220" s="6" t="n">
        <v>0</v>
      </c>
      <c r="K3220" s="6" t="n">
        <v>20</v>
      </c>
      <c r="L3220" s="6" t="n">
        <v>0</v>
      </c>
      <c r="M3220" s="6" t="n">
        <v>20</v>
      </c>
      <c r="N3220" s="11" t="n">
        <f aca="false">J3220/(J3220+K3220)</f>
        <v>0</v>
      </c>
      <c r="O3220" s="11" t="str">
        <f aca="false">IF(J3220+L3220=0,"",J3220/(J3220+L3220))</f>
        <v/>
      </c>
      <c r="P3220" s="11" t="n">
        <f aca="false">2*J3220/(2*J3220+L3220+K3220)</f>
        <v>0</v>
      </c>
      <c r="Q3220" s="11" t="n">
        <f aca="false">L3220/(L3220+M3220)</f>
        <v>0</v>
      </c>
      <c r="R3220" s="6" t="n">
        <v>1</v>
      </c>
      <c r="S3220" s="11" t="n">
        <v>0</v>
      </c>
      <c r="T3220" s="11" t="n">
        <v>0</v>
      </c>
      <c r="U3220" s="11" t="n">
        <v>0.85</v>
      </c>
      <c r="V3220" s="11" t="n">
        <v>0.85</v>
      </c>
    </row>
    <row r="3221" customFormat="false" ht="15" hidden="false" customHeight="false" outlineLevel="0" collapsed="false">
      <c r="A3221" s="6" t="s">
        <v>62</v>
      </c>
      <c r="B3221" s="6" t="s">
        <v>63</v>
      </c>
      <c r="C3221" s="6" t="s">
        <v>44</v>
      </c>
      <c r="D3221" s="6" t="s">
        <v>114</v>
      </c>
      <c r="E3221" s="6" t="n">
        <v>16</v>
      </c>
      <c r="F3221" s="6" t="n">
        <v>3</v>
      </c>
      <c r="G3221" s="6" t="s">
        <v>75</v>
      </c>
      <c r="H3221" s="11" t="n">
        <v>0.001</v>
      </c>
      <c r="I3221" s="6" t="n">
        <v>20</v>
      </c>
      <c r="J3221" s="6" t="n">
        <v>0</v>
      </c>
      <c r="K3221" s="6" t="n">
        <v>20</v>
      </c>
      <c r="L3221" s="6" t="n">
        <v>0</v>
      </c>
      <c r="M3221" s="6" t="n">
        <v>20</v>
      </c>
      <c r="N3221" s="11" t="n">
        <f aca="false">J3221/(J3221+K3221)</f>
        <v>0</v>
      </c>
      <c r="O3221" s="11" t="str">
        <f aca="false">IF(J3221+L3221=0,"",J3221/(J3221+L3221))</f>
        <v/>
      </c>
      <c r="P3221" s="11" t="n">
        <f aca="false">2*J3221/(2*J3221+L3221+K3221)</f>
        <v>0</v>
      </c>
      <c r="Q3221" s="11" t="n">
        <f aca="false">L3221/(L3221+M3221)</f>
        <v>0</v>
      </c>
      <c r="R3221" s="6" t="n">
        <v>0</v>
      </c>
      <c r="S3221" s="11"/>
      <c r="T3221" s="11" t="n">
        <v>0</v>
      </c>
      <c r="U3221" s="11" t="n">
        <v>0.9</v>
      </c>
      <c r="V3221" s="11" t="n">
        <v>0.9</v>
      </c>
    </row>
    <row r="3222" customFormat="false" ht="15" hidden="false" customHeight="false" outlineLevel="0" collapsed="false">
      <c r="A3222" s="6" t="s">
        <v>62</v>
      </c>
      <c r="B3222" s="6" t="s">
        <v>63</v>
      </c>
      <c r="C3222" s="6" t="s">
        <v>44</v>
      </c>
      <c r="D3222" s="6" t="s">
        <v>114</v>
      </c>
      <c r="E3222" s="6" t="n">
        <v>16</v>
      </c>
      <c r="F3222" s="6" t="n">
        <v>3</v>
      </c>
      <c r="G3222" s="6" t="s">
        <v>76</v>
      </c>
      <c r="H3222" s="11" t="n">
        <v>0.001</v>
      </c>
      <c r="I3222" s="6" t="n">
        <v>20</v>
      </c>
      <c r="J3222" s="6" t="n">
        <v>0</v>
      </c>
      <c r="K3222" s="6" t="n">
        <v>20</v>
      </c>
      <c r="L3222" s="6" t="n">
        <v>0</v>
      </c>
      <c r="M3222" s="6" t="n">
        <v>20</v>
      </c>
      <c r="N3222" s="11" t="n">
        <f aca="false">J3222/(J3222+K3222)</f>
        <v>0</v>
      </c>
      <c r="O3222" s="11" t="str">
        <f aca="false">IF(J3222+L3222=0,"",J3222/(J3222+L3222))</f>
        <v/>
      </c>
      <c r="P3222" s="11" t="n">
        <f aca="false">2*J3222/(2*J3222+L3222+K3222)</f>
        <v>0</v>
      </c>
      <c r="Q3222" s="11" t="n">
        <f aca="false">L3222/(L3222+M3222)</f>
        <v>0</v>
      </c>
      <c r="R3222" s="6" t="n">
        <v>0</v>
      </c>
      <c r="S3222" s="11"/>
      <c r="T3222" s="11" t="n">
        <v>0</v>
      </c>
      <c r="U3222" s="11" t="n">
        <v>0.95</v>
      </c>
      <c r="V3222" s="11" t="n">
        <v>0.95</v>
      </c>
    </row>
    <row r="3223" customFormat="false" ht="15" hidden="false" customHeight="false" outlineLevel="0" collapsed="false">
      <c r="A3223" s="6" t="s">
        <v>62</v>
      </c>
      <c r="B3223" s="6" t="s">
        <v>63</v>
      </c>
      <c r="C3223" s="6" t="s">
        <v>44</v>
      </c>
      <c r="D3223" s="6" t="s">
        <v>114</v>
      </c>
      <c r="E3223" s="6" t="n">
        <v>16</v>
      </c>
      <c r="F3223" s="6" t="n">
        <v>3</v>
      </c>
      <c r="G3223" s="6" t="s">
        <v>77</v>
      </c>
      <c r="H3223" s="11" t="n">
        <v>0.001</v>
      </c>
      <c r="I3223" s="6" t="n">
        <v>20</v>
      </c>
      <c r="J3223" s="6" t="n">
        <v>0</v>
      </c>
      <c r="K3223" s="6" t="n">
        <v>20</v>
      </c>
      <c r="L3223" s="6" t="n">
        <v>0</v>
      </c>
      <c r="M3223" s="6" t="n">
        <v>20</v>
      </c>
      <c r="N3223" s="11" t="n">
        <f aca="false">J3223/(J3223+K3223)</f>
        <v>0</v>
      </c>
      <c r="O3223" s="11" t="str">
        <f aca="false">IF(J3223+L3223=0,"",J3223/(J3223+L3223))</f>
        <v/>
      </c>
      <c r="P3223" s="11" t="n">
        <f aca="false">2*J3223/(2*J3223+L3223+K3223)</f>
        <v>0</v>
      </c>
      <c r="Q3223" s="11" t="n">
        <f aca="false">L3223/(L3223+M3223)</f>
        <v>0</v>
      </c>
      <c r="R3223" s="6" t="n">
        <v>0</v>
      </c>
      <c r="S3223" s="11"/>
      <c r="T3223" s="11" t="n">
        <v>0</v>
      </c>
      <c r="U3223" s="11" t="n">
        <v>1</v>
      </c>
      <c r="V3223" s="11" t="n">
        <v>1</v>
      </c>
    </row>
    <row r="3224" customFormat="false" ht="15" hidden="false" customHeight="false" outlineLevel="0" collapsed="false">
      <c r="A3224" s="6" t="s">
        <v>62</v>
      </c>
      <c r="B3224" s="6" t="s">
        <v>63</v>
      </c>
      <c r="C3224" s="6" t="s">
        <v>44</v>
      </c>
      <c r="D3224" s="6" t="s">
        <v>114</v>
      </c>
      <c r="E3224" s="6" t="n">
        <v>16</v>
      </c>
      <c r="F3224" s="6" t="n">
        <v>3</v>
      </c>
      <c r="G3224" s="6" t="s">
        <v>78</v>
      </c>
      <c r="H3224" s="11" t="n">
        <v>0.001</v>
      </c>
      <c r="I3224" s="6" t="n">
        <v>200</v>
      </c>
      <c r="J3224" s="6" t="n">
        <v>0</v>
      </c>
      <c r="K3224" s="6" t="n">
        <v>200</v>
      </c>
      <c r="L3224" s="6" t="n">
        <v>0</v>
      </c>
      <c r="M3224" s="6" t="n">
        <v>200</v>
      </c>
      <c r="N3224" s="11" t="n">
        <f aca="false">J3224/(J3224+K3224)</f>
        <v>0</v>
      </c>
      <c r="O3224" s="11" t="str">
        <f aca="false">IF(J3224+L3224=0,"",J3224/(J3224+L3224))</f>
        <v/>
      </c>
      <c r="P3224" s="11" t="n">
        <f aca="false">2*J3224/(2*J3224+L3224+K3224)</f>
        <v>0</v>
      </c>
      <c r="Q3224" s="11" t="n">
        <f aca="false">L3224/(L3224+M3224)</f>
        <v>0</v>
      </c>
      <c r="R3224" s="6" t="n">
        <v>3</v>
      </c>
      <c r="S3224" s="11" t="n">
        <v>0</v>
      </c>
      <c r="T3224" s="11" t="n">
        <v>0</v>
      </c>
      <c r="U3224" s="11" t="n">
        <v>0.88</v>
      </c>
      <c r="V3224" s="11" t="n">
        <v>0.875</v>
      </c>
    </row>
    <row r="3225" customFormat="false" ht="15" hidden="false" customHeight="false" outlineLevel="0" collapsed="false">
      <c r="A3225" s="6" t="s">
        <v>62</v>
      </c>
      <c r="B3225" s="6" t="s">
        <v>63</v>
      </c>
      <c r="C3225" s="6" t="s">
        <v>44</v>
      </c>
      <c r="D3225" s="6" t="s">
        <v>114</v>
      </c>
      <c r="E3225" s="6" t="n">
        <v>16</v>
      </c>
      <c r="F3225" s="6" t="n">
        <v>4</v>
      </c>
      <c r="G3225" s="6" t="s">
        <v>68</v>
      </c>
      <c r="H3225" s="11" t="n">
        <v>0.001</v>
      </c>
      <c r="I3225" s="6" t="n">
        <v>20</v>
      </c>
      <c r="J3225" s="6" t="n">
        <v>0</v>
      </c>
      <c r="K3225" s="6" t="n">
        <v>20</v>
      </c>
      <c r="L3225" s="6" t="n">
        <v>0</v>
      </c>
      <c r="M3225" s="6" t="n">
        <v>20</v>
      </c>
      <c r="N3225" s="11" t="n">
        <f aca="false">J3225/(J3225+K3225)</f>
        <v>0</v>
      </c>
      <c r="O3225" s="11" t="str">
        <f aca="false">IF(J3225+L3225=0,"",J3225/(J3225+L3225))</f>
        <v/>
      </c>
      <c r="P3225" s="11" t="n">
        <f aca="false">2*J3225/(2*J3225+L3225+K3225)</f>
        <v>0</v>
      </c>
      <c r="Q3225" s="11" t="n">
        <f aca="false">L3225/(L3225+M3225)</f>
        <v>0</v>
      </c>
      <c r="R3225" s="6" t="n">
        <v>0</v>
      </c>
      <c r="S3225" s="11"/>
      <c r="T3225" s="11" t="n">
        <v>0</v>
      </c>
      <c r="U3225" s="11" t="n">
        <v>0.85</v>
      </c>
      <c r="V3225" s="11" t="n">
        <v>0.85</v>
      </c>
    </row>
    <row r="3226" customFormat="false" ht="15" hidden="false" customHeight="false" outlineLevel="0" collapsed="false">
      <c r="A3226" s="6" t="s">
        <v>62</v>
      </c>
      <c r="B3226" s="6" t="s">
        <v>63</v>
      </c>
      <c r="C3226" s="6" t="s">
        <v>44</v>
      </c>
      <c r="D3226" s="6" t="s">
        <v>114</v>
      </c>
      <c r="E3226" s="6" t="n">
        <v>16</v>
      </c>
      <c r="F3226" s="6" t="n">
        <v>4</v>
      </c>
      <c r="G3226" s="6" t="s">
        <v>69</v>
      </c>
      <c r="H3226" s="11" t="n">
        <v>0.001</v>
      </c>
      <c r="I3226" s="6" t="n">
        <v>20</v>
      </c>
      <c r="J3226" s="6" t="n">
        <v>0</v>
      </c>
      <c r="K3226" s="6" t="n">
        <v>20</v>
      </c>
      <c r="L3226" s="6" t="n">
        <v>0</v>
      </c>
      <c r="M3226" s="6" t="n">
        <v>20</v>
      </c>
      <c r="N3226" s="11" t="n">
        <f aca="false">J3226/(J3226+K3226)</f>
        <v>0</v>
      </c>
      <c r="O3226" s="11" t="str">
        <f aca="false">IF(J3226+L3226=0,"",J3226/(J3226+L3226))</f>
        <v/>
      </c>
      <c r="P3226" s="11" t="n">
        <f aca="false">2*J3226/(2*J3226+L3226+K3226)</f>
        <v>0</v>
      </c>
      <c r="Q3226" s="11" t="n">
        <f aca="false">L3226/(L3226+M3226)</f>
        <v>0</v>
      </c>
      <c r="R3226" s="6" t="n">
        <v>0</v>
      </c>
      <c r="S3226" s="11"/>
      <c r="T3226" s="11" t="n">
        <v>0</v>
      </c>
      <c r="U3226" s="11" t="n">
        <v>1</v>
      </c>
      <c r="V3226" s="11" t="n">
        <v>1</v>
      </c>
    </row>
    <row r="3227" customFormat="false" ht="15" hidden="false" customHeight="false" outlineLevel="0" collapsed="false">
      <c r="A3227" s="6" t="s">
        <v>62</v>
      </c>
      <c r="B3227" s="6" t="s">
        <v>63</v>
      </c>
      <c r="C3227" s="6" t="s">
        <v>44</v>
      </c>
      <c r="D3227" s="6" t="s">
        <v>114</v>
      </c>
      <c r="E3227" s="6" t="n">
        <v>16</v>
      </c>
      <c r="F3227" s="6" t="n">
        <v>4</v>
      </c>
      <c r="G3227" s="6" t="s">
        <v>70</v>
      </c>
      <c r="H3227" s="11" t="n">
        <v>0.001</v>
      </c>
      <c r="I3227" s="6" t="n">
        <v>20</v>
      </c>
      <c r="J3227" s="6" t="n">
        <v>0</v>
      </c>
      <c r="K3227" s="6" t="n">
        <v>20</v>
      </c>
      <c r="L3227" s="6" t="n">
        <v>0</v>
      </c>
      <c r="M3227" s="6" t="n">
        <v>20</v>
      </c>
      <c r="N3227" s="11" t="n">
        <f aca="false">J3227/(J3227+K3227)</f>
        <v>0</v>
      </c>
      <c r="O3227" s="11" t="str">
        <f aca="false">IF(J3227+L3227=0,"",J3227/(J3227+L3227))</f>
        <v/>
      </c>
      <c r="P3227" s="11" t="n">
        <f aca="false">2*J3227/(2*J3227+L3227+K3227)</f>
        <v>0</v>
      </c>
      <c r="Q3227" s="11" t="n">
        <f aca="false">L3227/(L3227+M3227)</f>
        <v>0</v>
      </c>
      <c r="R3227" s="6" t="n">
        <v>0</v>
      </c>
      <c r="S3227" s="11"/>
      <c r="T3227" s="11" t="n">
        <v>0</v>
      </c>
      <c r="U3227" s="11" t="n">
        <v>0.9</v>
      </c>
      <c r="V3227" s="11" t="n">
        <v>0.9</v>
      </c>
    </row>
    <row r="3228" customFormat="false" ht="15" hidden="false" customHeight="false" outlineLevel="0" collapsed="false">
      <c r="A3228" s="6" t="s">
        <v>62</v>
      </c>
      <c r="B3228" s="6" t="s">
        <v>63</v>
      </c>
      <c r="C3228" s="6" t="s">
        <v>44</v>
      </c>
      <c r="D3228" s="6" t="s">
        <v>114</v>
      </c>
      <c r="E3228" s="6" t="n">
        <v>16</v>
      </c>
      <c r="F3228" s="6" t="n">
        <v>4</v>
      </c>
      <c r="G3228" s="6" t="s">
        <v>71</v>
      </c>
      <c r="H3228" s="11" t="n">
        <v>0.001</v>
      </c>
      <c r="I3228" s="6" t="n">
        <v>20</v>
      </c>
      <c r="J3228" s="6" t="n">
        <v>0</v>
      </c>
      <c r="K3228" s="6" t="n">
        <v>20</v>
      </c>
      <c r="L3228" s="6" t="n">
        <v>0</v>
      </c>
      <c r="M3228" s="6" t="n">
        <v>20</v>
      </c>
      <c r="N3228" s="11" t="n">
        <f aca="false">J3228/(J3228+K3228)</f>
        <v>0</v>
      </c>
      <c r="O3228" s="11" t="str">
        <f aca="false">IF(J3228+L3228=0,"",J3228/(J3228+L3228))</f>
        <v/>
      </c>
      <c r="P3228" s="11" t="n">
        <f aca="false">2*J3228/(2*J3228+L3228+K3228)</f>
        <v>0</v>
      </c>
      <c r="Q3228" s="11" t="n">
        <f aca="false">L3228/(L3228+M3228)</f>
        <v>0</v>
      </c>
      <c r="R3228" s="6" t="n">
        <v>0</v>
      </c>
      <c r="S3228" s="11"/>
      <c r="T3228" s="11" t="n">
        <v>0</v>
      </c>
      <c r="U3228" s="11" t="n">
        <v>0.8</v>
      </c>
      <c r="V3228" s="11" t="n">
        <v>0.8</v>
      </c>
    </row>
    <row r="3229" customFormat="false" ht="15" hidden="false" customHeight="false" outlineLevel="0" collapsed="false">
      <c r="A3229" s="6" t="s">
        <v>62</v>
      </c>
      <c r="B3229" s="6" t="s">
        <v>63</v>
      </c>
      <c r="C3229" s="6" t="s">
        <v>44</v>
      </c>
      <c r="D3229" s="6" t="s">
        <v>114</v>
      </c>
      <c r="E3229" s="6" t="n">
        <v>16</v>
      </c>
      <c r="F3229" s="6" t="n">
        <v>4</v>
      </c>
      <c r="G3229" s="6" t="s">
        <v>72</v>
      </c>
      <c r="H3229" s="11" t="n">
        <v>0.001</v>
      </c>
      <c r="I3229" s="6" t="n">
        <v>20</v>
      </c>
      <c r="J3229" s="6" t="n">
        <v>0</v>
      </c>
      <c r="K3229" s="6" t="n">
        <v>20</v>
      </c>
      <c r="L3229" s="6" t="n">
        <v>0</v>
      </c>
      <c r="M3229" s="6" t="n">
        <v>20</v>
      </c>
      <c r="N3229" s="11" t="n">
        <f aca="false">J3229/(J3229+K3229)</f>
        <v>0</v>
      </c>
      <c r="O3229" s="11" t="str">
        <f aca="false">IF(J3229+L3229=0,"",J3229/(J3229+L3229))</f>
        <v/>
      </c>
      <c r="P3229" s="11" t="n">
        <f aca="false">2*J3229/(2*J3229+L3229+K3229)</f>
        <v>0</v>
      </c>
      <c r="Q3229" s="11" t="n">
        <f aca="false">L3229/(L3229+M3229)</f>
        <v>0</v>
      </c>
      <c r="R3229" s="6" t="n">
        <v>0</v>
      </c>
      <c r="S3229" s="11"/>
      <c r="T3229" s="11" t="n">
        <v>0</v>
      </c>
      <c r="U3229" s="11" t="n">
        <v>0.9</v>
      </c>
      <c r="V3229" s="11" t="n">
        <v>0.9</v>
      </c>
    </row>
    <row r="3230" customFormat="false" ht="15" hidden="false" customHeight="false" outlineLevel="0" collapsed="false">
      <c r="A3230" s="6" t="s">
        <v>62</v>
      </c>
      <c r="B3230" s="6" t="s">
        <v>63</v>
      </c>
      <c r="C3230" s="6" t="s">
        <v>44</v>
      </c>
      <c r="D3230" s="6" t="s">
        <v>114</v>
      </c>
      <c r="E3230" s="6" t="n">
        <v>16</v>
      </c>
      <c r="F3230" s="6" t="n">
        <v>4</v>
      </c>
      <c r="G3230" s="6" t="s">
        <v>73</v>
      </c>
      <c r="H3230" s="11" t="n">
        <v>0.001</v>
      </c>
      <c r="I3230" s="6" t="n">
        <v>20</v>
      </c>
      <c r="J3230" s="6" t="n">
        <v>0</v>
      </c>
      <c r="K3230" s="6" t="n">
        <v>20</v>
      </c>
      <c r="L3230" s="6" t="n">
        <v>0</v>
      </c>
      <c r="M3230" s="6" t="n">
        <v>20</v>
      </c>
      <c r="N3230" s="11" t="n">
        <f aca="false">J3230/(J3230+K3230)</f>
        <v>0</v>
      </c>
      <c r="O3230" s="11" t="str">
        <f aca="false">IF(J3230+L3230=0,"",J3230/(J3230+L3230))</f>
        <v/>
      </c>
      <c r="P3230" s="11" t="n">
        <f aca="false">2*J3230/(2*J3230+L3230+K3230)</f>
        <v>0</v>
      </c>
      <c r="Q3230" s="11" t="n">
        <f aca="false">L3230/(L3230+M3230)</f>
        <v>0</v>
      </c>
      <c r="R3230" s="6" t="n">
        <v>2</v>
      </c>
      <c r="S3230" s="11" t="n">
        <v>0</v>
      </c>
      <c r="T3230" s="11" t="n">
        <v>0</v>
      </c>
      <c r="U3230" s="11" t="n">
        <v>0.65</v>
      </c>
      <c r="V3230" s="11" t="n">
        <v>0.65</v>
      </c>
    </row>
    <row r="3231" customFormat="false" ht="15" hidden="false" customHeight="false" outlineLevel="0" collapsed="false">
      <c r="A3231" s="6" t="s">
        <v>62</v>
      </c>
      <c r="B3231" s="6" t="s">
        <v>63</v>
      </c>
      <c r="C3231" s="6" t="s">
        <v>44</v>
      </c>
      <c r="D3231" s="6" t="s">
        <v>114</v>
      </c>
      <c r="E3231" s="6" t="n">
        <v>16</v>
      </c>
      <c r="F3231" s="6" t="n">
        <v>4</v>
      </c>
      <c r="G3231" s="6" t="s">
        <v>74</v>
      </c>
      <c r="H3231" s="11" t="n">
        <v>0.001</v>
      </c>
      <c r="I3231" s="6" t="n">
        <v>20</v>
      </c>
      <c r="J3231" s="6" t="n">
        <v>0</v>
      </c>
      <c r="K3231" s="6" t="n">
        <v>20</v>
      </c>
      <c r="L3231" s="6" t="n">
        <v>0</v>
      </c>
      <c r="M3231" s="6" t="n">
        <v>20</v>
      </c>
      <c r="N3231" s="11" t="n">
        <f aca="false">J3231/(J3231+K3231)</f>
        <v>0</v>
      </c>
      <c r="O3231" s="11" t="str">
        <f aca="false">IF(J3231+L3231=0,"",J3231/(J3231+L3231))</f>
        <v/>
      </c>
      <c r="P3231" s="11" t="n">
        <f aca="false">2*J3231/(2*J3231+L3231+K3231)</f>
        <v>0</v>
      </c>
      <c r="Q3231" s="11" t="n">
        <f aca="false">L3231/(L3231+M3231)</f>
        <v>0</v>
      </c>
      <c r="R3231" s="6" t="n">
        <v>1</v>
      </c>
      <c r="S3231" s="11" t="n">
        <v>0</v>
      </c>
      <c r="T3231" s="11" t="n">
        <v>0</v>
      </c>
      <c r="U3231" s="11" t="n">
        <v>0.85</v>
      </c>
      <c r="V3231" s="11" t="n">
        <v>0.9</v>
      </c>
    </row>
    <row r="3232" customFormat="false" ht="15" hidden="false" customHeight="false" outlineLevel="0" collapsed="false">
      <c r="A3232" s="6" t="s">
        <v>62</v>
      </c>
      <c r="B3232" s="6" t="s">
        <v>63</v>
      </c>
      <c r="C3232" s="6" t="s">
        <v>44</v>
      </c>
      <c r="D3232" s="6" t="s">
        <v>114</v>
      </c>
      <c r="E3232" s="6" t="n">
        <v>16</v>
      </c>
      <c r="F3232" s="6" t="n">
        <v>4</v>
      </c>
      <c r="G3232" s="6" t="s">
        <v>75</v>
      </c>
      <c r="H3232" s="11" t="n">
        <v>0.001</v>
      </c>
      <c r="I3232" s="6" t="n">
        <v>20</v>
      </c>
      <c r="J3232" s="6" t="n">
        <v>0</v>
      </c>
      <c r="K3232" s="6" t="n">
        <v>20</v>
      </c>
      <c r="L3232" s="6" t="n">
        <v>0</v>
      </c>
      <c r="M3232" s="6" t="n">
        <v>20</v>
      </c>
      <c r="N3232" s="11" t="n">
        <f aca="false">J3232/(J3232+K3232)</f>
        <v>0</v>
      </c>
      <c r="O3232" s="11" t="str">
        <f aca="false">IF(J3232+L3232=0,"",J3232/(J3232+L3232))</f>
        <v/>
      </c>
      <c r="P3232" s="11" t="n">
        <f aca="false">2*J3232/(2*J3232+L3232+K3232)</f>
        <v>0</v>
      </c>
      <c r="Q3232" s="11" t="n">
        <f aca="false">L3232/(L3232+M3232)</f>
        <v>0</v>
      </c>
      <c r="R3232" s="6" t="n">
        <v>0</v>
      </c>
      <c r="S3232" s="11"/>
      <c r="T3232" s="11" t="n">
        <v>0</v>
      </c>
      <c r="U3232" s="11" t="n">
        <v>0.9</v>
      </c>
      <c r="V3232" s="11" t="n">
        <v>0.9</v>
      </c>
    </row>
    <row r="3233" customFormat="false" ht="15" hidden="false" customHeight="false" outlineLevel="0" collapsed="false">
      <c r="A3233" s="6" t="s">
        <v>62</v>
      </c>
      <c r="B3233" s="6" t="s">
        <v>63</v>
      </c>
      <c r="C3233" s="6" t="s">
        <v>44</v>
      </c>
      <c r="D3233" s="6" t="s">
        <v>114</v>
      </c>
      <c r="E3233" s="6" t="n">
        <v>16</v>
      </c>
      <c r="F3233" s="6" t="n">
        <v>4</v>
      </c>
      <c r="G3233" s="6" t="s">
        <v>76</v>
      </c>
      <c r="H3233" s="11" t="n">
        <v>0.001</v>
      </c>
      <c r="I3233" s="6" t="n">
        <v>20</v>
      </c>
      <c r="J3233" s="6" t="n">
        <v>0</v>
      </c>
      <c r="K3233" s="6" t="n">
        <v>20</v>
      </c>
      <c r="L3233" s="6" t="n">
        <v>0</v>
      </c>
      <c r="M3233" s="6" t="n">
        <v>20</v>
      </c>
      <c r="N3233" s="11" t="n">
        <f aca="false">J3233/(J3233+K3233)</f>
        <v>0</v>
      </c>
      <c r="O3233" s="11" t="str">
        <f aca="false">IF(J3233+L3233=0,"",J3233/(J3233+L3233))</f>
        <v/>
      </c>
      <c r="P3233" s="11" t="n">
        <f aca="false">2*J3233/(2*J3233+L3233+K3233)</f>
        <v>0</v>
      </c>
      <c r="Q3233" s="11" t="n">
        <f aca="false">L3233/(L3233+M3233)</f>
        <v>0</v>
      </c>
      <c r="R3233" s="6" t="n">
        <v>0</v>
      </c>
      <c r="S3233" s="11"/>
      <c r="T3233" s="11" t="n">
        <v>0</v>
      </c>
      <c r="U3233" s="11" t="n">
        <v>0.95</v>
      </c>
      <c r="V3233" s="11" t="n">
        <v>0.95</v>
      </c>
    </row>
    <row r="3234" customFormat="false" ht="15" hidden="false" customHeight="false" outlineLevel="0" collapsed="false">
      <c r="A3234" s="6" t="s">
        <v>62</v>
      </c>
      <c r="B3234" s="6" t="s">
        <v>63</v>
      </c>
      <c r="C3234" s="6" t="s">
        <v>44</v>
      </c>
      <c r="D3234" s="6" t="s">
        <v>114</v>
      </c>
      <c r="E3234" s="6" t="n">
        <v>16</v>
      </c>
      <c r="F3234" s="6" t="n">
        <v>4</v>
      </c>
      <c r="G3234" s="6" t="s">
        <v>77</v>
      </c>
      <c r="H3234" s="11" t="n">
        <v>0.001</v>
      </c>
      <c r="I3234" s="6" t="n">
        <v>20</v>
      </c>
      <c r="J3234" s="6" t="n">
        <v>0</v>
      </c>
      <c r="K3234" s="6" t="n">
        <v>20</v>
      </c>
      <c r="L3234" s="6" t="n">
        <v>0</v>
      </c>
      <c r="M3234" s="6" t="n">
        <v>20</v>
      </c>
      <c r="N3234" s="11" t="n">
        <f aca="false">J3234/(J3234+K3234)</f>
        <v>0</v>
      </c>
      <c r="O3234" s="11" t="str">
        <f aca="false">IF(J3234+L3234=0,"",J3234/(J3234+L3234))</f>
        <v/>
      </c>
      <c r="P3234" s="11" t="n">
        <f aca="false">2*J3234/(2*J3234+L3234+K3234)</f>
        <v>0</v>
      </c>
      <c r="Q3234" s="11" t="n">
        <f aca="false">L3234/(L3234+M3234)</f>
        <v>0</v>
      </c>
      <c r="R3234" s="6" t="n">
        <v>0</v>
      </c>
      <c r="S3234" s="11"/>
      <c r="T3234" s="11" t="n">
        <v>0</v>
      </c>
      <c r="U3234" s="11" t="n">
        <v>1</v>
      </c>
      <c r="V3234" s="11" t="n">
        <v>1</v>
      </c>
    </row>
    <row r="3235" customFormat="false" ht="15" hidden="false" customHeight="false" outlineLevel="0" collapsed="false">
      <c r="A3235" s="6" t="s">
        <v>62</v>
      </c>
      <c r="B3235" s="6" t="s">
        <v>63</v>
      </c>
      <c r="C3235" s="6" t="s">
        <v>44</v>
      </c>
      <c r="D3235" s="6" t="s">
        <v>114</v>
      </c>
      <c r="E3235" s="6" t="n">
        <v>16</v>
      </c>
      <c r="F3235" s="6" t="n">
        <v>4</v>
      </c>
      <c r="G3235" s="6" t="s">
        <v>78</v>
      </c>
      <c r="H3235" s="11" t="n">
        <v>0.001</v>
      </c>
      <c r="I3235" s="6" t="n">
        <v>200</v>
      </c>
      <c r="J3235" s="6" t="n">
        <v>0</v>
      </c>
      <c r="K3235" s="6" t="n">
        <v>200</v>
      </c>
      <c r="L3235" s="6" t="n">
        <v>0</v>
      </c>
      <c r="M3235" s="6" t="n">
        <v>200</v>
      </c>
      <c r="N3235" s="11" t="n">
        <f aca="false">J3235/(J3235+K3235)</f>
        <v>0</v>
      </c>
      <c r="O3235" s="11" t="str">
        <f aca="false">IF(J3235+L3235=0,"",J3235/(J3235+L3235))</f>
        <v/>
      </c>
      <c r="P3235" s="11" t="n">
        <f aca="false">2*J3235/(2*J3235+L3235+K3235)</f>
        <v>0</v>
      </c>
      <c r="Q3235" s="11" t="n">
        <f aca="false">L3235/(L3235+M3235)</f>
        <v>0</v>
      </c>
      <c r="R3235" s="6" t="n">
        <v>3</v>
      </c>
      <c r="S3235" s="11" t="n">
        <v>0</v>
      </c>
      <c r="T3235" s="11" t="n">
        <v>0</v>
      </c>
      <c r="U3235" s="11" t="n">
        <v>0.88</v>
      </c>
      <c r="V3235" s="11" t="n">
        <v>0.885</v>
      </c>
    </row>
    <row r="3236" customFormat="false" ht="15" hidden="false" customHeight="false" outlineLevel="0" collapsed="false">
      <c r="A3236" s="6" t="s">
        <v>62</v>
      </c>
      <c r="B3236" s="6" t="s">
        <v>63</v>
      </c>
      <c r="C3236" s="6" t="s">
        <v>44</v>
      </c>
      <c r="D3236" s="6" t="s">
        <v>114</v>
      </c>
      <c r="E3236" s="6" t="n">
        <v>16</v>
      </c>
      <c r="F3236" s="6" t="n">
        <v>5</v>
      </c>
      <c r="G3236" s="6" t="s">
        <v>68</v>
      </c>
      <c r="H3236" s="11" t="n">
        <v>0.001</v>
      </c>
      <c r="I3236" s="6" t="n">
        <v>20</v>
      </c>
      <c r="J3236" s="6" t="n">
        <v>0</v>
      </c>
      <c r="K3236" s="6" t="n">
        <v>20</v>
      </c>
      <c r="L3236" s="6" t="n">
        <v>0</v>
      </c>
      <c r="M3236" s="6" t="n">
        <v>20</v>
      </c>
      <c r="N3236" s="11" t="n">
        <f aca="false">J3236/(J3236+K3236)</f>
        <v>0</v>
      </c>
      <c r="O3236" s="11" t="str">
        <f aca="false">IF(J3236+L3236=0,"",J3236/(J3236+L3236))</f>
        <v/>
      </c>
      <c r="P3236" s="11" t="n">
        <f aca="false">2*J3236/(2*J3236+L3236+K3236)</f>
        <v>0</v>
      </c>
      <c r="Q3236" s="11" t="n">
        <f aca="false">L3236/(L3236+M3236)</f>
        <v>0</v>
      </c>
      <c r="R3236" s="6" t="n">
        <v>1</v>
      </c>
      <c r="S3236" s="11" t="n">
        <v>0</v>
      </c>
      <c r="T3236" s="11" t="n">
        <v>0</v>
      </c>
      <c r="U3236" s="11" t="n">
        <v>0.85</v>
      </c>
      <c r="V3236" s="11" t="n">
        <v>0.9</v>
      </c>
    </row>
    <row r="3237" customFormat="false" ht="15" hidden="false" customHeight="false" outlineLevel="0" collapsed="false">
      <c r="A3237" s="6" t="s">
        <v>62</v>
      </c>
      <c r="B3237" s="6" t="s">
        <v>63</v>
      </c>
      <c r="C3237" s="6" t="s">
        <v>44</v>
      </c>
      <c r="D3237" s="6" t="s">
        <v>114</v>
      </c>
      <c r="E3237" s="6" t="n">
        <v>16</v>
      </c>
      <c r="F3237" s="6" t="n">
        <v>5</v>
      </c>
      <c r="G3237" s="6" t="s">
        <v>69</v>
      </c>
      <c r="H3237" s="11" t="n">
        <v>0.001</v>
      </c>
      <c r="I3237" s="6" t="n">
        <v>20</v>
      </c>
      <c r="J3237" s="6" t="n">
        <v>0</v>
      </c>
      <c r="K3237" s="6" t="n">
        <v>20</v>
      </c>
      <c r="L3237" s="6" t="n">
        <v>0</v>
      </c>
      <c r="M3237" s="6" t="n">
        <v>20</v>
      </c>
      <c r="N3237" s="11" t="n">
        <f aca="false">J3237/(J3237+K3237)</f>
        <v>0</v>
      </c>
      <c r="O3237" s="11" t="str">
        <f aca="false">IF(J3237+L3237=0,"",J3237/(J3237+L3237))</f>
        <v/>
      </c>
      <c r="P3237" s="11" t="n">
        <f aca="false">2*J3237/(2*J3237+L3237+K3237)</f>
        <v>0</v>
      </c>
      <c r="Q3237" s="11" t="n">
        <f aca="false">L3237/(L3237+M3237)</f>
        <v>0</v>
      </c>
      <c r="R3237" s="6" t="n">
        <v>0</v>
      </c>
      <c r="S3237" s="11"/>
      <c r="T3237" s="11" t="n">
        <v>0</v>
      </c>
      <c r="U3237" s="11" t="n">
        <v>1</v>
      </c>
      <c r="V3237" s="11" t="n">
        <v>1</v>
      </c>
    </row>
    <row r="3238" customFormat="false" ht="15" hidden="false" customHeight="false" outlineLevel="0" collapsed="false">
      <c r="A3238" s="6" t="s">
        <v>62</v>
      </c>
      <c r="B3238" s="6" t="s">
        <v>63</v>
      </c>
      <c r="C3238" s="6" t="s">
        <v>44</v>
      </c>
      <c r="D3238" s="6" t="s">
        <v>114</v>
      </c>
      <c r="E3238" s="6" t="n">
        <v>16</v>
      </c>
      <c r="F3238" s="6" t="n">
        <v>5</v>
      </c>
      <c r="G3238" s="6" t="s">
        <v>70</v>
      </c>
      <c r="H3238" s="11" t="n">
        <v>0.001</v>
      </c>
      <c r="I3238" s="6" t="n">
        <v>20</v>
      </c>
      <c r="J3238" s="6" t="n">
        <v>0</v>
      </c>
      <c r="K3238" s="6" t="n">
        <v>20</v>
      </c>
      <c r="L3238" s="6" t="n">
        <v>0</v>
      </c>
      <c r="M3238" s="6" t="n">
        <v>20</v>
      </c>
      <c r="N3238" s="11" t="n">
        <f aca="false">J3238/(J3238+K3238)</f>
        <v>0</v>
      </c>
      <c r="O3238" s="11" t="str">
        <f aca="false">IF(J3238+L3238=0,"",J3238/(J3238+L3238))</f>
        <v/>
      </c>
      <c r="P3238" s="11" t="n">
        <f aca="false">2*J3238/(2*J3238+L3238+K3238)</f>
        <v>0</v>
      </c>
      <c r="Q3238" s="11" t="n">
        <f aca="false">L3238/(L3238+M3238)</f>
        <v>0</v>
      </c>
      <c r="R3238" s="6" t="n">
        <v>0</v>
      </c>
      <c r="S3238" s="11"/>
      <c r="T3238" s="11" t="n">
        <v>0</v>
      </c>
      <c r="U3238" s="11" t="n">
        <v>0.9</v>
      </c>
      <c r="V3238" s="11" t="n">
        <v>0.9</v>
      </c>
    </row>
    <row r="3239" customFormat="false" ht="15" hidden="false" customHeight="false" outlineLevel="0" collapsed="false">
      <c r="A3239" s="6" t="s">
        <v>62</v>
      </c>
      <c r="B3239" s="6" t="s">
        <v>63</v>
      </c>
      <c r="C3239" s="6" t="s">
        <v>44</v>
      </c>
      <c r="D3239" s="6" t="s">
        <v>114</v>
      </c>
      <c r="E3239" s="6" t="n">
        <v>16</v>
      </c>
      <c r="F3239" s="6" t="n">
        <v>5</v>
      </c>
      <c r="G3239" s="6" t="s">
        <v>71</v>
      </c>
      <c r="H3239" s="11" t="n">
        <v>0.001</v>
      </c>
      <c r="I3239" s="6" t="n">
        <v>20</v>
      </c>
      <c r="J3239" s="6" t="n">
        <v>0</v>
      </c>
      <c r="K3239" s="6" t="n">
        <v>20</v>
      </c>
      <c r="L3239" s="6" t="n">
        <v>0</v>
      </c>
      <c r="M3239" s="6" t="n">
        <v>20</v>
      </c>
      <c r="N3239" s="11" t="n">
        <f aca="false">J3239/(J3239+K3239)</f>
        <v>0</v>
      </c>
      <c r="O3239" s="11" t="str">
        <f aca="false">IF(J3239+L3239=0,"",J3239/(J3239+L3239))</f>
        <v/>
      </c>
      <c r="P3239" s="11" t="n">
        <f aca="false">2*J3239/(2*J3239+L3239+K3239)</f>
        <v>0</v>
      </c>
      <c r="Q3239" s="11" t="n">
        <f aca="false">L3239/(L3239+M3239)</f>
        <v>0</v>
      </c>
      <c r="R3239" s="6" t="n">
        <v>0</v>
      </c>
      <c r="S3239" s="11"/>
      <c r="T3239" s="11" t="n">
        <v>0</v>
      </c>
      <c r="U3239" s="11" t="n">
        <v>0.8</v>
      </c>
      <c r="V3239" s="11" t="n">
        <v>0.8</v>
      </c>
    </row>
    <row r="3240" customFormat="false" ht="15" hidden="false" customHeight="false" outlineLevel="0" collapsed="false">
      <c r="A3240" s="6" t="s">
        <v>62</v>
      </c>
      <c r="B3240" s="6" t="s">
        <v>63</v>
      </c>
      <c r="C3240" s="6" t="s">
        <v>44</v>
      </c>
      <c r="D3240" s="6" t="s">
        <v>114</v>
      </c>
      <c r="E3240" s="6" t="n">
        <v>16</v>
      </c>
      <c r="F3240" s="6" t="n">
        <v>5</v>
      </c>
      <c r="G3240" s="6" t="s">
        <v>72</v>
      </c>
      <c r="H3240" s="11" t="n">
        <v>0.001</v>
      </c>
      <c r="I3240" s="6" t="n">
        <v>20</v>
      </c>
      <c r="J3240" s="6" t="n">
        <v>0</v>
      </c>
      <c r="K3240" s="6" t="n">
        <v>20</v>
      </c>
      <c r="L3240" s="6" t="n">
        <v>0</v>
      </c>
      <c r="M3240" s="6" t="n">
        <v>20</v>
      </c>
      <c r="N3240" s="11" t="n">
        <f aca="false">J3240/(J3240+K3240)</f>
        <v>0</v>
      </c>
      <c r="O3240" s="11" t="str">
        <f aca="false">IF(J3240+L3240=0,"",J3240/(J3240+L3240))</f>
        <v/>
      </c>
      <c r="P3240" s="11" t="n">
        <f aca="false">2*J3240/(2*J3240+L3240+K3240)</f>
        <v>0</v>
      </c>
      <c r="Q3240" s="11" t="n">
        <f aca="false">L3240/(L3240+M3240)</f>
        <v>0</v>
      </c>
      <c r="R3240" s="6" t="n">
        <v>0</v>
      </c>
      <c r="S3240" s="11"/>
      <c r="T3240" s="11" t="n">
        <v>0</v>
      </c>
      <c r="U3240" s="11" t="n">
        <v>0.9</v>
      </c>
      <c r="V3240" s="11" t="n">
        <v>0.9</v>
      </c>
    </row>
    <row r="3241" customFormat="false" ht="15" hidden="false" customHeight="false" outlineLevel="0" collapsed="false">
      <c r="A3241" s="6" t="s">
        <v>62</v>
      </c>
      <c r="B3241" s="6" t="s">
        <v>63</v>
      </c>
      <c r="C3241" s="6" t="s">
        <v>44</v>
      </c>
      <c r="D3241" s="6" t="s">
        <v>114</v>
      </c>
      <c r="E3241" s="6" t="n">
        <v>16</v>
      </c>
      <c r="F3241" s="6" t="n">
        <v>5</v>
      </c>
      <c r="G3241" s="6" t="s">
        <v>73</v>
      </c>
      <c r="H3241" s="11" t="n">
        <v>0.001</v>
      </c>
      <c r="I3241" s="6" t="n">
        <v>20</v>
      </c>
      <c r="J3241" s="6" t="n">
        <v>0</v>
      </c>
      <c r="K3241" s="6" t="n">
        <v>20</v>
      </c>
      <c r="L3241" s="6" t="n">
        <v>0</v>
      </c>
      <c r="M3241" s="6" t="n">
        <v>20</v>
      </c>
      <c r="N3241" s="11" t="n">
        <f aca="false">J3241/(J3241+K3241)</f>
        <v>0</v>
      </c>
      <c r="O3241" s="11" t="str">
        <f aca="false">IF(J3241+L3241=0,"",J3241/(J3241+L3241))</f>
        <v/>
      </c>
      <c r="P3241" s="11" t="n">
        <f aca="false">2*J3241/(2*J3241+L3241+K3241)</f>
        <v>0</v>
      </c>
      <c r="Q3241" s="11" t="n">
        <f aca="false">L3241/(L3241+M3241)</f>
        <v>0</v>
      </c>
      <c r="R3241" s="6" t="n">
        <v>1</v>
      </c>
      <c r="S3241" s="11" t="n">
        <v>0</v>
      </c>
      <c r="T3241" s="11" t="n">
        <v>0</v>
      </c>
      <c r="U3241" s="11" t="n">
        <v>0.65</v>
      </c>
      <c r="V3241" s="11" t="n">
        <v>0.65</v>
      </c>
    </row>
    <row r="3242" customFormat="false" ht="15" hidden="false" customHeight="false" outlineLevel="0" collapsed="false">
      <c r="A3242" s="6" t="s">
        <v>62</v>
      </c>
      <c r="B3242" s="6" t="s">
        <v>63</v>
      </c>
      <c r="C3242" s="6" t="s">
        <v>44</v>
      </c>
      <c r="D3242" s="6" t="s">
        <v>114</v>
      </c>
      <c r="E3242" s="6" t="n">
        <v>16</v>
      </c>
      <c r="F3242" s="6" t="n">
        <v>5</v>
      </c>
      <c r="G3242" s="6" t="s">
        <v>74</v>
      </c>
      <c r="H3242" s="11" t="n">
        <v>0.001</v>
      </c>
      <c r="I3242" s="6" t="n">
        <v>20</v>
      </c>
      <c r="J3242" s="6" t="n">
        <v>0</v>
      </c>
      <c r="K3242" s="6" t="n">
        <v>20</v>
      </c>
      <c r="L3242" s="6" t="n">
        <v>0</v>
      </c>
      <c r="M3242" s="6" t="n">
        <v>20</v>
      </c>
      <c r="N3242" s="11" t="n">
        <f aca="false">J3242/(J3242+K3242)</f>
        <v>0</v>
      </c>
      <c r="O3242" s="11" t="str">
        <f aca="false">IF(J3242+L3242=0,"",J3242/(J3242+L3242))</f>
        <v/>
      </c>
      <c r="P3242" s="11" t="n">
        <f aca="false">2*J3242/(2*J3242+L3242+K3242)</f>
        <v>0</v>
      </c>
      <c r="Q3242" s="11" t="n">
        <f aca="false">L3242/(L3242+M3242)</f>
        <v>0</v>
      </c>
      <c r="R3242" s="6" t="n">
        <v>1</v>
      </c>
      <c r="S3242" s="11" t="n">
        <v>0</v>
      </c>
      <c r="T3242" s="11" t="n">
        <v>0</v>
      </c>
      <c r="U3242" s="11" t="n">
        <v>0.85</v>
      </c>
      <c r="V3242" s="11" t="n">
        <v>0.9</v>
      </c>
    </row>
    <row r="3243" customFormat="false" ht="15" hidden="false" customHeight="false" outlineLevel="0" collapsed="false">
      <c r="A3243" s="6" t="s">
        <v>62</v>
      </c>
      <c r="B3243" s="6" t="s">
        <v>63</v>
      </c>
      <c r="C3243" s="6" t="s">
        <v>44</v>
      </c>
      <c r="D3243" s="6" t="s">
        <v>114</v>
      </c>
      <c r="E3243" s="6" t="n">
        <v>16</v>
      </c>
      <c r="F3243" s="6" t="n">
        <v>5</v>
      </c>
      <c r="G3243" s="6" t="s">
        <v>75</v>
      </c>
      <c r="H3243" s="11" t="n">
        <v>0.001</v>
      </c>
      <c r="I3243" s="6" t="n">
        <v>20</v>
      </c>
      <c r="J3243" s="6" t="n">
        <v>0</v>
      </c>
      <c r="K3243" s="6" t="n">
        <v>20</v>
      </c>
      <c r="L3243" s="6" t="n">
        <v>0</v>
      </c>
      <c r="M3243" s="6" t="n">
        <v>20</v>
      </c>
      <c r="N3243" s="11" t="n">
        <f aca="false">J3243/(J3243+K3243)</f>
        <v>0</v>
      </c>
      <c r="O3243" s="11" t="str">
        <f aca="false">IF(J3243+L3243=0,"",J3243/(J3243+L3243))</f>
        <v/>
      </c>
      <c r="P3243" s="11" t="n">
        <f aca="false">2*J3243/(2*J3243+L3243+K3243)</f>
        <v>0</v>
      </c>
      <c r="Q3243" s="11" t="n">
        <f aca="false">L3243/(L3243+M3243)</f>
        <v>0</v>
      </c>
      <c r="R3243" s="6" t="n">
        <v>1</v>
      </c>
      <c r="S3243" s="11" t="n">
        <v>0</v>
      </c>
      <c r="T3243" s="11" t="n">
        <v>0</v>
      </c>
      <c r="U3243" s="11" t="n">
        <v>0.9</v>
      </c>
      <c r="V3243" s="11" t="n">
        <v>0.95</v>
      </c>
    </row>
    <row r="3244" customFormat="false" ht="15" hidden="false" customHeight="false" outlineLevel="0" collapsed="false">
      <c r="A3244" s="6" t="s">
        <v>62</v>
      </c>
      <c r="B3244" s="6" t="s">
        <v>63</v>
      </c>
      <c r="C3244" s="6" t="s">
        <v>44</v>
      </c>
      <c r="D3244" s="6" t="s">
        <v>114</v>
      </c>
      <c r="E3244" s="6" t="n">
        <v>16</v>
      </c>
      <c r="F3244" s="6" t="n">
        <v>5</v>
      </c>
      <c r="G3244" s="6" t="s">
        <v>76</v>
      </c>
      <c r="H3244" s="11" t="n">
        <v>0.001</v>
      </c>
      <c r="I3244" s="6" t="n">
        <v>20</v>
      </c>
      <c r="J3244" s="6" t="n">
        <v>0</v>
      </c>
      <c r="K3244" s="6" t="n">
        <v>20</v>
      </c>
      <c r="L3244" s="6" t="n">
        <v>0</v>
      </c>
      <c r="M3244" s="6" t="n">
        <v>20</v>
      </c>
      <c r="N3244" s="11" t="n">
        <f aca="false">J3244/(J3244+K3244)</f>
        <v>0</v>
      </c>
      <c r="O3244" s="11" t="str">
        <f aca="false">IF(J3244+L3244=0,"",J3244/(J3244+L3244))</f>
        <v/>
      </c>
      <c r="P3244" s="11" t="n">
        <f aca="false">2*J3244/(2*J3244+L3244+K3244)</f>
        <v>0</v>
      </c>
      <c r="Q3244" s="11" t="n">
        <f aca="false">L3244/(L3244+M3244)</f>
        <v>0</v>
      </c>
      <c r="R3244" s="6" t="n">
        <v>0</v>
      </c>
      <c r="S3244" s="11"/>
      <c r="T3244" s="11" t="n">
        <v>0</v>
      </c>
      <c r="U3244" s="11" t="n">
        <v>0.95</v>
      </c>
      <c r="V3244" s="11" t="n">
        <v>0.95</v>
      </c>
    </row>
    <row r="3245" customFormat="false" ht="15" hidden="false" customHeight="false" outlineLevel="0" collapsed="false">
      <c r="A3245" s="6" t="s">
        <v>62</v>
      </c>
      <c r="B3245" s="6" t="s">
        <v>63</v>
      </c>
      <c r="C3245" s="6" t="s">
        <v>44</v>
      </c>
      <c r="D3245" s="6" t="s">
        <v>114</v>
      </c>
      <c r="E3245" s="6" t="n">
        <v>16</v>
      </c>
      <c r="F3245" s="6" t="n">
        <v>5</v>
      </c>
      <c r="G3245" s="6" t="s">
        <v>77</v>
      </c>
      <c r="H3245" s="11" t="n">
        <v>0.001</v>
      </c>
      <c r="I3245" s="6" t="n">
        <v>20</v>
      </c>
      <c r="J3245" s="6" t="n">
        <v>0</v>
      </c>
      <c r="K3245" s="6" t="n">
        <v>20</v>
      </c>
      <c r="L3245" s="6" t="n">
        <v>0</v>
      </c>
      <c r="M3245" s="6" t="n">
        <v>20</v>
      </c>
      <c r="N3245" s="11" t="n">
        <f aca="false">J3245/(J3245+K3245)</f>
        <v>0</v>
      </c>
      <c r="O3245" s="11" t="str">
        <f aca="false">IF(J3245+L3245=0,"",J3245/(J3245+L3245))</f>
        <v/>
      </c>
      <c r="P3245" s="11" t="n">
        <f aca="false">2*J3245/(2*J3245+L3245+K3245)</f>
        <v>0</v>
      </c>
      <c r="Q3245" s="11" t="n">
        <f aca="false">L3245/(L3245+M3245)</f>
        <v>0</v>
      </c>
      <c r="R3245" s="6" t="n">
        <v>0</v>
      </c>
      <c r="S3245" s="11"/>
      <c r="T3245" s="11" t="n">
        <v>0</v>
      </c>
      <c r="U3245" s="11" t="n">
        <v>1</v>
      </c>
      <c r="V3245" s="11" t="n">
        <v>1</v>
      </c>
    </row>
    <row r="3246" customFormat="false" ht="15" hidden="false" customHeight="false" outlineLevel="0" collapsed="false">
      <c r="A3246" s="6" t="s">
        <v>62</v>
      </c>
      <c r="B3246" s="6" t="s">
        <v>63</v>
      </c>
      <c r="C3246" s="6" t="s">
        <v>44</v>
      </c>
      <c r="D3246" s="6" t="s">
        <v>114</v>
      </c>
      <c r="E3246" s="6" t="n">
        <v>16</v>
      </c>
      <c r="F3246" s="6" t="n">
        <v>5</v>
      </c>
      <c r="G3246" s="6" t="s">
        <v>78</v>
      </c>
      <c r="H3246" s="11" t="n">
        <v>0.001</v>
      </c>
      <c r="I3246" s="6" t="n">
        <v>200</v>
      </c>
      <c r="J3246" s="6" t="n">
        <v>0</v>
      </c>
      <c r="K3246" s="6" t="n">
        <v>200</v>
      </c>
      <c r="L3246" s="6" t="n">
        <v>0</v>
      </c>
      <c r="M3246" s="6" t="n">
        <v>200</v>
      </c>
      <c r="N3246" s="11" t="n">
        <f aca="false">J3246/(J3246+K3246)</f>
        <v>0</v>
      </c>
      <c r="O3246" s="11" t="str">
        <f aca="false">IF(J3246+L3246=0,"",J3246/(J3246+L3246))</f>
        <v/>
      </c>
      <c r="P3246" s="11" t="n">
        <f aca="false">2*J3246/(2*J3246+L3246+K3246)</f>
        <v>0</v>
      </c>
      <c r="Q3246" s="11" t="n">
        <f aca="false">L3246/(L3246+M3246)</f>
        <v>0</v>
      </c>
      <c r="R3246" s="6" t="n">
        <v>4</v>
      </c>
      <c r="S3246" s="11" t="n">
        <v>0</v>
      </c>
      <c r="T3246" s="11" t="n">
        <v>0</v>
      </c>
      <c r="U3246" s="11" t="n">
        <v>0.88</v>
      </c>
      <c r="V3246" s="11" t="n">
        <v>0.895</v>
      </c>
    </row>
    <row r="3247" customFormat="false" ht="15" hidden="false" customHeight="false" outlineLevel="0" collapsed="false">
      <c r="A3247" s="6" t="s">
        <v>62</v>
      </c>
      <c r="B3247" s="6" t="s">
        <v>63</v>
      </c>
      <c r="C3247" s="6" t="s">
        <v>44</v>
      </c>
      <c r="D3247" s="6" t="s">
        <v>114</v>
      </c>
      <c r="E3247" s="6" t="n">
        <v>16</v>
      </c>
      <c r="F3247" s="6" t="n">
        <v>6</v>
      </c>
      <c r="G3247" s="6" t="s">
        <v>68</v>
      </c>
      <c r="H3247" s="11" t="n">
        <v>0.001</v>
      </c>
      <c r="I3247" s="6" t="n">
        <v>20</v>
      </c>
      <c r="J3247" s="6" t="n">
        <v>0</v>
      </c>
      <c r="K3247" s="6" t="n">
        <v>20</v>
      </c>
      <c r="L3247" s="6" t="n">
        <v>0</v>
      </c>
      <c r="M3247" s="6" t="n">
        <v>20</v>
      </c>
      <c r="N3247" s="11" t="n">
        <f aca="false">J3247/(J3247+K3247)</f>
        <v>0</v>
      </c>
      <c r="O3247" s="11" t="str">
        <f aca="false">IF(J3247+L3247=0,"",J3247/(J3247+L3247))</f>
        <v/>
      </c>
      <c r="P3247" s="11" t="n">
        <f aca="false">2*J3247/(2*J3247+L3247+K3247)</f>
        <v>0</v>
      </c>
      <c r="Q3247" s="11" t="n">
        <f aca="false">L3247/(L3247+M3247)</f>
        <v>0</v>
      </c>
      <c r="R3247" s="6" t="n">
        <v>0</v>
      </c>
      <c r="S3247" s="11"/>
      <c r="T3247" s="11" t="n">
        <v>0</v>
      </c>
      <c r="U3247" s="11" t="n">
        <v>0.85</v>
      </c>
      <c r="V3247" s="11" t="n">
        <v>0.85</v>
      </c>
    </row>
    <row r="3248" customFormat="false" ht="15" hidden="false" customHeight="false" outlineLevel="0" collapsed="false">
      <c r="A3248" s="6" t="s">
        <v>62</v>
      </c>
      <c r="B3248" s="6" t="s">
        <v>63</v>
      </c>
      <c r="C3248" s="6" t="s">
        <v>44</v>
      </c>
      <c r="D3248" s="6" t="s">
        <v>114</v>
      </c>
      <c r="E3248" s="6" t="n">
        <v>16</v>
      </c>
      <c r="F3248" s="6" t="n">
        <v>6</v>
      </c>
      <c r="G3248" s="6" t="s">
        <v>69</v>
      </c>
      <c r="H3248" s="11" t="n">
        <v>0.001</v>
      </c>
      <c r="I3248" s="6" t="n">
        <v>20</v>
      </c>
      <c r="J3248" s="6" t="n">
        <v>0</v>
      </c>
      <c r="K3248" s="6" t="n">
        <v>20</v>
      </c>
      <c r="L3248" s="6" t="n">
        <v>0</v>
      </c>
      <c r="M3248" s="6" t="n">
        <v>20</v>
      </c>
      <c r="N3248" s="11" t="n">
        <f aca="false">J3248/(J3248+K3248)</f>
        <v>0</v>
      </c>
      <c r="O3248" s="11" t="str">
        <f aca="false">IF(J3248+L3248=0,"",J3248/(J3248+L3248))</f>
        <v/>
      </c>
      <c r="P3248" s="11" t="n">
        <f aca="false">2*J3248/(2*J3248+L3248+K3248)</f>
        <v>0</v>
      </c>
      <c r="Q3248" s="11" t="n">
        <f aca="false">L3248/(L3248+M3248)</f>
        <v>0</v>
      </c>
      <c r="R3248" s="6" t="n">
        <v>0</v>
      </c>
      <c r="S3248" s="11"/>
      <c r="T3248" s="11" t="n">
        <v>0</v>
      </c>
      <c r="U3248" s="11" t="n">
        <v>1</v>
      </c>
      <c r="V3248" s="11" t="n">
        <v>1</v>
      </c>
    </row>
    <row r="3249" customFormat="false" ht="15" hidden="false" customHeight="false" outlineLevel="0" collapsed="false">
      <c r="A3249" s="6" t="s">
        <v>62</v>
      </c>
      <c r="B3249" s="6" t="s">
        <v>63</v>
      </c>
      <c r="C3249" s="6" t="s">
        <v>44</v>
      </c>
      <c r="D3249" s="6" t="s">
        <v>114</v>
      </c>
      <c r="E3249" s="6" t="n">
        <v>16</v>
      </c>
      <c r="F3249" s="6" t="n">
        <v>6</v>
      </c>
      <c r="G3249" s="6" t="s">
        <v>70</v>
      </c>
      <c r="H3249" s="11" t="n">
        <v>0.001</v>
      </c>
      <c r="I3249" s="6" t="n">
        <v>20</v>
      </c>
      <c r="J3249" s="6" t="n">
        <v>0</v>
      </c>
      <c r="K3249" s="6" t="n">
        <v>20</v>
      </c>
      <c r="L3249" s="6" t="n">
        <v>0</v>
      </c>
      <c r="M3249" s="6" t="n">
        <v>20</v>
      </c>
      <c r="N3249" s="11" t="n">
        <f aca="false">J3249/(J3249+K3249)</f>
        <v>0</v>
      </c>
      <c r="O3249" s="11" t="str">
        <f aca="false">IF(J3249+L3249=0,"",J3249/(J3249+L3249))</f>
        <v/>
      </c>
      <c r="P3249" s="11" t="n">
        <f aca="false">2*J3249/(2*J3249+L3249+K3249)</f>
        <v>0</v>
      </c>
      <c r="Q3249" s="11" t="n">
        <f aca="false">L3249/(L3249+M3249)</f>
        <v>0</v>
      </c>
      <c r="R3249" s="6" t="n">
        <v>0</v>
      </c>
      <c r="S3249" s="11"/>
      <c r="T3249" s="11" t="n">
        <v>0</v>
      </c>
      <c r="U3249" s="11" t="n">
        <v>0.9</v>
      </c>
      <c r="V3249" s="11" t="n">
        <v>0.9</v>
      </c>
    </row>
    <row r="3250" customFormat="false" ht="15" hidden="false" customHeight="false" outlineLevel="0" collapsed="false">
      <c r="A3250" s="6" t="s">
        <v>62</v>
      </c>
      <c r="B3250" s="6" t="s">
        <v>63</v>
      </c>
      <c r="C3250" s="6" t="s">
        <v>44</v>
      </c>
      <c r="D3250" s="6" t="s">
        <v>114</v>
      </c>
      <c r="E3250" s="6" t="n">
        <v>16</v>
      </c>
      <c r="F3250" s="6" t="n">
        <v>6</v>
      </c>
      <c r="G3250" s="6" t="s">
        <v>71</v>
      </c>
      <c r="H3250" s="11" t="n">
        <v>0.001</v>
      </c>
      <c r="I3250" s="6" t="n">
        <v>20</v>
      </c>
      <c r="J3250" s="6" t="n">
        <v>0</v>
      </c>
      <c r="K3250" s="6" t="n">
        <v>20</v>
      </c>
      <c r="L3250" s="6" t="n">
        <v>0</v>
      </c>
      <c r="M3250" s="6" t="n">
        <v>20</v>
      </c>
      <c r="N3250" s="11" t="n">
        <f aca="false">J3250/(J3250+K3250)</f>
        <v>0</v>
      </c>
      <c r="O3250" s="11" t="str">
        <f aca="false">IF(J3250+L3250=0,"",J3250/(J3250+L3250))</f>
        <v/>
      </c>
      <c r="P3250" s="11" t="n">
        <f aca="false">2*J3250/(2*J3250+L3250+K3250)</f>
        <v>0</v>
      </c>
      <c r="Q3250" s="11" t="n">
        <f aca="false">L3250/(L3250+M3250)</f>
        <v>0</v>
      </c>
      <c r="R3250" s="6" t="n">
        <v>0</v>
      </c>
      <c r="S3250" s="11"/>
      <c r="T3250" s="11" t="n">
        <v>0</v>
      </c>
      <c r="U3250" s="11" t="n">
        <v>0.8</v>
      </c>
      <c r="V3250" s="11" t="n">
        <v>0.8</v>
      </c>
    </row>
    <row r="3251" customFormat="false" ht="15" hidden="false" customHeight="false" outlineLevel="0" collapsed="false">
      <c r="A3251" s="6" t="s">
        <v>62</v>
      </c>
      <c r="B3251" s="6" t="s">
        <v>63</v>
      </c>
      <c r="C3251" s="6" t="s">
        <v>44</v>
      </c>
      <c r="D3251" s="6" t="s">
        <v>114</v>
      </c>
      <c r="E3251" s="6" t="n">
        <v>16</v>
      </c>
      <c r="F3251" s="6" t="n">
        <v>6</v>
      </c>
      <c r="G3251" s="6" t="s">
        <v>72</v>
      </c>
      <c r="H3251" s="11" t="n">
        <v>0.001</v>
      </c>
      <c r="I3251" s="6" t="n">
        <v>20</v>
      </c>
      <c r="J3251" s="6" t="n">
        <v>0</v>
      </c>
      <c r="K3251" s="6" t="n">
        <v>20</v>
      </c>
      <c r="L3251" s="6" t="n">
        <v>0</v>
      </c>
      <c r="M3251" s="6" t="n">
        <v>20</v>
      </c>
      <c r="N3251" s="11" t="n">
        <f aca="false">J3251/(J3251+K3251)</f>
        <v>0</v>
      </c>
      <c r="O3251" s="11" t="str">
        <f aca="false">IF(J3251+L3251=0,"",J3251/(J3251+L3251))</f>
        <v/>
      </c>
      <c r="P3251" s="11" t="n">
        <f aca="false">2*J3251/(2*J3251+L3251+K3251)</f>
        <v>0</v>
      </c>
      <c r="Q3251" s="11" t="n">
        <f aca="false">L3251/(L3251+M3251)</f>
        <v>0</v>
      </c>
      <c r="R3251" s="6" t="n">
        <v>0</v>
      </c>
      <c r="S3251" s="11"/>
      <c r="T3251" s="11" t="n">
        <v>0</v>
      </c>
      <c r="U3251" s="11" t="n">
        <v>0.9</v>
      </c>
      <c r="V3251" s="11" t="n">
        <v>0.9</v>
      </c>
    </row>
    <row r="3252" customFormat="false" ht="15" hidden="false" customHeight="false" outlineLevel="0" collapsed="false">
      <c r="A3252" s="6" t="s">
        <v>62</v>
      </c>
      <c r="B3252" s="6" t="s">
        <v>63</v>
      </c>
      <c r="C3252" s="6" t="s">
        <v>44</v>
      </c>
      <c r="D3252" s="6" t="s">
        <v>114</v>
      </c>
      <c r="E3252" s="6" t="n">
        <v>16</v>
      </c>
      <c r="F3252" s="6" t="n">
        <v>6</v>
      </c>
      <c r="G3252" s="6" t="s">
        <v>73</v>
      </c>
      <c r="H3252" s="11" t="n">
        <v>0.001</v>
      </c>
      <c r="I3252" s="6" t="n">
        <v>20</v>
      </c>
      <c r="J3252" s="6" t="n">
        <v>0</v>
      </c>
      <c r="K3252" s="6" t="n">
        <v>20</v>
      </c>
      <c r="L3252" s="6" t="n">
        <v>0</v>
      </c>
      <c r="M3252" s="6" t="n">
        <v>20</v>
      </c>
      <c r="N3252" s="11" t="n">
        <f aca="false">J3252/(J3252+K3252)</f>
        <v>0</v>
      </c>
      <c r="O3252" s="11" t="str">
        <f aca="false">IF(J3252+L3252=0,"",J3252/(J3252+L3252))</f>
        <v/>
      </c>
      <c r="P3252" s="11" t="n">
        <f aca="false">2*J3252/(2*J3252+L3252+K3252)</f>
        <v>0</v>
      </c>
      <c r="Q3252" s="11" t="n">
        <f aca="false">L3252/(L3252+M3252)</f>
        <v>0</v>
      </c>
      <c r="R3252" s="6" t="n">
        <v>2</v>
      </c>
      <c r="S3252" s="11" t="n">
        <v>0</v>
      </c>
      <c r="T3252" s="11" t="n">
        <v>0</v>
      </c>
      <c r="U3252" s="11" t="n">
        <v>0.65</v>
      </c>
      <c r="V3252" s="11" t="n">
        <v>0.65</v>
      </c>
    </row>
    <row r="3253" customFormat="false" ht="15" hidden="false" customHeight="false" outlineLevel="0" collapsed="false">
      <c r="A3253" s="6" t="s">
        <v>62</v>
      </c>
      <c r="B3253" s="6" t="s">
        <v>63</v>
      </c>
      <c r="C3253" s="6" t="s">
        <v>44</v>
      </c>
      <c r="D3253" s="6" t="s">
        <v>114</v>
      </c>
      <c r="E3253" s="6" t="n">
        <v>16</v>
      </c>
      <c r="F3253" s="6" t="n">
        <v>6</v>
      </c>
      <c r="G3253" s="6" t="s">
        <v>74</v>
      </c>
      <c r="H3253" s="11" t="n">
        <v>0.001</v>
      </c>
      <c r="I3253" s="6" t="n">
        <v>20</v>
      </c>
      <c r="J3253" s="6" t="n">
        <v>0</v>
      </c>
      <c r="K3253" s="6" t="n">
        <v>20</v>
      </c>
      <c r="L3253" s="6" t="n">
        <v>0</v>
      </c>
      <c r="M3253" s="6" t="n">
        <v>20</v>
      </c>
      <c r="N3253" s="11" t="n">
        <f aca="false">J3253/(J3253+K3253)</f>
        <v>0</v>
      </c>
      <c r="O3253" s="11" t="str">
        <f aca="false">IF(J3253+L3253=0,"",J3253/(J3253+L3253))</f>
        <v/>
      </c>
      <c r="P3253" s="11" t="n">
        <f aca="false">2*J3253/(2*J3253+L3253+K3253)</f>
        <v>0</v>
      </c>
      <c r="Q3253" s="11" t="n">
        <f aca="false">L3253/(L3253+M3253)</f>
        <v>0</v>
      </c>
      <c r="R3253" s="6" t="n">
        <v>2</v>
      </c>
      <c r="S3253" s="11" t="n">
        <v>0</v>
      </c>
      <c r="T3253" s="11" t="n">
        <v>0</v>
      </c>
      <c r="U3253" s="11" t="n">
        <v>0.85</v>
      </c>
      <c r="V3253" s="11" t="n">
        <v>0.75</v>
      </c>
    </row>
    <row r="3254" customFormat="false" ht="15" hidden="false" customHeight="false" outlineLevel="0" collapsed="false">
      <c r="A3254" s="6" t="s">
        <v>62</v>
      </c>
      <c r="B3254" s="6" t="s">
        <v>63</v>
      </c>
      <c r="C3254" s="6" t="s">
        <v>44</v>
      </c>
      <c r="D3254" s="6" t="s">
        <v>114</v>
      </c>
      <c r="E3254" s="6" t="n">
        <v>16</v>
      </c>
      <c r="F3254" s="6" t="n">
        <v>6</v>
      </c>
      <c r="G3254" s="6" t="s">
        <v>75</v>
      </c>
      <c r="H3254" s="11" t="n">
        <v>0.001</v>
      </c>
      <c r="I3254" s="6" t="n">
        <v>20</v>
      </c>
      <c r="J3254" s="6" t="n">
        <v>0</v>
      </c>
      <c r="K3254" s="6" t="n">
        <v>20</v>
      </c>
      <c r="L3254" s="6" t="n">
        <v>0</v>
      </c>
      <c r="M3254" s="6" t="n">
        <v>20</v>
      </c>
      <c r="N3254" s="11" t="n">
        <f aca="false">J3254/(J3254+K3254)</f>
        <v>0</v>
      </c>
      <c r="O3254" s="11" t="str">
        <f aca="false">IF(J3254+L3254=0,"",J3254/(J3254+L3254))</f>
        <v/>
      </c>
      <c r="P3254" s="11" t="n">
        <f aca="false">2*J3254/(2*J3254+L3254+K3254)</f>
        <v>0</v>
      </c>
      <c r="Q3254" s="11" t="n">
        <f aca="false">L3254/(L3254+M3254)</f>
        <v>0</v>
      </c>
      <c r="R3254" s="6" t="n">
        <v>0</v>
      </c>
      <c r="S3254" s="11"/>
      <c r="T3254" s="11" t="n">
        <v>0</v>
      </c>
      <c r="U3254" s="11" t="n">
        <v>0.9</v>
      </c>
      <c r="V3254" s="11" t="n">
        <v>0.9</v>
      </c>
    </row>
    <row r="3255" customFormat="false" ht="15" hidden="false" customHeight="false" outlineLevel="0" collapsed="false">
      <c r="A3255" s="6" t="s">
        <v>62</v>
      </c>
      <c r="B3255" s="6" t="s">
        <v>63</v>
      </c>
      <c r="C3255" s="6" t="s">
        <v>44</v>
      </c>
      <c r="D3255" s="6" t="s">
        <v>114</v>
      </c>
      <c r="E3255" s="6" t="n">
        <v>16</v>
      </c>
      <c r="F3255" s="6" t="n">
        <v>6</v>
      </c>
      <c r="G3255" s="6" t="s">
        <v>76</v>
      </c>
      <c r="H3255" s="11" t="n">
        <v>0.001</v>
      </c>
      <c r="I3255" s="6" t="n">
        <v>20</v>
      </c>
      <c r="J3255" s="6" t="n">
        <v>0</v>
      </c>
      <c r="K3255" s="6" t="n">
        <v>20</v>
      </c>
      <c r="L3255" s="6" t="n">
        <v>0</v>
      </c>
      <c r="M3255" s="6" t="n">
        <v>20</v>
      </c>
      <c r="N3255" s="11" t="n">
        <f aca="false">J3255/(J3255+K3255)</f>
        <v>0</v>
      </c>
      <c r="O3255" s="11" t="str">
        <f aca="false">IF(J3255+L3255=0,"",J3255/(J3255+L3255))</f>
        <v/>
      </c>
      <c r="P3255" s="11" t="n">
        <f aca="false">2*J3255/(2*J3255+L3255+K3255)</f>
        <v>0</v>
      </c>
      <c r="Q3255" s="11" t="n">
        <f aca="false">L3255/(L3255+M3255)</f>
        <v>0</v>
      </c>
      <c r="R3255" s="6" t="n">
        <v>0</v>
      </c>
      <c r="S3255" s="11"/>
      <c r="T3255" s="11" t="n">
        <v>0</v>
      </c>
      <c r="U3255" s="11" t="n">
        <v>0.95</v>
      </c>
      <c r="V3255" s="11" t="n">
        <v>0.95</v>
      </c>
    </row>
    <row r="3256" customFormat="false" ht="15" hidden="false" customHeight="false" outlineLevel="0" collapsed="false">
      <c r="A3256" s="6" t="s">
        <v>62</v>
      </c>
      <c r="B3256" s="6" t="s">
        <v>63</v>
      </c>
      <c r="C3256" s="6" t="s">
        <v>44</v>
      </c>
      <c r="D3256" s="6" t="s">
        <v>114</v>
      </c>
      <c r="E3256" s="6" t="n">
        <v>16</v>
      </c>
      <c r="F3256" s="6" t="n">
        <v>6</v>
      </c>
      <c r="G3256" s="6" t="s">
        <v>77</v>
      </c>
      <c r="H3256" s="11" t="n">
        <v>0.001</v>
      </c>
      <c r="I3256" s="6" t="n">
        <v>20</v>
      </c>
      <c r="J3256" s="6" t="n">
        <v>0</v>
      </c>
      <c r="K3256" s="6" t="n">
        <v>20</v>
      </c>
      <c r="L3256" s="6" t="n">
        <v>0</v>
      </c>
      <c r="M3256" s="6" t="n">
        <v>20</v>
      </c>
      <c r="N3256" s="11" t="n">
        <f aca="false">J3256/(J3256+K3256)</f>
        <v>0</v>
      </c>
      <c r="O3256" s="11" t="str">
        <f aca="false">IF(J3256+L3256=0,"",J3256/(J3256+L3256))</f>
        <v/>
      </c>
      <c r="P3256" s="11" t="n">
        <f aca="false">2*J3256/(2*J3256+L3256+K3256)</f>
        <v>0</v>
      </c>
      <c r="Q3256" s="11" t="n">
        <f aca="false">L3256/(L3256+M3256)</f>
        <v>0</v>
      </c>
      <c r="R3256" s="6" t="n">
        <v>0</v>
      </c>
      <c r="S3256" s="11"/>
      <c r="T3256" s="11" t="n">
        <v>0</v>
      </c>
      <c r="U3256" s="11" t="n">
        <v>1</v>
      </c>
      <c r="V3256" s="11" t="n">
        <v>1</v>
      </c>
    </row>
    <row r="3257" customFormat="false" ht="15" hidden="false" customHeight="false" outlineLevel="0" collapsed="false">
      <c r="A3257" s="6" t="s">
        <v>62</v>
      </c>
      <c r="B3257" s="6" t="s">
        <v>63</v>
      </c>
      <c r="C3257" s="6" t="s">
        <v>44</v>
      </c>
      <c r="D3257" s="6" t="s">
        <v>114</v>
      </c>
      <c r="E3257" s="6" t="n">
        <v>16</v>
      </c>
      <c r="F3257" s="6" t="n">
        <v>6</v>
      </c>
      <c r="G3257" s="6" t="s">
        <v>78</v>
      </c>
      <c r="H3257" s="11" t="n">
        <v>0.001</v>
      </c>
      <c r="I3257" s="6" t="n">
        <v>200</v>
      </c>
      <c r="J3257" s="6" t="n">
        <v>0</v>
      </c>
      <c r="K3257" s="6" t="n">
        <v>200</v>
      </c>
      <c r="L3257" s="6" t="n">
        <v>0</v>
      </c>
      <c r="M3257" s="6" t="n">
        <v>200</v>
      </c>
      <c r="N3257" s="11" t="n">
        <f aca="false">J3257/(J3257+K3257)</f>
        <v>0</v>
      </c>
      <c r="O3257" s="11" t="str">
        <f aca="false">IF(J3257+L3257=0,"",J3257/(J3257+L3257))</f>
        <v/>
      </c>
      <c r="P3257" s="11" t="n">
        <f aca="false">2*J3257/(2*J3257+L3257+K3257)</f>
        <v>0</v>
      </c>
      <c r="Q3257" s="11" t="n">
        <f aca="false">L3257/(L3257+M3257)</f>
        <v>0</v>
      </c>
      <c r="R3257" s="6" t="n">
        <v>4</v>
      </c>
      <c r="S3257" s="11" t="n">
        <v>0</v>
      </c>
      <c r="T3257" s="11" t="n">
        <v>0</v>
      </c>
      <c r="U3257" s="11" t="n">
        <v>0.88</v>
      </c>
      <c r="V3257" s="11" t="n">
        <v>0.87</v>
      </c>
    </row>
    <row r="3258" customFormat="false" ht="15" hidden="false" customHeight="false" outlineLevel="0" collapsed="false">
      <c r="A3258" s="6" t="s">
        <v>62</v>
      </c>
      <c r="B3258" s="6" t="s">
        <v>63</v>
      </c>
      <c r="C3258" s="6" t="s">
        <v>44</v>
      </c>
      <c r="D3258" s="6" t="s">
        <v>114</v>
      </c>
      <c r="E3258" s="6" t="n">
        <v>16</v>
      </c>
      <c r="F3258" s="6" t="n">
        <v>7</v>
      </c>
      <c r="G3258" s="6" t="s">
        <v>68</v>
      </c>
      <c r="H3258" s="11" t="n">
        <v>0.001</v>
      </c>
      <c r="I3258" s="6" t="n">
        <v>20</v>
      </c>
      <c r="J3258" s="6" t="n">
        <v>0</v>
      </c>
      <c r="K3258" s="6" t="n">
        <v>20</v>
      </c>
      <c r="L3258" s="6" t="n">
        <v>0</v>
      </c>
      <c r="M3258" s="6" t="n">
        <v>20</v>
      </c>
      <c r="N3258" s="11" t="n">
        <f aca="false">J3258/(J3258+K3258)</f>
        <v>0</v>
      </c>
      <c r="O3258" s="11" t="str">
        <f aca="false">IF(J3258+L3258=0,"",J3258/(J3258+L3258))</f>
        <v/>
      </c>
      <c r="P3258" s="11" t="n">
        <f aca="false">2*J3258/(2*J3258+L3258+K3258)</f>
        <v>0</v>
      </c>
      <c r="Q3258" s="11" t="n">
        <f aca="false">L3258/(L3258+M3258)</f>
        <v>0</v>
      </c>
      <c r="R3258" s="6" t="n">
        <v>1</v>
      </c>
      <c r="S3258" s="11" t="n">
        <v>0</v>
      </c>
      <c r="T3258" s="11" t="n">
        <v>0</v>
      </c>
      <c r="U3258" s="11" t="n">
        <v>0.85</v>
      </c>
      <c r="V3258" s="11" t="n">
        <v>0.8</v>
      </c>
    </row>
    <row r="3259" customFormat="false" ht="15" hidden="false" customHeight="false" outlineLevel="0" collapsed="false">
      <c r="A3259" s="6" t="s">
        <v>62</v>
      </c>
      <c r="B3259" s="6" t="s">
        <v>63</v>
      </c>
      <c r="C3259" s="6" t="s">
        <v>44</v>
      </c>
      <c r="D3259" s="6" t="s">
        <v>114</v>
      </c>
      <c r="E3259" s="6" t="n">
        <v>16</v>
      </c>
      <c r="F3259" s="6" t="n">
        <v>7</v>
      </c>
      <c r="G3259" s="6" t="s">
        <v>69</v>
      </c>
      <c r="H3259" s="11" t="n">
        <v>0.001</v>
      </c>
      <c r="I3259" s="6" t="n">
        <v>20</v>
      </c>
      <c r="J3259" s="6" t="n">
        <v>0</v>
      </c>
      <c r="K3259" s="6" t="n">
        <v>20</v>
      </c>
      <c r="L3259" s="6" t="n">
        <v>0</v>
      </c>
      <c r="M3259" s="6" t="n">
        <v>20</v>
      </c>
      <c r="N3259" s="11" t="n">
        <f aca="false">J3259/(J3259+K3259)</f>
        <v>0</v>
      </c>
      <c r="O3259" s="11" t="str">
        <f aca="false">IF(J3259+L3259=0,"",J3259/(J3259+L3259))</f>
        <v/>
      </c>
      <c r="P3259" s="11" t="n">
        <f aca="false">2*J3259/(2*J3259+L3259+K3259)</f>
        <v>0</v>
      </c>
      <c r="Q3259" s="11" t="n">
        <f aca="false">L3259/(L3259+M3259)</f>
        <v>0</v>
      </c>
      <c r="R3259" s="6" t="n">
        <v>0</v>
      </c>
      <c r="S3259" s="11"/>
      <c r="T3259" s="11" t="n">
        <v>0</v>
      </c>
      <c r="U3259" s="11" t="n">
        <v>1</v>
      </c>
      <c r="V3259" s="11" t="n">
        <v>1</v>
      </c>
    </row>
    <row r="3260" customFormat="false" ht="15" hidden="false" customHeight="false" outlineLevel="0" collapsed="false">
      <c r="A3260" s="6" t="s">
        <v>62</v>
      </c>
      <c r="B3260" s="6" t="s">
        <v>63</v>
      </c>
      <c r="C3260" s="6" t="s">
        <v>44</v>
      </c>
      <c r="D3260" s="6" t="s">
        <v>114</v>
      </c>
      <c r="E3260" s="6" t="n">
        <v>16</v>
      </c>
      <c r="F3260" s="6" t="n">
        <v>7</v>
      </c>
      <c r="G3260" s="6" t="s">
        <v>70</v>
      </c>
      <c r="H3260" s="11" t="n">
        <v>0.001</v>
      </c>
      <c r="I3260" s="6" t="n">
        <v>20</v>
      </c>
      <c r="J3260" s="6" t="n">
        <v>0</v>
      </c>
      <c r="K3260" s="6" t="n">
        <v>20</v>
      </c>
      <c r="L3260" s="6" t="n">
        <v>0</v>
      </c>
      <c r="M3260" s="6" t="n">
        <v>20</v>
      </c>
      <c r="N3260" s="11" t="n">
        <f aca="false">J3260/(J3260+K3260)</f>
        <v>0</v>
      </c>
      <c r="O3260" s="11" t="str">
        <f aca="false">IF(J3260+L3260=0,"",J3260/(J3260+L3260))</f>
        <v/>
      </c>
      <c r="P3260" s="11" t="n">
        <f aca="false">2*J3260/(2*J3260+L3260+K3260)</f>
        <v>0</v>
      </c>
      <c r="Q3260" s="11" t="n">
        <f aca="false">L3260/(L3260+M3260)</f>
        <v>0</v>
      </c>
      <c r="R3260" s="6" t="n">
        <v>0</v>
      </c>
      <c r="S3260" s="11"/>
      <c r="T3260" s="11" t="n">
        <v>0</v>
      </c>
      <c r="U3260" s="11" t="n">
        <v>0.9</v>
      </c>
      <c r="V3260" s="11" t="n">
        <v>0.9</v>
      </c>
    </row>
    <row r="3261" customFormat="false" ht="15" hidden="false" customHeight="false" outlineLevel="0" collapsed="false">
      <c r="A3261" s="6" t="s">
        <v>62</v>
      </c>
      <c r="B3261" s="6" t="s">
        <v>63</v>
      </c>
      <c r="C3261" s="6" t="s">
        <v>44</v>
      </c>
      <c r="D3261" s="6" t="s">
        <v>114</v>
      </c>
      <c r="E3261" s="6" t="n">
        <v>16</v>
      </c>
      <c r="F3261" s="6" t="n">
        <v>7</v>
      </c>
      <c r="G3261" s="6" t="s">
        <v>71</v>
      </c>
      <c r="H3261" s="11" t="n">
        <v>0.001</v>
      </c>
      <c r="I3261" s="6" t="n">
        <v>20</v>
      </c>
      <c r="J3261" s="6" t="n">
        <v>0</v>
      </c>
      <c r="K3261" s="6" t="n">
        <v>20</v>
      </c>
      <c r="L3261" s="6" t="n">
        <v>0</v>
      </c>
      <c r="M3261" s="6" t="n">
        <v>20</v>
      </c>
      <c r="N3261" s="11" t="n">
        <f aca="false">J3261/(J3261+K3261)</f>
        <v>0</v>
      </c>
      <c r="O3261" s="11" t="str">
        <f aca="false">IF(J3261+L3261=0,"",J3261/(J3261+L3261))</f>
        <v/>
      </c>
      <c r="P3261" s="11" t="n">
        <f aca="false">2*J3261/(2*J3261+L3261+K3261)</f>
        <v>0</v>
      </c>
      <c r="Q3261" s="11" t="n">
        <f aca="false">L3261/(L3261+M3261)</f>
        <v>0</v>
      </c>
      <c r="R3261" s="6" t="n">
        <v>0</v>
      </c>
      <c r="S3261" s="11"/>
      <c r="T3261" s="11" t="n">
        <v>0</v>
      </c>
      <c r="U3261" s="11" t="n">
        <v>0.8</v>
      </c>
      <c r="V3261" s="11" t="n">
        <v>0.8</v>
      </c>
    </row>
    <row r="3262" customFormat="false" ht="15" hidden="false" customHeight="false" outlineLevel="0" collapsed="false">
      <c r="A3262" s="6" t="s">
        <v>62</v>
      </c>
      <c r="B3262" s="6" t="s">
        <v>63</v>
      </c>
      <c r="C3262" s="6" t="s">
        <v>44</v>
      </c>
      <c r="D3262" s="6" t="s">
        <v>114</v>
      </c>
      <c r="E3262" s="6" t="n">
        <v>16</v>
      </c>
      <c r="F3262" s="6" t="n">
        <v>7</v>
      </c>
      <c r="G3262" s="6" t="s">
        <v>72</v>
      </c>
      <c r="H3262" s="11" t="n">
        <v>0.001</v>
      </c>
      <c r="I3262" s="6" t="n">
        <v>20</v>
      </c>
      <c r="J3262" s="6" t="n">
        <v>0</v>
      </c>
      <c r="K3262" s="6" t="n">
        <v>20</v>
      </c>
      <c r="L3262" s="6" t="n">
        <v>0</v>
      </c>
      <c r="M3262" s="6" t="n">
        <v>20</v>
      </c>
      <c r="N3262" s="11" t="n">
        <f aca="false">J3262/(J3262+K3262)</f>
        <v>0</v>
      </c>
      <c r="O3262" s="11" t="str">
        <f aca="false">IF(J3262+L3262=0,"",J3262/(J3262+L3262))</f>
        <v/>
      </c>
      <c r="P3262" s="11" t="n">
        <f aca="false">2*J3262/(2*J3262+L3262+K3262)</f>
        <v>0</v>
      </c>
      <c r="Q3262" s="11" t="n">
        <f aca="false">L3262/(L3262+M3262)</f>
        <v>0</v>
      </c>
      <c r="R3262" s="6" t="n">
        <v>0</v>
      </c>
      <c r="S3262" s="11"/>
      <c r="T3262" s="11" t="n">
        <v>0</v>
      </c>
      <c r="U3262" s="11" t="n">
        <v>0.9</v>
      </c>
      <c r="V3262" s="11" t="n">
        <v>0.9</v>
      </c>
    </row>
    <row r="3263" customFormat="false" ht="15" hidden="false" customHeight="false" outlineLevel="0" collapsed="false">
      <c r="A3263" s="6" t="s">
        <v>62</v>
      </c>
      <c r="B3263" s="6" t="s">
        <v>63</v>
      </c>
      <c r="C3263" s="6" t="s">
        <v>44</v>
      </c>
      <c r="D3263" s="6" t="s">
        <v>114</v>
      </c>
      <c r="E3263" s="6" t="n">
        <v>16</v>
      </c>
      <c r="F3263" s="6" t="n">
        <v>7</v>
      </c>
      <c r="G3263" s="6" t="s">
        <v>73</v>
      </c>
      <c r="H3263" s="11" t="n">
        <v>0.001</v>
      </c>
      <c r="I3263" s="6" t="n">
        <v>20</v>
      </c>
      <c r="J3263" s="6" t="n">
        <v>0</v>
      </c>
      <c r="K3263" s="6" t="n">
        <v>20</v>
      </c>
      <c r="L3263" s="6" t="n">
        <v>0</v>
      </c>
      <c r="M3263" s="6" t="n">
        <v>20</v>
      </c>
      <c r="N3263" s="11" t="n">
        <f aca="false">J3263/(J3263+K3263)</f>
        <v>0</v>
      </c>
      <c r="O3263" s="11" t="str">
        <f aca="false">IF(J3263+L3263=0,"",J3263/(J3263+L3263))</f>
        <v/>
      </c>
      <c r="P3263" s="11" t="n">
        <f aca="false">2*J3263/(2*J3263+L3263+K3263)</f>
        <v>0</v>
      </c>
      <c r="Q3263" s="11" t="n">
        <f aca="false">L3263/(L3263+M3263)</f>
        <v>0</v>
      </c>
      <c r="R3263" s="6" t="n">
        <v>0</v>
      </c>
      <c r="S3263" s="11"/>
      <c r="T3263" s="11" t="n">
        <v>0</v>
      </c>
      <c r="U3263" s="11" t="n">
        <v>0.65</v>
      </c>
      <c r="V3263" s="11" t="n">
        <v>0.65</v>
      </c>
    </row>
    <row r="3264" customFormat="false" ht="15" hidden="false" customHeight="false" outlineLevel="0" collapsed="false">
      <c r="A3264" s="6" t="s">
        <v>62</v>
      </c>
      <c r="B3264" s="6" t="s">
        <v>63</v>
      </c>
      <c r="C3264" s="6" t="s">
        <v>44</v>
      </c>
      <c r="D3264" s="6" t="s">
        <v>114</v>
      </c>
      <c r="E3264" s="6" t="n">
        <v>16</v>
      </c>
      <c r="F3264" s="6" t="n">
        <v>7</v>
      </c>
      <c r="G3264" s="6" t="s">
        <v>74</v>
      </c>
      <c r="H3264" s="11" t="n">
        <v>0.001</v>
      </c>
      <c r="I3264" s="6" t="n">
        <v>20</v>
      </c>
      <c r="J3264" s="6" t="n">
        <v>0</v>
      </c>
      <c r="K3264" s="6" t="n">
        <v>20</v>
      </c>
      <c r="L3264" s="6" t="n">
        <v>0</v>
      </c>
      <c r="M3264" s="6" t="n">
        <v>20</v>
      </c>
      <c r="N3264" s="11" t="n">
        <f aca="false">J3264/(J3264+K3264)</f>
        <v>0</v>
      </c>
      <c r="O3264" s="11" t="str">
        <f aca="false">IF(J3264+L3264=0,"",J3264/(J3264+L3264))</f>
        <v/>
      </c>
      <c r="P3264" s="11" t="n">
        <f aca="false">2*J3264/(2*J3264+L3264+K3264)</f>
        <v>0</v>
      </c>
      <c r="Q3264" s="11" t="n">
        <f aca="false">L3264/(L3264+M3264)</f>
        <v>0</v>
      </c>
      <c r="R3264" s="6" t="n">
        <v>1</v>
      </c>
      <c r="S3264" s="11" t="n">
        <v>0</v>
      </c>
      <c r="T3264" s="11" t="n">
        <v>0</v>
      </c>
      <c r="U3264" s="11" t="n">
        <v>0.85</v>
      </c>
      <c r="V3264" s="11" t="n">
        <v>0.9</v>
      </c>
    </row>
    <row r="3265" customFormat="false" ht="15" hidden="false" customHeight="false" outlineLevel="0" collapsed="false">
      <c r="A3265" s="6" t="s">
        <v>62</v>
      </c>
      <c r="B3265" s="6" t="s">
        <v>63</v>
      </c>
      <c r="C3265" s="6" t="s">
        <v>44</v>
      </c>
      <c r="D3265" s="6" t="s">
        <v>114</v>
      </c>
      <c r="E3265" s="6" t="n">
        <v>16</v>
      </c>
      <c r="F3265" s="6" t="n">
        <v>7</v>
      </c>
      <c r="G3265" s="6" t="s">
        <v>75</v>
      </c>
      <c r="H3265" s="11" t="n">
        <v>0.001</v>
      </c>
      <c r="I3265" s="6" t="n">
        <v>20</v>
      </c>
      <c r="J3265" s="6" t="n">
        <v>0</v>
      </c>
      <c r="K3265" s="6" t="n">
        <v>20</v>
      </c>
      <c r="L3265" s="6" t="n">
        <v>0</v>
      </c>
      <c r="M3265" s="6" t="n">
        <v>20</v>
      </c>
      <c r="N3265" s="11" t="n">
        <f aca="false">J3265/(J3265+K3265)</f>
        <v>0</v>
      </c>
      <c r="O3265" s="11" t="str">
        <f aca="false">IF(J3265+L3265=0,"",J3265/(J3265+L3265))</f>
        <v/>
      </c>
      <c r="P3265" s="11" t="n">
        <f aca="false">2*J3265/(2*J3265+L3265+K3265)</f>
        <v>0</v>
      </c>
      <c r="Q3265" s="11" t="n">
        <f aca="false">L3265/(L3265+M3265)</f>
        <v>0</v>
      </c>
      <c r="R3265" s="6" t="n">
        <v>1</v>
      </c>
      <c r="S3265" s="11" t="n">
        <v>0</v>
      </c>
      <c r="T3265" s="11" t="n">
        <v>0</v>
      </c>
      <c r="U3265" s="11" t="n">
        <v>0.9</v>
      </c>
      <c r="V3265" s="11" t="n">
        <v>0.95</v>
      </c>
    </row>
    <row r="3266" customFormat="false" ht="15" hidden="false" customHeight="false" outlineLevel="0" collapsed="false">
      <c r="A3266" s="6" t="s">
        <v>62</v>
      </c>
      <c r="B3266" s="6" t="s">
        <v>63</v>
      </c>
      <c r="C3266" s="6" t="s">
        <v>44</v>
      </c>
      <c r="D3266" s="6" t="s">
        <v>114</v>
      </c>
      <c r="E3266" s="6" t="n">
        <v>16</v>
      </c>
      <c r="F3266" s="6" t="n">
        <v>7</v>
      </c>
      <c r="G3266" s="6" t="s">
        <v>76</v>
      </c>
      <c r="H3266" s="11" t="n">
        <v>0.001</v>
      </c>
      <c r="I3266" s="6" t="n">
        <v>20</v>
      </c>
      <c r="J3266" s="6" t="n">
        <v>0</v>
      </c>
      <c r="K3266" s="6" t="n">
        <v>20</v>
      </c>
      <c r="L3266" s="6" t="n">
        <v>0</v>
      </c>
      <c r="M3266" s="6" t="n">
        <v>20</v>
      </c>
      <c r="N3266" s="11" t="n">
        <f aca="false">J3266/(J3266+K3266)</f>
        <v>0</v>
      </c>
      <c r="O3266" s="11" t="str">
        <f aca="false">IF(J3266+L3266=0,"",J3266/(J3266+L3266))</f>
        <v/>
      </c>
      <c r="P3266" s="11" t="n">
        <f aca="false">2*J3266/(2*J3266+L3266+K3266)</f>
        <v>0</v>
      </c>
      <c r="Q3266" s="11" t="n">
        <f aca="false">L3266/(L3266+M3266)</f>
        <v>0</v>
      </c>
      <c r="R3266" s="6" t="n">
        <v>0</v>
      </c>
      <c r="S3266" s="11"/>
      <c r="T3266" s="11" t="n">
        <v>0</v>
      </c>
      <c r="U3266" s="11" t="n">
        <v>0.95</v>
      </c>
      <c r="V3266" s="11" t="n">
        <v>0.95</v>
      </c>
    </row>
    <row r="3267" customFormat="false" ht="15" hidden="false" customHeight="false" outlineLevel="0" collapsed="false">
      <c r="A3267" s="6" t="s">
        <v>62</v>
      </c>
      <c r="B3267" s="6" t="s">
        <v>63</v>
      </c>
      <c r="C3267" s="6" t="s">
        <v>44</v>
      </c>
      <c r="D3267" s="6" t="s">
        <v>114</v>
      </c>
      <c r="E3267" s="6" t="n">
        <v>16</v>
      </c>
      <c r="F3267" s="6" t="n">
        <v>7</v>
      </c>
      <c r="G3267" s="6" t="s">
        <v>77</v>
      </c>
      <c r="H3267" s="11" t="n">
        <v>0.001</v>
      </c>
      <c r="I3267" s="6" t="n">
        <v>20</v>
      </c>
      <c r="J3267" s="6" t="n">
        <v>0</v>
      </c>
      <c r="K3267" s="6" t="n">
        <v>20</v>
      </c>
      <c r="L3267" s="6" t="n">
        <v>0</v>
      </c>
      <c r="M3267" s="6" t="n">
        <v>20</v>
      </c>
      <c r="N3267" s="11" t="n">
        <f aca="false">J3267/(J3267+K3267)</f>
        <v>0</v>
      </c>
      <c r="O3267" s="11" t="str">
        <f aca="false">IF(J3267+L3267=0,"",J3267/(J3267+L3267))</f>
        <v/>
      </c>
      <c r="P3267" s="11" t="n">
        <f aca="false">2*J3267/(2*J3267+L3267+K3267)</f>
        <v>0</v>
      </c>
      <c r="Q3267" s="11" t="n">
        <f aca="false">L3267/(L3267+M3267)</f>
        <v>0</v>
      </c>
      <c r="R3267" s="6" t="n">
        <v>0</v>
      </c>
      <c r="S3267" s="11"/>
      <c r="T3267" s="11" t="n">
        <v>0</v>
      </c>
      <c r="U3267" s="11" t="n">
        <v>1</v>
      </c>
      <c r="V3267" s="11" t="n">
        <v>1</v>
      </c>
    </row>
    <row r="3268" customFormat="false" ht="15" hidden="false" customHeight="false" outlineLevel="0" collapsed="false">
      <c r="A3268" s="6" t="s">
        <v>62</v>
      </c>
      <c r="B3268" s="6" t="s">
        <v>63</v>
      </c>
      <c r="C3268" s="6" t="s">
        <v>44</v>
      </c>
      <c r="D3268" s="6" t="s">
        <v>114</v>
      </c>
      <c r="E3268" s="6" t="n">
        <v>16</v>
      </c>
      <c r="F3268" s="6" t="n">
        <v>7</v>
      </c>
      <c r="G3268" s="6" t="s">
        <v>78</v>
      </c>
      <c r="H3268" s="11" t="n">
        <v>0.001</v>
      </c>
      <c r="I3268" s="6" t="n">
        <v>200</v>
      </c>
      <c r="J3268" s="6" t="n">
        <v>0</v>
      </c>
      <c r="K3268" s="6" t="n">
        <v>200</v>
      </c>
      <c r="L3268" s="6" t="n">
        <v>0</v>
      </c>
      <c r="M3268" s="6" t="n">
        <v>200</v>
      </c>
      <c r="N3268" s="11" t="n">
        <f aca="false">J3268/(J3268+K3268)</f>
        <v>0</v>
      </c>
      <c r="O3268" s="11" t="str">
        <f aca="false">IF(J3268+L3268=0,"",J3268/(J3268+L3268))</f>
        <v/>
      </c>
      <c r="P3268" s="11" t="n">
        <f aca="false">2*J3268/(2*J3268+L3268+K3268)</f>
        <v>0</v>
      </c>
      <c r="Q3268" s="11" t="n">
        <f aca="false">L3268/(L3268+M3268)</f>
        <v>0</v>
      </c>
      <c r="R3268" s="6" t="n">
        <v>3</v>
      </c>
      <c r="S3268" s="11" t="n">
        <v>0</v>
      </c>
      <c r="T3268" s="11" t="n">
        <v>0</v>
      </c>
      <c r="U3268" s="11" t="n">
        <v>0.88</v>
      </c>
      <c r="V3268" s="11" t="n">
        <v>0.885</v>
      </c>
    </row>
    <row r="3269" customFormat="false" ht="15" hidden="false" customHeight="false" outlineLevel="0" collapsed="false">
      <c r="A3269" s="6" t="s">
        <v>62</v>
      </c>
      <c r="B3269" s="6" t="s">
        <v>63</v>
      </c>
      <c r="C3269" s="6" t="s">
        <v>44</v>
      </c>
      <c r="D3269" s="6" t="s">
        <v>114</v>
      </c>
      <c r="E3269" s="6" t="n">
        <v>16</v>
      </c>
      <c r="F3269" s="6" t="n">
        <v>8</v>
      </c>
      <c r="G3269" s="6" t="s">
        <v>68</v>
      </c>
      <c r="H3269" s="11" t="n">
        <v>0.001</v>
      </c>
      <c r="I3269" s="6" t="n">
        <v>20</v>
      </c>
      <c r="J3269" s="6" t="n">
        <v>0</v>
      </c>
      <c r="K3269" s="6" t="n">
        <v>20</v>
      </c>
      <c r="L3269" s="6" t="n">
        <v>0</v>
      </c>
      <c r="M3269" s="6" t="n">
        <v>20</v>
      </c>
      <c r="N3269" s="11" t="n">
        <f aca="false">J3269/(J3269+K3269)</f>
        <v>0</v>
      </c>
      <c r="O3269" s="11" t="str">
        <f aca="false">IF(J3269+L3269=0,"",J3269/(J3269+L3269))</f>
        <v/>
      </c>
      <c r="P3269" s="11" t="n">
        <f aca="false">2*J3269/(2*J3269+L3269+K3269)</f>
        <v>0</v>
      </c>
      <c r="Q3269" s="11" t="n">
        <f aca="false">L3269/(L3269+M3269)</f>
        <v>0</v>
      </c>
      <c r="R3269" s="6" t="n">
        <v>0</v>
      </c>
      <c r="S3269" s="11"/>
      <c r="T3269" s="11" t="n">
        <v>0</v>
      </c>
      <c r="U3269" s="11" t="n">
        <v>0.85</v>
      </c>
      <c r="V3269" s="11" t="n">
        <v>0.85</v>
      </c>
    </row>
    <row r="3270" customFormat="false" ht="15" hidden="false" customHeight="false" outlineLevel="0" collapsed="false">
      <c r="A3270" s="6" t="s">
        <v>62</v>
      </c>
      <c r="B3270" s="6" t="s">
        <v>63</v>
      </c>
      <c r="C3270" s="6" t="s">
        <v>44</v>
      </c>
      <c r="D3270" s="6" t="s">
        <v>114</v>
      </c>
      <c r="E3270" s="6" t="n">
        <v>16</v>
      </c>
      <c r="F3270" s="6" t="n">
        <v>8</v>
      </c>
      <c r="G3270" s="6" t="s">
        <v>69</v>
      </c>
      <c r="H3270" s="11" t="n">
        <v>0.001</v>
      </c>
      <c r="I3270" s="6" t="n">
        <v>20</v>
      </c>
      <c r="J3270" s="6" t="n">
        <v>0</v>
      </c>
      <c r="K3270" s="6" t="n">
        <v>20</v>
      </c>
      <c r="L3270" s="6" t="n">
        <v>0</v>
      </c>
      <c r="M3270" s="6" t="n">
        <v>20</v>
      </c>
      <c r="N3270" s="11" t="n">
        <f aca="false">J3270/(J3270+K3270)</f>
        <v>0</v>
      </c>
      <c r="O3270" s="11" t="str">
        <f aca="false">IF(J3270+L3270=0,"",J3270/(J3270+L3270))</f>
        <v/>
      </c>
      <c r="P3270" s="11" t="n">
        <f aca="false">2*J3270/(2*J3270+L3270+K3270)</f>
        <v>0</v>
      </c>
      <c r="Q3270" s="11" t="n">
        <f aca="false">L3270/(L3270+M3270)</f>
        <v>0</v>
      </c>
      <c r="R3270" s="6" t="n">
        <v>0</v>
      </c>
      <c r="S3270" s="11"/>
      <c r="T3270" s="11" t="n">
        <v>0</v>
      </c>
      <c r="U3270" s="11" t="n">
        <v>1</v>
      </c>
      <c r="V3270" s="11" t="n">
        <v>1</v>
      </c>
    </row>
    <row r="3271" customFormat="false" ht="15" hidden="false" customHeight="false" outlineLevel="0" collapsed="false">
      <c r="A3271" s="6" t="s">
        <v>62</v>
      </c>
      <c r="B3271" s="6" t="s">
        <v>63</v>
      </c>
      <c r="C3271" s="6" t="s">
        <v>44</v>
      </c>
      <c r="D3271" s="6" t="s">
        <v>114</v>
      </c>
      <c r="E3271" s="6" t="n">
        <v>16</v>
      </c>
      <c r="F3271" s="6" t="n">
        <v>8</v>
      </c>
      <c r="G3271" s="6" t="s">
        <v>70</v>
      </c>
      <c r="H3271" s="11" t="n">
        <v>0.001</v>
      </c>
      <c r="I3271" s="6" t="n">
        <v>20</v>
      </c>
      <c r="J3271" s="6" t="n">
        <v>0</v>
      </c>
      <c r="K3271" s="6" t="n">
        <v>20</v>
      </c>
      <c r="L3271" s="6" t="n">
        <v>0</v>
      </c>
      <c r="M3271" s="6" t="n">
        <v>20</v>
      </c>
      <c r="N3271" s="11" t="n">
        <f aca="false">J3271/(J3271+K3271)</f>
        <v>0</v>
      </c>
      <c r="O3271" s="11" t="str">
        <f aca="false">IF(J3271+L3271=0,"",J3271/(J3271+L3271))</f>
        <v/>
      </c>
      <c r="P3271" s="11" t="n">
        <f aca="false">2*J3271/(2*J3271+L3271+K3271)</f>
        <v>0</v>
      </c>
      <c r="Q3271" s="11" t="n">
        <f aca="false">L3271/(L3271+M3271)</f>
        <v>0</v>
      </c>
      <c r="R3271" s="6" t="n">
        <v>0</v>
      </c>
      <c r="S3271" s="11"/>
      <c r="T3271" s="11" t="n">
        <v>0</v>
      </c>
      <c r="U3271" s="11" t="n">
        <v>0.9</v>
      </c>
      <c r="V3271" s="11" t="n">
        <v>0.9</v>
      </c>
    </row>
    <row r="3272" customFormat="false" ht="15" hidden="false" customHeight="false" outlineLevel="0" collapsed="false">
      <c r="A3272" s="6" t="s">
        <v>62</v>
      </c>
      <c r="B3272" s="6" t="s">
        <v>63</v>
      </c>
      <c r="C3272" s="6" t="s">
        <v>44</v>
      </c>
      <c r="D3272" s="6" t="s">
        <v>114</v>
      </c>
      <c r="E3272" s="6" t="n">
        <v>16</v>
      </c>
      <c r="F3272" s="6" t="n">
        <v>8</v>
      </c>
      <c r="G3272" s="6" t="s">
        <v>71</v>
      </c>
      <c r="H3272" s="11" t="n">
        <v>0.001</v>
      </c>
      <c r="I3272" s="6" t="n">
        <v>20</v>
      </c>
      <c r="J3272" s="6" t="n">
        <v>0</v>
      </c>
      <c r="K3272" s="6" t="n">
        <v>20</v>
      </c>
      <c r="L3272" s="6" t="n">
        <v>0</v>
      </c>
      <c r="M3272" s="6" t="n">
        <v>20</v>
      </c>
      <c r="N3272" s="11" t="n">
        <f aca="false">J3272/(J3272+K3272)</f>
        <v>0</v>
      </c>
      <c r="O3272" s="11" t="str">
        <f aca="false">IF(J3272+L3272=0,"",J3272/(J3272+L3272))</f>
        <v/>
      </c>
      <c r="P3272" s="11" t="n">
        <f aca="false">2*J3272/(2*J3272+L3272+K3272)</f>
        <v>0</v>
      </c>
      <c r="Q3272" s="11" t="n">
        <f aca="false">L3272/(L3272+M3272)</f>
        <v>0</v>
      </c>
      <c r="R3272" s="6" t="n">
        <v>0</v>
      </c>
      <c r="S3272" s="11"/>
      <c r="T3272" s="11" t="n">
        <v>0</v>
      </c>
      <c r="U3272" s="11" t="n">
        <v>0.8</v>
      </c>
      <c r="V3272" s="11" t="n">
        <v>0.8</v>
      </c>
    </row>
    <row r="3273" customFormat="false" ht="15" hidden="false" customHeight="false" outlineLevel="0" collapsed="false">
      <c r="A3273" s="6" t="s">
        <v>62</v>
      </c>
      <c r="B3273" s="6" t="s">
        <v>63</v>
      </c>
      <c r="C3273" s="6" t="s">
        <v>44</v>
      </c>
      <c r="D3273" s="6" t="s">
        <v>114</v>
      </c>
      <c r="E3273" s="6" t="n">
        <v>16</v>
      </c>
      <c r="F3273" s="6" t="n">
        <v>8</v>
      </c>
      <c r="G3273" s="6" t="s">
        <v>72</v>
      </c>
      <c r="H3273" s="11" t="n">
        <v>0.001</v>
      </c>
      <c r="I3273" s="6" t="n">
        <v>20</v>
      </c>
      <c r="J3273" s="6" t="n">
        <v>0</v>
      </c>
      <c r="K3273" s="6" t="n">
        <v>20</v>
      </c>
      <c r="L3273" s="6" t="n">
        <v>0</v>
      </c>
      <c r="M3273" s="6" t="n">
        <v>20</v>
      </c>
      <c r="N3273" s="11" t="n">
        <f aca="false">J3273/(J3273+K3273)</f>
        <v>0</v>
      </c>
      <c r="O3273" s="11" t="str">
        <f aca="false">IF(J3273+L3273=0,"",J3273/(J3273+L3273))</f>
        <v/>
      </c>
      <c r="P3273" s="11" t="n">
        <f aca="false">2*J3273/(2*J3273+L3273+K3273)</f>
        <v>0</v>
      </c>
      <c r="Q3273" s="11" t="n">
        <f aca="false">L3273/(L3273+M3273)</f>
        <v>0</v>
      </c>
      <c r="R3273" s="6" t="n">
        <v>0</v>
      </c>
      <c r="S3273" s="11"/>
      <c r="T3273" s="11" t="n">
        <v>0</v>
      </c>
      <c r="U3273" s="11" t="n">
        <v>0.9</v>
      </c>
      <c r="V3273" s="11" t="n">
        <v>0.9</v>
      </c>
    </row>
    <row r="3274" customFormat="false" ht="15" hidden="false" customHeight="false" outlineLevel="0" collapsed="false">
      <c r="A3274" s="6" t="s">
        <v>62</v>
      </c>
      <c r="B3274" s="6" t="s">
        <v>63</v>
      </c>
      <c r="C3274" s="6" t="s">
        <v>44</v>
      </c>
      <c r="D3274" s="6" t="s">
        <v>114</v>
      </c>
      <c r="E3274" s="6" t="n">
        <v>16</v>
      </c>
      <c r="F3274" s="6" t="n">
        <v>8</v>
      </c>
      <c r="G3274" s="6" t="s">
        <v>73</v>
      </c>
      <c r="H3274" s="11" t="n">
        <v>0.001</v>
      </c>
      <c r="I3274" s="6" t="n">
        <v>20</v>
      </c>
      <c r="J3274" s="6" t="n">
        <v>0</v>
      </c>
      <c r="K3274" s="6" t="n">
        <v>20</v>
      </c>
      <c r="L3274" s="6" t="n">
        <v>0</v>
      </c>
      <c r="M3274" s="6" t="n">
        <v>20</v>
      </c>
      <c r="N3274" s="11" t="n">
        <f aca="false">J3274/(J3274+K3274)</f>
        <v>0</v>
      </c>
      <c r="O3274" s="11" t="str">
        <f aca="false">IF(J3274+L3274=0,"",J3274/(J3274+L3274))</f>
        <v/>
      </c>
      <c r="P3274" s="11" t="n">
        <f aca="false">2*J3274/(2*J3274+L3274+K3274)</f>
        <v>0</v>
      </c>
      <c r="Q3274" s="11" t="n">
        <f aca="false">L3274/(L3274+M3274)</f>
        <v>0</v>
      </c>
      <c r="R3274" s="6" t="n">
        <v>0</v>
      </c>
      <c r="S3274" s="11"/>
      <c r="T3274" s="11" t="n">
        <v>0</v>
      </c>
      <c r="U3274" s="11" t="n">
        <v>0.65</v>
      </c>
      <c r="V3274" s="11" t="n">
        <v>0.65</v>
      </c>
    </row>
    <row r="3275" customFormat="false" ht="15" hidden="false" customHeight="false" outlineLevel="0" collapsed="false">
      <c r="A3275" s="6" t="s">
        <v>62</v>
      </c>
      <c r="B3275" s="6" t="s">
        <v>63</v>
      </c>
      <c r="C3275" s="6" t="s">
        <v>44</v>
      </c>
      <c r="D3275" s="6" t="s">
        <v>114</v>
      </c>
      <c r="E3275" s="6" t="n">
        <v>16</v>
      </c>
      <c r="F3275" s="6" t="n">
        <v>8</v>
      </c>
      <c r="G3275" s="6" t="s">
        <v>74</v>
      </c>
      <c r="H3275" s="11" t="n">
        <v>0.001</v>
      </c>
      <c r="I3275" s="6" t="n">
        <v>20</v>
      </c>
      <c r="J3275" s="6" t="n">
        <v>0</v>
      </c>
      <c r="K3275" s="6" t="n">
        <v>20</v>
      </c>
      <c r="L3275" s="6" t="n">
        <v>0</v>
      </c>
      <c r="M3275" s="6" t="n">
        <v>20</v>
      </c>
      <c r="N3275" s="11" t="n">
        <f aca="false">J3275/(J3275+K3275)</f>
        <v>0</v>
      </c>
      <c r="O3275" s="11" t="str">
        <f aca="false">IF(J3275+L3275=0,"",J3275/(J3275+L3275))</f>
        <v/>
      </c>
      <c r="P3275" s="11" t="n">
        <f aca="false">2*J3275/(2*J3275+L3275+K3275)</f>
        <v>0</v>
      </c>
      <c r="Q3275" s="11" t="n">
        <f aca="false">L3275/(L3275+M3275)</f>
        <v>0</v>
      </c>
      <c r="R3275" s="6" t="n">
        <v>3</v>
      </c>
      <c r="S3275" s="11" t="n">
        <v>0</v>
      </c>
      <c r="T3275" s="11" t="n">
        <v>0</v>
      </c>
      <c r="U3275" s="11" t="n">
        <v>0.85</v>
      </c>
      <c r="V3275" s="11" t="n">
        <v>0.75</v>
      </c>
    </row>
    <row r="3276" customFormat="false" ht="15" hidden="false" customHeight="false" outlineLevel="0" collapsed="false">
      <c r="A3276" s="6" t="s">
        <v>62</v>
      </c>
      <c r="B3276" s="6" t="s">
        <v>63</v>
      </c>
      <c r="C3276" s="6" t="s">
        <v>44</v>
      </c>
      <c r="D3276" s="6" t="s">
        <v>114</v>
      </c>
      <c r="E3276" s="6" t="n">
        <v>16</v>
      </c>
      <c r="F3276" s="6" t="n">
        <v>8</v>
      </c>
      <c r="G3276" s="6" t="s">
        <v>75</v>
      </c>
      <c r="H3276" s="11" t="n">
        <v>0.001</v>
      </c>
      <c r="I3276" s="6" t="n">
        <v>20</v>
      </c>
      <c r="J3276" s="6" t="n">
        <v>0</v>
      </c>
      <c r="K3276" s="6" t="n">
        <v>20</v>
      </c>
      <c r="L3276" s="6" t="n">
        <v>0</v>
      </c>
      <c r="M3276" s="6" t="n">
        <v>20</v>
      </c>
      <c r="N3276" s="11" t="n">
        <f aca="false">J3276/(J3276+K3276)</f>
        <v>0</v>
      </c>
      <c r="O3276" s="11" t="str">
        <f aca="false">IF(J3276+L3276=0,"",J3276/(J3276+L3276))</f>
        <v/>
      </c>
      <c r="P3276" s="11" t="n">
        <f aca="false">2*J3276/(2*J3276+L3276+K3276)</f>
        <v>0</v>
      </c>
      <c r="Q3276" s="11" t="n">
        <f aca="false">L3276/(L3276+M3276)</f>
        <v>0</v>
      </c>
      <c r="R3276" s="6" t="n">
        <v>0</v>
      </c>
      <c r="S3276" s="11"/>
      <c r="T3276" s="11" t="n">
        <v>0</v>
      </c>
      <c r="U3276" s="11" t="n">
        <v>0.9</v>
      </c>
      <c r="V3276" s="11" t="n">
        <v>0.9</v>
      </c>
    </row>
    <row r="3277" customFormat="false" ht="15" hidden="false" customHeight="false" outlineLevel="0" collapsed="false">
      <c r="A3277" s="6" t="s">
        <v>62</v>
      </c>
      <c r="B3277" s="6" t="s">
        <v>63</v>
      </c>
      <c r="C3277" s="6" t="s">
        <v>44</v>
      </c>
      <c r="D3277" s="6" t="s">
        <v>114</v>
      </c>
      <c r="E3277" s="6" t="n">
        <v>16</v>
      </c>
      <c r="F3277" s="6" t="n">
        <v>8</v>
      </c>
      <c r="G3277" s="6" t="s">
        <v>76</v>
      </c>
      <c r="H3277" s="11" t="n">
        <v>0.001</v>
      </c>
      <c r="I3277" s="6" t="n">
        <v>20</v>
      </c>
      <c r="J3277" s="6" t="n">
        <v>0</v>
      </c>
      <c r="K3277" s="6" t="n">
        <v>20</v>
      </c>
      <c r="L3277" s="6" t="n">
        <v>0</v>
      </c>
      <c r="M3277" s="6" t="n">
        <v>20</v>
      </c>
      <c r="N3277" s="11" t="n">
        <f aca="false">J3277/(J3277+K3277)</f>
        <v>0</v>
      </c>
      <c r="O3277" s="11" t="str">
        <f aca="false">IF(J3277+L3277=0,"",J3277/(J3277+L3277))</f>
        <v/>
      </c>
      <c r="P3277" s="11" t="n">
        <f aca="false">2*J3277/(2*J3277+L3277+K3277)</f>
        <v>0</v>
      </c>
      <c r="Q3277" s="11" t="n">
        <f aca="false">L3277/(L3277+M3277)</f>
        <v>0</v>
      </c>
      <c r="R3277" s="6" t="n">
        <v>0</v>
      </c>
      <c r="S3277" s="11"/>
      <c r="T3277" s="11" t="n">
        <v>0</v>
      </c>
      <c r="U3277" s="11" t="n">
        <v>0.95</v>
      </c>
      <c r="V3277" s="11" t="n">
        <v>0.95</v>
      </c>
    </row>
    <row r="3278" customFormat="false" ht="15" hidden="false" customHeight="false" outlineLevel="0" collapsed="false">
      <c r="A3278" s="6" t="s">
        <v>62</v>
      </c>
      <c r="B3278" s="6" t="s">
        <v>63</v>
      </c>
      <c r="C3278" s="6" t="s">
        <v>44</v>
      </c>
      <c r="D3278" s="6" t="s">
        <v>114</v>
      </c>
      <c r="E3278" s="6" t="n">
        <v>16</v>
      </c>
      <c r="F3278" s="6" t="n">
        <v>8</v>
      </c>
      <c r="G3278" s="6" t="s">
        <v>77</v>
      </c>
      <c r="H3278" s="11" t="n">
        <v>0.001</v>
      </c>
      <c r="I3278" s="6" t="n">
        <v>20</v>
      </c>
      <c r="J3278" s="6" t="n">
        <v>0</v>
      </c>
      <c r="K3278" s="6" t="n">
        <v>20</v>
      </c>
      <c r="L3278" s="6" t="n">
        <v>0</v>
      </c>
      <c r="M3278" s="6" t="n">
        <v>20</v>
      </c>
      <c r="N3278" s="11" t="n">
        <f aca="false">J3278/(J3278+K3278)</f>
        <v>0</v>
      </c>
      <c r="O3278" s="11" t="str">
        <f aca="false">IF(J3278+L3278=0,"",J3278/(J3278+L3278))</f>
        <v/>
      </c>
      <c r="P3278" s="11" t="n">
        <f aca="false">2*J3278/(2*J3278+L3278+K3278)</f>
        <v>0</v>
      </c>
      <c r="Q3278" s="11" t="n">
        <f aca="false">L3278/(L3278+M3278)</f>
        <v>0</v>
      </c>
      <c r="R3278" s="6" t="n">
        <v>0</v>
      </c>
      <c r="S3278" s="11"/>
      <c r="T3278" s="11" t="n">
        <v>0</v>
      </c>
      <c r="U3278" s="11" t="n">
        <v>1</v>
      </c>
      <c r="V3278" s="11" t="n">
        <v>1</v>
      </c>
    </row>
    <row r="3279" customFormat="false" ht="15" hidden="false" customHeight="false" outlineLevel="0" collapsed="false">
      <c r="A3279" s="6" t="s">
        <v>62</v>
      </c>
      <c r="B3279" s="6" t="s">
        <v>63</v>
      </c>
      <c r="C3279" s="6" t="s">
        <v>44</v>
      </c>
      <c r="D3279" s="6" t="s">
        <v>114</v>
      </c>
      <c r="E3279" s="6" t="n">
        <v>16</v>
      </c>
      <c r="F3279" s="6" t="n">
        <v>8</v>
      </c>
      <c r="G3279" s="6" t="s">
        <v>78</v>
      </c>
      <c r="H3279" s="11" t="n">
        <v>0.001</v>
      </c>
      <c r="I3279" s="6" t="n">
        <v>200</v>
      </c>
      <c r="J3279" s="6" t="n">
        <v>0</v>
      </c>
      <c r="K3279" s="6" t="n">
        <v>200</v>
      </c>
      <c r="L3279" s="6" t="n">
        <v>0</v>
      </c>
      <c r="M3279" s="6" t="n">
        <v>200</v>
      </c>
      <c r="N3279" s="11" t="n">
        <f aca="false">J3279/(J3279+K3279)</f>
        <v>0</v>
      </c>
      <c r="O3279" s="11" t="str">
        <f aca="false">IF(J3279+L3279=0,"",J3279/(J3279+L3279))</f>
        <v/>
      </c>
      <c r="P3279" s="11" t="n">
        <f aca="false">2*J3279/(2*J3279+L3279+K3279)</f>
        <v>0</v>
      </c>
      <c r="Q3279" s="11" t="n">
        <f aca="false">L3279/(L3279+M3279)</f>
        <v>0</v>
      </c>
      <c r="R3279" s="6" t="n">
        <v>3</v>
      </c>
      <c r="S3279" s="11" t="n">
        <v>0</v>
      </c>
      <c r="T3279" s="11" t="n">
        <v>0</v>
      </c>
      <c r="U3279" s="11" t="n">
        <v>0.88</v>
      </c>
      <c r="V3279" s="11" t="n">
        <v>0.87</v>
      </c>
    </row>
    <row r="3280" customFormat="false" ht="15" hidden="false" customHeight="false" outlineLevel="0" collapsed="false">
      <c r="A3280" s="6" t="s">
        <v>62</v>
      </c>
      <c r="B3280" s="6" t="s">
        <v>63</v>
      </c>
      <c r="C3280" s="6" t="s">
        <v>44</v>
      </c>
      <c r="D3280" s="6" t="s">
        <v>114</v>
      </c>
      <c r="E3280" s="6" t="n">
        <v>16</v>
      </c>
      <c r="F3280" s="6" t="n">
        <v>9</v>
      </c>
      <c r="G3280" s="6" t="s">
        <v>68</v>
      </c>
      <c r="H3280" s="11" t="n">
        <v>0.001</v>
      </c>
      <c r="I3280" s="6" t="n">
        <v>20</v>
      </c>
      <c r="J3280" s="6" t="n">
        <v>0</v>
      </c>
      <c r="K3280" s="6" t="n">
        <v>20</v>
      </c>
      <c r="L3280" s="6" t="n">
        <v>0</v>
      </c>
      <c r="M3280" s="6" t="n">
        <v>20</v>
      </c>
      <c r="N3280" s="11" t="n">
        <f aca="false">J3280/(J3280+K3280)</f>
        <v>0</v>
      </c>
      <c r="O3280" s="11" t="str">
        <f aca="false">IF(J3280+L3280=0,"",J3280/(J3280+L3280))</f>
        <v/>
      </c>
      <c r="P3280" s="11" t="n">
        <f aca="false">2*J3280/(2*J3280+L3280+K3280)</f>
        <v>0</v>
      </c>
      <c r="Q3280" s="11" t="n">
        <f aca="false">L3280/(L3280+M3280)</f>
        <v>0</v>
      </c>
      <c r="R3280" s="6" t="n">
        <v>0</v>
      </c>
      <c r="S3280" s="11"/>
      <c r="T3280" s="11" t="n">
        <v>0</v>
      </c>
      <c r="U3280" s="11" t="n">
        <v>0.85</v>
      </c>
      <c r="V3280" s="11" t="n">
        <v>0.85</v>
      </c>
    </row>
    <row r="3281" customFormat="false" ht="15" hidden="false" customHeight="false" outlineLevel="0" collapsed="false">
      <c r="A3281" s="6" t="s">
        <v>62</v>
      </c>
      <c r="B3281" s="6" t="s">
        <v>63</v>
      </c>
      <c r="C3281" s="6" t="s">
        <v>44</v>
      </c>
      <c r="D3281" s="6" t="s">
        <v>114</v>
      </c>
      <c r="E3281" s="6" t="n">
        <v>16</v>
      </c>
      <c r="F3281" s="6" t="n">
        <v>9</v>
      </c>
      <c r="G3281" s="6" t="s">
        <v>69</v>
      </c>
      <c r="H3281" s="11" t="n">
        <v>0.001</v>
      </c>
      <c r="I3281" s="6" t="n">
        <v>20</v>
      </c>
      <c r="J3281" s="6" t="n">
        <v>0</v>
      </c>
      <c r="K3281" s="6" t="n">
        <v>20</v>
      </c>
      <c r="L3281" s="6" t="n">
        <v>0</v>
      </c>
      <c r="M3281" s="6" t="n">
        <v>20</v>
      </c>
      <c r="N3281" s="11" t="n">
        <f aca="false">J3281/(J3281+K3281)</f>
        <v>0</v>
      </c>
      <c r="O3281" s="11" t="str">
        <f aca="false">IF(J3281+L3281=0,"",J3281/(J3281+L3281))</f>
        <v/>
      </c>
      <c r="P3281" s="11" t="n">
        <f aca="false">2*J3281/(2*J3281+L3281+K3281)</f>
        <v>0</v>
      </c>
      <c r="Q3281" s="11" t="n">
        <f aca="false">L3281/(L3281+M3281)</f>
        <v>0</v>
      </c>
      <c r="R3281" s="6" t="n">
        <v>0</v>
      </c>
      <c r="S3281" s="11"/>
      <c r="T3281" s="11" t="n">
        <v>0</v>
      </c>
      <c r="U3281" s="11" t="n">
        <v>1</v>
      </c>
      <c r="V3281" s="11" t="n">
        <v>1</v>
      </c>
    </row>
    <row r="3282" customFormat="false" ht="15" hidden="false" customHeight="false" outlineLevel="0" collapsed="false">
      <c r="A3282" s="6" t="s">
        <v>62</v>
      </c>
      <c r="B3282" s="6" t="s">
        <v>63</v>
      </c>
      <c r="C3282" s="6" t="s">
        <v>44</v>
      </c>
      <c r="D3282" s="6" t="s">
        <v>114</v>
      </c>
      <c r="E3282" s="6" t="n">
        <v>16</v>
      </c>
      <c r="F3282" s="6" t="n">
        <v>9</v>
      </c>
      <c r="G3282" s="6" t="s">
        <v>70</v>
      </c>
      <c r="H3282" s="11" t="n">
        <v>0.001</v>
      </c>
      <c r="I3282" s="6" t="n">
        <v>20</v>
      </c>
      <c r="J3282" s="6" t="n">
        <v>0</v>
      </c>
      <c r="K3282" s="6" t="n">
        <v>20</v>
      </c>
      <c r="L3282" s="6" t="n">
        <v>0</v>
      </c>
      <c r="M3282" s="6" t="n">
        <v>20</v>
      </c>
      <c r="N3282" s="11" t="n">
        <f aca="false">J3282/(J3282+K3282)</f>
        <v>0</v>
      </c>
      <c r="O3282" s="11" t="str">
        <f aca="false">IF(J3282+L3282=0,"",J3282/(J3282+L3282))</f>
        <v/>
      </c>
      <c r="P3282" s="11" t="n">
        <f aca="false">2*J3282/(2*J3282+L3282+K3282)</f>
        <v>0</v>
      </c>
      <c r="Q3282" s="11" t="n">
        <f aca="false">L3282/(L3282+M3282)</f>
        <v>0</v>
      </c>
      <c r="R3282" s="6" t="n">
        <v>0</v>
      </c>
      <c r="S3282" s="11"/>
      <c r="T3282" s="11" t="n">
        <v>0</v>
      </c>
      <c r="U3282" s="11" t="n">
        <v>0.9</v>
      </c>
      <c r="V3282" s="11" t="n">
        <v>0.9</v>
      </c>
    </row>
    <row r="3283" customFormat="false" ht="15" hidden="false" customHeight="false" outlineLevel="0" collapsed="false">
      <c r="A3283" s="6" t="s">
        <v>62</v>
      </c>
      <c r="B3283" s="6" t="s">
        <v>63</v>
      </c>
      <c r="C3283" s="6" t="s">
        <v>44</v>
      </c>
      <c r="D3283" s="6" t="s">
        <v>114</v>
      </c>
      <c r="E3283" s="6" t="n">
        <v>16</v>
      </c>
      <c r="F3283" s="6" t="n">
        <v>9</v>
      </c>
      <c r="G3283" s="6" t="s">
        <v>71</v>
      </c>
      <c r="H3283" s="11" t="n">
        <v>0.001</v>
      </c>
      <c r="I3283" s="6" t="n">
        <v>20</v>
      </c>
      <c r="J3283" s="6" t="n">
        <v>0</v>
      </c>
      <c r="K3283" s="6" t="n">
        <v>20</v>
      </c>
      <c r="L3283" s="6" t="n">
        <v>0</v>
      </c>
      <c r="M3283" s="6" t="n">
        <v>20</v>
      </c>
      <c r="N3283" s="11" t="n">
        <f aca="false">J3283/(J3283+K3283)</f>
        <v>0</v>
      </c>
      <c r="O3283" s="11" t="str">
        <f aca="false">IF(J3283+L3283=0,"",J3283/(J3283+L3283))</f>
        <v/>
      </c>
      <c r="P3283" s="11" t="n">
        <f aca="false">2*J3283/(2*J3283+L3283+K3283)</f>
        <v>0</v>
      </c>
      <c r="Q3283" s="11" t="n">
        <f aca="false">L3283/(L3283+M3283)</f>
        <v>0</v>
      </c>
      <c r="R3283" s="6" t="n">
        <v>0</v>
      </c>
      <c r="S3283" s="11"/>
      <c r="T3283" s="11" t="n">
        <v>0</v>
      </c>
      <c r="U3283" s="11" t="n">
        <v>0.8</v>
      </c>
      <c r="V3283" s="11" t="n">
        <v>0.8</v>
      </c>
    </row>
    <row r="3284" customFormat="false" ht="15" hidden="false" customHeight="false" outlineLevel="0" collapsed="false">
      <c r="A3284" s="6" t="s">
        <v>62</v>
      </c>
      <c r="B3284" s="6" t="s">
        <v>63</v>
      </c>
      <c r="C3284" s="6" t="s">
        <v>44</v>
      </c>
      <c r="D3284" s="6" t="s">
        <v>114</v>
      </c>
      <c r="E3284" s="6" t="n">
        <v>16</v>
      </c>
      <c r="F3284" s="6" t="n">
        <v>9</v>
      </c>
      <c r="G3284" s="6" t="s">
        <v>72</v>
      </c>
      <c r="H3284" s="11" t="n">
        <v>0.001</v>
      </c>
      <c r="I3284" s="6" t="n">
        <v>20</v>
      </c>
      <c r="J3284" s="6" t="n">
        <v>0</v>
      </c>
      <c r="K3284" s="6" t="n">
        <v>20</v>
      </c>
      <c r="L3284" s="6" t="n">
        <v>0</v>
      </c>
      <c r="M3284" s="6" t="n">
        <v>20</v>
      </c>
      <c r="N3284" s="11" t="n">
        <f aca="false">J3284/(J3284+K3284)</f>
        <v>0</v>
      </c>
      <c r="O3284" s="11" t="str">
        <f aca="false">IF(J3284+L3284=0,"",J3284/(J3284+L3284))</f>
        <v/>
      </c>
      <c r="P3284" s="11" t="n">
        <f aca="false">2*J3284/(2*J3284+L3284+K3284)</f>
        <v>0</v>
      </c>
      <c r="Q3284" s="11" t="n">
        <f aca="false">L3284/(L3284+M3284)</f>
        <v>0</v>
      </c>
      <c r="R3284" s="6" t="n">
        <v>0</v>
      </c>
      <c r="S3284" s="11"/>
      <c r="T3284" s="11" t="n">
        <v>0</v>
      </c>
      <c r="U3284" s="11" t="n">
        <v>0.9</v>
      </c>
      <c r="V3284" s="11" t="n">
        <v>0.9</v>
      </c>
    </row>
    <row r="3285" customFormat="false" ht="15" hidden="false" customHeight="false" outlineLevel="0" collapsed="false">
      <c r="A3285" s="6" t="s">
        <v>62</v>
      </c>
      <c r="B3285" s="6" t="s">
        <v>63</v>
      </c>
      <c r="C3285" s="6" t="s">
        <v>44</v>
      </c>
      <c r="D3285" s="6" t="s">
        <v>114</v>
      </c>
      <c r="E3285" s="6" t="n">
        <v>16</v>
      </c>
      <c r="F3285" s="6" t="n">
        <v>9</v>
      </c>
      <c r="G3285" s="6" t="s">
        <v>73</v>
      </c>
      <c r="H3285" s="11" t="n">
        <v>0.001</v>
      </c>
      <c r="I3285" s="6" t="n">
        <v>20</v>
      </c>
      <c r="J3285" s="6" t="n">
        <v>0</v>
      </c>
      <c r="K3285" s="6" t="n">
        <v>20</v>
      </c>
      <c r="L3285" s="6" t="n">
        <v>0</v>
      </c>
      <c r="M3285" s="6" t="n">
        <v>20</v>
      </c>
      <c r="N3285" s="11" t="n">
        <f aca="false">J3285/(J3285+K3285)</f>
        <v>0</v>
      </c>
      <c r="O3285" s="11" t="str">
        <f aca="false">IF(J3285+L3285=0,"",J3285/(J3285+L3285))</f>
        <v/>
      </c>
      <c r="P3285" s="11" t="n">
        <f aca="false">2*J3285/(2*J3285+L3285+K3285)</f>
        <v>0</v>
      </c>
      <c r="Q3285" s="11" t="n">
        <f aca="false">L3285/(L3285+M3285)</f>
        <v>0</v>
      </c>
      <c r="R3285" s="6" t="n">
        <v>1</v>
      </c>
      <c r="S3285" s="11" t="n">
        <v>0</v>
      </c>
      <c r="T3285" s="11" t="n">
        <v>0</v>
      </c>
      <c r="U3285" s="11" t="n">
        <v>0.65</v>
      </c>
      <c r="V3285" s="11" t="n">
        <v>0.65</v>
      </c>
    </row>
    <row r="3286" customFormat="false" ht="15" hidden="false" customHeight="false" outlineLevel="0" collapsed="false">
      <c r="A3286" s="6" t="s">
        <v>62</v>
      </c>
      <c r="B3286" s="6" t="s">
        <v>63</v>
      </c>
      <c r="C3286" s="6" t="s">
        <v>44</v>
      </c>
      <c r="D3286" s="6" t="s">
        <v>114</v>
      </c>
      <c r="E3286" s="6" t="n">
        <v>16</v>
      </c>
      <c r="F3286" s="6" t="n">
        <v>9</v>
      </c>
      <c r="G3286" s="6" t="s">
        <v>74</v>
      </c>
      <c r="H3286" s="11" t="n">
        <v>0.001</v>
      </c>
      <c r="I3286" s="6" t="n">
        <v>20</v>
      </c>
      <c r="J3286" s="6" t="n">
        <v>0</v>
      </c>
      <c r="K3286" s="6" t="n">
        <v>20</v>
      </c>
      <c r="L3286" s="6" t="n">
        <v>0</v>
      </c>
      <c r="M3286" s="6" t="n">
        <v>20</v>
      </c>
      <c r="N3286" s="11" t="n">
        <f aca="false">J3286/(J3286+K3286)</f>
        <v>0</v>
      </c>
      <c r="O3286" s="11" t="str">
        <f aca="false">IF(J3286+L3286=0,"",J3286/(J3286+L3286))</f>
        <v/>
      </c>
      <c r="P3286" s="11" t="n">
        <f aca="false">2*J3286/(2*J3286+L3286+K3286)</f>
        <v>0</v>
      </c>
      <c r="Q3286" s="11" t="n">
        <f aca="false">L3286/(L3286+M3286)</f>
        <v>0</v>
      </c>
      <c r="R3286" s="6" t="n">
        <v>1</v>
      </c>
      <c r="S3286" s="11" t="n">
        <v>0</v>
      </c>
      <c r="T3286" s="11" t="n">
        <v>0</v>
      </c>
      <c r="U3286" s="11" t="n">
        <v>0.85</v>
      </c>
      <c r="V3286" s="11" t="n">
        <v>0.85</v>
      </c>
    </row>
    <row r="3287" customFormat="false" ht="15" hidden="false" customHeight="false" outlineLevel="0" collapsed="false">
      <c r="A3287" s="6" t="s">
        <v>62</v>
      </c>
      <c r="B3287" s="6" t="s">
        <v>63</v>
      </c>
      <c r="C3287" s="6" t="s">
        <v>44</v>
      </c>
      <c r="D3287" s="6" t="s">
        <v>114</v>
      </c>
      <c r="E3287" s="6" t="n">
        <v>16</v>
      </c>
      <c r="F3287" s="6" t="n">
        <v>9</v>
      </c>
      <c r="G3287" s="6" t="s">
        <v>75</v>
      </c>
      <c r="H3287" s="11" t="n">
        <v>0.001</v>
      </c>
      <c r="I3287" s="6" t="n">
        <v>20</v>
      </c>
      <c r="J3287" s="6" t="n">
        <v>0</v>
      </c>
      <c r="K3287" s="6" t="n">
        <v>20</v>
      </c>
      <c r="L3287" s="6" t="n">
        <v>0</v>
      </c>
      <c r="M3287" s="6" t="n">
        <v>20</v>
      </c>
      <c r="N3287" s="11" t="n">
        <f aca="false">J3287/(J3287+K3287)</f>
        <v>0</v>
      </c>
      <c r="O3287" s="11" t="str">
        <f aca="false">IF(J3287+L3287=0,"",J3287/(J3287+L3287))</f>
        <v/>
      </c>
      <c r="P3287" s="11" t="n">
        <f aca="false">2*J3287/(2*J3287+L3287+K3287)</f>
        <v>0</v>
      </c>
      <c r="Q3287" s="11" t="n">
        <f aca="false">L3287/(L3287+M3287)</f>
        <v>0</v>
      </c>
      <c r="R3287" s="6" t="n">
        <v>1</v>
      </c>
      <c r="S3287" s="11" t="n">
        <v>0</v>
      </c>
      <c r="T3287" s="11" t="n">
        <v>0</v>
      </c>
      <c r="U3287" s="11" t="n">
        <v>0.9</v>
      </c>
      <c r="V3287" s="11" t="n">
        <v>0.95</v>
      </c>
    </row>
    <row r="3288" customFormat="false" ht="15" hidden="false" customHeight="false" outlineLevel="0" collapsed="false">
      <c r="A3288" s="6" t="s">
        <v>62</v>
      </c>
      <c r="B3288" s="6" t="s">
        <v>63</v>
      </c>
      <c r="C3288" s="6" t="s">
        <v>44</v>
      </c>
      <c r="D3288" s="6" t="s">
        <v>114</v>
      </c>
      <c r="E3288" s="6" t="n">
        <v>16</v>
      </c>
      <c r="F3288" s="6" t="n">
        <v>9</v>
      </c>
      <c r="G3288" s="6" t="s">
        <v>76</v>
      </c>
      <c r="H3288" s="11" t="n">
        <v>0.001</v>
      </c>
      <c r="I3288" s="6" t="n">
        <v>20</v>
      </c>
      <c r="J3288" s="6" t="n">
        <v>0</v>
      </c>
      <c r="K3288" s="6" t="n">
        <v>20</v>
      </c>
      <c r="L3288" s="6" t="n">
        <v>0</v>
      </c>
      <c r="M3288" s="6" t="n">
        <v>20</v>
      </c>
      <c r="N3288" s="11" t="n">
        <f aca="false">J3288/(J3288+K3288)</f>
        <v>0</v>
      </c>
      <c r="O3288" s="11" t="str">
        <f aca="false">IF(J3288+L3288=0,"",J3288/(J3288+L3288))</f>
        <v/>
      </c>
      <c r="P3288" s="11" t="n">
        <f aca="false">2*J3288/(2*J3288+L3288+K3288)</f>
        <v>0</v>
      </c>
      <c r="Q3288" s="11" t="n">
        <f aca="false">L3288/(L3288+M3288)</f>
        <v>0</v>
      </c>
      <c r="R3288" s="6" t="n">
        <v>0</v>
      </c>
      <c r="S3288" s="11"/>
      <c r="T3288" s="11" t="n">
        <v>0</v>
      </c>
      <c r="U3288" s="11" t="n">
        <v>0.95</v>
      </c>
      <c r="V3288" s="11" t="n">
        <v>0.95</v>
      </c>
    </row>
    <row r="3289" customFormat="false" ht="15" hidden="false" customHeight="false" outlineLevel="0" collapsed="false">
      <c r="A3289" s="6" t="s">
        <v>62</v>
      </c>
      <c r="B3289" s="6" t="s">
        <v>63</v>
      </c>
      <c r="C3289" s="6" t="s">
        <v>44</v>
      </c>
      <c r="D3289" s="6" t="s">
        <v>114</v>
      </c>
      <c r="E3289" s="6" t="n">
        <v>16</v>
      </c>
      <c r="F3289" s="6" t="n">
        <v>9</v>
      </c>
      <c r="G3289" s="6" t="s">
        <v>77</v>
      </c>
      <c r="H3289" s="11" t="n">
        <v>0.001</v>
      </c>
      <c r="I3289" s="6" t="n">
        <v>20</v>
      </c>
      <c r="J3289" s="6" t="n">
        <v>0</v>
      </c>
      <c r="K3289" s="6" t="n">
        <v>20</v>
      </c>
      <c r="L3289" s="6" t="n">
        <v>0</v>
      </c>
      <c r="M3289" s="6" t="n">
        <v>20</v>
      </c>
      <c r="N3289" s="11" t="n">
        <f aca="false">J3289/(J3289+K3289)</f>
        <v>0</v>
      </c>
      <c r="O3289" s="11" t="str">
        <f aca="false">IF(J3289+L3289=0,"",J3289/(J3289+L3289))</f>
        <v/>
      </c>
      <c r="P3289" s="11" t="n">
        <f aca="false">2*J3289/(2*J3289+L3289+K3289)</f>
        <v>0</v>
      </c>
      <c r="Q3289" s="11" t="n">
        <f aca="false">L3289/(L3289+M3289)</f>
        <v>0</v>
      </c>
      <c r="R3289" s="6" t="n">
        <v>0</v>
      </c>
      <c r="S3289" s="11"/>
      <c r="T3289" s="11" t="n">
        <v>0</v>
      </c>
      <c r="U3289" s="11" t="n">
        <v>1</v>
      </c>
      <c r="V3289" s="11" t="n">
        <v>1</v>
      </c>
    </row>
    <row r="3290" customFormat="false" ht="15" hidden="false" customHeight="false" outlineLevel="0" collapsed="false">
      <c r="A3290" s="6" t="s">
        <v>62</v>
      </c>
      <c r="B3290" s="6" t="s">
        <v>63</v>
      </c>
      <c r="C3290" s="6" t="s">
        <v>44</v>
      </c>
      <c r="D3290" s="6" t="s">
        <v>114</v>
      </c>
      <c r="E3290" s="6" t="n">
        <v>16</v>
      </c>
      <c r="F3290" s="6" t="n">
        <v>9</v>
      </c>
      <c r="G3290" s="6" t="s">
        <v>78</v>
      </c>
      <c r="H3290" s="11" t="n">
        <v>0.001</v>
      </c>
      <c r="I3290" s="6" t="n">
        <v>200</v>
      </c>
      <c r="J3290" s="6" t="n">
        <v>0</v>
      </c>
      <c r="K3290" s="6" t="n">
        <v>200</v>
      </c>
      <c r="L3290" s="6" t="n">
        <v>0</v>
      </c>
      <c r="M3290" s="6" t="n">
        <v>200</v>
      </c>
      <c r="N3290" s="11" t="n">
        <f aca="false">J3290/(J3290+K3290)</f>
        <v>0</v>
      </c>
      <c r="O3290" s="11" t="str">
        <f aca="false">IF(J3290+L3290=0,"",J3290/(J3290+L3290))</f>
        <v/>
      </c>
      <c r="P3290" s="11" t="n">
        <f aca="false">2*J3290/(2*J3290+L3290+K3290)</f>
        <v>0</v>
      </c>
      <c r="Q3290" s="11" t="n">
        <f aca="false">L3290/(L3290+M3290)</f>
        <v>0</v>
      </c>
      <c r="R3290" s="6" t="n">
        <v>3</v>
      </c>
      <c r="S3290" s="11" t="n">
        <v>0</v>
      </c>
      <c r="T3290" s="11" t="n">
        <v>0</v>
      </c>
      <c r="U3290" s="11" t="n">
        <v>0.88</v>
      </c>
      <c r="V3290" s="11" t="n">
        <v>0.885</v>
      </c>
    </row>
    <row r="3291" customFormat="false" ht="15" hidden="false" customHeight="false" outlineLevel="0" collapsed="false">
      <c r="A3291" s="6" t="s">
        <v>62</v>
      </c>
      <c r="B3291" s="6" t="s">
        <v>63</v>
      </c>
      <c r="C3291" s="6" t="s">
        <v>44</v>
      </c>
      <c r="D3291" s="6" t="s">
        <v>114</v>
      </c>
      <c r="E3291" s="6" t="n">
        <v>16</v>
      </c>
      <c r="F3291" s="6" t="n">
        <v>10</v>
      </c>
      <c r="G3291" s="6" t="s">
        <v>68</v>
      </c>
      <c r="H3291" s="11" t="n">
        <v>0.001</v>
      </c>
      <c r="I3291" s="6" t="n">
        <v>20</v>
      </c>
      <c r="J3291" s="6" t="n">
        <v>0</v>
      </c>
      <c r="K3291" s="6" t="n">
        <v>20</v>
      </c>
      <c r="L3291" s="6" t="n">
        <v>0</v>
      </c>
      <c r="M3291" s="6" t="n">
        <v>20</v>
      </c>
      <c r="N3291" s="11" t="n">
        <f aca="false">J3291/(J3291+K3291)</f>
        <v>0</v>
      </c>
      <c r="O3291" s="11" t="str">
        <f aca="false">IF(J3291+L3291=0,"",J3291/(J3291+L3291))</f>
        <v/>
      </c>
      <c r="P3291" s="11" t="n">
        <f aca="false">2*J3291/(2*J3291+L3291+K3291)</f>
        <v>0</v>
      </c>
      <c r="Q3291" s="11" t="n">
        <f aca="false">L3291/(L3291+M3291)</f>
        <v>0</v>
      </c>
      <c r="R3291" s="6" t="n">
        <v>1</v>
      </c>
      <c r="S3291" s="11" t="n">
        <v>0</v>
      </c>
      <c r="T3291" s="11" t="n">
        <v>0</v>
      </c>
      <c r="U3291" s="11" t="n">
        <v>0.85</v>
      </c>
      <c r="V3291" s="11" t="n">
        <v>0.9</v>
      </c>
    </row>
    <row r="3292" customFormat="false" ht="15" hidden="false" customHeight="false" outlineLevel="0" collapsed="false">
      <c r="A3292" s="6" t="s">
        <v>62</v>
      </c>
      <c r="B3292" s="6" t="s">
        <v>63</v>
      </c>
      <c r="C3292" s="6" t="s">
        <v>44</v>
      </c>
      <c r="D3292" s="6" t="s">
        <v>114</v>
      </c>
      <c r="E3292" s="6" t="n">
        <v>16</v>
      </c>
      <c r="F3292" s="6" t="n">
        <v>10</v>
      </c>
      <c r="G3292" s="6" t="s">
        <v>69</v>
      </c>
      <c r="H3292" s="11" t="n">
        <v>0.001</v>
      </c>
      <c r="I3292" s="6" t="n">
        <v>20</v>
      </c>
      <c r="J3292" s="6" t="n">
        <v>0</v>
      </c>
      <c r="K3292" s="6" t="n">
        <v>20</v>
      </c>
      <c r="L3292" s="6" t="n">
        <v>0</v>
      </c>
      <c r="M3292" s="6" t="n">
        <v>20</v>
      </c>
      <c r="N3292" s="11" t="n">
        <f aca="false">J3292/(J3292+K3292)</f>
        <v>0</v>
      </c>
      <c r="O3292" s="11" t="str">
        <f aca="false">IF(J3292+L3292=0,"",J3292/(J3292+L3292))</f>
        <v/>
      </c>
      <c r="P3292" s="11" t="n">
        <f aca="false">2*J3292/(2*J3292+L3292+K3292)</f>
        <v>0</v>
      </c>
      <c r="Q3292" s="11" t="n">
        <f aca="false">L3292/(L3292+M3292)</f>
        <v>0</v>
      </c>
      <c r="R3292" s="6" t="n">
        <v>0</v>
      </c>
      <c r="S3292" s="11"/>
      <c r="T3292" s="11" t="n">
        <v>0</v>
      </c>
      <c r="U3292" s="11" t="n">
        <v>1</v>
      </c>
      <c r="V3292" s="11" t="n">
        <v>1</v>
      </c>
    </row>
    <row r="3293" customFormat="false" ht="15" hidden="false" customHeight="false" outlineLevel="0" collapsed="false">
      <c r="A3293" s="6" t="s">
        <v>62</v>
      </c>
      <c r="B3293" s="6" t="s">
        <v>63</v>
      </c>
      <c r="C3293" s="6" t="s">
        <v>44</v>
      </c>
      <c r="D3293" s="6" t="s">
        <v>114</v>
      </c>
      <c r="E3293" s="6" t="n">
        <v>16</v>
      </c>
      <c r="F3293" s="6" t="n">
        <v>10</v>
      </c>
      <c r="G3293" s="6" t="s">
        <v>70</v>
      </c>
      <c r="H3293" s="11" t="n">
        <v>0.001</v>
      </c>
      <c r="I3293" s="6" t="n">
        <v>20</v>
      </c>
      <c r="J3293" s="6" t="n">
        <v>0</v>
      </c>
      <c r="K3293" s="6" t="n">
        <v>20</v>
      </c>
      <c r="L3293" s="6" t="n">
        <v>0</v>
      </c>
      <c r="M3293" s="6" t="n">
        <v>20</v>
      </c>
      <c r="N3293" s="11" t="n">
        <f aca="false">J3293/(J3293+K3293)</f>
        <v>0</v>
      </c>
      <c r="O3293" s="11" t="str">
        <f aca="false">IF(J3293+L3293=0,"",J3293/(J3293+L3293))</f>
        <v/>
      </c>
      <c r="P3293" s="11" t="n">
        <f aca="false">2*J3293/(2*J3293+L3293+K3293)</f>
        <v>0</v>
      </c>
      <c r="Q3293" s="11" t="n">
        <f aca="false">L3293/(L3293+M3293)</f>
        <v>0</v>
      </c>
      <c r="R3293" s="6" t="n">
        <v>1</v>
      </c>
      <c r="S3293" s="11" t="n">
        <v>0</v>
      </c>
      <c r="T3293" s="11" t="n">
        <v>0</v>
      </c>
      <c r="U3293" s="11" t="n">
        <v>0.9</v>
      </c>
      <c r="V3293" s="11" t="n">
        <v>0.95</v>
      </c>
    </row>
    <row r="3294" customFormat="false" ht="15" hidden="false" customHeight="false" outlineLevel="0" collapsed="false">
      <c r="A3294" s="6" t="s">
        <v>62</v>
      </c>
      <c r="B3294" s="6" t="s">
        <v>63</v>
      </c>
      <c r="C3294" s="6" t="s">
        <v>44</v>
      </c>
      <c r="D3294" s="6" t="s">
        <v>114</v>
      </c>
      <c r="E3294" s="6" t="n">
        <v>16</v>
      </c>
      <c r="F3294" s="6" t="n">
        <v>10</v>
      </c>
      <c r="G3294" s="6" t="s">
        <v>71</v>
      </c>
      <c r="H3294" s="11" t="n">
        <v>0.001</v>
      </c>
      <c r="I3294" s="6" t="n">
        <v>20</v>
      </c>
      <c r="J3294" s="6" t="n">
        <v>0</v>
      </c>
      <c r="K3294" s="6" t="n">
        <v>20</v>
      </c>
      <c r="L3294" s="6" t="n">
        <v>0</v>
      </c>
      <c r="M3294" s="6" t="n">
        <v>20</v>
      </c>
      <c r="N3294" s="11" t="n">
        <f aca="false">J3294/(J3294+K3294)</f>
        <v>0</v>
      </c>
      <c r="O3294" s="11" t="str">
        <f aca="false">IF(J3294+L3294=0,"",J3294/(J3294+L3294))</f>
        <v/>
      </c>
      <c r="P3294" s="11" t="n">
        <f aca="false">2*J3294/(2*J3294+L3294+K3294)</f>
        <v>0</v>
      </c>
      <c r="Q3294" s="11" t="n">
        <f aca="false">L3294/(L3294+M3294)</f>
        <v>0</v>
      </c>
      <c r="R3294" s="6" t="n">
        <v>0</v>
      </c>
      <c r="S3294" s="11"/>
      <c r="T3294" s="11" t="n">
        <v>0</v>
      </c>
      <c r="U3294" s="11" t="n">
        <v>0.8</v>
      </c>
      <c r="V3294" s="11" t="n">
        <v>0.8</v>
      </c>
    </row>
    <row r="3295" customFormat="false" ht="15" hidden="false" customHeight="false" outlineLevel="0" collapsed="false">
      <c r="A3295" s="6" t="s">
        <v>62</v>
      </c>
      <c r="B3295" s="6" t="s">
        <v>63</v>
      </c>
      <c r="C3295" s="6" t="s">
        <v>44</v>
      </c>
      <c r="D3295" s="6" t="s">
        <v>114</v>
      </c>
      <c r="E3295" s="6" t="n">
        <v>16</v>
      </c>
      <c r="F3295" s="6" t="n">
        <v>10</v>
      </c>
      <c r="G3295" s="6" t="s">
        <v>72</v>
      </c>
      <c r="H3295" s="11" t="n">
        <v>0.001</v>
      </c>
      <c r="I3295" s="6" t="n">
        <v>20</v>
      </c>
      <c r="J3295" s="6" t="n">
        <v>0</v>
      </c>
      <c r="K3295" s="6" t="n">
        <v>20</v>
      </c>
      <c r="L3295" s="6" t="n">
        <v>0</v>
      </c>
      <c r="M3295" s="6" t="n">
        <v>20</v>
      </c>
      <c r="N3295" s="11" t="n">
        <f aca="false">J3295/(J3295+K3295)</f>
        <v>0</v>
      </c>
      <c r="O3295" s="11" t="str">
        <f aca="false">IF(J3295+L3295=0,"",J3295/(J3295+L3295))</f>
        <v/>
      </c>
      <c r="P3295" s="11" t="n">
        <f aca="false">2*J3295/(2*J3295+L3295+K3295)</f>
        <v>0</v>
      </c>
      <c r="Q3295" s="11" t="n">
        <f aca="false">L3295/(L3295+M3295)</f>
        <v>0</v>
      </c>
      <c r="R3295" s="6" t="n">
        <v>0</v>
      </c>
      <c r="S3295" s="11"/>
      <c r="T3295" s="11" t="n">
        <v>0</v>
      </c>
      <c r="U3295" s="11" t="n">
        <v>0.9</v>
      </c>
      <c r="V3295" s="11" t="n">
        <v>0.9</v>
      </c>
    </row>
    <row r="3296" customFormat="false" ht="15" hidden="false" customHeight="false" outlineLevel="0" collapsed="false">
      <c r="A3296" s="6" t="s">
        <v>62</v>
      </c>
      <c r="B3296" s="6" t="s">
        <v>63</v>
      </c>
      <c r="C3296" s="6" t="s">
        <v>44</v>
      </c>
      <c r="D3296" s="6" t="s">
        <v>114</v>
      </c>
      <c r="E3296" s="6" t="n">
        <v>16</v>
      </c>
      <c r="F3296" s="6" t="n">
        <v>10</v>
      </c>
      <c r="G3296" s="6" t="s">
        <v>73</v>
      </c>
      <c r="H3296" s="11" t="n">
        <v>0.001</v>
      </c>
      <c r="I3296" s="6" t="n">
        <v>20</v>
      </c>
      <c r="J3296" s="6" t="n">
        <v>0</v>
      </c>
      <c r="K3296" s="6" t="n">
        <v>20</v>
      </c>
      <c r="L3296" s="6" t="n">
        <v>0</v>
      </c>
      <c r="M3296" s="6" t="n">
        <v>20</v>
      </c>
      <c r="N3296" s="11" t="n">
        <f aca="false">J3296/(J3296+K3296)</f>
        <v>0</v>
      </c>
      <c r="O3296" s="11" t="str">
        <f aca="false">IF(J3296+L3296=0,"",J3296/(J3296+L3296))</f>
        <v/>
      </c>
      <c r="P3296" s="11" t="n">
        <f aca="false">2*J3296/(2*J3296+L3296+K3296)</f>
        <v>0</v>
      </c>
      <c r="Q3296" s="11" t="n">
        <f aca="false">L3296/(L3296+M3296)</f>
        <v>0</v>
      </c>
      <c r="R3296" s="6" t="n">
        <v>1</v>
      </c>
      <c r="S3296" s="11" t="n">
        <v>0</v>
      </c>
      <c r="T3296" s="11" t="n">
        <v>0</v>
      </c>
      <c r="U3296" s="11" t="n">
        <v>0.65</v>
      </c>
      <c r="V3296" s="11" t="n">
        <v>0.65</v>
      </c>
    </row>
    <row r="3297" customFormat="false" ht="15" hidden="false" customHeight="false" outlineLevel="0" collapsed="false">
      <c r="A3297" s="6" t="s">
        <v>62</v>
      </c>
      <c r="B3297" s="6" t="s">
        <v>63</v>
      </c>
      <c r="C3297" s="6" t="s">
        <v>44</v>
      </c>
      <c r="D3297" s="6" t="s">
        <v>114</v>
      </c>
      <c r="E3297" s="6" t="n">
        <v>16</v>
      </c>
      <c r="F3297" s="6" t="n">
        <v>10</v>
      </c>
      <c r="G3297" s="6" t="s">
        <v>74</v>
      </c>
      <c r="H3297" s="11" t="n">
        <v>0.001</v>
      </c>
      <c r="I3297" s="6" t="n">
        <v>20</v>
      </c>
      <c r="J3297" s="6" t="n">
        <v>0</v>
      </c>
      <c r="K3297" s="6" t="n">
        <v>20</v>
      </c>
      <c r="L3297" s="6" t="n">
        <v>0</v>
      </c>
      <c r="M3297" s="6" t="n">
        <v>20</v>
      </c>
      <c r="N3297" s="11" t="n">
        <f aca="false">J3297/(J3297+K3297)</f>
        <v>0</v>
      </c>
      <c r="O3297" s="11" t="str">
        <f aca="false">IF(J3297+L3297=0,"",J3297/(J3297+L3297))</f>
        <v/>
      </c>
      <c r="P3297" s="11" t="n">
        <f aca="false">2*J3297/(2*J3297+L3297+K3297)</f>
        <v>0</v>
      </c>
      <c r="Q3297" s="11" t="n">
        <f aca="false">L3297/(L3297+M3297)</f>
        <v>0</v>
      </c>
      <c r="R3297" s="6" t="n">
        <v>1</v>
      </c>
      <c r="S3297" s="11" t="n">
        <v>0</v>
      </c>
      <c r="T3297" s="11" t="n">
        <v>0</v>
      </c>
      <c r="U3297" s="11" t="n">
        <v>0.85</v>
      </c>
      <c r="V3297" s="11" t="n">
        <v>0.9</v>
      </c>
    </row>
    <row r="3298" customFormat="false" ht="15" hidden="false" customHeight="false" outlineLevel="0" collapsed="false">
      <c r="A3298" s="6" t="s">
        <v>62</v>
      </c>
      <c r="B3298" s="6" t="s">
        <v>63</v>
      </c>
      <c r="C3298" s="6" t="s">
        <v>44</v>
      </c>
      <c r="D3298" s="6" t="s">
        <v>114</v>
      </c>
      <c r="E3298" s="6" t="n">
        <v>16</v>
      </c>
      <c r="F3298" s="6" t="n">
        <v>10</v>
      </c>
      <c r="G3298" s="6" t="s">
        <v>75</v>
      </c>
      <c r="H3298" s="11" t="n">
        <v>0.001</v>
      </c>
      <c r="I3298" s="6" t="n">
        <v>20</v>
      </c>
      <c r="J3298" s="6" t="n">
        <v>0</v>
      </c>
      <c r="K3298" s="6" t="n">
        <v>20</v>
      </c>
      <c r="L3298" s="6" t="n">
        <v>0</v>
      </c>
      <c r="M3298" s="6" t="n">
        <v>20</v>
      </c>
      <c r="N3298" s="11" t="n">
        <f aca="false">J3298/(J3298+K3298)</f>
        <v>0</v>
      </c>
      <c r="O3298" s="11" t="str">
        <f aca="false">IF(J3298+L3298=0,"",J3298/(J3298+L3298))</f>
        <v/>
      </c>
      <c r="P3298" s="11" t="n">
        <f aca="false">2*J3298/(2*J3298+L3298+K3298)</f>
        <v>0</v>
      </c>
      <c r="Q3298" s="11" t="n">
        <f aca="false">L3298/(L3298+M3298)</f>
        <v>0</v>
      </c>
      <c r="R3298" s="6" t="n">
        <v>1</v>
      </c>
      <c r="S3298" s="11" t="n">
        <v>0</v>
      </c>
      <c r="T3298" s="11" t="n">
        <v>0</v>
      </c>
      <c r="U3298" s="11" t="n">
        <v>0.9</v>
      </c>
      <c r="V3298" s="11" t="n">
        <v>0.9</v>
      </c>
    </row>
    <row r="3299" customFormat="false" ht="15" hidden="false" customHeight="false" outlineLevel="0" collapsed="false">
      <c r="A3299" s="6" t="s">
        <v>62</v>
      </c>
      <c r="B3299" s="6" t="s">
        <v>63</v>
      </c>
      <c r="C3299" s="6" t="s">
        <v>44</v>
      </c>
      <c r="D3299" s="6" t="s">
        <v>114</v>
      </c>
      <c r="E3299" s="6" t="n">
        <v>16</v>
      </c>
      <c r="F3299" s="6" t="n">
        <v>10</v>
      </c>
      <c r="G3299" s="6" t="s">
        <v>76</v>
      </c>
      <c r="H3299" s="11" t="n">
        <v>0.001</v>
      </c>
      <c r="I3299" s="6" t="n">
        <v>20</v>
      </c>
      <c r="J3299" s="6" t="n">
        <v>0</v>
      </c>
      <c r="K3299" s="6" t="n">
        <v>20</v>
      </c>
      <c r="L3299" s="6" t="n">
        <v>0</v>
      </c>
      <c r="M3299" s="6" t="n">
        <v>20</v>
      </c>
      <c r="N3299" s="11" t="n">
        <f aca="false">J3299/(J3299+K3299)</f>
        <v>0</v>
      </c>
      <c r="O3299" s="11" t="str">
        <f aca="false">IF(J3299+L3299=0,"",J3299/(J3299+L3299))</f>
        <v/>
      </c>
      <c r="P3299" s="11" t="n">
        <f aca="false">2*J3299/(2*J3299+L3299+K3299)</f>
        <v>0</v>
      </c>
      <c r="Q3299" s="11" t="n">
        <f aca="false">L3299/(L3299+M3299)</f>
        <v>0</v>
      </c>
      <c r="R3299" s="6" t="n">
        <v>0</v>
      </c>
      <c r="S3299" s="11"/>
      <c r="T3299" s="11" t="n">
        <v>0</v>
      </c>
      <c r="U3299" s="11" t="n">
        <v>0.95</v>
      </c>
      <c r="V3299" s="11" t="n">
        <v>0.95</v>
      </c>
    </row>
    <row r="3300" customFormat="false" ht="15" hidden="false" customHeight="false" outlineLevel="0" collapsed="false">
      <c r="A3300" s="6" t="s">
        <v>62</v>
      </c>
      <c r="B3300" s="6" t="s">
        <v>63</v>
      </c>
      <c r="C3300" s="6" t="s">
        <v>44</v>
      </c>
      <c r="D3300" s="6" t="s">
        <v>114</v>
      </c>
      <c r="E3300" s="6" t="n">
        <v>16</v>
      </c>
      <c r="F3300" s="6" t="n">
        <v>10</v>
      </c>
      <c r="G3300" s="6" t="s">
        <v>77</v>
      </c>
      <c r="H3300" s="11" t="n">
        <v>0.001</v>
      </c>
      <c r="I3300" s="6" t="n">
        <v>20</v>
      </c>
      <c r="J3300" s="6" t="n">
        <v>0</v>
      </c>
      <c r="K3300" s="6" t="n">
        <v>20</v>
      </c>
      <c r="L3300" s="6" t="n">
        <v>0</v>
      </c>
      <c r="M3300" s="6" t="n">
        <v>20</v>
      </c>
      <c r="N3300" s="11" t="n">
        <f aca="false">J3300/(J3300+K3300)</f>
        <v>0</v>
      </c>
      <c r="O3300" s="11" t="str">
        <f aca="false">IF(J3300+L3300=0,"",J3300/(J3300+L3300))</f>
        <v/>
      </c>
      <c r="P3300" s="11" t="n">
        <f aca="false">2*J3300/(2*J3300+L3300+K3300)</f>
        <v>0</v>
      </c>
      <c r="Q3300" s="11" t="n">
        <f aca="false">L3300/(L3300+M3300)</f>
        <v>0</v>
      </c>
      <c r="R3300" s="6" t="n">
        <v>0</v>
      </c>
      <c r="S3300" s="11"/>
      <c r="T3300" s="11" t="n">
        <v>0</v>
      </c>
      <c r="U3300" s="11" t="n">
        <v>1</v>
      </c>
      <c r="V3300" s="11" t="n">
        <v>1</v>
      </c>
    </row>
    <row r="3301" customFormat="false" ht="15" hidden="false" customHeight="false" outlineLevel="0" collapsed="false">
      <c r="A3301" s="6" t="s">
        <v>62</v>
      </c>
      <c r="B3301" s="6" t="s">
        <v>63</v>
      </c>
      <c r="C3301" s="6" t="s">
        <v>44</v>
      </c>
      <c r="D3301" s="6" t="s">
        <v>114</v>
      </c>
      <c r="E3301" s="6" t="n">
        <v>16</v>
      </c>
      <c r="F3301" s="6" t="n">
        <v>10</v>
      </c>
      <c r="G3301" s="6" t="s">
        <v>78</v>
      </c>
      <c r="H3301" s="11" t="n">
        <v>0.001</v>
      </c>
      <c r="I3301" s="6" t="n">
        <v>200</v>
      </c>
      <c r="J3301" s="6" t="n">
        <v>0</v>
      </c>
      <c r="K3301" s="6" t="n">
        <v>200</v>
      </c>
      <c r="L3301" s="6" t="n">
        <v>0</v>
      </c>
      <c r="M3301" s="6" t="n">
        <v>200</v>
      </c>
      <c r="N3301" s="11" t="n">
        <f aca="false">J3301/(J3301+K3301)</f>
        <v>0</v>
      </c>
      <c r="O3301" s="11" t="str">
        <f aca="false">IF(J3301+L3301=0,"",J3301/(J3301+L3301))</f>
        <v/>
      </c>
      <c r="P3301" s="11" t="n">
        <f aca="false">2*J3301/(2*J3301+L3301+K3301)</f>
        <v>0</v>
      </c>
      <c r="Q3301" s="11" t="n">
        <f aca="false">L3301/(L3301+M3301)</f>
        <v>0</v>
      </c>
      <c r="R3301" s="6" t="n">
        <v>5</v>
      </c>
      <c r="S3301" s="11" t="n">
        <v>0</v>
      </c>
      <c r="T3301" s="11" t="n">
        <v>0</v>
      </c>
      <c r="U3301" s="11" t="n">
        <v>0.88</v>
      </c>
      <c r="V3301" s="11" t="n">
        <v>0.895</v>
      </c>
    </row>
  </sheetData>
  <autoFilter ref="A1:V3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16" min="7" style="0" width="8"/>
    <col collapsed="false" customWidth="true" hidden="false" outlineLevel="0" max="18" min="17" style="0" width="9"/>
    <col collapsed="false" customWidth="true" hidden="false" outlineLevel="0" max="19" min="19" style="0" width="5"/>
  </cols>
  <sheetData>
    <row r="1" customFormat="false" ht="30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98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  <c r="N1" s="5" t="s">
        <v>127</v>
      </c>
      <c r="O1" s="5" t="s">
        <v>128</v>
      </c>
      <c r="P1" s="5" t="s">
        <v>129</v>
      </c>
      <c r="Q1" s="5" t="s">
        <v>130</v>
      </c>
      <c r="R1" s="5" t="s">
        <v>131</v>
      </c>
      <c r="S1" s="5" t="s">
        <v>132</v>
      </c>
    </row>
    <row r="2" customFormat="false" ht="15" hidden="false" customHeight="false" outlineLevel="0" collapsed="false">
      <c r="A2" s="6" t="s">
        <v>42</v>
      </c>
      <c r="B2" s="6" t="s">
        <v>43</v>
      </c>
      <c r="C2" s="6" t="s">
        <v>44</v>
      </c>
      <c r="D2" s="6" t="s">
        <v>114</v>
      </c>
      <c r="E2" s="6" t="n">
        <v>16</v>
      </c>
      <c r="F2" s="6" t="s">
        <v>68</v>
      </c>
      <c r="G2" s="11" t="n">
        <f aca="false">Runs!N1102</f>
        <v>0</v>
      </c>
      <c r="H2" s="11" t="n">
        <f aca="false">Runs!N1113</f>
        <v>0</v>
      </c>
      <c r="I2" s="11" t="n">
        <f aca="false">Runs!N1124</f>
        <v>0</v>
      </c>
      <c r="J2" s="11" t="n">
        <f aca="false">Runs!N1135</f>
        <v>0</v>
      </c>
      <c r="K2" s="11" t="n">
        <f aca="false">Runs!N1146</f>
        <v>0</v>
      </c>
      <c r="L2" s="11" t="n">
        <f aca="false">Runs!N1157</f>
        <v>0</v>
      </c>
      <c r="M2" s="11" t="n">
        <f aca="false">Runs!N1168</f>
        <v>0</v>
      </c>
      <c r="N2" s="11" t="n">
        <f aca="false">Runs!N1179</f>
        <v>0</v>
      </c>
      <c r="O2" s="11" t="n">
        <f aca="false">Runs!N1190</f>
        <v>0</v>
      </c>
      <c r="P2" s="11" t="n">
        <f aca="false">Runs!N1201</f>
        <v>0</v>
      </c>
      <c r="Q2" s="16" t="n">
        <f aca="false">IF(COUNT(G2:P2)=0,"",AVERAGE(G2:P2))</f>
        <v>0</v>
      </c>
      <c r="R2" s="16" t="n">
        <f aca="false">IF(COUNT(G2:P2)&lt;2,"",STDEV(G2:P2))</f>
        <v>0</v>
      </c>
      <c r="S2" s="6" t="n">
        <f aca="false">COUNT(G2:P2)</f>
        <v>10</v>
      </c>
    </row>
    <row r="3" customFormat="false" ht="15" hidden="false" customHeight="false" outlineLevel="0" collapsed="false">
      <c r="A3" s="6" t="s">
        <v>42</v>
      </c>
      <c r="B3" s="6" t="s">
        <v>43</v>
      </c>
      <c r="C3" s="6" t="s">
        <v>44</v>
      </c>
      <c r="D3" s="6" t="s">
        <v>114</v>
      </c>
      <c r="E3" s="6" t="n">
        <v>16</v>
      </c>
      <c r="F3" s="6" t="s">
        <v>69</v>
      </c>
      <c r="G3" s="11" t="n">
        <f aca="false">Runs!N1103</f>
        <v>0.05</v>
      </c>
      <c r="H3" s="11" t="n">
        <f aca="false">Runs!N1114</f>
        <v>0</v>
      </c>
      <c r="I3" s="11" t="n">
        <f aca="false">Runs!N1125</f>
        <v>0</v>
      </c>
      <c r="J3" s="11" t="n">
        <f aca="false">Runs!N1136</f>
        <v>0</v>
      </c>
      <c r="K3" s="11" t="n">
        <f aca="false">Runs!N1147</f>
        <v>0</v>
      </c>
      <c r="L3" s="11" t="n">
        <f aca="false">Runs!N1158</f>
        <v>0</v>
      </c>
      <c r="M3" s="11" t="n">
        <f aca="false">Runs!N1169</f>
        <v>0</v>
      </c>
      <c r="N3" s="11" t="n">
        <f aca="false">Runs!N1180</f>
        <v>0</v>
      </c>
      <c r="O3" s="11" t="n">
        <f aca="false">Runs!N1191</f>
        <v>0</v>
      </c>
      <c r="P3" s="11" t="n">
        <f aca="false">Runs!N1202</f>
        <v>0</v>
      </c>
      <c r="Q3" s="16" t="n">
        <f aca="false">IF(COUNT(G3:P3)=0,"",AVERAGE(G3:P3))</f>
        <v>0.005</v>
      </c>
      <c r="R3" s="16" t="n">
        <f aca="false">IF(COUNT(G3:P3)&lt;2,"",STDEV(G3:P3))</f>
        <v>0.0158113883008419</v>
      </c>
      <c r="S3" s="6" t="n">
        <f aca="false">COUNT(G3:P3)</f>
        <v>10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114</v>
      </c>
      <c r="E4" s="6" t="n">
        <v>16</v>
      </c>
      <c r="F4" s="6" t="s">
        <v>70</v>
      </c>
      <c r="G4" s="11" t="n">
        <f aca="false">Runs!N1104</f>
        <v>0</v>
      </c>
      <c r="H4" s="11" t="n">
        <f aca="false">Runs!N1115</f>
        <v>0</v>
      </c>
      <c r="I4" s="11" t="n">
        <f aca="false">Runs!N1126</f>
        <v>0</v>
      </c>
      <c r="J4" s="11" t="n">
        <f aca="false">Runs!N1137</f>
        <v>0</v>
      </c>
      <c r="K4" s="11" t="n">
        <f aca="false">Runs!N1148</f>
        <v>0</v>
      </c>
      <c r="L4" s="11" t="n">
        <f aca="false">Runs!N1159</f>
        <v>0</v>
      </c>
      <c r="M4" s="11" t="n">
        <f aca="false">Runs!N1170</f>
        <v>0</v>
      </c>
      <c r="N4" s="11" t="n">
        <f aca="false">Runs!N1181</f>
        <v>0</v>
      </c>
      <c r="O4" s="11" t="n">
        <f aca="false">Runs!N1192</f>
        <v>0</v>
      </c>
      <c r="P4" s="11" t="n">
        <f aca="false">Runs!N1203</f>
        <v>0</v>
      </c>
      <c r="Q4" s="16" t="n">
        <f aca="false">IF(COUNT(G4:P4)=0,"",AVERAGE(G4:P4))</f>
        <v>0</v>
      </c>
      <c r="R4" s="16" t="n">
        <f aca="false">IF(COUNT(G4:P4)&lt;2,"",STDEV(G4:P4))</f>
        <v>0</v>
      </c>
      <c r="S4" s="6" t="n">
        <f aca="false">COUNT(G4:P4)</f>
        <v>10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44</v>
      </c>
      <c r="D5" s="6" t="s">
        <v>114</v>
      </c>
      <c r="E5" s="6" t="n">
        <v>16</v>
      </c>
      <c r="F5" s="6" t="s">
        <v>71</v>
      </c>
      <c r="G5" s="11" t="n">
        <f aca="false">Runs!N1105</f>
        <v>0</v>
      </c>
      <c r="H5" s="11" t="n">
        <f aca="false">Runs!N1116</f>
        <v>0</v>
      </c>
      <c r="I5" s="11" t="n">
        <f aca="false">Runs!N1127</f>
        <v>0</v>
      </c>
      <c r="J5" s="11" t="n">
        <f aca="false">Runs!N1138</f>
        <v>0</v>
      </c>
      <c r="K5" s="11" t="n">
        <f aca="false">Runs!N1149</f>
        <v>0</v>
      </c>
      <c r="L5" s="11" t="n">
        <f aca="false">Runs!N1160</f>
        <v>0</v>
      </c>
      <c r="M5" s="11" t="n">
        <f aca="false">Runs!N1171</f>
        <v>0</v>
      </c>
      <c r="N5" s="11" t="n">
        <f aca="false">Runs!N1182</f>
        <v>0</v>
      </c>
      <c r="O5" s="11" t="n">
        <f aca="false">Runs!N1193</f>
        <v>0</v>
      </c>
      <c r="P5" s="11" t="n">
        <f aca="false">Runs!N1204</f>
        <v>0</v>
      </c>
      <c r="Q5" s="16" t="n">
        <f aca="false">IF(COUNT(G5:P5)=0,"",AVERAGE(G5:P5))</f>
        <v>0</v>
      </c>
      <c r="R5" s="16" t="n">
        <f aca="false">IF(COUNT(G5:P5)&lt;2,"",STDEV(G5:P5))</f>
        <v>0</v>
      </c>
      <c r="S5" s="6" t="n">
        <f aca="false">COUNT(G5:P5)</f>
        <v>10</v>
      </c>
    </row>
    <row r="6" customFormat="false" ht="15" hidden="false" customHeight="false" outlineLevel="0" collapsed="false">
      <c r="A6" s="6" t="s">
        <v>42</v>
      </c>
      <c r="B6" s="6" t="s">
        <v>43</v>
      </c>
      <c r="C6" s="6" t="s">
        <v>44</v>
      </c>
      <c r="D6" s="6" t="s">
        <v>114</v>
      </c>
      <c r="E6" s="6" t="n">
        <v>16</v>
      </c>
      <c r="F6" s="6" t="s">
        <v>72</v>
      </c>
      <c r="G6" s="11" t="n">
        <f aca="false">Runs!N1106</f>
        <v>0</v>
      </c>
      <c r="H6" s="11" t="n">
        <f aca="false">Runs!N1117</f>
        <v>0</v>
      </c>
      <c r="I6" s="11" t="n">
        <f aca="false">Runs!N1128</f>
        <v>0</v>
      </c>
      <c r="J6" s="11" t="n">
        <f aca="false">Runs!N1139</f>
        <v>0</v>
      </c>
      <c r="K6" s="11" t="n">
        <f aca="false">Runs!N1150</f>
        <v>0</v>
      </c>
      <c r="L6" s="11" t="n">
        <f aca="false">Runs!N1161</f>
        <v>0</v>
      </c>
      <c r="M6" s="11" t="n">
        <f aca="false">Runs!N1172</f>
        <v>0</v>
      </c>
      <c r="N6" s="11" t="n">
        <f aca="false">Runs!N1183</f>
        <v>0</v>
      </c>
      <c r="O6" s="11" t="n">
        <f aca="false">Runs!N1194</f>
        <v>0</v>
      </c>
      <c r="P6" s="11" t="n">
        <f aca="false">Runs!N1205</f>
        <v>0</v>
      </c>
      <c r="Q6" s="16" t="n">
        <f aca="false">IF(COUNT(G6:P6)=0,"",AVERAGE(G6:P6))</f>
        <v>0</v>
      </c>
      <c r="R6" s="16" t="n">
        <f aca="false">IF(COUNT(G6:P6)&lt;2,"",STDEV(G6:P6))</f>
        <v>0</v>
      </c>
      <c r="S6" s="6" t="n">
        <f aca="false">COUNT(G6:P6)</f>
        <v>10</v>
      </c>
    </row>
    <row r="7" customFormat="false" ht="15" hidden="false" customHeight="false" outlineLevel="0" collapsed="false">
      <c r="A7" s="6" t="s">
        <v>42</v>
      </c>
      <c r="B7" s="6" t="s">
        <v>43</v>
      </c>
      <c r="C7" s="6" t="s">
        <v>44</v>
      </c>
      <c r="D7" s="6" t="s">
        <v>114</v>
      </c>
      <c r="E7" s="6" t="n">
        <v>16</v>
      </c>
      <c r="F7" s="6" t="s">
        <v>73</v>
      </c>
      <c r="G7" s="11" t="n">
        <f aca="false">Runs!N1107</f>
        <v>0</v>
      </c>
      <c r="H7" s="11" t="n">
        <f aca="false">Runs!N1118</f>
        <v>0</v>
      </c>
      <c r="I7" s="11" t="n">
        <f aca="false">Runs!N1129</f>
        <v>0</v>
      </c>
      <c r="J7" s="11" t="n">
        <f aca="false">Runs!N1140</f>
        <v>0</v>
      </c>
      <c r="K7" s="11" t="n">
        <f aca="false">Runs!N1151</f>
        <v>0</v>
      </c>
      <c r="L7" s="11" t="n">
        <f aca="false">Runs!N1162</f>
        <v>0</v>
      </c>
      <c r="M7" s="11" t="n">
        <f aca="false">Runs!N1173</f>
        <v>0</v>
      </c>
      <c r="N7" s="11" t="n">
        <f aca="false">Runs!N1184</f>
        <v>0</v>
      </c>
      <c r="O7" s="11" t="n">
        <f aca="false">Runs!N1195</f>
        <v>0</v>
      </c>
      <c r="P7" s="11" t="n">
        <f aca="false">Runs!N1206</f>
        <v>0</v>
      </c>
      <c r="Q7" s="16" t="n">
        <f aca="false">IF(COUNT(G7:P7)=0,"",AVERAGE(G7:P7))</f>
        <v>0</v>
      </c>
      <c r="R7" s="16" t="n">
        <f aca="false">IF(COUNT(G7:P7)&lt;2,"",STDEV(G7:P7))</f>
        <v>0</v>
      </c>
      <c r="S7" s="6" t="n">
        <f aca="false">COUNT(G7:P7)</f>
        <v>10</v>
      </c>
    </row>
    <row r="8" customFormat="false" ht="1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114</v>
      </c>
      <c r="E8" s="6" t="n">
        <v>16</v>
      </c>
      <c r="F8" s="6" t="s">
        <v>74</v>
      </c>
      <c r="G8" s="11" t="n">
        <f aca="false">Runs!N1108</f>
        <v>0</v>
      </c>
      <c r="H8" s="11" t="n">
        <f aca="false">Runs!N1119</f>
        <v>0</v>
      </c>
      <c r="I8" s="11" t="n">
        <f aca="false">Runs!N1130</f>
        <v>0</v>
      </c>
      <c r="J8" s="11" t="n">
        <f aca="false">Runs!N1141</f>
        <v>0</v>
      </c>
      <c r="K8" s="11" t="n">
        <f aca="false">Runs!N1152</f>
        <v>0.05</v>
      </c>
      <c r="L8" s="11" t="n">
        <f aca="false">Runs!N1163</f>
        <v>0</v>
      </c>
      <c r="M8" s="11" t="n">
        <f aca="false">Runs!N1174</f>
        <v>0</v>
      </c>
      <c r="N8" s="11" t="n">
        <f aca="false">Runs!N1185</f>
        <v>0.05</v>
      </c>
      <c r="O8" s="11" t="n">
        <f aca="false">Runs!N1196</f>
        <v>0.05</v>
      </c>
      <c r="P8" s="11" t="n">
        <f aca="false">Runs!N1207</f>
        <v>0</v>
      </c>
      <c r="Q8" s="16" t="n">
        <f aca="false">IF(COUNT(G8:P8)=0,"",AVERAGE(G8:P8))</f>
        <v>0.015</v>
      </c>
      <c r="R8" s="16" t="n">
        <f aca="false">IF(COUNT(G8:P8)&lt;2,"",STDEV(G8:P8))</f>
        <v>0.0241522945769824</v>
      </c>
      <c r="S8" s="6" t="n">
        <f aca="false">COUNT(G8:P8)</f>
        <v>10</v>
      </c>
    </row>
    <row r="9" customFormat="false" ht="15" hidden="false" customHeight="false" outlineLevel="0" collapsed="false">
      <c r="A9" s="6" t="s">
        <v>42</v>
      </c>
      <c r="B9" s="6" t="s">
        <v>43</v>
      </c>
      <c r="C9" s="6" t="s">
        <v>44</v>
      </c>
      <c r="D9" s="6" t="s">
        <v>114</v>
      </c>
      <c r="E9" s="6" t="n">
        <v>16</v>
      </c>
      <c r="F9" s="6" t="s">
        <v>75</v>
      </c>
      <c r="G9" s="11" t="n">
        <f aca="false">Runs!N1109</f>
        <v>0</v>
      </c>
      <c r="H9" s="11" t="n">
        <f aca="false">Runs!N1120</f>
        <v>0</v>
      </c>
      <c r="I9" s="11" t="n">
        <f aca="false">Runs!N1131</f>
        <v>0</v>
      </c>
      <c r="J9" s="11" t="n">
        <f aca="false">Runs!N1142</f>
        <v>0</v>
      </c>
      <c r="K9" s="11" t="n">
        <f aca="false">Runs!N1153</f>
        <v>0</v>
      </c>
      <c r="L9" s="11" t="n">
        <f aca="false">Runs!N1164</f>
        <v>0</v>
      </c>
      <c r="M9" s="11" t="n">
        <f aca="false">Runs!N1175</f>
        <v>0</v>
      </c>
      <c r="N9" s="11" t="n">
        <f aca="false">Runs!N1186</f>
        <v>0</v>
      </c>
      <c r="O9" s="11" t="n">
        <f aca="false">Runs!N1197</f>
        <v>0</v>
      </c>
      <c r="P9" s="11" t="n">
        <f aca="false">Runs!N1208</f>
        <v>0</v>
      </c>
      <c r="Q9" s="16" t="n">
        <f aca="false">IF(COUNT(G9:P9)=0,"",AVERAGE(G9:P9))</f>
        <v>0</v>
      </c>
      <c r="R9" s="16" t="n">
        <f aca="false">IF(COUNT(G9:P9)&lt;2,"",STDEV(G9:P9))</f>
        <v>0</v>
      </c>
      <c r="S9" s="6" t="n">
        <f aca="false">COUNT(G9:P9)</f>
        <v>10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s">
        <v>44</v>
      </c>
      <c r="D10" s="6" t="s">
        <v>114</v>
      </c>
      <c r="E10" s="6" t="n">
        <v>16</v>
      </c>
      <c r="F10" s="6" t="s">
        <v>76</v>
      </c>
      <c r="G10" s="11" t="n">
        <f aca="false">Runs!N1110</f>
        <v>0</v>
      </c>
      <c r="H10" s="11" t="n">
        <f aca="false">Runs!N1121</f>
        <v>0</v>
      </c>
      <c r="I10" s="11" t="n">
        <f aca="false">Runs!N1132</f>
        <v>0</v>
      </c>
      <c r="J10" s="11" t="n">
        <f aca="false">Runs!N1143</f>
        <v>0</v>
      </c>
      <c r="K10" s="11" t="n">
        <f aca="false">Runs!N1154</f>
        <v>0</v>
      </c>
      <c r="L10" s="11" t="n">
        <f aca="false">Runs!N1165</f>
        <v>0</v>
      </c>
      <c r="M10" s="11" t="n">
        <f aca="false">Runs!N1176</f>
        <v>0</v>
      </c>
      <c r="N10" s="11" t="n">
        <f aca="false">Runs!N1187</f>
        <v>0</v>
      </c>
      <c r="O10" s="11" t="n">
        <f aca="false">Runs!N1198</f>
        <v>0</v>
      </c>
      <c r="P10" s="11" t="n">
        <f aca="false">Runs!N1209</f>
        <v>0</v>
      </c>
      <c r="Q10" s="16" t="n">
        <f aca="false">IF(COUNT(G10:P10)=0,"",AVERAGE(G10:P10))</f>
        <v>0</v>
      </c>
      <c r="R10" s="16" t="n">
        <f aca="false">IF(COUNT(G10:P10)&lt;2,"",STDEV(G10:P10))</f>
        <v>0</v>
      </c>
      <c r="S10" s="6" t="n">
        <f aca="false">COUNT(G10:P10)</f>
        <v>10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44</v>
      </c>
      <c r="D11" s="6" t="s">
        <v>114</v>
      </c>
      <c r="E11" s="6" t="n">
        <v>16</v>
      </c>
      <c r="F11" s="6" t="s">
        <v>77</v>
      </c>
      <c r="G11" s="11" t="n">
        <f aca="false">Runs!N1111</f>
        <v>0</v>
      </c>
      <c r="H11" s="11" t="n">
        <f aca="false">Runs!N1122</f>
        <v>0.05</v>
      </c>
      <c r="I11" s="11" t="n">
        <f aca="false">Runs!N1133</f>
        <v>0.05</v>
      </c>
      <c r="J11" s="11" t="n">
        <f aca="false">Runs!N1144</f>
        <v>0.05</v>
      </c>
      <c r="K11" s="11" t="n">
        <f aca="false">Runs!N1155</f>
        <v>0.05</v>
      </c>
      <c r="L11" s="11" t="n">
        <f aca="false">Runs!N1166</f>
        <v>0</v>
      </c>
      <c r="M11" s="11" t="n">
        <f aca="false">Runs!N1177</f>
        <v>0.05</v>
      </c>
      <c r="N11" s="11" t="n">
        <f aca="false">Runs!N1188</f>
        <v>0</v>
      </c>
      <c r="O11" s="11" t="n">
        <f aca="false">Runs!N1199</f>
        <v>0.05</v>
      </c>
      <c r="P11" s="11" t="n">
        <f aca="false">Runs!N1210</f>
        <v>0.05</v>
      </c>
      <c r="Q11" s="16" t="n">
        <f aca="false">IF(COUNT(G11:P11)=0,"",AVERAGE(G11:P11))</f>
        <v>0.035</v>
      </c>
      <c r="R11" s="16" t="n">
        <f aca="false">IF(COUNT(G11:P11)&lt;2,"",STDEV(G11:P11))</f>
        <v>0.0241522945769824</v>
      </c>
      <c r="S11" s="6" t="n">
        <f aca="false">COUNT(G11:P11)</f>
        <v>10</v>
      </c>
    </row>
    <row r="12" customFormat="false" ht="15" hidden="false" customHeight="false" outlineLevel="0" collapsed="false">
      <c r="A12" s="17" t="s">
        <v>42</v>
      </c>
      <c r="B12" s="17" t="s">
        <v>43</v>
      </c>
      <c r="C12" s="17" t="s">
        <v>44</v>
      </c>
      <c r="D12" s="17" t="s">
        <v>114</v>
      </c>
      <c r="E12" s="17" t="n">
        <v>16</v>
      </c>
      <c r="F12" s="17" t="s">
        <v>78</v>
      </c>
      <c r="G12" s="18" t="n">
        <f aca="false">Runs!N1112</f>
        <v>0.005</v>
      </c>
      <c r="H12" s="18" t="n">
        <f aca="false">Runs!N1123</f>
        <v>0.005</v>
      </c>
      <c r="I12" s="18" t="n">
        <f aca="false">Runs!N1134</f>
        <v>0.005</v>
      </c>
      <c r="J12" s="18" t="n">
        <f aca="false">Runs!N1145</f>
        <v>0.005</v>
      </c>
      <c r="K12" s="18" t="n">
        <f aca="false">Runs!N1156</f>
        <v>0.01</v>
      </c>
      <c r="L12" s="18" t="n">
        <f aca="false">Runs!N1167</f>
        <v>0</v>
      </c>
      <c r="M12" s="18" t="n">
        <f aca="false">Runs!N1178</f>
        <v>0.005</v>
      </c>
      <c r="N12" s="18" t="n">
        <f aca="false">Runs!N1189</f>
        <v>0.005</v>
      </c>
      <c r="O12" s="18" t="n">
        <f aca="false">Runs!N1200</f>
        <v>0.01</v>
      </c>
      <c r="P12" s="18" t="n">
        <f aca="false">Runs!N1211</f>
        <v>0.005</v>
      </c>
      <c r="Q12" s="19" t="n">
        <f aca="false">IF(COUNT(G12:P12)=0,"",AVERAGE(G12:P12))</f>
        <v>0.0055</v>
      </c>
      <c r="R12" s="19" t="n">
        <f aca="false">IF(COUNT(G12:P12)&lt;2,"",STDEV(G12:P12))</f>
        <v>0.00283823106098773</v>
      </c>
      <c r="S12" s="20" t="n">
        <f aca="false">COUNT(G12:P12)</f>
        <v>10</v>
      </c>
    </row>
    <row r="13" customFormat="false" ht="15" hidden="false" customHeight="false" outlineLevel="0" collapsed="false">
      <c r="A13" s="6" t="s">
        <v>46</v>
      </c>
      <c r="B13" s="6" t="s">
        <v>43</v>
      </c>
      <c r="C13" s="6" t="s">
        <v>44</v>
      </c>
      <c r="D13" s="6" t="s">
        <v>115</v>
      </c>
      <c r="E13" s="6" t="n">
        <v>1</v>
      </c>
      <c r="F13" s="6" t="s">
        <v>68</v>
      </c>
      <c r="G13" s="11" t="n">
        <f aca="false">Runs!N1212</f>
        <v>0</v>
      </c>
      <c r="H13" s="11" t="n">
        <f aca="false">Runs!N1223</f>
        <v>0</v>
      </c>
      <c r="I13" s="11" t="n">
        <f aca="false">Runs!N1234</f>
        <v>0</v>
      </c>
      <c r="J13" s="11" t="n">
        <f aca="false">Runs!N1245</f>
        <v>1</v>
      </c>
      <c r="K13" s="11" t="n">
        <f aca="false">Runs!N1256</f>
        <v>0</v>
      </c>
      <c r="L13" s="11" t="n">
        <f aca="false">Runs!N1267</f>
        <v>1</v>
      </c>
      <c r="M13" s="11" t="n">
        <f aca="false">Runs!N1278</f>
        <v>0</v>
      </c>
      <c r="N13" s="11" t="n">
        <f aca="false">Runs!N1289</f>
        <v>0</v>
      </c>
      <c r="O13" s="11" t="n">
        <f aca="false">Runs!N1300</f>
        <v>0</v>
      </c>
      <c r="P13" s="11" t="n">
        <f aca="false">Runs!N1311</f>
        <v>0</v>
      </c>
      <c r="Q13" s="16" t="n">
        <f aca="false">IF(COUNT(G13:P13)=0,"",AVERAGE(G13:P13))</f>
        <v>0.2</v>
      </c>
      <c r="R13" s="16" t="n">
        <f aca="false">IF(COUNT(G13:P13)&lt;2,"",STDEV(G13:P13))</f>
        <v>0.421637021355784</v>
      </c>
      <c r="S13" s="6" t="n">
        <f aca="false">COUNT(G13:P13)</f>
        <v>10</v>
      </c>
    </row>
    <row r="14" customFormat="false" ht="15" hidden="false" customHeight="false" outlineLevel="0" collapsed="false">
      <c r="A14" s="6" t="s">
        <v>46</v>
      </c>
      <c r="B14" s="6" t="s">
        <v>43</v>
      </c>
      <c r="C14" s="6" t="s">
        <v>44</v>
      </c>
      <c r="D14" s="6" t="s">
        <v>115</v>
      </c>
      <c r="E14" s="6" t="n">
        <v>1</v>
      </c>
      <c r="F14" s="6" t="s">
        <v>69</v>
      </c>
      <c r="G14" s="11" t="n">
        <f aca="false">Runs!N1213</f>
        <v>0</v>
      </c>
      <c r="H14" s="11" t="n">
        <f aca="false">Runs!N1224</f>
        <v>0</v>
      </c>
      <c r="I14" s="11" t="n">
        <f aca="false">Runs!N1235</f>
        <v>0</v>
      </c>
      <c r="J14" s="11" t="n">
        <f aca="false">Runs!N1246</f>
        <v>1</v>
      </c>
      <c r="K14" s="11" t="n">
        <f aca="false">Runs!N1257</f>
        <v>0</v>
      </c>
      <c r="L14" s="11" t="n">
        <f aca="false">Runs!N1268</f>
        <v>1</v>
      </c>
      <c r="M14" s="11" t="n">
        <f aca="false">Runs!N1279</f>
        <v>0</v>
      </c>
      <c r="N14" s="11" t="n">
        <f aca="false">Runs!N1290</f>
        <v>0</v>
      </c>
      <c r="O14" s="11" t="n">
        <f aca="false">Runs!N1301</f>
        <v>0</v>
      </c>
      <c r="P14" s="11" t="n">
        <f aca="false">Runs!N1312</f>
        <v>0</v>
      </c>
      <c r="Q14" s="16" t="n">
        <f aca="false">IF(COUNT(G14:P14)=0,"",AVERAGE(G14:P14))</f>
        <v>0.2</v>
      </c>
      <c r="R14" s="16" t="n">
        <f aca="false">IF(COUNT(G14:P14)&lt;2,"",STDEV(G14:P14))</f>
        <v>0.421637021355784</v>
      </c>
      <c r="S14" s="6" t="n">
        <f aca="false">COUNT(G14:P14)</f>
        <v>10</v>
      </c>
    </row>
    <row r="15" customFormat="false" ht="15" hidden="false" customHeight="false" outlineLevel="0" collapsed="false">
      <c r="A15" s="6" t="s">
        <v>46</v>
      </c>
      <c r="B15" s="6" t="s">
        <v>43</v>
      </c>
      <c r="C15" s="6" t="s">
        <v>44</v>
      </c>
      <c r="D15" s="6" t="s">
        <v>115</v>
      </c>
      <c r="E15" s="6" t="n">
        <v>1</v>
      </c>
      <c r="F15" s="6" t="s">
        <v>70</v>
      </c>
      <c r="G15" s="11" t="n">
        <f aca="false">Runs!N1214</f>
        <v>0</v>
      </c>
      <c r="H15" s="11" t="n">
        <f aca="false">Runs!N1225</f>
        <v>0</v>
      </c>
      <c r="I15" s="11" t="n">
        <f aca="false">Runs!N1236</f>
        <v>0</v>
      </c>
      <c r="J15" s="11" t="n">
        <f aca="false">Runs!N1247</f>
        <v>1</v>
      </c>
      <c r="K15" s="11" t="n">
        <f aca="false">Runs!N1258</f>
        <v>0</v>
      </c>
      <c r="L15" s="11" t="n">
        <f aca="false">Runs!N1269</f>
        <v>1</v>
      </c>
      <c r="M15" s="11" t="n">
        <f aca="false">Runs!N1280</f>
        <v>0</v>
      </c>
      <c r="N15" s="11" t="n">
        <f aca="false">Runs!N1291</f>
        <v>0</v>
      </c>
      <c r="O15" s="11" t="n">
        <f aca="false">Runs!N1302</f>
        <v>0</v>
      </c>
      <c r="P15" s="11" t="n">
        <f aca="false">Runs!N1313</f>
        <v>0</v>
      </c>
      <c r="Q15" s="16" t="n">
        <f aca="false">IF(COUNT(G15:P15)=0,"",AVERAGE(G15:P15))</f>
        <v>0.2</v>
      </c>
      <c r="R15" s="16" t="n">
        <f aca="false">IF(COUNT(G15:P15)&lt;2,"",STDEV(G15:P15))</f>
        <v>0.421637021355784</v>
      </c>
      <c r="S15" s="6" t="n">
        <f aca="false">COUNT(G15:P15)</f>
        <v>10</v>
      </c>
    </row>
    <row r="16" customFormat="false" ht="15" hidden="false" customHeight="false" outlineLevel="0" collapsed="false">
      <c r="A16" s="6" t="s">
        <v>46</v>
      </c>
      <c r="B16" s="6" t="s">
        <v>43</v>
      </c>
      <c r="C16" s="6" t="s">
        <v>44</v>
      </c>
      <c r="D16" s="6" t="s">
        <v>115</v>
      </c>
      <c r="E16" s="6" t="n">
        <v>1</v>
      </c>
      <c r="F16" s="6" t="s">
        <v>71</v>
      </c>
      <c r="G16" s="11" t="n">
        <f aca="false">Runs!N1215</f>
        <v>0</v>
      </c>
      <c r="H16" s="11" t="n">
        <f aca="false">Runs!N1226</f>
        <v>0</v>
      </c>
      <c r="I16" s="11" t="n">
        <f aca="false">Runs!N1237</f>
        <v>0</v>
      </c>
      <c r="J16" s="11" t="n">
        <f aca="false">Runs!N1248</f>
        <v>1</v>
      </c>
      <c r="K16" s="11" t="n">
        <f aca="false">Runs!N1259</f>
        <v>0</v>
      </c>
      <c r="L16" s="11" t="n">
        <f aca="false">Runs!N1270</f>
        <v>1</v>
      </c>
      <c r="M16" s="11" t="n">
        <f aca="false">Runs!N1281</f>
        <v>0</v>
      </c>
      <c r="N16" s="11" t="n">
        <f aca="false">Runs!N1292</f>
        <v>0</v>
      </c>
      <c r="O16" s="11" t="n">
        <f aca="false">Runs!N1303</f>
        <v>0</v>
      </c>
      <c r="P16" s="11" t="n">
        <f aca="false">Runs!N1314</f>
        <v>0</v>
      </c>
      <c r="Q16" s="16" t="n">
        <f aca="false">IF(COUNT(G16:P16)=0,"",AVERAGE(G16:P16))</f>
        <v>0.2</v>
      </c>
      <c r="R16" s="16" t="n">
        <f aca="false">IF(COUNT(G16:P16)&lt;2,"",STDEV(G16:P16))</f>
        <v>0.421637021355784</v>
      </c>
      <c r="S16" s="6" t="n">
        <f aca="false">COUNT(G16:P16)</f>
        <v>10</v>
      </c>
    </row>
    <row r="17" customFormat="false" ht="15" hidden="false" customHeight="false" outlineLevel="0" collapsed="false">
      <c r="A17" s="6" t="s">
        <v>46</v>
      </c>
      <c r="B17" s="6" t="s">
        <v>43</v>
      </c>
      <c r="C17" s="6" t="s">
        <v>44</v>
      </c>
      <c r="D17" s="6" t="s">
        <v>115</v>
      </c>
      <c r="E17" s="6" t="n">
        <v>1</v>
      </c>
      <c r="F17" s="6" t="s">
        <v>72</v>
      </c>
      <c r="G17" s="11" t="n">
        <f aca="false">Runs!N1216</f>
        <v>0</v>
      </c>
      <c r="H17" s="11" t="n">
        <f aca="false">Runs!N1227</f>
        <v>0</v>
      </c>
      <c r="I17" s="11" t="n">
        <f aca="false">Runs!N1238</f>
        <v>0</v>
      </c>
      <c r="J17" s="11" t="n">
        <f aca="false">Runs!N1249</f>
        <v>1</v>
      </c>
      <c r="K17" s="11" t="n">
        <f aca="false">Runs!N1260</f>
        <v>0</v>
      </c>
      <c r="L17" s="11" t="n">
        <f aca="false">Runs!N1271</f>
        <v>1</v>
      </c>
      <c r="M17" s="11" t="n">
        <f aca="false">Runs!N1282</f>
        <v>0</v>
      </c>
      <c r="N17" s="11" t="n">
        <f aca="false">Runs!N1293</f>
        <v>0</v>
      </c>
      <c r="O17" s="11" t="n">
        <f aca="false">Runs!N1304</f>
        <v>0</v>
      </c>
      <c r="P17" s="11" t="n">
        <f aca="false">Runs!N1315</f>
        <v>0</v>
      </c>
      <c r="Q17" s="16" t="n">
        <f aca="false">IF(COUNT(G17:P17)=0,"",AVERAGE(G17:P17))</f>
        <v>0.2</v>
      </c>
      <c r="R17" s="16" t="n">
        <f aca="false">IF(COUNT(G17:P17)&lt;2,"",STDEV(G17:P17))</f>
        <v>0.421637021355784</v>
      </c>
      <c r="S17" s="6" t="n">
        <f aca="false">COUNT(G17:P17)</f>
        <v>10</v>
      </c>
    </row>
    <row r="18" customFormat="false" ht="15" hidden="false" customHeight="false" outlineLevel="0" collapsed="false">
      <c r="A18" s="6" t="s">
        <v>46</v>
      </c>
      <c r="B18" s="6" t="s">
        <v>43</v>
      </c>
      <c r="C18" s="6" t="s">
        <v>44</v>
      </c>
      <c r="D18" s="6" t="s">
        <v>115</v>
      </c>
      <c r="E18" s="6" t="n">
        <v>1</v>
      </c>
      <c r="F18" s="6" t="s">
        <v>73</v>
      </c>
      <c r="G18" s="11" t="n">
        <f aca="false">Runs!N1217</f>
        <v>0</v>
      </c>
      <c r="H18" s="11" t="n">
        <f aca="false">Runs!N1228</f>
        <v>0</v>
      </c>
      <c r="I18" s="11" t="n">
        <f aca="false">Runs!N1239</f>
        <v>0</v>
      </c>
      <c r="J18" s="11" t="n">
        <f aca="false">Runs!N1250</f>
        <v>1</v>
      </c>
      <c r="K18" s="11" t="n">
        <f aca="false">Runs!N1261</f>
        <v>0</v>
      </c>
      <c r="L18" s="11" t="n">
        <f aca="false">Runs!N1272</f>
        <v>1</v>
      </c>
      <c r="M18" s="11" t="n">
        <f aca="false">Runs!N1283</f>
        <v>0</v>
      </c>
      <c r="N18" s="11" t="n">
        <f aca="false">Runs!N1294</f>
        <v>0</v>
      </c>
      <c r="O18" s="11" t="n">
        <f aca="false">Runs!N1305</f>
        <v>0</v>
      </c>
      <c r="P18" s="11" t="n">
        <f aca="false">Runs!N1316</f>
        <v>0</v>
      </c>
      <c r="Q18" s="16" t="n">
        <f aca="false">IF(COUNT(G18:P18)=0,"",AVERAGE(G18:P18))</f>
        <v>0.2</v>
      </c>
      <c r="R18" s="16" t="n">
        <f aca="false">IF(COUNT(G18:P18)&lt;2,"",STDEV(G18:P18))</f>
        <v>0.421637021355784</v>
      </c>
      <c r="S18" s="6" t="n">
        <f aca="false">COUNT(G18:P18)</f>
        <v>10</v>
      </c>
    </row>
    <row r="19" customFormat="false" ht="15" hidden="false" customHeight="false" outlineLevel="0" collapsed="false">
      <c r="A19" s="6" t="s">
        <v>46</v>
      </c>
      <c r="B19" s="6" t="s">
        <v>43</v>
      </c>
      <c r="C19" s="6" t="s">
        <v>44</v>
      </c>
      <c r="D19" s="6" t="s">
        <v>115</v>
      </c>
      <c r="E19" s="6" t="n">
        <v>1</v>
      </c>
      <c r="F19" s="6" t="s">
        <v>74</v>
      </c>
      <c r="G19" s="11" t="n">
        <f aca="false">Runs!N1218</f>
        <v>0</v>
      </c>
      <c r="H19" s="11" t="n">
        <f aca="false">Runs!N1229</f>
        <v>0</v>
      </c>
      <c r="I19" s="11" t="n">
        <f aca="false">Runs!N1240</f>
        <v>0</v>
      </c>
      <c r="J19" s="11" t="n">
        <f aca="false">Runs!N1251</f>
        <v>1</v>
      </c>
      <c r="K19" s="11" t="n">
        <f aca="false">Runs!N1262</f>
        <v>0</v>
      </c>
      <c r="L19" s="11" t="n">
        <f aca="false">Runs!N1273</f>
        <v>1</v>
      </c>
      <c r="M19" s="11" t="n">
        <f aca="false">Runs!N1284</f>
        <v>0</v>
      </c>
      <c r="N19" s="11" t="n">
        <f aca="false">Runs!N1295</f>
        <v>0</v>
      </c>
      <c r="O19" s="11" t="n">
        <f aca="false">Runs!N1306</f>
        <v>0</v>
      </c>
      <c r="P19" s="11" t="n">
        <f aca="false">Runs!N1317</f>
        <v>0</v>
      </c>
      <c r="Q19" s="16" t="n">
        <f aca="false">IF(COUNT(G19:P19)=0,"",AVERAGE(G19:P19))</f>
        <v>0.2</v>
      </c>
      <c r="R19" s="16" t="n">
        <f aca="false">IF(COUNT(G19:P19)&lt;2,"",STDEV(G19:P19))</f>
        <v>0.421637021355784</v>
      </c>
      <c r="S19" s="6" t="n">
        <f aca="false">COUNT(G19:P19)</f>
        <v>10</v>
      </c>
    </row>
    <row r="20" customFormat="false" ht="15" hidden="false" customHeight="false" outlineLevel="0" collapsed="false">
      <c r="A20" s="6" t="s">
        <v>46</v>
      </c>
      <c r="B20" s="6" t="s">
        <v>43</v>
      </c>
      <c r="C20" s="6" t="s">
        <v>44</v>
      </c>
      <c r="D20" s="6" t="s">
        <v>115</v>
      </c>
      <c r="E20" s="6" t="n">
        <v>1</v>
      </c>
      <c r="F20" s="6" t="s">
        <v>75</v>
      </c>
      <c r="G20" s="11" t="n">
        <f aca="false">Runs!N1219</f>
        <v>0</v>
      </c>
      <c r="H20" s="11" t="n">
        <f aca="false">Runs!N1230</f>
        <v>0</v>
      </c>
      <c r="I20" s="11" t="n">
        <f aca="false">Runs!N1241</f>
        <v>0</v>
      </c>
      <c r="J20" s="11" t="n">
        <f aca="false">Runs!N1252</f>
        <v>1</v>
      </c>
      <c r="K20" s="11" t="n">
        <f aca="false">Runs!N1263</f>
        <v>0</v>
      </c>
      <c r="L20" s="11" t="n">
        <f aca="false">Runs!N1274</f>
        <v>1</v>
      </c>
      <c r="M20" s="11" t="n">
        <f aca="false">Runs!N1285</f>
        <v>0</v>
      </c>
      <c r="N20" s="11" t="n">
        <f aca="false">Runs!N1296</f>
        <v>0</v>
      </c>
      <c r="O20" s="11" t="n">
        <f aca="false">Runs!N1307</f>
        <v>0</v>
      </c>
      <c r="P20" s="11" t="n">
        <f aca="false">Runs!N1318</f>
        <v>0</v>
      </c>
      <c r="Q20" s="16" t="n">
        <f aca="false">IF(COUNT(G20:P20)=0,"",AVERAGE(G20:P20))</f>
        <v>0.2</v>
      </c>
      <c r="R20" s="16" t="n">
        <f aca="false">IF(COUNT(G20:P20)&lt;2,"",STDEV(G20:P20))</f>
        <v>0.421637021355784</v>
      </c>
      <c r="S20" s="6" t="n">
        <f aca="false">COUNT(G20:P20)</f>
        <v>10</v>
      </c>
    </row>
    <row r="21" customFormat="false" ht="15" hidden="false" customHeight="false" outlineLevel="0" collapsed="false">
      <c r="A21" s="6" t="s">
        <v>46</v>
      </c>
      <c r="B21" s="6" t="s">
        <v>43</v>
      </c>
      <c r="C21" s="6" t="s">
        <v>44</v>
      </c>
      <c r="D21" s="6" t="s">
        <v>115</v>
      </c>
      <c r="E21" s="6" t="n">
        <v>1</v>
      </c>
      <c r="F21" s="6" t="s">
        <v>76</v>
      </c>
      <c r="G21" s="11" t="n">
        <f aca="false">Runs!N1220</f>
        <v>0</v>
      </c>
      <c r="H21" s="11" t="n">
        <f aca="false">Runs!N1231</f>
        <v>0</v>
      </c>
      <c r="I21" s="11" t="n">
        <f aca="false">Runs!N1242</f>
        <v>0</v>
      </c>
      <c r="J21" s="11" t="n">
        <f aca="false">Runs!N1253</f>
        <v>1</v>
      </c>
      <c r="K21" s="11" t="n">
        <f aca="false">Runs!N1264</f>
        <v>0</v>
      </c>
      <c r="L21" s="11" t="n">
        <f aca="false">Runs!N1275</f>
        <v>1</v>
      </c>
      <c r="M21" s="11" t="n">
        <f aca="false">Runs!N1286</f>
        <v>0</v>
      </c>
      <c r="N21" s="11" t="n">
        <f aca="false">Runs!N1297</f>
        <v>0</v>
      </c>
      <c r="O21" s="11" t="n">
        <f aca="false">Runs!N1308</f>
        <v>0</v>
      </c>
      <c r="P21" s="11" t="n">
        <f aca="false">Runs!N1319</f>
        <v>0</v>
      </c>
      <c r="Q21" s="16" t="n">
        <f aca="false">IF(COUNT(G21:P21)=0,"",AVERAGE(G21:P21))</f>
        <v>0.2</v>
      </c>
      <c r="R21" s="16" t="n">
        <f aca="false">IF(COUNT(G21:P21)&lt;2,"",STDEV(G21:P21))</f>
        <v>0.421637021355784</v>
      </c>
      <c r="S21" s="6" t="n">
        <f aca="false">COUNT(G21:P21)</f>
        <v>10</v>
      </c>
    </row>
    <row r="22" customFormat="false" ht="15" hidden="false" customHeight="false" outlineLevel="0" collapsed="false">
      <c r="A22" s="6" t="s">
        <v>46</v>
      </c>
      <c r="B22" s="6" t="s">
        <v>43</v>
      </c>
      <c r="C22" s="6" t="s">
        <v>44</v>
      </c>
      <c r="D22" s="6" t="s">
        <v>115</v>
      </c>
      <c r="E22" s="6" t="n">
        <v>1</v>
      </c>
      <c r="F22" s="6" t="s">
        <v>77</v>
      </c>
      <c r="G22" s="11" t="n">
        <f aca="false">Runs!N1221</f>
        <v>0.05</v>
      </c>
      <c r="H22" s="11" t="n">
        <f aca="false">Runs!N1232</f>
        <v>0.05</v>
      </c>
      <c r="I22" s="11" t="n">
        <f aca="false">Runs!N1243</f>
        <v>0.05</v>
      </c>
      <c r="J22" s="11" t="n">
        <f aca="false">Runs!N1254</f>
        <v>1</v>
      </c>
      <c r="K22" s="11" t="n">
        <f aca="false">Runs!N1265</f>
        <v>0.05</v>
      </c>
      <c r="L22" s="11" t="n">
        <f aca="false">Runs!N1276</f>
        <v>1</v>
      </c>
      <c r="M22" s="11" t="n">
        <f aca="false">Runs!N1287</f>
        <v>0.05</v>
      </c>
      <c r="N22" s="11" t="n">
        <f aca="false">Runs!N1298</f>
        <v>0.05</v>
      </c>
      <c r="O22" s="11" t="n">
        <f aca="false">Runs!N1309</f>
        <v>0.05</v>
      </c>
      <c r="P22" s="11" t="n">
        <f aca="false">Runs!N1320</f>
        <v>0.05</v>
      </c>
      <c r="Q22" s="16" t="n">
        <f aca="false">IF(COUNT(G22:P22)=0,"",AVERAGE(G22:P22))</f>
        <v>0.24</v>
      </c>
      <c r="R22" s="16" t="n">
        <f aca="false">IF(COUNT(G22:P22)&lt;2,"",STDEV(G22:P22))</f>
        <v>0.400555170287995</v>
      </c>
      <c r="S22" s="6" t="n">
        <f aca="false">COUNT(G22:P22)</f>
        <v>10</v>
      </c>
    </row>
    <row r="23" customFormat="false" ht="15" hidden="false" customHeight="false" outlineLevel="0" collapsed="false">
      <c r="A23" s="17" t="s">
        <v>46</v>
      </c>
      <c r="B23" s="17" t="s">
        <v>43</v>
      </c>
      <c r="C23" s="17" t="s">
        <v>44</v>
      </c>
      <c r="D23" s="17" t="s">
        <v>115</v>
      </c>
      <c r="E23" s="17" t="n">
        <v>1</v>
      </c>
      <c r="F23" s="17" t="s">
        <v>78</v>
      </c>
      <c r="G23" s="18" t="n">
        <f aca="false">Runs!N1222</f>
        <v>0.005</v>
      </c>
      <c r="H23" s="18" t="n">
        <f aca="false">Runs!N1233</f>
        <v>0.005</v>
      </c>
      <c r="I23" s="18" t="n">
        <f aca="false">Runs!N1244</f>
        <v>0.005</v>
      </c>
      <c r="J23" s="18" t="n">
        <f aca="false">Runs!N1255</f>
        <v>1</v>
      </c>
      <c r="K23" s="18" t="n">
        <f aca="false">Runs!N1266</f>
        <v>0.005</v>
      </c>
      <c r="L23" s="18" t="n">
        <f aca="false">Runs!N1277</f>
        <v>1</v>
      </c>
      <c r="M23" s="18" t="n">
        <f aca="false">Runs!N1288</f>
        <v>0.005</v>
      </c>
      <c r="N23" s="18" t="n">
        <f aca="false">Runs!N1299</f>
        <v>0.005</v>
      </c>
      <c r="O23" s="18" t="n">
        <f aca="false">Runs!N1310</f>
        <v>0.005</v>
      </c>
      <c r="P23" s="18" t="n">
        <f aca="false">Runs!N1321</f>
        <v>0.005</v>
      </c>
      <c r="Q23" s="19" t="n">
        <f aca="false">IF(COUNT(G23:P23)=0,"",AVERAGE(G23:P23))</f>
        <v>0.204</v>
      </c>
      <c r="R23" s="19" t="n">
        <f aca="false">IF(COUNT(G23:P23)&lt;2,"",STDEV(G23:P23))</f>
        <v>0.419528836249005</v>
      </c>
      <c r="S23" s="20" t="n">
        <f aca="false">COUNT(G23:P23)</f>
        <v>10</v>
      </c>
    </row>
    <row r="24" customFormat="false" ht="15" hidden="false" customHeight="false" outlineLevel="0" collapsed="false">
      <c r="A24" s="6" t="s">
        <v>48</v>
      </c>
      <c r="B24" s="6" t="s">
        <v>43</v>
      </c>
      <c r="C24" s="6" t="s">
        <v>49</v>
      </c>
      <c r="D24" s="6" t="s">
        <v>115</v>
      </c>
      <c r="E24" s="6" t="n">
        <v>4</v>
      </c>
      <c r="F24" s="6" t="s">
        <v>68</v>
      </c>
      <c r="G24" s="11" t="n">
        <f aca="false">Runs!N1322</f>
        <v>1</v>
      </c>
      <c r="H24" s="11" t="n">
        <f aca="false">Runs!N1333</f>
        <v>0</v>
      </c>
      <c r="I24" s="11" t="n">
        <f aca="false">Runs!N1344</f>
        <v>1</v>
      </c>
      <c r="J24" s="11" t="n">
        <f aca="false">Runs!N1355</f>
        <v>0</v>
      </c>
      <c r="K24" s="11" t="n">
        <f aca="false">Runs!N1366</f>
        <v>0</v>
      </c>
      <c r="L24" s="11" t="n">
        <f aca="false">Runs!N1377</f>
        <v>0</v>
      </c>
      <c r="M24" s="11" t="n">
        <f aca="false">Runs!N1388</f>
        <v>1</v>
      </c>
      <c r="N24" s="11" t="n">
        <f aca="false">Runs!N1399</f>
        <v>1</v>
      </c>
      <c r="O24" s="11" t="n">
        <f aca="false">Runs!N1410</f>
        <v>1</v>
      </c>
      <c r="P24" s="11" t="n">
        <f aca="false">Runs!N1421</f>
        <v>0</v>
      </c>
      <c r="Q24" s="16" t="n">
        <f aca="false">IF(COUNT(G24:P24)=0,"",AVERAGE(G24:P24))</f>
        <v>0.5</v>
      </c>
      <c r="R24" s="16" t="n">
        <f aca="false">IF(COUNT(G24:P24)&lt;2,"",STDEV(G24:P24))</f>
        <v>0.52704627669473</v>
      </c>
      <c r="S24" s="6" t="n">
        <f aca="false">COUNT(G24:P24)</f>
        <v>10</v>
      </c>
    </row>
    <row r="25" customFormat="false" ht="15" hidden="false" customHeight="false" outlineLevel="0" collapsed="false">
      <c r="A25" s="6" t="s">
        <v>48</v>
      </c>
      <c r="B25" s="6" t="s">
        <v>43</v>
      </c>
      <c r="C25" s="6" t="s">
        <v>49</v>
      </c>
      <c r="D25" s="6" t="s">
        <v>115</v>
      </c>
      <c r="E25" s="6" t="n">
        <v>4</v>
      </c>
      <c r="F25" s="6" t="s">
        <v>69</v>
      </c>
      <c r="G25" s="11" t="n">
        <f aca="false">Runs!N1323</f>
        <v>1</v>
      </c>
      <c r="H25" s="11" t="n">
        <f aca="false">Runs!N1334</f>
        <v>0</v>
      </c>
      <c r="I25" s="11" t="n">
        <f aca="false">Runs!N1345</f>
        <v>1</v>
      </c>
      <c r="J25" s="11" t="n">
        <f aca="false">Runs!N1356</f>
        <v>0</v>
      </c>
      <c r="K25" s="11" t="n">
        <f aca="false">Runs!N1367</f>
        <v>0</v>
      </c>
      <c r="L25" s="11" t="n">
        <f aca="false">Runs!N1378</f>
        <v>0</v>
      </c>
      <c r="M25" s="11" t="n">
        <f aca="false">Runs!N1389</f>
        <v>1</v>
      </c>
      <c r="N25" s="11" t="n">
        <f aca="false">Runs!N1400</f>
        <v>1</v>
      </c>
      <c r="O25" s="11" t="n">
        <f aca="false">Runs!N1411</f>
        <v>1</v>
      </c>
      <c r="P25" s="11" t="n">
        <f aca="false">Runs!N1422</f>
        <v>0</v>
      </c>
      <c r="Q25" s="16" t="n">
        <f aca="false">IF(COUNT(G25:P25)=0,"",AVERAGE(G25:P25))</f>
        <v>0.5</v>
      </c>
      <c r="R25" s="16" t="n">
        <f aca="false">IF(COUNT(G25:P25)&lt;2,"",STDEV(G25:P25))</f>
        <v>0.52704627669473</v>
      </c>
      <c r="S25" s="6" t="n">
        <f aca="false">COUNT(G25:P25)</f>
        <v>10</v>
      </c>
    </row>
    <row r="26" customFormat="false" ht="15" hidden="false" customHeight="false" outlineLevel="0" collapsed="false">
      <c r="A26" s="6" t="s">
        <v>48</v>
      </c>
      <c r="B26" s="6" t="s">
        <v>43</v>
      </c>
      <c r="C26" s="6" t="s">
        <v>49</v>
      </c>
      <c r="D26" s="6" t="s">
        <v>115</v>
      </c>
      <c r="E26" s="6" t="n">
        <v>4</v>
      </c>
      <c r="F26" s="6" t="s">
        <v>70</v>
      </c>
      <c r="G26" s="11" t="n">
        <f aca="false">Runs!N1324</f>
        <v>1</v>
      </c>
      <c r="H26" s="11" t="n">
        <f aca="false">Runs!N1335</f>
        <v>0</v>
      </c>
      <c r="I26" s="11" t="n">
        <f aca="false">Runs!N1346</f>
        <v>1</v>
      </c>
      <c r="J26" s="11" t="n">
        <f aca="false">Runs!N1357</f>
        <v>0</v>
      </c>
      <c r="K26" s="11" t="n">
        <f aca="false">Runs!N1368</f>
        <v>0</v>
      </c>
      <c r="L26" s="11" t="n">
        <f aca="false">Runs!N1379</f>
        <v>0</v>
      </c>
      <c r="M26" s="11" t="n">
        <f aca="false">Runs!N1390</f>
        <v>1</v>
      </c>
      <c r="N26" s="11" t="n">
        <f aca="false">Runs!N1401</f>
        <v>1</v>
      </c>
      <c r="O26" s="11" t="n">
        <f aca="false">Runs!N1412</f>
        <v>1</v>
      </c>
      <c r="P26" s="11" t="n">
        <f aca="false">Runs!N1423</f>
        <v>0</v>
      </c>
      <c r="Q26" s="16" t="n">
        <f aca="false">IF(COUNT(G26:P26)=0,"",AVERAGE(G26:P26))</f>
        <v>0.5</v>
      </c>
      <c r="R26" s="16" t="n">
        <f aca="false">IF(COUNT(G26:P26)&lt;2,"",STDEV(G26:P26))</f>
        <v>0.52704627669473</v>
      </c>
      <c r="S26" s="6" t="n">
        <f aca="false">COUNT(G26:P26)</f>
        <v>10</v>
      </c>
    </row>
    <row r="27" customFormat="false" ht="15" hidden="false" customHeight="false" outlineLevel="0" collapsed="false">
      <c r="A27" s="6" t="s">
        <v>48</v>
      </c>
      <c r="B27" s="6" t="s">
        <v>43</v>
      </c>
      <c r="C27" s="6" t="s">
        <v>49</v>
      </c>
      <c r="D27" s="6" t="s">
        <v>115</v>
      </c>
      <c r="E27" s="6" t="n">
        <v>4</v>
      </c>
      <c r="F27" s="6" t="s">
        <v>71</v>
      </c>
      <c r="G27" s="11" t="n">
        <f aca="false">Runs!N1325</f>
        <v>1</v>
      </c>
      <c r="H27" s="11" t="n">
        <f aca="false">Runs!N1336</f>
        <v>0</v>
      </c>
      <c r="I27" s="11" t="n">
        <f aca="false">Runs!N1347</f>
        <v>1</v>
      </c>
      <c r="J27" s="11" t="n">
        <f aca="false">Runs!N1358</f>
        <v>0</v>
      </c>
      <c r="K27" s="11" t="n">
        <f aca="false">Runs!N1369</f>
        <v>0</v>
      </c>
      <c r="L27" s="11" t="n">
        <f aca="false">Runs!N1380</f>
        <v>0</v>
      </c>
      <c r="M27" s="11" t="n">
        <f aca="false">Runs!N1391</f>
        <v>1</v>
      </c>
      <c r="N27" s="11" t="n">
        <f aca="false">Runs!N1402</f>
        <v>1</v>
      </c>
      <c r="O27" s="11" t="n">
        <f aca="false">Runs!N1413</f>
        <v>1</v>
      </c>
      <c r="P27" s="11" t="n">
        <f aca="false">Runs!N1424</f>
        <v>0</v>
      </c>
      <c r="Q27" s="16" t="n">
        <f aca="false">IF(COUNT(G27:P27)=0,"",AVERAGE(G27:P27))</f>
        <v>0.5</v>
      </c>
      <c r="R27" s="16" t="n">
        <f aca="false">IF(COUNT(G27:P27)&lt;2,"",STDEV(G27:P27))</f>
        <v>0.52704627669473</v>
      </c>
      <c r="S27" s="6" t="n">
        <f aca="false">COUNT(G27:P27)</f>
        <v>10</v>
      </c>
    </row>
    <row r="28" customFormat="false" ht="15" hidden="false" customHeight="false" outlineLevel="0" collapsed="false">
      <c r="A28" s="6" t="s">
        <v>48</v>
      </c>
      <c r="B28" s="6" t="s">
        <v>43</v>
      </c>
      <c r="C28" s="6" t="s">
        <v>49</v>
      </c>
      <c r="D28" s="6" t="s">
        <v>115</v>
      </c>
      <c r="E28" s="6" t="n">
        <v>4</v>
      </c>
      <c r="F28" s="6" t="s">
        <v>72</v>
      </c>
      <c r="G28" s="11" t="n">
        <f aca="false">Runs!N1326</f>
        <v>1</v>
      </c>
      <c r="H28" s="11" t="n">
        <f aca="false">Runs!N1337</f>
        <v>0</v>
      </c>
      <c r="I28" s="11" t="n">
        <f aca="false">Runs!N1348</f>
        <v>1</v>
      </c>
      <c r="J28" s="11" t="n">
        <f aca="false">Runs!N1359</f>
        <v>0</v>
      </c>
      <c r="K28" s="11" t="n">
        <f aca="false">Runs!N1370</f>
        <v>0</v>
      </c>
      <c r="L28" s="11" t="n">
        <f aca="false">Runs!N1381</f>
        <v>0</v>
      </c>
      <c r="M28" s="11" t="n">
        <f aca="false">Runs!N1392</f>
        <v>1</v>
      </c>
      <c r="N28" s="11" t="n">
        <f aca="false">Runs!N1403</f>
        <v>1</v>
      </c>
      <c r="O28" s="11" t="n">
        <f aca="false">Runs!N1414</f>
        <v>1</v>
      </c>
      <c r="P28" s="11" t="n">
        <f aca="false">Runs!N1425</f>
        <v>0</v>
      </c>
      <c r="Q28" s="16" t="n">
        <f aca="false">IF(COUNT(G28:P28)=0,"",AVERAGE(G28:P28))</f>
        <v>0.5</v>
      </c>
      <c r="R28" s="16" t="n">
        <f aca="false">IF(COUNT(G28:P28)&lt;2,"",STDEV(G28:P28))</f>
        <v>0.52704627669473</v>
      </c>
      <c r="S28" s="6" t="n">
        <f aca="false">COUNT(G28:P28)</f>
        <v>10</v>
      </c>
    </row>
    <row r="29" customFormat="false" ht="15" hidden="false" customHeight="false" outlineLevel="0" collapsed="false">
      <c r="A29" s="6" t="s">
        <v>48</v>
      </c>
      <c r="B29" s="6" t="s">
        <v>43</v>
      </c>
      <c r="C29" s="6" t="s">
        <v>49</v>
      </c>
      <c r="D29" s="6" t="s">
        <v>115</v>
      </c>
      <c r="E29" s="6" t="n">
        <v>4</v>
      </c>
      <c r="F29" s="6" t="s">
        <v>73</v>
      </c>
      <c r="G29" s="11" t="n">
        <f aca="false">Runs!N1327</f>
        <v>1</v>
      </c>
      <c r="H29" s="11" t="n">
        <f aca="false">Runs!N1338</f>
        <v>0</v>
      </c>
      <c r="I29" s="11" t="n">
        <f aca="false">Runs!N1349</f>
        <v>1</v>
      </c>
      <c r="J29" s="11" t="n">
        <f aca="false">Runs!N1360</f>
        <v>0</v>
      </c>
      <c r="K29" s="11" t="n">
        <f aca="false">Runs!N1371</f>
        <v>0</v>
      </c>
      <c r="L29" s="11" t="n">
        <f aca="false">Runs!N1382</f>
        <v>0</v>
      </c>
      <c r="M29" s="11" t="n">
        <f aca="false">Runs!N1393</f>
        <v>1</v>
      </c>
      <c r="N29" s="11" t="n">
        <f aca="false">Runs!N1404</f>
        <v>1</v>
      </c>
      <c r="O29" s="11" t="n">
        <f aca="false">Runs!N1415</f>
        <v>1</v>
      </c>
      <c r="P29" s="11" t="n">
        <f aca="false">Runs!N1426</f>
        <v>0</v>
      </c>
      <c r="Q29" s="16" t="n">
        <f aca="false">IF(COUNT(G29:P29)=0,"",AVERAGE(G29:P29))</f>
        <v>0.5</v>
      </c>
      <c r="R29" s="16" t="n">
        <f aca="false">IF(COUNT(G29:P29)&lt;2,"",STDEV(G29:P29))</f>
        <v>0.52704627669473</v>
      </c>
      <c r="S29" s="6" t="n">
        <f aca="false">COUNT(G29:P29)</f>
        <v>10</v>
      </c>
    </row>
    <row r="30" customFormat="false" ht="15" hidden="false" customHeight="false" outlineLevel="0" collapsed="false">
      <c r="A30" s="6" t="s">
        <v>48</v>
      </c>
      <c r="B30" s="6" t="s">
        <v>43</v>
      </c>
      <c r="C30" s="6" t="s">
        <v>49</v>
      </c>
      <c r="D30" s="6" t="s">
        <v>115</v>
      </c>
      <c r="E30" s="6" t="n">
        <v>4</v>
      </c>
      <c r="F30" s="6" t="s">
        <v>74</v>
      </c>
      <c r="G30" s="11" t="n">
        <f aca="false">Runs!N1328</f>
        <v>1</v>
      </c>
      <c r="H30" s="11" t="n">
        <f aca="false">Runs!N1339</f>
        <v>0</v>
      </c>
      <c r="I30" s="11" t="n">
        <f aca="false">Runs!N1350</f>
        <v>1</v>
      </c>
      <c r="J30" s="11" t="n">
        <f aca="false">Runs!N1361</f>
        <v>0</v>
      </c>
      <c r="K30" s="11" t="n">
        <f aca="false">Runs!N1372</f>
        <v>0</v>
      </c>
      <c r="L30" s="11" t="n">
        <f aca="false">Runs!N1383</f>
        <v>0</v>
      </c>
      <c r="M30" s="11" t="n">
        <f aca="false">Runs!N1394</f>
        <v>1</v>
      </c>
      <c r="N30" s="11" t="n">
        <f aca="false">Runs!N1405</f>
        <v>1</v>
      </c>
      <c r="O30" s="11" t="n">
        <f aca="false">Runs!N1416</f>
        <v>1</v>
      </c>
      <c r="P30" s="11" t="n">
        <f aca="false">Runs!N1427</f>
        <v>0</v>
      </c>
      <c r="Q30" s="16" t="n">
        <f aca="false">IF(COUNT(G30:P30)=0,"",AVERAGE(G30:P30))</f>
        <v>0.5</v>
      </c>
      <c r="R30" s="16" t="n">
        <f aca="false">IF(COUNT(G30:P30)&lt;2,"",STDEV(G30:P30))</f>
        <v>0.52704627669473</v>
      </c>
      <c r="S30" s="6" t="n">
        <f aca="false">COUNT(G30:P30)</f>
        <v>10</v>
      </c>
    </row>
    <row r="31" customFormat="false" ht="15" hidden="false" customHeight="false" outlineLevel="0" collapsed="false">
      <c r="A31" s="6" t="s">
        <v>48</v>
      </c>
      <c r="B31" s="6" t="s">
        <v>43</v>
      </c>
      <c r="C31" s="6" t="s">
        <v>49</v>
      </c>
      <c r="D31" s="6" t="s">
        <v>115</v>
      </c>
      <c r="E31" s="6" t="n">
        <v>4</v>
      </c>
      <c r="F31" s="6" t="s">
        <v>75</v>
      </c>
      <c r="G31" s="11" t="n">
        <f aca="false">Runs!N1329</f>
        <v>1</v>
      </c>
      <c r="H31" s="11" t="n">
        <f aca="false">Runs!N1340</f>
        <v>0</v>
      </c>
      <c r="I31" s="11" t="n">
        <f aca="false">Runs!N1351</f>
        <v>1</v>
      </c>
      <c r="J31" s="11" t="n">
        <f aca="false">Runs!N1362</f>
        <v>0</v>
      </c>
      <c r="K31" s="11" t="n">
        <f aca="false">Runs!N1373</f>
        <v>0</v>
      </c>
      <c r="L31" s="11" t="n">
        <f aca="false">Runs!N1384</f>
        <v>0</v>
      </c>
      <c r="M31" s="11" t="n">
        <f aca="false">Runs!N1395</f>
        <v>1</v>
      </c>
      <c r="N31" s="11" t="n">
        <f aca="false">Runs!N1406</f>
        <v>1</v>
      </c>
      <c r="O31" s="11" t="n">
        <f aca="false">Runs!N1417</f>
        <v>1</v>
      </c>
      <c r="P31" s="11" t="n">
        <f aca="false">Runs!N1428</f>
        <v>0</v>
      </c>
      <c r="Q31" s="16" t="n">
        <f aca="false">IF(COUNT(G31:P31)=0,"",AVERAGE(G31:P31))</f>
        <v>0.5</v>
      </c>
      <c r="R31" s="16" t="n">
        <f aca="false">IF(COUNT(G31:P31)&lt;2,"",STDEV(G31:P31))</f>
        <v>0.52704627669473</v>
      </c>
      <c r="S31" s="6" t="n">
        <f aca="false">COUNT(G31:P31)</f>
        <v>10</v>
      </c>
    </row>
    <row r="32" customFormat="false" ht="15" hidden="false" customHeight="false" outlineLevel="0" collapsed="false">
      <c r="A32" s="6" t="s">
        <v>48</v>
      </c>
      <c r="B32" s="6" t="s">
        <v>43</v>
      </c>
      <c r="C32" s="6" t="s">
        <v>49</v>
      </c>
      <c r="D32" s="6" t="s">
        <v>115</v>
      </c>
      <c r="E32" s="6" t="n">
        <v>4</v>
      </c>
      <c r="F32" s="6" t="s">
        <v>76</v>
      </c>
      <c r="G32" s="11" t="n">
        <f aca="false">Runs!N1330</f>
        <v>1</v>
      </c>
      <c r="H32" s="11" t="n">
        <f aca="false">Runs!N1341</f>
        <v>0</v>
      </c>
      <c r="I32" s="11" t="n">
        <f aca="false">Runs!N1352</f>
        <v>1</v>
      </c>
      <c r="J32" s="11" t="n">
        <f aca="false">Runs!N1363</f>
        <v>0</v>
      </c>
      <c r="K32" s="11" t="n">
        <f aca="false">Runs!N1374</f>
        <v>0</v>
      </c>
      <c r="L32" s="11" t="n">
        <f aca="false">Runs!N1385</f>
        <v>0</v>
      </c>
      <c r="M32" s="11" t="n">
        <f aca="false">Runs!N1396</f>
        <v>1</v>
      </c>
      <c r="N32" s="11" t="n">
        <f aca="false">Runs!N1407</f>
        <v>1</v>
      </c>
      <c r="O32" s="11" t="n">
        <f aca="false">Runs!N1418</f>
        <v>1</v>
      </c>
      <c r="P32" s="11" t="n">
        <f aca="false">Runs!N1429</f>
        <v>0</v>
      </c>
      <c r="Q32" s="16" t="n">
        <f aca="false">IF(COUNT(G32:P32)=0,"",AVERAGE(G32:P32))</f>
        <v>0.5</v>
      </c>
      <c r="R32" s="16" t="n">
        <f aca="false">IF(COUNT(G32:P32)&lt;2,"",STDEV(G32:P32))</f>
        <v>0.52704627669473</v>
      </c>
      <c r="S32" s="6" t="n">
        <f aca="false">COUNT(G32:P32)</f>
        <v>10</v>
      </c>
    </row>
    <row r="33" customFormat="false" ht="15" hidden="false" customHeight="false" outlineLevel="0" collapsed="false">
      <c r="A33" s="6" t="s">
        <v>48</v>
      </c>
      <c r="B33" s="6" t="s">
        <v>43</v>
      </c>
      <c r="C33" s="6" t="s">
        <v>49</v>
      </c>
      <c r="D33" s="6" t="s">
        <v>115</v>
      </c>
      <c r="E33" s="6" t="n">
        <v>4</v>
      </c>
      <c r="F33" s="6" t="s">
        <v>77</v>
      </c>
      <c r="G33" s="11" t="n">
        <f aca="false">Runs!N1331</f>
        <v>1</v>
      </c>
      <c r="H33" s="11" t="n">
        <f aca="false">Runs!N1342</f>
        <v>0.05</v>
      </c>
      <c r="I33" s="11" t="n">
        <f aca="false">Runs!N1353</f>
        <v>1</v>
      </c>
      <c r="J33" s="11" t="n">
        <f aca="false">Runs!N1364</f>
        <v>0.05</v>
      </c>
      <c r="K33" s="11" t="n">
        <f aca="false">Runs!N1375</f>
        <v>0.05</v>
      </c>
      <c r="L33" s="11" t="n">
        <f aca="false">Runs!N1386</f>
        <v>0.05</v>
      </c>
      <c r="M33" s="11" t="n">
        <f aca="false">Runs!N1397</f>
        <v>1</v>
      </c>
      <c r="N33" s="11" t="n">
        <f aca="false">Runs!N1408</f>
        <v>1</v>
      </c>
      <c r="O33" s="11" t="n">
        <f aca="false">Runs!N1419</f>
        <v>1</v>
      </c>
      <c r="P33" s="11" t="n">
        <f aca="false">Runs!N1430</f>
        <v>0.05</v>
      </c>
      <c r="Q33" s="16" t="n">
        <f aca="false">IF(COUNT(G33:P33)=0,"",AVERAGE(G33:P33))</f>
        <v>0.525</v>
      </c>
      <c r="R33" s="16" t="n">
        <f aca="false">IF(COUNT(G33:P33)&lt;2,"",STDEV(G33:P33))</f>
        <v>0.500693962859993</v>
      </c>
      <c r="S33" s="6" t="n">
        <f aca="false">COUNT(G33:P33)</f>
        <v>10</v>
      </c>
    </row>
    <row r="34" customFormat="false" ht="15" hidden="false" customHeight="false" outlineLevel="0" collapsed="false">
      <c r="A34" s="17" t="s">
        <v>48</v>
      </c>
      <c r="B34" s="17" t="s">
        <v>43</v>
      </c>
      <c r="C34" s="17" t="s">
        <v>49</v>
      </c>
      <c r="D34" s="17" t="s">
        <v>115</v>
      </c>
      <c r="E34" s="17" t="n">
        <v>4</v>
      </c>
      <c r="F34" s="17" t="s">
        <v>78</v>
      </c>
      <c r="G34" s="18" t="n">
        <f aca="false">Runs!N1332</f>
        <v>1</v>
      </c>
      <c r="H34" s="18" t="n">
        <f aca="false">Runs!N1343</f>
        <v>0.005</v>
      </c>
      <c r="I34" s="18" t="n">
        <f aca="false">Runs!N1354</f>
        <v>1</v>
      </c>
      <c r="J34" s="18" t="n">
        <f aca="false">Runs!N1365</f>
        <v>0.005</v>
      </c>
      <c r="K34" s="18" t="n">
        <f aca="false">Runs!N1376</f>
        <v>0.005</v>
      </c>
      <c r="L34" s="18" t="n">
        <f aca="false">Runs!N1387</f>
        <v>0.005</v>
      </c>
      <c r="M34" s="18" t="n">
        <f aca="false">Runs!N1398</f>
        <v>1</v>
      </c>
      <c r="N34" s="18" t="n">
        <f aca="false">Runs!N1409</f>
        <v>1</v>
      </c>
      <c r="O34" s="18" t="n">
        <f aca="false">Runs!N1420</f>
        <v>1</v>
      </c>
      <c r="P34" s="18" t="n">
        <f aca="false">Runs!N1431</f>
        <v>0.005</v>
      </c>
      <c r="Q34" s="19" t="n">
        <f aca="false">IF(COUNT(G34:P34)=0,"",AVERAGE(G34:P34))</f>
        <v>0.5025</v>
      </c>
      <c r="R34" s="19" t="n">
        <f aca="false">IF(COUNT(G34:P34)&lt;2,"",STDEV(G34:P34))</f>
        <v>0.524411045311256</v>
      </c>
      <c r="S34" s="20" t="n">
        <f aca="false">COUNT(G34:P34)</f>
        <v>10</v>
      </c>
    </row>
    <row r="35" customFormat="false" ht="15" hidden="false" customHeight="false" outlineLevel="0" collapsed="false">
      <c r="A35" s="6" t="s">
        <v>50</v>
      </c>
      <c r="B35" s="6" t="s">
        <v>43</v>
      </c>
      <c r="C35" s="6" t="s">
        <v>51</v>
      </c>
      <c r="D35" s="6" t="s">
        <v>115</v>
      </c>
      <c r="E35" s="6" t="n">
        <v>1</v>
      </c>
      <c r="F35" s="6" t="s">
        <v>68</v>
      </c>
      <c r="G35" s="11" t="n">
        <f aca="false">Runs!N1432</f>
        <v>0</v>
      </c>
      <c r="H35" s="11" t="n">
        <f aca="false">Runs!N1443</f>
        <v>0</v>
      </c>
      <c r="I35" s="11" t="n">
        <f aca="false">Runs!N1454</f>
        <v>0</v>
      </c>
      <c r="J35" s="11" t="n">
        <f aca="false">Runs!N1465</f>
        <v>1</v>
      </c>
      <c r="K35" s="11" t="n">
        <f aca="false">Runs!N1476</f>
        <v>0</v>
      </c>
      <c r="L35" s="11" t="n">
        <f aca="false">Runs!N1487</f>
        <v>0</v>
      </c>
      <c r="M35" s="11" t="n">
        <f aca="false">Runs!N1498</f>
        <v>0</v>
      </c>
      <c r="N35" s="11" t="n">
        <f aca="false">Runs!N1509</f>
        <v>0</v>
      </c>
      <c r="O35" s="11" t="n">
        <f aca="false">Runs!N1520</f>
        <v>1</v>
      </c>
      <c r="P35" s="11" t="n">
        <f aca="false">Runs!N1531</f>
        <v>0</v>
      </c>
      <c r="Q35" s="16" t="n">
        <f aca="false">IF(COUNT(G35:P35)=0,"",AVERAGE(G35:P35))</f>
        <v>0.2</v>
      </c>
      <c r="R35" s="16" t="n">
        <f aca="false">IF(COUNT(G35:P35)&lt;2,"",STDEV(G35:P35))</f>
        <v>0.421637021355784</v>
      </c>
      <c r="S35" s="6" t="n">
        <f aca="false">COUNT(G35:P35)</f>
        <v>10</v>
      </c>
    </row>
    <row r="36" customFormat="false" ht="15" hidden="false" customHeight="false" outlineLevel="0" collapsed="false">
      <c r="A36" s="6" t="s">
        <v>50</v>
      </c>
      <c r="B36" s="6" t="s">
        <v>43</v>
      </c>
      <c r="C36" s="6" t="s">
        <v>51</v>
      </c>
      <c r="D36" s="6" t="s">
        <v>115</v>
      </c>
      <c r="E36" s="6" t="n">
        <v>1</v>
      </c>
      <c r="F36" s="6" t="s">
        <v>69</v>
      </c>
      <c r="G36" s="11" t="n">
        <f aca="false">Runs!N1433</f>
        <v>0</v>
      </c>
      <c r="H36" s="11" t="n">
        <f aca="false">Runs!N1444</f>
        <v>0</v>
      </c>
      <c r="I36" s="11" t="n">
        <f aca="false">Runs!N1455</f>
        <v>0</v>
      </c>
      <c r="J36" s="11" t="n">
        <f aca="false">Runs!N1466</f>
        <v>1</v>
      </c>
      <c r="K36" s="11" t="n">
        <f aca="false">Runs!N1477</f>
        <v>0</v>
      </c>
      <c r="L36" s="11" t="n">
        <f aca="false">Runs!N1488</f>
        <v>0</v>
      </c>
      <c r="M36" s="11" t="n">
        <f aca="false">Runs!N1499</f>
        <v>0</v>
      </c>
      <c r="N36" s="11" t="n">
        <f aca="false">Runs!N1510</f>
        <v>0</v>
      </c>
      <c r="O36" s="11" t="n">
        <f aca="false">Runs!N1521</f>
        <v>1</v>
      </c>
      <c r="P36" s="11" t="n">
        <f aca="false">Runs!N1532</f>
        <v>0</v>
      </c>
      <c r="Q36" s="16" t="n">
        <f aca="false">IF(COUNT(G36:P36)=0,"",AVERAGE(G36:P36))</f>
        <v>0.2</v>
      </c>
      <c r="R36" s="16" t="n">
        <f aca="false">IF(COUNT(G36:P36)&lt;2,"",STDEV(G36:P36))</f>
        <v>0.421637021355784</v>
      </c>
      <c r="S36" s="6" t="n">
        <f aca="false">COUNT(G36:P36)</f>
        <v>10</v>
      </c>
    </row>
    <row r="37" customFormat="false" ht="15" hidden="false" customHeight="false" outlineLevel="0" collapsed="false">
      <c r="A37" s="6" t="s">
        <v>50</v>
      </c>
      <c r="B37" s="6" t="s">
        <v>43</v>
      </c>
      <c r="C37" s="6" t="s">
        <v>51</v>
      </c>
      <c r="D37" s="6" t="s">
        <v>115</v>
      </c>
      <c r="E37" s="6" t="n">
        <v>1</v>
      </c>
      <c r="F37" s="6" t="s">
        <v>70</v>
      </c>
      <c r="G37" s="11" t="n">
        <f aca="false">Runs!N1434</f>
        <v>0</v>
      </c>
      <c r="H37" s="11" t="n">
        <f aca="false">Runs!N1445</f>
        <v>0</v>
      </c>
      <c r="I37" s="11" t="n">
        <f aca="false">Runs!N1456</f>
        <v>0</v>
      </c>
      <c r="J37" s="11" t="n">
        <f aca="false">Runs!N1467</f>
        <v>1</v>
      </c>
      <c r="K37" s="11" t="n">
        <f aca="false">Runs!N1478</f>
        <v>0</v>
      </c>
      <c r="L37" s="11" t="n">
        <f aca="false">Runs!N1489</f>
        <v>0</v>
      </c>
      <c r="M37" s="11" t="n">
        <f aca="false">Runs!N1500</f>
        <v>0</v>
      </c>
      <c r="N37" s="11" t="n">
        <f aca="false">Runs!N1511</f>
        <v>0</v>
      </c>
      <c r="O37" s="11" t="n">
        <f aca="false">Runs!N1522</f>
        <v>1</v>
      </c>
      <c r="P37" s="11" t="n">
        <f aca="false">Runs!N1533</f>
        <v>0</v>
      </c>
      <c r="Q37" s="16" t="n">
        <f aca="false">IF(COUNT(G37:P37)=0,"",AVERAGE(G37:P37))</f>
        <v>0.2</v>
      </c>
      <c r="R37" s="16" t="n">
        <f aca="false">IF(COUNT(G37:P37)&lt;2,"",STDEV(G37:P37))</f>
        <v>0.421637021355784</v>
      </c>
      <c r="S37" s="6" t="n">
        <f aca="false">COUNT(G37:P37)</f>
        <v>10</v>
      </c>
    </row>
    <row r="38" customFormat="false" ht="15" hidden="false" customHeight="false" outlineLevel="0" collapsed="false">
      <c r="A38" s="6" t="s">
        <v>50</v>
      </c>
      <c r="B38" s="6" t="s">
        <v>43</v>
      </c>
      <c r="C38" s="6" t="s">
        <v>51</v>
      </c>
      <c r="D38" s="6" t="s">
        <v>115</v>
      </c>
      <c r="E38" s="6" t="n">
        <v>1</v>
      </c>
      <c r="F38" s="6" t="s">
        <v>71</v>
      </c>
      <c r="G38" s="11" t="n">
        <f aca="false">Runs!N1435</f>
        <v>0</v>
      </c>
      <c r="H38" s="11" t="n">
        <f aca="false">Runs!N1446</f>
        <v>0</v>
      </c>
      <c r="I38" s="11" t="n">
        <f aca="false">Runs!N1457</f>
        <v>0</v>
      </c>
      <c r="J38" s="11" t="n">
        <f aca="false">Runs!N1468</f>
        <v>1</v>
      </c>
      <c r="K38" s="11" t="n">
        <f aca="false">Runs!N1479</f>
        <v>0</v>
      </c>
      <c r="L38" s="11" t="n">
        <f aca="false">Runs!N1490</f>
        <v>0</v>
      </c>
      <c r="M38" s="11" t="n">
        <f aca="false">Runs!N1501</f>
        <v>0</v>
      </c>
      <c r="N38" s="11" t="n">
        <f aca="false">Runs!N1512</f>
        <v>0</v>
      </c>
      <c r="O38" s="11" t="n">
        <f aca="false">Runs!N1523</f>
        <v>1</v>
      </c>
      <c r="P38" s="11" t="n">
        <f aca="false">Runs!N1534</f>
        <v>0</v>
      </c>
      <c r="Q38" s="16" t="n">
        <f aca="false">IF(COUNT(G38:P38)=0,"",AVERAGE(G38:P38))</f>
        <v>0.2</v>
      </c>
      <c r="R38" s="16" t="n">
        <f aca="false">IF(COUNT(G38:P38)&lt;2,"",STDEV(G38:P38))</f>
        <v>0.421637021355784</v>
      </c>
      <c r="S38" s="6" t="n">
        <f aca="false">COUNT(G38:P38)</f>
        <v>10</v>
      </c>
    </row>
    <row r="39" customFormat="false" ht="15" hidden="false" customHeight="false" outlineLevel="0" collapsed="false">
      <c r="A39" s="6" t="s">
        <v>50</v>
      </c>
      <c r="B39" s="6" t="s">
        <v>43</v>
      </c>
      <c r="C39" s="6" t="s">
        <v>51</v>
      </c>
      <c r="D39" s="6" t="s">
        <v>115</v>
      </c>
      <c r="E39" s="6" t="n">
        <v>1</v>
      </c>
      <c r="F39" s="6" t="s">
        <v>72</v>
      </c>
      <c r="G39" s="11" t="n">
        <f aca="false">Runs!N1436</f>
        <v>0</v>
      </c>
      <c r="H39" s="11" t="n">
        <f aca="false">Runs!N1447</f>
        <v>0</v>
      </c>
      <c r="I39" s="11" t="n">
        <f aca="false">Runs!N1458</f>
        <v>0</v>
      </c>
      <c r="J39" s="11" t="n">
        <f aca="false">Runs!N1469</f>
        <v>1</v>
      </c>
      <c r="K39" s="11" t="n">
        <f aca="false">Runs!N1480</f>
        <v>0</v>
      </c>
      <c r="L39" s="11" t="n">
        <f aca="false">Runs!N1491</f>
        <v>0</v>
      </c>
      <c r="M39" s="11" t="n">
        <f aca="false">Runs!N1502</f>
        <v>0</v>
      </c>
      <c r="N39" s="11" t="n">
        <f aca="false">Runs!N1513</f>
        <v>0</v>
      </c>
      <c r="O39" s="11" t="n">
        <f aca="false">Runs!N1524</f>
        <v>0.9</v>
      </c>
      <c r="P39" s="11" t="n">
        <f aca="false">Runs!N1535</f>
        <v>0</v>
      </c>
      <c r="Q39" s="16" t="n">
        <f aca="false">IF(COUNT(G39:P39)=0,"",AVERAGE(G39:P39))</f>
        <v>0.19</v>
      </c>
      <c r="R39" s="16" t="n">
        <f aca="false">IF(COUNT(G39:P39)&lt;2,"",STDEV(G39:P39))</f>
        <v>0.401248052954778</v>
      </c>
      <c r="S39" s="6" t="n">
        <f aca="false">COUNT(G39:P39)</f>
        <v>10</v>
      </c>
    </row>
    <row r="40" customFormat="false" ht="15" hidden="false" customHeight="false" outlineLevel="0" collapsed="false">
      <c r="A40" s="6" t="s">
        <v>50</v>
      </c>
      <c r="B40" s="6" t="s">
        <v>43</v>
      </c>
      <c r="C40" s="6" t="s">
        <v>51</v>
      </c>
      <c r="D40" s="6" t="s">
        <v>115</v>
      </c>
      <c r="E40" s="6" t="n">
        <v>1</v>
      </c>
      <c r="F40" s="6" t="s">
        <v>73</v>
      </c>
      <c r="G40" s="11" t="n">
        <f aca="false">Runs!N1437</f>
        <v>0</v>
      </c>
      <c r="H40" s="11" t="n">
        <f aca="false">Runs!N1448</f>
        <v>0</v>
      </c>
      <c r="I40" s="11" t="n">
        <f aca="false">Runs!N1459</f>
        <v>0</v>
      </c>
      <c r="J40" s="11" t="n">
        <f aca="false">Runs!N1470</f>
        <v>1</v>
      </c>
      <c r="K40" s="11" t="n">
        <f aca="false">Runs!N1481</f>
        <v>0</v>
      </c>
      <c r="L40" s="11" t="n">
        <f aca="false">Runs!N1492</f>
        <v>0</v>
      </c>
      <c r="M40" s="11" t="n">
        <f aca="false">Runs!N1503</f>
        <v>0</v>
      </c>
      <c r="N40" s="11" t="n">
        <f aca="false">Runs!N1514</f>
        <v>0</v>
      </c>
      <c r="O40" s="11" t="n">
        <f aca="false">Runs!N1525</f>
        <v>0.95</v>
      </c>
      <c r="P40" s="11" t="n">
        <f aca="false">Runs!N1536</f>
        <v>0</v>
      </c>
      <c r="Q40" s="16" t="n">
        <f aca="false">IF(COUNT(G40:P40)=0,"",AVERAGE(G40:P40))</f>
        <v>0.195</v>
      </c>
      <c r="R40" s="16" t="n">
        <f aca="false">IF(COUNT(G40:P40)&lt;2,"",STDEV(G40:P40))</f>
        <v>0.411264986217997</v>
      </c>
      <c r="S40" s="6" t="n">
        <f aca="false">COUNT(G40:P40)</f>
        <v>10</v>
      </c>
    </row>
    <row r="41" customFormat="false" ht="15" hidden="false" customHeight="false" outlineLevel="0" collapsed="false">
      <c r="A41" s="6" t="s">
        <v>50</v>
      </c>
      <c r="B41" s="6" t="s">
        <v>43</v>
      </c>
      <c r="C41" s="6" t="s">
        <v>51</v>
      </c>
      <c r="D41" s="6" t="s">
        <v>115</v>
      </c>
      <c r="E41" s="6" t="n">
        <v>1</v>
      </c>
      <c r="F41" s="6" t="s">
        <v>74</v>
      </c>
      <c r="G41" s="11" t="n">
        <f aca="false">Runs!N1438</f>
        <v>0</v>
      </c>
      <c r="H41" s="11" t="n">
        <f aca="false">Runs!N1449</f>
        <v>0</v>
      </c>
      <c r="I41" s="11" t="n">
        <f aca="false">Runs!N1460</f>
        <v>0</v>
      </c>
      <c r="J41" s="11" t="n">
        <f aca="false">Runs!N1471</f>
        <v>1</v>
      </c>
      <c r="K41" s="11" t="n">
        <f aca="false">Runs!N1482</f>
        <v>0</v>
      </c>
      <c r="L41" s="11" t="n">
        <f aca="false">Runs!N1493</f>
        <v>0</v>
      </c>
      <c r="M41" s="11" t="n">
        <f aca="false">Runs!N1504</f>
        <v>0</v>
      </c>
      <c r="N41" s="11" t="n">
        <f aca="false">Runs!N1515</f>
        <v>0</v>
      </c>
      <c r="O41" s="11" t="n">
        <f aca="false">Runs!N1526</f>
        <v>0.9</v>
      </c>
      <c r="P41" s="11" t="n">
        <f aca="false">Runs!N1537</f>
        <v>0</v>
      </c>
      <c r="Q41" s="16" t="n">
        <f aca="false">IF(COUNT(G41:P41)=0,"",AVERAGE(G41:P41))</f>
        <v>0.19</v>
      </c>
      <c r="R41" s="16" t="n">
        <f aca="false">IF(COUNT(G41:P41)&lt;2,"",STDEV(G41:P41))</f>
        <v>0.401248052954778</v>
      </c>
      <c r="S41" s="6" t="n">
        <f aca="false">COUNT(G41:P41)</f>
        <v>10</v>
      </c>
    </row>
    <row r="42" customFormat="false" ht="15" hidden="false" customHeight="false" outlineLevel="0" collapsed="false">
      <c r="A42" s="6" t="s">
        <v>50</v>
      </c>
      <c r="B42" s="6" t="s">
        <v>43</v>
      </c>
      <c r="C42" s="6" t="s">
        <v>51</v>
      </c>
      <c r="D42" s="6" t="s">
        <v>115</v>
      </c>
      <c r="E42" s="6" t="n">
        <v>1</v>
      </c>
      <c r="F42" s="6" t="s">
        <v>75</v>
      </c>
      <c r="G42" s="11" t="n">
        <f aca="false">Runs!N1439</f>
        <v>0</v>
      </c>
      <c r="H42" s="11" t="n">
        <f aca="false">Runs!N1450</f>
        <v>0</v>
      </c>
      <c r="I42" s="11" t="n">
        <f aca="false">Runs!N1461</f>
        <v>0</v>
      </c>
      <c r="J42" s="11" t="n">
        <f aca="false">Runs!N1472</f>
        <v>1</v>
      </c>
      <c r="K42" s="11" t="n">
        <f aca="false">Runs!N1483</f>
        <v>0</v>
      </c>
      <c r="L42" s="11" t="n">
        <f aca="false">Runs!N1494</f>
        <v>0</v>
      </c>
      <c r="M42" s="11" t="n">
        <f aca="false">Runs!N1505</f>
        <v>0</v>
      </c>
      <c r="N42" s="11" t="n">
        <f aca="false">Runs!N1516</f>
        <v>0</v>
      </c>
      <c r="O42" s="11" t="n">
        <f aca="false">Runs!N1527</f>
        <v>1</v>
      </c>
      <c r="P42" s="11" t="n">
        <f aca="false">Runs!N1538</f>
        <v>0</v>
      </c>
      <c r="Q42" s="16" t="n">
        <f aca="false">IF(COUNT(G42:P42)=0,"",AVERAGE(G42:P42))</f>
        <v>0.2</v>
      </c>
      <c r="R42" s="16" t="n">
        <f aca="false">IF(COUNT(G42:P42)&lt;2,"",STDEV(G42:P42))</f>
        <v>0.421637021355784</v>
      </c>
      <c r="S42" s="6" t="n">
        <f aca="false">COUNT(G42:P42)</f>
        <v>10</v>
      </c>
    </row>
    <row r="43" customFormat="false" ht="15" hidden="false" customHeight="false" outlineLevel="0" collapsed="false">
      <c r="A43" s="6" t="s">
        <v>50</v>
      </c>
      <c r="B43" s="6" t="s">
        <v>43</v>
      </c>
      <c r="C43" s="6" t="s">
        <v>51</v>
      </c>
      <c r="D43" s="6" t="s">
        <v>115</v>
      </c>
      <c r="E43" s="6" t="n">
        <v>1</v>
      </c>
      <c r="F43" s="6" t="s">
        <v>76</v>
      </c>
      <c r="G43" s="11" t="n">
        <f aca="false">Runs!N1440</f>
        <v>0</v>
      </c>
      <c r="H43" s="11" t="n">
        <f aca="false">Runs!N1451</f>
        <v>0</v>
      </c>
      <c r="I43" s="11" t="n">
        <f aca="false">Runs!N1462</f>
        <v>0</v>
      </c>
      <c r="J43" s="11" t="n">
        <f aca="false">Runs!N1473</f>
        <v>1</v>
      </c>
      <c r="K43" s="11" t="n">
        <f aca="false">Runs!N1484</f>
        <v>0</v>
      </c>
      <c r="L43" s="11" t="n">
        <f aca="false">Runs!N1495</f>
        <v>0</v>
      </c>
      <c r="M43" s="11" t="n">
        <f aca="false">Runs!N1506</f>
        <v>0</v>
      </c>
      <c r="N43" s="11" t="n">
        <f aca="false">Runs!N1517</f>
        <v>0</v>
      </c>
      <c r="O43" s="11" t="n">
        <f aca="false">Runs!N1528</f>
        <v>0.9</v>
      </c>
      <c r="P43" s="11" t="n">
        <f aca="false">Runs!N1539</f>
        <v>0</v>
      </c>
      <c r="Q43" s="16" t="n">
        <f aca="false">IF(COUNT(G43:P43)=0,"",AVERAGE(G43:P43))</f>
        <v>0.19</v>
      </c>
      <c r="R43" s="16" t="n">
        <f aca="false">IF(COUNT(G43:P43)&lt;2,"",STDEV(G43:P43))</f>
        <v>0.401248052954778</v>
      </c>
      <c r="S43" s="6" t="n">
        <f aca="false">COUNT(G43:P43)</f>
        <v>10</v>
      </c>
    </row>
    <row r="44" customFormat="false" ht="15" hidden="false" customHeight="false" outlineLevel="0" collapsed="false">
      <c r="A44" s="6" t="s">
        <v>50</v>
      </c>
      <c r="B44" s="6" t="s">
        <v>43</v>
      </c>
      <c r="C44" s="6" t="s">
        <v>51</v>
      </c>
      <c r="D44" s="6" t="s">
        <v>115</v>
      </c>
      <c r="E44" s="6" t="n">
        <v>1</v>
      </c>
      <c r="F44" s="6" t="s">
        <v>77</v>
      </c>
      <c r="G44" s="11" t="n">
        <f aca="false">Runs!N1441</f>
        <v>0.05</v>
      </c>
      <c r="H44" s="11" t="n">
        <f aca="false">Runs!N1452</f>
        <v>0.05</v>
      </c>
      <c r="I44" s="11" t="n">
        <f aca="false">Runs!N1463</f>
        <v>0.05</v>
      </c>
      <c r="J44" s="11" t="n">
        <f aca="false">Runs!N1474</f>
        <v>1</v>
      </c>
      <c r="K44" s="11" t="n">
        <f aca="false">Runs!N1485</f>
        <v>0.05</v>
      </c>
      <c r="L44" s="11" t="n">
        <f aca="false">Runs!N1496</f>
        <v>0.05</v>
      </c>
      <c r="M44" s="11" t="n">
        <f aca="false">Runs!N1507</f>
        <v>0.05</v>
      </c>
      <c r="N44" s="11" t="n">
        <f aca="false">Runs!N1518</f>
        <v>0.05</v>
      </c>
      <c r="O44" s="11" t="n">
        <f aca="false">Runs!N1529</f>
        <v>0.95</v>
      </c>
      <c r="P44" s="11" t="n">
        <f aca="false">Runs!N1540</f>
        <v>0.05</v>
      </c>
      <c r="Q44" s="16" t="n">
        <f aca="false">IF(COUNT(G44:P44)=0,"",AVERAGE(G44:P44))</f>
        <v>0.235</v>
      </c>
      <c r="R44" s="16" t="n">
        <f aca="false">IF(COUNT(G44:P44)&lt;2,"",STDEV(G44:P44))</f>
        <v>0.390192260302533</v>
      </c>
      <c r="S44" s="6" t="n">
        <f aca="false">COUNT(G44:P44)</f>
        <v>10</v>
      </c>
    </row>
    <row r="45" customFormat="false" ht="15" hidden="false" customHeight="false" outlineLevel="0" collapsed="false">
      <c r="A45" s="17" t="s">
        <v>50</v>
      </c>
      <c r="B45" s="17" t="s">
        <v>43</v>
      </c>
      <c r="C45" s="17" t="s">
        <v>51</v>
      </c>
      <c r="D45" s="17" t="s">
        <v>115</v>
      </c>
      <c r="E45" s="17" t="n">
        <v>1</v>
      </c>
      <c r="F45" s="17" t="s">
        <v>78</v>
      </c>
      <c r="G45" s="18" t="n">
        <f aca="false">Runs!N1442</f>
        <v>0.005</v>
      </c>
      <c r="H45" s="18" t="n">
        <f aca="false">Runs!N1453</f>
        <v>0.005</v>
      </c>
      <c r="I45" s="18" t="n">
        <f aca="false">Runs!N1464</f>
        <v>0.005</v>
      </c>
      <c r="J45" s="18" t="n">
        <f aca="false">Runs!N1475</f>
        <v>1</v>
      </c>
      <c r="K45" s="18" t="n">
        <f aca="false">Runs!N1486</f>
        <v>0.005</v>
      </c>
      <c r="L45" s="18" t="n">
        <f aca="false">Runs!N1497</f>
        <v>0.005</v>
      </c>
      <c r="M45" s="18" t="n">
        <f aca="false">Runs!N1508</f>
        <v>0.005</v>
      </c>
      <c r="N45" s="18" t="n">
        <f aca="false">Runs!N1519</f>
        <v>0.005</v>
      </c>
      <c r="O45" s="18" t="n">
        <f aca="false">Runs!N1530</f>
        <v>0.96</v>
      </c>
      <c r="P45" s="18" t="n">
        <f aca="false">Runs!N1541</f>
        <v>0.005</v>
      </c>
      <c r="Q45" s="19" t="n">
        <f aca="false">IF(COUNT(G45:P45)=0,"",AVERAGE(G45:P45))</f>
        <v>0.2</v>
      </c>
      <c r="R45" s="19" t="n">
        <f aca="false">IF(COUNT(G45:P45)&lt;2,"",STDEV(G45:P45))</f>
        <v>0.411204193666467</v>
      </c>
      <c r="S45" s="20" t="n">
        <f aca="false">COUNT(G45:P45)</f>
        <v>10</v>
      </c>
    </row>
    <row r="46" customFormat="false" ht="15" hidden="false" customHeight="false" outlineLevel="0" collapsed="false">
      <c r="A46" s="6" t="s">
        <v>52</v>
      </c>
      <c r="B46" s="6" t="s">
        <v>43</v>
      </c>
      <c r="C46" s="6" t="s">
        <v>51</v>
      </c>
      <c r="D46" s="6" t="s">
        <v>116</v>
      </c>
      <c r="E46" s="6" t="n">
        <v>16</v>
      </c>
      <c r="F46" s="6" t="s">
        <v>68</v>
      </c>
      <c r="G46" s="11" t="n">
        <f aca="false">Runs!N1542</f>
        <v>0</v>
      </c>
      <c r="H46" s="11" t="n">
        <f aca="false">Runs!N1553</f>
        <v>0</v>
      </c>
      <c r="I46" s="11" t="n">
        <f aca="false">Runs!N1564</f>
        <v>0</v>
      </c>
      <c r="J46" s="11" t="n">
        <f aca="false">Runs!N1575</f>
        <v>0</v>
      </c>
      <c r="K46" s="11" t="n">
        <f aca="false">Runs!N1586</f>
        <v>0</v>
      </c>
      <c r="L46" s="11" t="n">
        <f aca="false">Runs!N1597</f>
        <v>0</v>
      </c>
      <c r="M46" s="11" t="n">
        <f aca="false">Runs!N1608</f>
        <v>0</v>
      </c>
      <c r="N46" s="11" t="n">
        <f aca="false">Runs!N1619</f>
        <v>0</v>
      </c>
      <c r="O46" s="11" t="n">
        <f aca="false">Runs!N1630</f>
        <v>0</v>
      </c>
      <c r="P46" s="11" t="n">
        <f aca="false">Runs!N1641</f>
        <v>0</v>
      </c>
      <c r="Q46" s="16" t="n">
        <f aca="false">IF(COUNT(G46:P46)=0,"",AVERAGE(G46:P46))</f>
        <v>0</v>
      </c>
      <c r="R46" s="16" t="n">
        <f aca="false">IF(COUNT(G46:P46)&lt;2,"",STDEV(G46:P46))</f>
        <v>0</v>
      </c>
      <c r="S46" s="6" t="n">
        <f aca="false">COUNT(G46:P46)</f>
        <v>10</v>
      </c>
    </row>
    <row r="47" customFormat="false" ht="15" hidden="false" customHeight="false" outlineLevel="0" collapsed="false">
      <c r="A47" s="6" t="s">
        <v>52</v>
      </c>
      <c r="B47" s="6" t="s">
        <v>43</v>
      </c>
      <c r="C47" s="6" t="s">
        <v>51</v>
      </c>
      <c r="D47" s="6" t="s">
        <v>116</v>
      </c>
      <c r="E47" s="6" t="n">
        <v>16</v>
      </c>
      <c r="F47" s="6" t="s">
        <v>69</v>
      </c>
      <c r="G47" s="11" t="n">
        <f aca="false">Runs!N1543</f>
        <v>0</v>
      </c>
      <c r="H47" s="11" t="n">
        <f aca="false">Runs!N1554</f>
        <v>0</v>
      </c>
      <c r="I47" s="11" t="n">
        <f aca="false">Runs!N1565</f>
        <v>0</v>
      </c>
      <c r="J47" s="11" t="n">
        <f aca="false">Runs!N1576</f>
        <v>0</v>
      </c>
      <c r="K47" s="11" t="n">
        <f aca="false">Runs!N1587</f>
        <v>0.5</v>
      </c>
      <c r="L47" s="11" t="n">
        <f aca="false">Runs!N1598</f>
        <v>0</v>
      </c>
      <c r="M47" s="11" t="n">
        <f aca="false">Runs!N1609</f>
        <v>0</v>
      </c>
      <c r="N47" s="11" t="n">
        <f aca="false">Runs!N1620</f>
        <v>0</v>
      </c>
      <c r="O47" s="11" t="n">
        <f aca="false">Runs!N1631</f>
        <v>0</v>
      </c>
      <c r="P47" s="11" t="n">
        <f aca="false">Runs!N1642</f>
        <v>0</v>
      </c>
      <c r="Q47" s="16" t="n">
        <f aca="false">IF(COUNT(G47:P47)=0,"",AVERAGE(G47:P47))</f>
        <v>0.05</v>
      </c>
      <c r="R47" s="16" t="n">
        <f aca="false">IF(COUNT(G47:P47)&lt;2,"",STDEV(G47:P47))</f>
        <v>0.158113883008419</v>
      </c>
      <c r="S47" s="6" t="n">
        <f aca="false">COUNT(G47:P47)</f>
        <v>10</v>
      </c>
    </row>
    <row r="48" customFormat="false" ht="15" hidden="false" customHeight="false" outlineLevel="0" collapsed="false">
      <c r="A48" s="6" t="s">
        <v>52</v>
      </c>
      <c r="B48" s="6" t="s">
        <v>43</v>
      </c>
      <c r="C48" s="6" t="s">
        <v>51</v>
      </c>
      <c r="D48" s="6" t="s">
        <v>116</v>
      </c>
      <c r="E48" s="6" t="n">
        <v>16</v>
      </c>
      <c r="F48" s="6" t="s">
        <v>70</v>
      </c>
      <c r="G48" s="11" t="n">
        <f aca="false">Runs!N1544</f>
        <v>0</v>
      </c>
      <c r="H48" s="11" t="n">
        <f aca="false">Runs!N1555</f>
        <v>0</v>
      </c>
      <c r="I48" s="11" t="n">
        <f aca="false">Runs!N1566</f>
        <v>0</v>
      </c>
      <c r="J48" s="11" t="n">
        <f aca="false">Runs!N1577</f>
        <v>0</v>
      </c>
      <c r="K48" s="11" t="n">
        <f aca="false">Runs!N1588</f>
        <v>0</v>
      </c>
      <c r="L48" s="11" t="n">
        <f aca="false">Runs!N1599</f>
        <v>0</v>
      </c>
      <c r="M48" s="11" t="n">
        <f aca="false">Runs!N1610</f>
        <v>0</v>
      </c>
      <c r="N48" s="11" t="n">
        <f aca="false">Runs!N1621</f>
        <v>0.05</v>
      </c>
      <c r="O48" s="11" t="n">
        <f aca="false">Runs!N1632</f>
        <v>0</v>
      </c>
      <c r="P48" s="11" t="n">
        <f aca="false">Runs!N1643</f>
        <v>0</v>
      </c>
      <c r="Q48" s="16" t="n">
        <f aca="false">IF(COUNT(G48:P48)=0,"",AVERAGE(G48:P48))</f>
        <v>0.005</v>
      </c>
      <c r="R48" s="16" t="n">
        <f aca="false">IF(COUNT(G48:P48)&lt;2,"",STDEV(G48:P48))</f>
        <v>0.0158113883008419</v>
      </c>
      <c r="S48" s="6" t="n">
        <f aca="false">COUNT(G48:P48)</f>
        <v>10</v>
      </c>
    </row>
    <row r="49" customFormat="false" ht="15" hidden="false" customHeight="false" outlineLevel="0" collapsed="false">
      <c r="A49" s="6" t="s">
        <v>52</v>
      </c>
      <c r="B49" s="6" t="s">
        <v>43</v>
      </c>
      <c r="C49" s="6" t="s">
        <v>51</v>
      </c>
      <c r="D49" s="6" t="s">
        <v>116</v>
      </c>
      <c r="E49" s="6" t="n">
        <v>16</v>
      </c>
      <c r="F49" s="6" t="s">
        <v>71</v>
      </c>
      <c r="G49" s="11" t="n">
        <f aca="false">Runs!N1545</f>
        <v>0</v>
      </c>
      <c r="H49" s="11" t="n">
        <f aca="false">Runs!N1556</f>
        <v>0</v>
      </c>
      <c r="I49" s="11" t="n">
        <f aca="false">Runs!N1567</f>
        <v>0</v>
      </c>
      <c r="J49" s="11" t="n">
        <f aca="false">Runs!N1578</f>
        <v>0</v>
      </c>
      <c r="K49" s="11" t="n">
        <f aca="false">Runs!N1589</f>
        <v>0</v>
      </c>
      <c r="L49" s="11" t="n">
        <f aca="false">Runs!N1600</f>
        <v>0</v>
      </c>
      <c r="M49" s="11" t="n">
        <f aca="false">Runs!N1611</f>
        <v>0.3</v>
      </c>
      <c r="N49" s="11" t="n">
        <f aca="false">Runs!N1622</f>
        <v>0</v>
      </c>
      <c r="O49" s="11" t="n">
        <f aca="false">Runs!N1633</f>
        <v>0</v>
      </c>
      <c r="P49" s="11" t="n">
        <f aca="false">Runs!N1644</f>
        <v>0</v>
      </c>
      <c r="Q49" s="16" t="n">
        <f aca="false">IF(COUNT(G49:P49)=0,"",AVERAGE(G49:P49))</f>
        <v>0.03</v>
      </c>
      <c r="R49" s="16" t="n">
        <f aca="false">IF(COUNT(G49:P49)&lt;2,"",STDEV(G49:P49))</f>
        <v>0.0948683298050514</v>
      </c>
      <c r="S49" s="6" t="n">
        <f aca="false">COUNT(G49:P49)</f>
        <v>10</v>
      </c>
    </row>
    <row r="50" customFormat="false" ht="15" hidden="false" customHeight="false" outlineLevel="0" collapsed="false">
      <c r="A50" s="6" t="s">
        <v>52</v>
      </c>
      <c r="B50" s="6" t="s">
        <v>43</v>
      </c>
      <c r="C50" s="6" t="s">
        <v>51</v>
      </c>
      <c r="D50" s="6" t="s">
        <v>116</v>
      </c>
      <c r="E50" s="6" t="n">
        <v>16</v>
      </c>
      <c r="F50" s="6" t="s">
        <v>72</v>
      </c>
      <c r="G50" s="11" t="n">
        <f aca="false">Runs!N1546</f>
        <v>0</v>
      </c>
      <c r="H50" s="11" t="n">
        <f aca="false">Runs!N1557</f>
        <v>0</v>
      </c>
      <c r="I50" s="11" t="n">
        <f aca="false">Runs!N1568</f>
        <v>0</v>
      </c>
      <c r="J50" s="11" t="n">
        <f aca="false">Runs!N1579</f>
        <v>0</v>
      </c>
      <c r="K50" s="11" t="n">
        <f aca="false">Runs!N1590</f>
        <v>0</v>
      </c>
      <c r="L50" s="11" t="n">
        <f aca="false">Runs!N1601</f>
        <v>0</v>
      </c>
      <c r="M50" s="11" t="n">
        <f aca="false">Runs!N1612</f>
        <v>0</v>
      </c>
      <c r="N50" s="11" t="n">
        <f aca="false">Runs!N1623</f>
        <v>0</v>
      </c>
      <c r="O50" s="11" t="n">
        <f aca="false">Runs!N1634</f>
        <v>0.05</v>
      </c>
      <c r="P50" s="11" t="n">
        <f aca="false">Runs!N1645</f>
        <v>0</v>
      </c>
      <c r="Q50" s="16" t="n">
        <f aca="false">IF(COUNT(G50:P50)=0,"",AVERAGE(G50:P50))</f>
        <v>0.005</v>
      </c>
      <c r="R50" s="16" t="n">
        <f aca="false">IF(COUNT(G50:P50)&lt;2,"",STDEV(G50:P50))</f>
        <v>0.0158113883008419</v>
      </c>
      <c r="S50" s="6" t="n">
        <f aca="false">COUNT(G50:P50)</f>
        <v>10</v>
      </c>
    </row>
    <row r="51" customFormat="false" ht="15" hidden="false" customHeight="false" outlineLevel="0" collapsed="false">
      <c r="A51" s="6" t="s">
        <v>52</v>
      </c>
      <c r="B51" s="6" t="s">
        <v>43</v>
      </c>
      <c r="C51" s="6" t="s">
        <v>51</v>
      </c>
      <c r="D51" s="6" t="s">
        <v>116</v>
      </c>
      <c r="E51" s="6" t="n">
        <v>16</v>
      </c>
      <c r="F51" s="6" t="s">
        <v>73</v>
      </c>
      <c r="G51" s="11" t="n">
        <f aca="false">Runs!N1547</f>
        <v>0</v>
      </c>
      <c r="H51" s="11" t="n">
        <f aca="false">Runs!N1558</f>
        <v>0</v>
      </c>
      <c r="I51" s="11" t="n">
        <f aca="false">Runs!N1569</f>
        <v>0</v>
      </c>
      <c r="J51" s="11" t="n">
        <f aca="false">Runs!N1580</f>
        <v>0</v>
      </c>
      <c r="K51" s="11" t="n">
        <f aca="false">Runs!N1591</f>
        <v>0</v>
      </c>
      <c r="L51" s="11" t="n">
        <f aca="false">Runs!N1602</f>
        <v>0</v>
      </c>
      <c r="M51" s="11" t="n">
        <f aca="false">Runs!N1613</f>
        <v>0.15</v>
      </c>
      <c r="N51" s="11" t="n">
        <f aca="false">Runs!N1624</f>
        <v>0</v>
      </c>
      <c r="O51" s="11" t="n">
        <f aca="false">Runs!N1635</f>
        <v>0</v>
      </c>
      <c r="P51" s="11" t="n">
        <f aca="false">Runs!N1646</f>
        <v>0</v>
      </c>
      <c r="Q51" s="16" t="n">
        <f aca="false">IF(COUNT(G51:P51)=0,"",AVERAGE(G51:P51))</f>
        <v>0.015</v>
      </c>
      <c r="R51" s="16" t="n">
        <f aca="false">IF(COUNT(G51:P51)&lt;2,"",STDEV(G51:P51))</f>
        <v>0.0474341649025257</v>
      </c>
      <c r="S51" s="6" t="n">
        <f aca="false">COUNT(G51:P51)</f>
        <v>10</v>
      </c>
    </row>
    <row r="52" customFormat="false" ht="15" hidden="false" customHeight="false" outlineLevel="0" collapsed="false">
      <c r="A52" s="6" t="s">
        <v>52</v>
      </c>
      <c r="B52" s="6" t="s">
        <v>43</v>
      </c>
      <c r="C52" s="6" t="s">
        <v>51</v>
      </c>
      <c r="D52" s="6" t="s">
        <v>116</v>
      </c>
      <c r="E52" s="6" t="n">
        <v>16</v>
      </c>
      <c r="F52" s="6" t="s">
        <v>74</v>
      </c>
      <c r="G52" s="11" t="n">
        <f aca="false">Runs!N1548</f>
        <v>0</v>
      </c>
      <c r="H52" s="11" t="n">
        <f aca="false">Runs!N1559</f>
        <v>0</v>
      </c>
      <c r="I52" s="11" t="n">
        <f aca="false">Runs!N1570</f>
        <v>0</v>
      </c>
      <c r="J52" s="11" t="n">
        <f aca="false">Runs!N1581</f>
        <v>0</v>
      </c>
      <c r="K52" s="11" t="n">
        <f aca="false">Runs!N1592</f>
        <v>0</v>
      </c>
      <c r="L52" s="11" t="n">
        <f aca="false">Runs!N1603</f>
        <v>0</v>
      </c>
      <c r="M52" s="11" t="n">
        <f aca="false">Runs!N1614</f>
        <v>0.05</v>
      </c>
      <c r="N52" s="11" t="n">
        <f aca="false">Runs!N1625</f>
        <v>0.05</v>
      </c>
      <c r="O52" s="11" t="n">
        <f aca="false">Runs!N1636</f>
        <v>0</v>
      </c>
      <c r="P52" s="11" t="n">
        <f aca="false">Runs!N1647</f>
        <v>0</v>
      </c>
      <c r="Q52" s="16" t="n">
        <f aca="false">IF(COUNT(G52:P52)=0,"",AVERAGE(G52:P52))</f>
        <v>0.01</v>
      </c>
      <c r="R52" s="16" t="n">
        <f aca="false">IF(COUNT(G52:P52)&lt;2,"",STDEV(G52:P52))</f>
        <v>0.0210818510677892</v>
      </c>
      <c r="S52" s="6" t="n">
        <f aca="false">COUNT(G52:P52)</f>
        <v>10</v>
      </c>
    </row>
    <row r="53" customFormat="false" ht="15" hidden="false" customHeight="false" outlineLevel="0" collapsed="false">
      <c r="A53" s="6" t="s">
        <v>52</v>
      </c>
      <c r="B53" s="6" t="s">
        <v>43</v>
      </c>
      <c r="C53" s="6" t="s">
        <v>51</v>
      </c>
      <c r="D53" s="6" t="s">
        <v>116</v>
      </c>
      <c r="E53" s="6" t="n">
        <v>16</v>
      </c>
      <c r="F53" s="6" t="s">
        <v>75</v>
      </c>
      <c r="G53" s="11" t="n">
        <f aca="false">Runs!N1549</f>
        <v>0</v>
      </c>
      <c r="H53" s="11" t="n">
        <f aca="false">Runs!N1560</f>
        <v>0</v>
      </c>
      <c r="I53" s="11" t="n">
        <f aca="false">Runs!N1571</f>
        <v>0</v>
      </c>
      <c r="J53" s="11" t="n">
        <f aca="false">Runs!N1582</f>
        <v>0</v>
      </c>
      <c r="K53" s="11" t="n">
        <f aca="false">Runs!N1593</f>
        <v>0</v>
      </c>
      <c r="L53" s="11" t="n">
        <f aca="false">Runs!N1604</f>
        <v>0</v>
      </c>
      <c r="M53" s="11" t="n">
        <f aca="false">Runs!N1615</f>
        <v>0</v>
      </c>
      <c r="N53" s="11" t="n">
        <f aca="false">Runs!N1626</f>
        <v>0</v>
      </c>
      <c r="O53" s="11" t="n">
        <f aca="false">Runs!N1637</f>
        <v>0</v>
      </c>
      <c r="P53" s="11" t="n">
        <f aca="false">Runs!N1648</f>
        <v>0</v>
      </c>
      <c r="Q53" s="16" t="n">
        <f aca="false">IF(COUNT(G53:P53)=0,"",AVERAGE(G53:P53))</f>
        <v>0</v>
      </c>
      <c r="R53" s="16" t="n">
        <f aca="false">IF(COUNT(G53:P53)&lt;2,"",STDEV(G53:P53))</f>
        <v>0</v>
      </c>
      <c r="S53" s="6" t="n">
        <f aca="false">COUNT(G53:P53)</f>
        <v>10</v>
      </c>
    </row>
    <row r="54" customFormat="false" ht="15" hidden="false" customHeight="false" outlineLevel="0" collapsed="false">
      <c r="A54" s="6" t="s">
        <v>52</v>
      </c>
      <c r="B54" s="6" t="s">
        <v>43</v>
      </c>
      <c r="C54" s="6" t="s">
        <v>51</v>
      </c>
      <c r="D54" s="6" t="s">
        <v>116</v>
      </c>
      <c r="E54" s="6" t="n">
        <v>16</v>
      </c>
      <c r="F54" s="6" t="s">
        <v>76</v>
      </c>
      <c r="G54" s="11" t="n">
        <f aca="false">Runs!N1550</f>
        <v>0</v>
      </c>
      <c r="H54" s="11" t="n">
        <f aca="false">Runs!N1561</f>
        <v>0</v>
      </c>
      <c r="I54" s="11" t="n">
        <f aca="false">Runs!N1572</f>
        <v>0</v>
      </c>
      <c r="J54" s="11" t="n">
        <f aca="false">Runs!N1583</f>
        <v>0</v>
      </c>
      <c r="K54" s="11" t="n">
        <f aca="false">Runs!N1594</f>
        <v>0.05</v>
      </c>
      <c r="L54" s="11" t="n">
        <f aca="false">Runs!N1605</f>
        <v>0</v>
      </c>
      <c r="M54" s="11" t="n">
        <f aca="false">Runs!N1616</f>
        <v>0</v>
      </c>
      <c r="N54" s="11" t="n">
        <f aca="false">Runs!N1627</f>
        <v>0</v>
      </c>
      <c r="O54" s="11" t="n">
        <f aca="false">Runs!N1638</f>
        <v>0</v>
      </c>
      <c r="P54" s="11" t="n">
        <f aca="false">Runs!N1649</f>
        <v>0</v>
      </c>
      <c r="Q54" s="16" t="n">
        <f aca="false">IF(COUNT(G54:P54)=0,"",AVERAGE(G54:P54))</f>
        <v>0.005</v>
      </c>
      <c r="R54" s="16" t="n">
        <f aca="false">IF(COUNT(G54:P54)&lt;2,"",STDEV(G54:P54))</f>
        <v>0.0158113883008419</v>
      </c>
      <c r="S54" s="6" t="n">
        <f aca="false">COUNT(G54:P54)</f>
        <v>10</v>
      </c>
    </row>
    <row r="55" customFormat="false" ht="15" hidden="false" customHeight="false" outlineLevel="0" collapsed="false">
      <c r="A55" s="6" t="s">
        <v>52</v>
      </c>
      <c r="B55" s="6" t="s">
        <v>43</v>
      </c>
      <c r="C55" s="6" t="s">
        <v>51</v>
      </c>
      <c r="D55" s="6" t="s">
        <v>116</v>
      </c>
      <c r="E55" s="6" t="n">
        <v>16</v>
      </c>
      <c r="F55" s="6" t="s">
        <v>77</v>
      </c>
      <c r="G55" s="11" t="n">
        <f aca="false">Runs!N1551</f>
        <v>0.05</v>
      </c>
      <c r="H55" s="11" t="n">
        <f aca="false">Runs!N1562</f>
        <v>0.05</v>
      </c>
      <c r="I55" s="11" t="n">
        <f aca="false">Runs!N1573</f>
        <v>0.05</v>
      </c>
      <c r="J55" s="11" t="n">
        <f aca="false">Runs!N1584</f>
        <v>0.05</v>
      </c>
      <c r="K55" s="11" t="n">
        <f aca="false">Runs!N1595</f>
        <v>0.1</v>
      </c>
      <c r="L55" s="11" t="n">
        <f aca="false">Runs!N1606</f>
        <v>0.05</v>
      </c>
      <c r="M55" s="11" t="n">
        <f aca="false">Runs!N1617</f>
        <v>0.05</v>
      </c>
      <c r="N55" s="11" t="n">
        <f aca="false">Runs!N1628</f>
        <v>0</v>
      </c>
      <c r="O55" s="11" t="n">
        <f aca="false">Runs!N1639</f>
        <v>0.05</v>
      </c>
      <c r="P55" s="11" t="n">
        <f aca="false">Runs!N1650</f>
        <v>0.05</v>
      </c>
      <c r="Q55" s="16" t="n">
        <f aca="false">IF(COUNT(G55:P55)=0,"",AVERAGE(G55:P55))</f>
        <v>0.05</v>
      </c>
      <c r="R55" s="16" t="n">
        <f aca="false">IF(COUNT(G55:P55)&lt;2,"",STDEV(G55:P55))</f>
        <v>0.0235702260395516</v>
      </c>
      <c r="S55" s="6" t="n">
        <f aca="false">COUNT(G55:P55)</f>
        <v>10</v>
      </c>
    </row>
    <row r="56" customFormat="false" ht="15" hidden="false" customHeight="false" outlineLevel="0" collapsed="false">
      <c r="A56" s="17" t="s">
        <v>52</v>
      </c>
      <c r="B56" s="17" t="s">
        <v>43</v>
      </c>
      <c r="C56" s="17" t="s">
        <v>51</v>
      </c>
      <c r="D56" s="17" t="s">
        <v>116</v>
      </c>
      <c r="E56" s="17" t="n">
        <v>16</v>
      </c>
      <c r="F56" s="17" t="s">
        <v>78</v>
      </c>
      <c r="G56" s="18" t="n">
        <f aca="false">Runs!N1552</f>
        <v>0.005</v>
      </c>
      <c r="H56" s="18" t="n">
        <f aca="false">Runs!N1563</f>
        <v>0.005</v>
      </c>
      <c r="I56" s="18" t="n">
        <f aca="false">Runs!N1574</f>
        <v>0.005</v>
      </c>
      <c r="J56" s="18" t="n">
        <f aca="false">Runs!N1585</f>
        <v>0.005</v>
      </c>
      <c r="K56" s="18" t="n">
        <f aca="false">Runs!N1596</f>
        <v>0.065</v>
      </c>
      <c r="L56" s="18" t="n">
        <f aca="false">Runs!N1607</f>
        <v>0.005</v>
      </c>
      <c r="M56" s="18" t="n">
        <f aca="false">Runs!N1618</f>
        <v>0.055</v>
      </c>
      <c r="N56" s="18" t="n">
        <f aca="false">Runs!N1629</f>
        <v>0.01</v>
      </c>
      <c r="O56" s="18" t="n">
        <f aca="false">Runs!N1640</f>
        <v>0.01</v>
      </c>
      <c r="P56" s="18" t="n">
        <f aca="false">Runs!N1651</f>
        <v>0.005</v>
      </c>
      <c r="Q56" s="19" t="n">
        <f aca="false">IF(COUNT(G56:P56)=0,"",AVERAGE(G56:P56))</f>
        <v>0.017</v>
      </c>
      <c r="R56" s="19" t="n">
        <f aca="false">IF(COUNT(G56:P56)&lt;2,"",STDEV(G56:P56))</f>
        <v>0.022876479915698</v>
      </c>
      <c r="S56" s="20" t="n">
        <f aca="false">COUNT(G56:P56)</f>
        <v>10</v>
      </c>
    </row>
    <row r="57" customFormat="false" ht="15" hidden="false" customHeight="false" outlineLevel="0" collapsed="false">
      <c r="A57" s="6" t="s">
        <v>54</v>
      </c>
      <c r="B57" s="6" t="s">
        <v>43</v>
      </c>
      <c r="C57" s="6" t="s">
        <v>49</v>
      </c>
      <c r="D57" s="6" t="s">
        <v>117</v>
      </c>
      <c r="E57" s="6" t="n">
        <v>16</v>
      </c>
      <c r="F57" s="6" t="s">
        <v>68</v>
      </c>
      <c r="G57" s="11" t="n">
        <f aca="false">Runs!N1652</f>
        <v>0</v>
      </c>
      <c r="H57" s="11" t="n">
        <f aca="false">Runs!N1663</f>
        <v>0</v>
      </c>
      <c r="I57" s="11" t="n">
        <f aca="false">Runs!N1674</f>
        <v>0</v>
      </c>
      <c r="J57" s="11" t="n">
        <f aca="false">Runs!N1685</f>
        <v>0</v>
      </c>
      <c r="K57" s="11" t="n">
        <f aca="false">Runs!N1696</f>
        <v>0</v>
      </c>
      <c r="L57" s="11" t="n">
        <f aca="false">Runs!N1707</f>
        <v>0</v>
      </c>
      <c r="M57" s="11" t="n">
        <f aca="false">Runs!N1718</f>
        <v>0</v>
      </c>
      <c r="N57" s="11" t="n">
        <f aca="false">Runs!N1729</f>
        <v>0</v>
      </c>
      <c r="O57" s="11" t="n">
        <f aca="false">Runs!N1740</f>
        <v>0</v>
      </c>
      <c r="P57" s="11" t="n">
        <f aca="false">Runs!N1751</f>
        <v>0</v>
      </c>
      <c r="Q57" s="16" t="n">
        <f aca="false">IF(COUNT(G57:P57)=0,"",AVERAGE(G57:P57))</f>
        <v>0</v>
      </c>
      <c r="R57" s="16" t="n">
        <f aca="false">IF(COUNT(G57:P57)&lt;2,"",STDEV(G57:P57))</f>
        <v>0</v>
      </c>
      <c r="S57" s="6" t="n">
        <f aca="false">COUNT(G57:P57)</f>
        <v>10</v>
      </c>
    </row>
    <row r="58" customFormat="false" ht="15" hidden="false" customHeight="false" outlineLevel="0" collapsed="false">
      <c r="A58" s="6" t="s">
        <v>54</v>
      </c>
      <c r="B58" s="6" t="s">
        <v>43</v>
      </c>
      <c r="C58" s="6" t="s">
        <v>49</v>
      </c>
      <c r="D58" s="6" t="s">
        <v>117</v>
      </c>
      <c r="E58" s="6" t="n">
        <v>16</v>
      </c>
      <c r="F58" s="6" t="s">
        <v>69</v>
      </c>
      <c r="G58" s="11" t="n">
        <f aca="false">Runs!N1653</f>
        <v>0</v>
      </c>
      <c r="H58" s="11" t="n">
        <f aca="false">Runs!N1664</f>
        <v>0</v>
      </c>
      <c r="I58" s="11" t="n">
        <f aca="false">Runs!N1675</f>
        <v>0</v>
      </c>
      <c r="J58" s="11" t="n">
        <f aca="false">Runs!N1686</f>
        <v>0</v>
      </c>
      <c r="K58" s="11" t="n">
        <f aca="false">Runs!N1697</f>
        <v>0</v>
      </c>
      <c r="L58" s="11" t="n">
        <f aca="false">Runs!N1708</f>
        <v>0</v>
      </c>
      <c r="M58" s="11" t="n">
        <f aca="false">Runs!N1719</f>
        <v>0</v>
      </c>
      <c r="N58" s="11" t="n">
        <f aca="false">Runs!N1730</f>
        <v>0</v>
      </c>
      <c r="O58" s="11" t="n">
        <f aca="false">Runs!N1741</f>
        <v>0</v>
      </c>
      <c r="P58" s="11" t="n">
        <f aca="false">Runs!N1752</f>
        <v>0</v>
      </c>
      <c r="Q58" s="16" t="n">
        <f aca="false">IF(COUNT(G58:P58)=0,"",AVERAGE(G58:P58))</f>
        <v>0</v>
      </c>
      <c r="R58" s="16" t="n">
        <f aca="false">IF(COUNT(G58:P58)&lt;2,"",STDEV(G58:P58))</f>
        <v>0</v>
      </c>
      <c r="S58" s="6" t="n">
        <f aca="false">COUNT(G58:P58)</f>
        <v>10</v>
      </c>
    </row>
    <row r="59" customFormat="false" ht="15" hidden="false" customHeight="false" outlineLevel="0" collapsed="false">
      <c r="A59" s="6" t="s">
        <v>54</v>
      </c>
      <c r="B59" s="6" t="s">
        <v>43</v>
      </c>
      <c r="C59" s="6" t="s">
        <v>49</v>
      </c>
      <c r="D59" s="6" t="s">
        <v>117</v>
      </c>
      <c r="E59" s="6" t="n">
        <v>16</v>
      </c>
      <c r="F59" s="6" t="s">
        <v>70</v>
      </c>
      <c r="G59" s="11" t="n">
        <f aca="false">Runs!N1654</f>
        <v>0</v>
      </c>
      <c r="H59" s="11" t="n">
        <f aca="false">Runs!N1665</f>
        <v>0</v>
      </c>
      <c r="I59" s="11" t="n">
        <f aca="false">Runs!N1676</f>
        <v>0</v>
      </c>
      <c r="J59" s="11" t="n">
        <f aca="false">Runs!N1687</f>
        <v>0</v>
      </c>
      <c r="K59" s="11" t="n">
        <f aca="false">Runs!N1698</f>
        <v>0</v>
      </c>
      <c r="L59" s="11" t="n">
        <f aca="false">Runs!N1709</f>
        <v>0</v>
      </c>
      <c r="M59" s="11" t="n">
        <f aca="false">Runs!N1720</f>
        <v>0</v>
      </c>
      <c r="N59" s="11" t="n">
        <f aca="false">Runs!N1731</f>
        <v>0</v>
      </c>
      <c r="O59" s="11" t="n">
        <f aca="false">Runs!N1742</f>
        <v>0</v>
      </c>
      <c r="P59" s="11" t="n">
        <f aca="false">Runs!N1753</f>
        <v>0</v>
      </c>
      <c r="Q59" s="16" t="n">
        <f aca="false">IF(COUNT(G59:P59)=0,"",AVERAGE(G59:P59))</f>
        <v>0</v>
      </c>
      <c r="R59" s="16" t="n">
        <f aca="false">IF(COUNT(G59:P59)&lt;2,"",STDEV(G59:P59))</f>
        <v>0</v>
      </c>
      <c r="S59" s="6" t="n">
        <f aca="false">COUNT(G59:P59)</f>
        <v>10</v>
      </c>
    </row>
    <row r="60" customFormat="false" ht="15" hidden="false" customHeight="false" outlineLevel="0" collapsed="false">
      <c r="A60" s="6" t="s">
        <v>54</v>
      </c>
      <c r="B60" s="6" t="s">
        <v>43</v>
      </c>
      <c r="C60" s="6" t="s">
        <v>49</v>
      </c>
      <c r="D60" s="6" t="s">
        <v>117</v>
      </c>
      <c r="E60" s="6" t="n">
        <v>16</v>
      </c>
      <c r="F60" s="6" t="s">
        <v>71</v>
      </c>
      <c r="G60" s="11" t="n">
        <f aca="false">Runs!N1655</f>
        <v>0</v>
      </c>
      <c r="H60" s="11" t="n">
        <f aca="false">Runs!N1666</f>
        <v>0</v>
      </c>
      <c r="I60" s="11" t="n">
        <f aca="false">Runs!N1677</f>
        <v>0</v>
      </c>
      <c r="J60" s="11" t="n">
        <f aca="false">Runs!N1688</f>
        <v>0</v>
      </c>
      <c r="K60" s="11" t="n">
        <f aca="false">Runs!N1699</f>
        <v>0</v>
      </c>
      <c r="L60" s="11" t="n">
        <f aca="false">Runs!N1710</f>
        <v>0</v>
      </c>
      <c r="M60" s="11" t="n">
        <f aca="false">Runs!N1721</f>
        <v>0</v>
      </c>
      <c r="N60" s="11" t="n">
        <f aca="false">Runs!N1732</f>
        <v>0</v>
      </c>
      <c r="O60" s="11" t="n">
        <f aca="false">Runs!N1743</f>
        <v>0</v>
      </c>
      <c r="P60" s="11" t="n">
        <f aca="false">Runs!N1754</f>
        <v>0</v>
      </c>
      <c r="Q60" s="16" t="n">
        <f aca="false">IF(COUNT(G60:P60)=0,"",AVERAGE(G60:P60))</f>
        <v>0</v>
      </c>
      <c r="R60" s="16" t="n">
        <f aca="false">IF(COUNT(G60:P60)&lt;2,"",STDEV(G60:P60))</f>
        <v>0</v>
      </c>
      <c r="S60" s="6" t="n">
        <f aca="false">COUNT(G60:P60)</f>
        <v>10</v>
      </c>
    </row>
    <row r="61" customFormat="false" ht="15" hidden="false" customHeight="false" outlineLevel="0" collapsed="false">
      <c r="A61" s="6" t="s">
        <v>54</v>
      </c>
      <c r="B61" s="6" t="s">
        <v>43</v>
      </c>
      <c r="C61" s="6" t="s">
        <v>49</v>
      </c>
      <c r="D61" s="6" t="s">
        <v>117</v>
      </c>
      <c r="E61" s="6" t="n">
        <v>16</v>
      </c>
      <c r="F61" s="6" t="s">
        <v>72</v>
      </c>
      <c r="G61" s="11" t="n">
        <f aca="false">Runs!N1656</f>
        <v>0</v>
      </c>
      <c r="H61" s="11" t="n">
        <f aca="false">Runs!N1667</f>
        <v>0</v>
      </c>
      <c r="I61" s="11" t="n">
        <f aca="false">Runs!N1678</f>
        <v>0</v>
      </c>
      <c r="J61" s="11" t="n">
        <f aca="false">Runs!N1689</f>
        <v>0</v>
      </c>
      <c r="K61" s="11" t="n">
        <f aca="false">Runs!N1700</f>
        <v>0</v>
      </c>
      <c r="L61" s="11" t="n">
        <f aca="false">Runs!N1711</f>
        <v>0</v>
      </c>
      <c r="M61" s="11" t="n">
        <f aca="false">Runs!N1722</f>
        <v>0</v>
      </c>
      <c r="N61" s="11" t="n">
        <f aca="false">Runs!N1733</f>
        <v>0</v>
      </c>
      <c r="O61" s="11" t="n">
        <f aca="false">Runs!N1744</f>
        <v>0</v>
      </c>
      <c r="P61" s="11" t="n">
        <f aca="false">Runs!N1755</f>
        <v>0</v>
      </c>
      <c r="Q61" s="16" t="n">
        <f aca="false">IF(COUNT(G61:P61)=0,"",AVERAGE(G61:P61))</f>
        <v>0</v>
      </c>
      <c r="R61" s="16" t="n">
        <f aca="false">IF(COUNT(G61:P61)&lt;2,"",STDEV(G61:P61))</f>
        <v>0</v>
      </c>
      <c r="S61" s="6" t="n">
        <f aca="false">COUNT(G61:P61)</f>
        <v>10</v>
      </c>
    </row>
    <row r="62" customFormat="false" ht="15" hidden="false" customHeight="false" outlineLevel="0" collapsed="false">
      <c r="A62" s="6" t="s">
        <v>54</v>
      </c>
      <c r="B62" s="6" t="s">
        <v>43</v>
      </c>
      <c r="C62" s="6" t="s">
        <v>49</v>
      </c>
      <c r="D62" s="6" t="s">
        <v>117</v>
      </c>
      <c r="E62" s="6" t="n">
        <v>16</v>
      </c>
      <c r="F62" s="6" t="s">
        <v>73</v>
      </c>
      <c r="G62" s="11" t="n">
        <f aca="false">Runs!N1657</f>
        <v>0</v>
      </c>
      <c r="H62" s="11" t="n">
        <f aca="false">Runs!N1668</f>
        <v>0</v>
      </c>
      <c r="I62" s="11" t="n">
        <f aca="false">Runs!N1679</f>
        <v>0</v>
      </c>
      <c r="J62" s="11" t="n">
        <f aca="false">Runs!N1690</f>
        <v>0</v>
      </c>
      <c r="K62" s="11" t="n">
        <f aca="false">Runs!N1701</f>
        <v>0</v>
      </c>
      <c r="L62" s="11" t="n">
        <f aca="false">Runs!N1712</f>
        <v>0</v>
      </c>
      <c r="M62" s="11" t="n">
        <f aca="false">Runs!N1723</f>
        <v>0</v>
      </c>
      <c r="N62" s="11" t="n">
        <f aca="false">Runs!N1734</f>
        <v>0</v>
      </c>
      <c r="O62" s="11" t="n">
        <f aca="false">Runs!N1745</f>
        <v>0</v>
      </c>
      <c r="P62" s="11" t="n">
        <f aca="false">Runs!N1756</f>
        <v>0</v>
      </c>
      <c r="Q62" s="16" t="n">
        <f aca="false">IF(COUNT(G62:P62)=0,"",AVERAGE(G62:P62))</f>
        <v>0</v>
      </c>
      <c r="R62" s="16" t="n">
        <f aca="false">IF(COUNT(G62:P62)&lt;2,"",STDEV(G62:P62))</f>
        <v>0</v>
      </c>
      <c r="S62" s="6" t="n">
        <f aca="false">COUNT(G62:P62)</f>
        <v>10</v>
      </c>
    </row>
    <row r="63" customFormat="false" ht="15" hidden="false" customHeight="false" outlineLevel="0" collapsed="false">
      <c r="A63" s="6" t="s">
        <v>54</v>
      </c>
      <c r="B63" s="6" t="s">
        <v>43</v>
      </c>
      <c r="C63" s="6" t="s">
        <v>49</v>
      </c>
      <c r="D63" s="6" t="s">
        <v>117</v>
      </c>
      <c r="E63" s="6" t="n">
        <v>16</v>
      </c>
      <c r="F63" s="6" t="s">
        <v>74</v>
      </c>
      <c r="G63" s="11" t="n">
        <f aca="false">Runs!N1658</f>
        <v>0</v>
      </c>
      <c r="H63" s="11" t="n">
        <f aca="false">Runs!N1669</f>
        <v>0</v>
      </c>
      <c r="I63" s="11" t="n">
        <f aca="false">Runs!N1680</f>
        <v>0</v>
      </c>
      <c r="J63" s="11" t="n">
        <f aca="false">Runs!N1691</f>
        <v>0</v>
      </c>
      <c r="K63" s="11" t="n">
        <f aca="false">Runs!N1702</f>
        <v>0</v>
      </c>
      <c r="L63" s="11" t="n">
        <f aca="false">Runs!N1713</f>
        <v>0</v>
      </c>
      <c r="M63" s="11" t="n">
        <f aca="false">Runs!N1724</f>
        <v>0</v>
      </c>
      <c r="N63" s="11" t="n">
        <f aca="false">Runs!N1735</f>
        <v>0</v>
      </c>
      <c r="O63" s="11" t="n">
        <f aca="false">Runs!N1746</f>
        <v>0</v>
      </c>
      <c r="P63" s="11" t="n">
        <f aca="false">Runs!N1757</f>
        <v>0</v>
      </c>
      <c r="Q63" s="16" t="n">
        <f aca="false">IF(COUNT(G63:P63)=0,"",AVERAGE(G63:P63))</f>
        <v>0</v>
      </c>
      <c r="R63" s="16" t="n">
        <f aca="false">IF(COUNT(G63:P63)&lt;2,"",STDEV(G63:P63))</f>
        <v>0</v>
      </c>
      <c r="S63" s="6" t="n">
        <f aca="false">COUNT(G63:P63)</f>
        <v>10</v>
      </c>
    </row>
    <row r="64" customFormat="false" ht="15" hidden="false" customHeight="false" outlineLevel="0" collapsed="false">
      <c r="A64" s="6" t="s">
        <v>54</v>
      </c>
      <c r="B64" s="6" t="s">
        <v>43</v>
      </c>
      <c r="C64" s="6" t="s">
        <v>49</v>
      </c>
      <c r="D64" s="6" t="s">
        <v>117</v>
      </c>
      <c r="E64" s="6" t="n">
        <v>16</v>
      </c>
      <c r="F64" s="6" t="s">
        <v>75</v>
      </c>
      <c r="G64" s="11" t="n">
        <f aca="false">Runs!N1659</f>
        <v>0</v>
      </c>
      <c r="H64" s="11" t="n">
        <f aca="false">Runs!N1670</f>
        <v>0</v>
      </c>
      <c r="I64" s="11" t="n">
        <f aca="false">Runs!N1681</f>
        <v>0</v>
      </c>
      <c r="J64" s="11" t="n">
        <f aca="false">Runs!N1692</f>
        <v>0</v>
      </c>
      <c r="K64" s="11" t="n">
        <f aca="false">Runs!N1703</f>
        <v>0</v>
      </c>
      <c r="L64" s="11" t="n">
        <f aca="false">Runs!N1714</f>
        <v>0</v>
      </c>
      <c r="M64" s="11" t="n">
        <f aca="false">Runs!N1725</f>
        <v>0</v>
      </c>
      <c r="N64" s="11" t="n">
        <f aca="false">Runs!N1736</f>
        <v>0</v>
      </c>
      <c r="O64" s="11" t="n">
        <f aca="false">Runs!N1747</f>
        <v>0</v>
      </c>
      <c r="P64" s="11" t="n">
        <f aca="false">Runs!N1758</f>
        <v>0</v>
      </c>
      <c r="Q64" s="16" t="n">
        <f aca="false">IF(COUNT(G64:P64)=0,"",AVERAGE(G64:P64))</f>
        <v>0</v>
      </c>
      <c r="R64" s="16" t="n">
        <f aca="false">IF(COUNT(G64:P64)&lt;2,"",STDEV(G64:P64))</f>
        <v>0</v>
      </c>
      <c r="S64" s="6" t="n">
        <f aca="false">COUNT(G64:P64)</f>
        <v>10</v>
      </c>
    </row>
    <row r="65" customFormat="false" ht="15" hidden="false" customHeight="false" outlineLevel="0" collapsed="false">
      <c r="A65" s="6" t="s">
        <v>54</v>
      </c>
      <c r="B65" s="6" t="s">
        <v>43</v>
      </c>
      <c r="C65" s="6" t="s">
        <v>49</v>
      </c>
      <c r="D65" s="6" t="s">
        <v>117</v>
      </c>
      <c r="E65" s="6" t="n">
        <v>16</v>
      </c>
      <c r="F65" s="6" t="s">
        <v>76</v>
      </c>
      <c r="G65" s="11" t="n">
        <f aca="false">Runs!N1660</f>
        <v>0</v>
      </c>
      <c r="H65" s="11" t="n">
        <f aca="false">Runs!N1671</f>
        <v>0</v>
      </c>
      <c r="I65" s="11" t="n">
        <f aca="false">Runs!N1682</f>
        <v>0</v>
      </c>
      <c r="J65" s="11" t="n">
        <f aca="false">Runs!N1693</f>
        <v>0</v>
      </c>
      <c r="K65" s="11" t="n">
        <f aca="false">Runs!N1704</f>
        <v>0</v>
      </c>
      <c r="L65" s="11" t="n">
        <f aca="false">Runs!N1715</f>
        <v>0</v>
      </c>
      <c r="M65" s="11" t="n">
        <f aca="false">Runs!N1726</f>
        <v>0</v>
      </c>
      <c r="N65" s="11" t="n">
        <f aca="false">Runs!N1737</f>
        <v>0</v>
      </c>
      <c r="O65" s="11" t="n">
        <f aca="false">Runs!N1748</f>
        <v>0</v>
      </c>
      <c r="P65" s="11" t="n">
        <f aca="false">Runs!N1759</f>
        <v>0</v>
      </c>
      <c r="Q65" s="16" t="n">
        <f aca="false">IF(COUNT(G65:P65)=0,"",AVERAGE(G65:P65))</f>
        <v>0</v>
      </c>
      <c r="R65" s="16" t="n">
        <f aca="false">IF(COUNT(G65:P65)&lt;2,"",STDEV(G65:P65))</f>
        <v>0</v>
      </c>
      <c r="S65" s="6" t="n">
        <f aca="false">COUNT(G65:P65)</f>
        <v>10</v>
      </c>
    </row>
    <row r="66" customFormat="false" ht="15" hidden="false" customHeight="false" outlineLevel="0" collapsed="false">
      <c r="A66" s="6" t="s">
        <v>54</v>
      </c>
      <c r="B66" s="6" t="s">
        <v>43</v>
      </c>
      <c r="C66" s="6" t="s">
        <v>49</v>
      </c>
      <c r="D66" s="6" t="s">
        <v>117</v>
      </c>
      <c r="E66" s="6" t="n">
        <v>16</v>
      </c>
      <c r="F66" s="6" t="s">
        <v>77</v>
      </c>
      <c r="G66" s="11" t="n">
        <f aca="false">Runs!N1661</f>
        <v>0.05</v>
      </c>
      <c r="H66" s="11" t="n">
        <f aca="false">Runs!N1672</f>
        <v>0.05</v>
      </c>
      <c r="I66" s="11" t="n">
        <f aca="false">Runs!N1683</f>
        <v>0.05</v>
      </c>
      <c r="J66" s="11" t="n">
        <f aca="false">Runs!N1694</f>
        <v>0.05</v>
      </c>
      <c r="K66" s="11" t="n">
        <f aca="false">Runs!N1705</f>
        <v>0.05</v>
      </c>
      <c r="L66" s="11" t="n">
        <f aca="false">Runs!N1716</f>
        <v>0.05</v>
      </c>
      <c r="M66" s="11" t="n">
        <f aca="false">Runs!N1727</f>
        <v>0.05</v>
      </c>
      <c r="N66" s="11" t="n">
        <f aca="false">Runs!N1738</f>
        <v>0.05</v>
      </c>
      <c r="O66" s="11" t="n">
        <f aca="false">Runs!N1749</f>
        <v>0.05</v>
      </c>
      <c r="P66" s="11" t="n">
        <f aca="false">Runs!N1760</f>
        <v>0.05</v>
      </c>
      <c r="Q66" s="16" t="n">
        <f aca="false">IF(COUNT(G66:P66)=0,"",AVERAGE(G66:P66))</f>
        <v>0.05</v>
      </c>
      <c r="R66" s="16" t="n">
        <f aca="false">IF(COUNT(G66:P66)&lt;2,"",STDEV(G66:P66))</f>
        <v>0</v>
      </c>
      <c r="S66" s="6" t="n">
        <f aca="false">COUNT(G66:P66)</f>
        <v>10</v>
      </c>
    </row>
    <row r="67" customFormat="false" ht="15" hidden="false" customHeight="false" outlineLevel="0" collapsed="false">
      <c r="A67" s="17" t="s">
        <v>54</v>
      </c>
      <c r="B67" s="17" t="s">
        <v>43</v>
      </c>
      <c r="C67" s="17" t="s">
        <v>49</v>
      </c>
      <c r="D67" s="17" t="s">
        <v>117</v>
      </c>
      <c r="E67" s="17" t="n">
        <v>16</v>
      </c>
      <c r="F67" s="17" t="s">
        <v>78</v>
      </c>
      <c r="G67" s="18" t="n">
        <f aca="false">Runs!N1662</f>
        <v>0.005</v>
      </c>
      <c r="H67" s="18" t="n">
        <f aca="false">Runs!N1673</f>
        <v>0.005</v>
      </c>
      <c r="I67" s="18" t="n">
        <f aca="false">Runs!N1684</f>
        <v>0.005</v>
      </c>
      <c r="J67" s="18" t="n">
        <f aca="false">Runs!N1695</f>
        <v>0.005</v>
      </c>
      <c r="K67" s="18" t="n">
        <f aca="false">Runs!N1706</f>
        <v>0.005</v>
      </c>
      <c r="L67" s="18" t="n">
        <f aca="false">Runs!N1717</f>
        <v>0.005</v>
      </c>
      <c r="M67" s="18" t="n">
        <f aca="false">Runs!N1728</f>
        <v>0.005</v>
      </c>
      <c r="N67" s="18" t="n">
        <f aca="false">Runs!N1739</f>
        <v>0.005</v>
      </c>
      <c r="O67" s="18" t="n">
        <f aca="false">Runs!N1750</f>
        <v>0.005</v>
      </c>
      <c r="P67" s="18" t="n">
        <f aca="false">Runs!N1761</f>
        <v>0.005</v>
      </c>
      <c r="Q67" s="19" t="n">
        <f aca="false">IF(COUNT(G67:P67)=0,"",AVERAGE(G67:P67))</f>
        <v>0.005</v>
      </c>
      <c r="R67" s="19" t="n">
        <f aca="false">IF(COUNT(G67:P67)&lt;2,"",STDEV(G67:P67))</f>
        <v>0</v>
      </c>
      <c r="S67" s="20" t="n">
        <f aca="false">COUNT(G67:P67)</f>
        <v>10</v>
      </c>
    </row>
    <row r="68" customFormat="false" ht="15" hidden="false" customHeight="false" outlineLevel="0" collapsed="false">
      <c r="A68" s="6" t="s">
        <v>56</v>
      </c>
      <c r="B68" s="6" t="s">
        <v>43</v>
      </c>
      <c r="C68" s="6" t="s">
        <v>51</v>
      </c>
      <c r="D68" s="6" t="s">
        <v>118</v>
      </c>
      <c r="E68" s="6" t="n">
        <v>16</v>
      </c>
      <c r="F68" s="6" t="s">
        <v>68</v>
      </c>
      <c r="G68" s="11" t="n">
        <f aca="false">Runs!N1762</f>
        <v>0</v>
      </c>
      <c r="H68" s="11" t="n">
        <f aca="false">Runs!N1773</f>
        <v>0</v>
      </c>
      <c r="I68" s="11" t="n">
        <f aca="false">Runs!N1784</f>
        <v>0</v>
      </c>
      <c r="J68" s="11" t="n">
        <f aca="false">Runs!N1795</f>
        <v>0</v>
      </c>
      <c r="K68" s="11" t="n">
        <f aca="false">Runs!N1806</f>
        <v>0</v>
      </c>
      <c r="L68" s="11" t="n">
        <f aca="false">Runs!N1817</f>
        <v>0</v>
      </c>
      <c r="M68" s="11" t="n">
        <f aca="false">Runs!N1828</f>
        <v>0</v>
      </c>
      <c r="N68" s="11" t="n">
        <f aca="false">Runs!N1839</f>
        <v>0</v>
      </c>
      <c r="O68" s="11" t="n">
        <f aca="false">Runs!N1850</f>
        <v>0</v>
      </c>
      <c r="P68" s="11" t="n">
        <f aca="false">Runs!N1861</f>
        <v>0</v>
      </c>
      <c r="Q68" s="16" t="n">
        <f aca="false">IF(COUNT(G68:P68)=0,"",AVERAGE(G68:P68))</f>
        <v>0</v>
      </c>
      <c r="R68" s="16" t="n">
        <f aca="false">IF(COUNT(G68:P68)&lt;2,"",STDEV(G68:P68))</f>
        <v>0</v>
      </c>
      <c r="S68" s="6" t="n">
        <f aca="false">COUNT(G68:P68)</f>
        <v>10</v>
      </c>
    </row>
    <row r="69" customFormat="false" ht="15" hidden="false" customHeight="false" outlineLevel="0" collapsed="false">
      <c r="A69" s="6" t="s">
        <v>56</v>
      </c>
      <c r="B69" s="6" t="s">
        <v>43</v>
      </c>
      <c r="C69" s="6" t="s">
        <v>51</v>
      </c>
      <c r="D69" s="6" t="s">
        <v>118</v>
      </c>
      <c r="E69" s="6" t="n">
        <v>16</v>
      </c>
      <c r="F69" s="6" t="s">
        <v>69</v>
      </c>
      <c r="G69" s="11" t="n">
        <f aca="false">Runs!N1763</f>
        <v>0</v>
      </c>
      <c r="H69" s="11" t="n">
        <f aca="false">Runs!N1774</f>
        <v>0</v>
      </c>
      <c r="I69" s="11" t="n">
        <f aca="false">Runs!N1785</f>
        <v>0</v>
      </c>
      <c r="J69" s="11" t="n">
        <f aca="false">Runs!N1796</f>
        <v>0</v>
      </c>
      <c r="K69" s="11" t="n">
        <f aca="false">Runs!N1807</f>
        <v>0</v>
      </c>
      <c r="L69" s="11" t="n">
        <f aca="false">Runs!N1818</f>
        <v>0</v>
      </c>
      <c r="M69" s="11" t="n">
        <f aca="false">Runs!N1829</f>
        <v>0</v>
      </c>
      <c r="N69" s="11" t="n">
        <f aca="false">Runs!N1840</f>
        <v>0</v>
      </c>
      <c r="O69" s="11" t="n">
        <f aca="false">Runs!N1851</f>
        <v>0</v>
      </c>
      <c r="P69" s="11" t="n">
        <f aca="false">Runs!N1862</f>
        <v>0</v>
      </c>
      <c r="Q69" s="16" t="n">
        <f aca="false">IF(COUNT(G69:P69)=0,"",AVERAGE(G69:P69))</f>
        <v>0</v>
      </c>
      <c r="R69" s="16" t="n">
        <f aca="false">IF(COUNT(G69:P69)&lt;2,"",STDEV(G69:P69))</f>
        <v>0</v>
      </c>
      <c r="S69" s="6" t="n">
        <f aca="false">COUNT(G69:P69)</f>
        <v>10</v>
      </c>
    </row>
    <row r="70" customFormat="false" ht="15" hidden="false" customHeight="false" outlineLevel="0" collapsed="false">
      <c r="A70" s="6" t="s">
        <v>56</v>
      </c>
      <c r="B70" s="6" t="s">
        <v>43</v>
      </c>
      <c r="C70" s="6" t="s">
        <v>51</v>
      </c>
      <c r="D70" s="6" t="s">
        <v>118</v>
      </c>
      <c r="E70" s="6" t="n">
        <v>16</v>
      </c>
      <c r="F70" s="6" t="s">
        <v>70</v>
      </c>
      <c r="G70" s="11" t="n">
        <f aca="false">Runs!N1764</f>
        <v>0</v>
      </c>
      <c r="H70" s="11" t="n">
        <f aca="false">Runs!N1775</f>
        <v>0</v>
      </c>
      <c r="I70" s="11" t="n">
        <f aca="false">Runs!N1786</f>
        <v>0</v>
      </c>
      <c r="J70" s="11" t="n">
        <f aca="false">Runs!N1797</f>
        <v>0</v>
      </c>
      <c r="K70" s="11" t="n">
        <f aca="false">Runs!N1808</f>
        <v>0</v>
      </c>
      <c r="L70" s="11" t="n">
        <f aca="false">Runs!N1819</f>
        <v>0</v>
      </c>
      <c r="M70" s="11" t="n">
        <f aca="false">Runs!N1830</f>
        <v>0</v>
      </c>
      <c r="N70" s="11" t="n">
        <f aca="false">Runs!N1841</f>
        <v>0</v>
      </c>
      <c r="O70" s="11" t="n">
        <f aca="false">Runs!N1852</f>
        <v>0</v>
      </c>
      <c r="P70" s="11" t="n">
        <f aca="false">Runs!N1863</f>
        <v>0</v>
      </c>
      <c r="Q70" s="16" t="n">
        <f aca="false">IF(COUNT(G70:P70)=0,"",AVERAGE(G70:P70))</f>
        <v>0</v>
      </c>
      <c r="R70" s="16" t="n">
        <f aca="false">IF(COUNT(G70:P70)&lt;2,"",STDEV(G70:P70))</f>
        <v>0</v>
      </c>
      <c r="S70" s="6" t="n">
        <f aca="false">COUNT(G70:P70)</f>
        <v>10</v>
      </c>
    </row>
    <row r="71" customFormat="false" ht="15" hidden="false" customHeight="false" outlineLevel="0" collapsed="false">
      <c r="A71" s="6" t="s">
        <v>56</v>
      </c>
      <c r="B71" s="6" t="s">
        <v>43</v>
      </c>
      <c r="C71" s="6" t="s">
        <v>51</v>
      </c>
      <c r="D71" s="6" t="s">
        <v>118</v>
      </c>
      <c r="E71" s="6" t="n">
        <v>16</v>
      </c>
      <c r="F71" s="6" t="s">
        <v>71</v>
      </c>
      <c r="G71" s="11" t="n">
        <f aca="false">Runs!N1765</f>
        <v>0</v>
      </c>
      <c r="H71" s="11" t="n">
        <f aca="false">Runs!N1776</f>
        <v>0</v>
      </c>
      <c r="I71" s="11" t="n">
        <f aca="false">Runs!N1787</f>
        <v>0</v>
      </c>
      <c r="J71" s="11" t="n">
        <f aca="false">Runs!N1798</f>
        <v>0</v>
      </c>
      <c r="K71" s="11" t="n">
        <f aca="false">Runs!N1809</f>
        <v>0</v>
      </c>
      <c r="L71" s="11" t="n">
        <f aca="false">Runs!N1820</f>
        <v>0</v>
      </c>
      <c r="M71" s="11" t="n">
        <f aca="false">Runs!N1831</f>
        <v>0</v>
      </c>
      <c r="N71" s="11" t="n">
        <f aca="false">Runs!N1842</f>
        <v>0</v>
      </c>
      <c r="O71" s="11" t="n">
        <f aca="false">Runs!N1853</f>
        <v>0</v>
      </c>
      <c r="P71" s="11" t="n">
        <f aca="false">Runs!N1864</f>
        <v>0</v>
      </c>
      <c r="Q71" s="16" t="n">
        <f aca="false">IF(COUNT(G71:P71)=0,"",AVERAGE(G71:P71))</f>
        <v>0</v>
      </c>
      <c r="R71" s="16" t="n">
        <f aca="false">IF(COUNT(G71:P71)&lt;2,"",STDEV(G71:P71))</f>
        <v>0</v>
      </c>
      <c r="S71" s="6" t="n">
        <f aca="false">COUNT(G71:P71)</f>
        <v>10</v>
      </c>
    </row>
    <row r="72" customFormat="false" ht="15" hidden="false" customHeight="false" outlineLevel="0" collapsed="false">
      <c r="A72" s="6" t="s">
        <v>56</v>
      </c>
      <c r="B72" s="6" t="s">
        <v>43</v>
      </c>
      <c r="C72" s="6" t="s">
        <v>51</v>
      </c>
      <c r="D72" s="6" t="s">
        <v>118</v>
      </c>
      <c r="E72" s="6" t="n">
        <v>16</v>
      </c>
      <c r="F72" s="6" t="s">
        <v>72</v>
      </c>
      <c r="G72" s="11" t="n">
        <f aca="false">Runs!N1766</f>
        <v>0</v>
      </c>
      <c r="H72" s="11" t="n">
        <f aca="false">Runs!N1777</f>
        <v>0</v>
      </c>
      <c r="I72" s="11" t="n">
        <f aca="false">Runs!N1788</f>
        <v>0</v>
      </c>
      <c r="J72" s="11" t="n">
        <f aca="false">Runs!N1799</f>
        <v>0</v>
      </c>
      <c r="K72" s="11" t="n">
        <f aca="false">Runs!N1810</f>
        <v>0</v>
      </c>
      <c r="L72" s="11" t="n">
        <f aca="false">Runs!N1821</f>
        <v>0</v>
      </c>
      <c r="M72" s="11" t="n">
        <f aca="false">Runs!N1832</f>
        <v>0</v>
      </c>
      <c r="N72" s="11" t="n">
        <f aca="false">Runs!N1843</f>
        <v>0</v>
      </c>
      <c r="O72" s="11" t="n">
        <f aca="false">Runs!N1854</f>
        <v>0</v>
      </c>
      <c r="P72" s="11" t="n">
        <f aca="false">Runs!N1865</f>
        <v>0</v>
      </c>
      <c r="Q72" s="16" t="n">
        <f aca="false">IF(COUNT(G72:P72)=0,"",AVERAGE(G72:P72))</f>
        <v>0</v>
      </c>
      <c r="R72" s="16" t="n">
        <f aca="false">IF(COUNT(G72:P72)&lt;2,"",STDEV(G72:P72))</f>
        <v>0</v>
      </c>
      <c r="S72" s="6" t="n">
        <f aca="false">COUNT(G72:P72)</f>
        <v>10</v>
      </c>
    </row>
    <row r="73" customFormat="false" ht="15" hidden="false" customHeight="false" outlineLevel="0" collapsed="false">
      <c r="A73" s="6" t="s">
        <v>56</v>
      </c>
      <c r="B73" s="6" t="s">
        <v>43</v>
      </c>
      <c r="C73" s="6" t="s">
        <v>51</v>
      </c>
      <c r="D73" s="6" t="s">
        <v>118</v>
      </c>
      <c r="E73" s="6" t="n">
        <v>16</v>
      </c>
      <c r="F73" s="6" t="s">
        <v>73</v>
      </c>
      <c r="G73" s="11" t="n">
        <f aca="false">Runs!N1767</f>
        <v>0</v>
      </c>
      <c r="H73" s="11" t="n">
        <f aca="false">Runs!N1778</f>
        <v>0</v>
      </c>
      <c r="I73" s="11" t="n">
        <f aca="false">Runs!N1789</f>
        <v>0</v>
      </c>
      <c r="J73" s="11" t="n">
        <f aca="false">Runs!N1800</f>
        <v>0</v>
      </c>
      <c r="K73" s="11" t="n">
        <f aca="false">Runs!N1811</f>
        <v>0</v>
      </c>
      <c r="L73" s="11" t="n">
        <f aca="false">Runs!N1822</f>
        <v>0</v>
      </c>
      <c r="M73" s="11" t="n">
        <f aca="false">Runs!N1833</f>
        <v>0</v>
      </c>
      <c r="N73" s="11" t="n">
        <f aca="false">Runs!N1844</f>
        <v>0</v>
      </c>
      <c r="O73" s="11" t="n">
        <f aca="false">Runs!N1855</f>
        <v>0</v>
      </c>
      <c r="P73" s="11" t="n">
        <f aca="false">Runs!N1866</f>
        <v>0</v>
      </c>
      <c r="Q73" s="16" t="n">
        <f aca="false">IF(COUNT(G73:P73)=0,"",AVERAGE(G73:P73))</f>
        <v>0</v>
      </c>
      <c r="R73" s="16" t="n">
        <f aca="false">IF(COUNT(G73:P73)&lt;2,"",STDEV(G73:P73))</f>
        <v>0</v>
      </c>
      <c r="S73" s="6" t="n">
        <f aca="false">COUNT(G73:P73)</f>
        <v>10</v>
      </c>
    </row>
    <row r="74" customFormat="false" ht="15" hidden="false" customHeight="false" outlineLevel="0" collapsed="false">
      <c r="A74" s="6" t="s">
        <v>56</v>
      </c>
      <c r="B74" s="6" t="s">
        <v>43</v>
      </c>
      <c r="C74" s="6" t="s">
        <v>51</v>
      </c>
      <c r="D74" s="6" t="s">
        <v>118</v>
      </c>
      <c r="E74" s="6" t="n">
        <v>16</v>
      </c>
      <c r="F74" s="6" t="s">
        <v>74</v>
      </c>
      <c r="G74" s="11" t="n">
        <f aca="false">Runs!N1768</f>
        <v>0</v>
      </c>
      <c r="H74" s="11" t="n">
        <f aca="false">Runs!N1779</f>
        <v>0</v>
      </c>
      <c r="I74" s="11" t="n">
        <f aca="false">Runs!N1790</f>
        <v>0</v>
      </c>
      <c r="J74" s="11" t="n">
        <f aca="false">Runs!N1801</f>
        <v>0</v>
      </c>
      <c r="K74" s="11" t="n">
        <f aca="false">Runs!N1812</f>
        <v>0</v>
      </c>
      <c r="L74" s="11" t="n">
        <f aca="false">Runs!N1823</f>
        <v>0</v>
      </c>
      <c r="M74" s="11" t="n">
        <f aca="false">Runs!N1834</f>
        <v>0</v>
      </c>
      <c r="N74" s="11" t="n">
        <f aca="false">Runs!N1845</f>
        <v>0</v>
      </c>
      <c r="O74" s="11" t="n">
        <f aca="false">Runs!N1856</f>
        <v>0</v>
      </c>
      <c r="P74" s="11" t="n">
        <f aca="false">Runs!N1867</f>
        <v>0</v>
      </c>
      <c r="Q74" s="16" t="n">
        <f aca="false">IF(COUNT(G74:P74)=0,"",AVERAGE(G74:P74))</f>
        <v>0</v>
      </c>
      <c r="R74" s="16" t="n">
        <f aca="false">IF(COUNT(G74:P74)&lt;2,"",STDEV(G74:P74))</f>
        <v>0</v>
      </c>
      <c r="S74" s="6" t="n">
        <f aca="false">COUNT(G74:P74)</f>
        <v>10</v>
      </c>
    </row>
    <row r="75" customFormat="false" ht="15" hidden="false" customHeight="false" outlineLevel="0" collapsed="false">
      <c r="A75" s="6" t="s">
        <v>56</v>
      </c>
      <c r="B75" s="6" t="s">
        <v>43</v>
      </c>
      <c r="C75" s="6" t="s">
        <v>51</v>
      </c>
      <c r="D75" s="6" t="s">
        <v>118</v>
      </c>
      <c r="E75" s="6" t="n">
        <v>16</v>
      </c>
      <c r="F75" s="6" t="s">
        <v>75</v>
      </c>
      <c r="G75" s="11" t="n">
        <f aca="false">Runs!N1769</f>
        <v>0</v>
      </c>
      <c r="H75" s="11" t="n">
        <f aca="false">Runs!N1780</f>
        <v>0</v>
      </c>
      <c r="I75" s="11" t="n">
        <f aca="false">Runs!N1791</f>
        <v>0</v>
      </c>
      <c r="J75" s="11" t="n">
        <f aca="false">Runs!N1802</f>
        <v>0</v>
      </c>
      <c r="K75" s="11" t="n">
        <f aca="false">Runs!N1813</f>
        <v>0</v>
      </c>
      <c r="L75" s="11" t="n">
        <f aca="false">Runs!N1824</f>
        <v>0</v>
      </c>
      <c r="M75" s="11" t="n">
        <f aca="false">Runs!N1835</f>
        <v>0</v>
      </c>
      <c r="N75" s="11" t="n">
        <f aca="false">Runs!N1846</f>
        <v>0</v>
      </c>
      <c r="O75" s="11" t="n">
        <f aca="false">Runs!N1857</f>
        <v>0</v>
      </c>
      <c r="P75" s="11" t="n">
        <f aca="false">Runs!N1868</f>
        <v>0</v>
      </c>
      <c r="Q75" s="16" t="n">
        <f aca="false">IF(COUNT(G75:P75)=0,"",AVERAGE(G75:P75))</f>
        <v>0</v>
      </c>
      <c r="R75" s="16" t="n">
        <f aca="false">IF(COUNT(G75:P75)&lt;2,"",STDEV(G75:P75))</f>
        <v>0</v>
      </c>
      <c r="S75" s="6" t="n">
        <f aca="false">COUNT(G75:P75)</f>
        <v>10</v>
      </c>
    </row>
    <row r="76" customFormat="false" ht="15" hidden="false" customHeight="false" outlineLevel="0" collapsed="false">
      <c r="A76" s="6" t="s">
        <v>56</v>
      </c>
      <c r="B76" s="6" t="s">
        <v>43</v>
      </c>
      <c r="C76" s="6" t="s">
        <v>51</v>
      </c>
      <c r="D76" s="6" t="s">
        <v>118</v>
      </c>
      <c r="E76" s="6" t="n">
        <v>16</v>
      </c>
      <c r="F76" s="6" t="s">
        <v>76</v>
      </c>
      <c r="G76" s="11" t="n">
        <f aca="false">Runs!N1770</f>
        <v>0</v>
      </c>
      <c r="H76" s="11" t="n">
        <f aca="false">Runs!N1781</f>
        <v>0</v>
      </c>
      <c r="I76" s="11" t="n">
        <f aca="false">Runs!N1792</f>
        <v>0</v>
      </c>
      <c r="J76" s="11" t="n">
        <f aca="false">Runs!N1803</f>
        <v>0</v>
      </c>
      <c r="K76" s="11" t="n">
        <f aca="false">Runs!N1814</f>
        <v>0</v>
      </c>
      <c r="L76" s="11" t="n">
        <f aca="false">Runs!N1825</f>
        <v>0</v>
      </c>
      <c r="M76" s="11" t="n">
        <f aca="false">Runs!N1836</f>
        <v>0</v>
      </c>
      <c r="N76" s="11" t="n">
        <f aca="false">Runs!N1847</f>
        <v>0</v>
      </c>
      <c r="O76" s="11" t="n">
        <f aca="false">Runs!N1858</f>
        <v>0</v>
      </c>
      <c r="P76" s="11" t="n">
        <f aca="false">Runs!N1869</f>
        <v>0</v>
      </c>
      <c r="Q76" s="16" t="n">
        <f aca="false">IF(COUNT(G76:P76)=0,"",AVERAGE(G76:P76))</f>
        <v>0</v>
      </c>
      <c r="R76" s="16" t="n">
        <f aca="false">IF(COUNT(G76:P76)&lt;2,"",STDEV(G76:P76))</f>
        <v>0</v>
      </c>
      <c r="S76" s="6" t="n">
        <f aca="false">COUNT(G76:P76)</f>
        <v>10</v>
      </c>
    </row>
    <row r="77" customFormat="false" ht="15" hidden="false" customHeight="false" outlineLevel="0" collapsed="false">
      <c r="A77" s="6" t="s">
        <v>56</v>
      </c>
      <c r="B77" s="6" t="s">
        <v>43</v>
      </c>
      <c r="C77" s="6" t="s">
        <v>51</v>
      </c>
      <c r="D77" s="6" t="s">
        <v>118</v>
      </c>
      <c r="E77" s="6" t="n">
        <v>16</v>
      </c>
      <c r="F77" s="6" t="s">
        <v>77</v>
      </c>
      <c r="G77" s="11" t="n">
        <f aca="false">Runs!N1771</f>
        <v>0.05</v>
      </c>
      <c r="H77" s="11" t="n">
        <f aca="false">Runs!N1782</f>
        <v>0.05</v>
      </c>
      <c r="I77" s="11" t="n">
        <f aca="false">Runs!N1793</f>
        <v>0.05</v>
      </c>
      <c r="J77" s="11" t="n">
        <f aca="false">Runs!N1804</f>
        <v>0.05</v>
      </c>
      <c r="K77" s="11" t="n">
        <f aca="false">Runs!N1815</f>
        <v>0.05</v>
      </c>
      <c r="L77" s="11" t="n">
        <f aca="false">Runs!N1826</f>
        <v>0.05</v>
      </c>
      <c r="M77" s="11" t="n">
        <f aca="false">Runs!N1837</f>
        <v>0.05</v>
      </c>
      <c r="N77" s="11" t="n">
        <f aca="false">Runs!N1848</f>
        <v>0.05</v>
      </c>
      <c r="O77" s="11" t="n">
        <f aca="false">Runs!N1859</f>
        <v>0.05</v>
      </c>
      <c r="P77" s="11" t="n">
        <f aca="false">Runs!N1870</f>
        <v>0.05</v>
      </c>
      <c r="Q77" s="16" t="n">
        <f aca="false">IF(COUNT(G77:P77)=0,"",AVERAGE(G77:P77))</f>
        <v>0.05</v>
      </c>
      <c r="R77" s="16" t="n">
        <f aca="false">IF(COUNT(G77:P77)&lt;2,"",STDEV(G77:P77))</f>
        <v>0</v>
      </c>
      <c r="S77" s="6" t="n">
        <f aca="false">COUNT(G77:P77)</f>
        <v>10</v>
      </c>
    </row>
    <row r="78" customFormat="false" ht="15" hidden="false" customHeight="false" outlineLevel="0" collapsed="false">
      <c r="A78" s="17" t="s">
        <v>56</v>
      </c>
      <c r="B78" s="17" t="s">
        <v>43</v>
      </c>
      <c r="C78" s="17" t="s">
        <v>51</v>
      </c>
      <c r="D78" s="17" t="s">
        <v>118</v>
      </c>
      <c r="E78" s="17" t="n">
        <v>16</v>
      </c>
      <c r="F78" s="17" t="s">
        <v>78</v>
      </c>
      <c r="G78" s="18" t="n">
        <f aca="false">Runs!N1772</f>
        <v>0.005</v>
      </c>
      <c r="H78" s="18" t="n">
        <f aca="false">Runs!N1783</f>
        <v>0.005</v>
      </c>
      <c r="I78" s="18" t="n">
        <f aca="false">Runs!N1794</f>
        <v>0.005</v>
      </c>
      <c r="J78" s="18" t="n">
        <f aca="false">Runs!N1805</f>
        <v>0.005</v>
      </c>
      <c r="K78" s="18" t="n">
        <f aca="false">Runs!N1816</f>
        <v>0.005</v>
      </c>
      <c r="L78" s="18" t="n">
        <f aca="false">Runs!N1827</f>
        <v>0.005</v>
      </c>
      <c r="M78" s="18" t="n">
        <f aca="false">Runs!N1838</f>
        <v>0.005</v>
      </c>
      <c r="N78" s="18" t="n">
        <f aca="false">Runs!N1849</f>
        <v>0.005</v>
      </c>
      <c r="O78" s="18" t="n">
        <f aca="false">Runs!N1860</f>
        <v>0.005</v>
      </c>
      <c r="P78" s="18" t="n">
        <f aca="false">Runs!N1871</f>
        <v>0.005</v>
      </c>
      <c r="Q78" s="19" t="n">
        <f aca="false">IF(COUNT(G78:P78)=0,"",AVERAGE(G78:P78))</f>
        <v>0.005</v>
      </c>
      <c r="R78" s="19" t="n">
        <f aca="false">IF(COUNT(G78:P78)&lt;2,"",STDEV(G78:P78))</f>
        <v>0</v>
      </c>
      <c r="S78" s="20" t="n">
        <f aca="false">COUNT(G78:P78)</f>
        <v>10</v>
      </c>
    </row>
    <row r="79" customFormat="false" ht="15" hidden="false" customHeight="false" outlineLevel="0" collapsed="false">
      <c r="A79" s="6" t="s">
        <v>58</v>
      </c>
      <c r="B79" s="6" t="s">
        <v>59</v>
      </c>
      <c r="C79" s="6" t="s">
        <v>44</v>
      </c>
      <c r="D79" s="6" t="s">
        <v>114</v>
      </c>
      <c r="E79" s="6" t="n">
        <v>4</v>
      </c>
      <c r="F79" s="6" t="s">
        <v>68</v>
      </c>
      <c r="G79" s="11" t="n">
        <f aca="false">Runs!N1872</f>
        <v>0</v>
      </c>
      <c r="H79" s="11" t="n">
        <f aca="false">Runs!N1883</f>
        <v>0</v>
      </c>
      <c r="I79" s="11" t="n">
        <f aca="false">Runs!N1894</f>
        <v>0</v>
      </c>
      <c r="J79" s="11" t="n">
        <f aca="false">Runs!N1905</f>
        <v>0</v>
      </c>
      <c r="K79" s="11" t="n">
        <f aca="false">Runs!N1916</f>
        <v>0</v>
      </c>
      <c r="L79" s="11" t="n">
        <f aca="false">Runs!N1927</f>
        <v>0</v>
      </c>
      <c r="M79" s="11" t="n">
        <f aca="false">Runs!N1938</f>
        <v>0</v>
      </c>
      <c r="N79" s="11" t="n">
        <f aca="false">Runs!N1949</f>
        <v>0</v>
      </c>
      <c r="O79" s="11" t="n">
        <f aca="false">Runs!N1960</f>
        <v>0</v>
      </c>
      <c r="P79" s="11" t="n">
        <f aca="false">Runs!N1971</f>
        <v>0</v>
      </c>
      <c r="Q79" s="16" t="n">
        <f aca="false">IF(COUNT(G79:P79)=0,"",AVERAGE(G79:P79))</f>
        <v>0</v>
      </c>
      <c r="R79" s="16" t="n">
        <f aca="false">IF(COUNT(G79:P79)&lt;2,"",STDEV(G79:P79))</f>
        <v>0</v>
      </c>
      <c r="S79" s="6" t="n">
        <f aca="false">COUNT(G79:P79)</f>
        <v>10</v>
      </c>
    </row>
    <row r="80" customFormat="false" ht="15" hidden="false" customHeight="false" outlineLevel="0" collapsed="false">
      <c r="A80" s="6" t="s">
        <v>58</v>
      </c>
      <c r="B80" s="6" t="s">
        <v>59</v>
      </c>
      <c r="C80" s="6" t="s">
        <v>44</v>
      </c>
      <c r="D80" s="6" t="s">
        <v>114</v>
      </c>
      <c r="E80" s="6" t="n">
        <v>4</v>
      </c>
      <c r="F80" s="6" t="s">
        <v>69</v>
      </c>
      <c r="G80" s="11" t="n">
        <f aca="false">Runs!N1873</f>
        <v>0</v>
      </c>
      <c r="H80" s="11" t="n">
        <f aca="false">Runs!N1884</f>
        <v>0</v>
      </c>
      <c r="I80" s="11" t="n">
        <f aca="false">Runs!N1895</f>
        <v>0</v>
      </c>
      <c r="J80" s="11" t="n">
        <f aca="false">Runs!N1906</f>
        <v>0</v>
      </c>
      <c r="K80" s="11" t="n">
        <f aca="false">Runs!N1917</f>
        <v>0</v>
      </c>
      <c r="L80" s="11" t="n">
        <f aca="false">Runs!N1928</f>
        <v>0</v>
      </c>
      <c r="M80" s="11" t="n">
        <f aca="false">Runs!N1939</f>
        <v>0</v>
      </c>
      <c r="N80" s="11" t="n">
        <f aca="false">Runs!N1950</f>
        <v>0</v>
      </c>
      <c r="O80" s="11" t="n">
        <f aca="false">Runs!N1961</f>
        <v>0</v>
      </c>
      <c r="P80" s="11" t="n">
        <f aca="false">Runs!N1972</f>
        <v>0</v>
      </c>
      <c r="Q80" s="16" t="n">
        <f aca="false">IF(COUNT(G80:P80)=0,"",AVERAGE(G80:P80))</f>
        <v>0</v>
      </c>
      <c r="R80" s="16" t="n">
        <f aca="false">IF(COUNT(G80:P80)&lt;2,"",STDEV(G80:P80))</f>
        <v>0</v>
      </c>
      <c r="S80" s="6" t="n">
        <f aca="false">COUNT(G80:P80)</f>
        <v>10</v>
      </c>
    </row>
    <row r="81" customFormat="false" ht="15" hidden="false" customHeight="false" outlineLevel="0" collapsed="false">
      <c r="A81" s="6" t="s">
        <v>58</v>
      </c>
      <c r="B81" s="6" t="s">
        <v>59</v>
      </c>
      <c r="C81" s="6" t="s">
        <v>44</v>
      </c>
      <c r="D81" s="6" t="s">
        <v>114</v>
      </c>
      <c r="E81" s="6" t="n">
        <v>4</v>
      </c>
      <c r="F81" s="6" t="s">
        <v>70</v>
      </c>
      <c r="G81" s="11" t="n">
        <f aca="false">Runs!N1874</f>
        <v>0</v>
      </c>
      <c r="H81" s="11" t="n">
        <f aca="false">Runs!N1885</f>
        <v>0.05</v>
      </c>
      <c r="I81" s="11" t="n">
        <f aca="false">Runs!N1896</f>
        <v>0</v>
      </c>
      <c r="J81" s="11" t="n">
        <f aca="false">Runs!N1907</f>
        <v>0</v>
      </c>
      <c r="K81" s="11" t="n">
        <f aca="false">Runs!N1918</f>
        <v>0</v>
      </c>
      <c r="L81" s="11" t="n">
        <f aca="false">Runs!N1929</f>
        <v>0</v>
      </c>
      <c r="M81" s="11" t="n">
        <f aca="false">Runs!N1940</f>
        <v>0</v>
      </c>
      <c r="N81" s="11" t="n">
        <f aca="false">Runs!N1951</f>
        <v>0</v>
      </c>
      <c r="O81" s="11" t="n">
        <f aca="false">Runs!N1962</f>
        <v>0</v>
      </c>
      <c r="P81" s="11" t="n">
        <f aca="false">Runs!N1973</f>
        <v>0</v>
      </c>
      <c r="Q81" s="16" t="n">
        <f aca="false">IF(COUNT(G81:P81)=0,"",AVERAGE(G81:P81))</f>
        <v>0.005</v>
      </c>
      <c r="R81" s="16" t="n">
        <f aca="false">IF(COUNT(G81:P81)&lt;2,"",STDEV(G81:P81))</f>
        <v>0.0158113883008419</v>
      </c>
      <c r="S81" s="6" t="n">
        <f aca="false">COUNT(G81:P81)</f>
        <v>10</v>
      </c>
    </row>
    <row r="82" customFormat="false" ht="15" hidden="false" customHeight="false" outlineLevel="0" collapsed="false">
      <c r="A82" s="6" t="s">
        <v>58</v>
      </c>
      <c r="B82" s="6" t="s">
        <v>59</v>
      </c>
      <c r="C82" s="6" t="s">
        <v>44</v>
      </c>
      <c r="D82" s="6" t="s">
        <v>114</v>
      </c>
      <c r="E82" s="6" t="n">
        <v>4</v>
      </c>
      <c r="F82" s="6" t="s">
        <v>71</v>
      </c>
      <c r="G82" s="11" t="n">
        <f aca="false">Runs!N1875</f>
        <v>0</v>
      </c>
      <c r="H82" s="11" t="n">
        <f aca="false">Runs!N1886</f>
        <v>0</v>
      </c>
      <c r="I82" s="11" t="n">
        <f aca="false">Runs!N1897</f>
        <v>0</v>
      </c>
      <c r="J82" s="11" t="n">
        <f aca="false">Runs!N1908</f>
        <v>0</v>
      </c>
      <c r="K82" s="11" t="n">
        <f aca="false">Runs!N1919</f>
        <v>0</v>
      </c>
      <c r="L82" s="11" t="n">
        <f aca="false">Runs!N1930</f>
        <v>0</v>
      </c>
      <c r="M82" s="11" t="n">
        <f aca="false">Runs!N1941</f>
        <v>0</v>
      </c>
      <c r="N82" s="11" t="n">
        <f aca="false">Runs!N1952</f>
        <v>0</v>
      </c>
      <c r="O82" s="11" t="n">
        <f aca="false">Runs!N1963</f>
        <v>0</v>
      </c>
      <c r="P82" s="11" t="n">
        <f aca="false">Runs!N1974</f>
        <v>0</v>
      </c>
      <c r="Q82" s="16" t="n">
        <f aca="false">IF(COUNT(G82:P82)=0,"",AVERAGE(G82:P82))</f>
        <v>0</v>
      </c>
      <c r="R82" s="16" t="n">
        <f aca="false">IF(COUNT(G82:P82)&lt;2,"",STDEV(G82:P82))</f>
        <v>0</v>
      </c>
      <c r="S82" s="6" t="n">
        <f aca="false">COUNT(G82:P82)</f>
        <v>10</v>
      </c>
    </row>
    <row r="83" customFormat="false" ht="15" hidden="false" customHeight="false" outlineLevel="0" collapsed="false">
      <c r="A83" s="6" t="s">
        <v>58</v>
      </c>
      <c r="B83" s="6" t="s">
        <v>59</v>
      </c>
      <c r="C83" s="6" t="s">
        <v>44</v>
      </c>
      <c r="D83" s="6" t="s">
        <v>114</v>
      </c>
      <c r="E83" s="6" t="n">
        <v>4</v>
      </c>
      <c r="F83" s="6" t="s">
        <v>72</v>
      </c>
      <c r="G83" s="11" t="n">
        <f aca="false">Runs!N1876</f>
        <v>0</v>
      </c>
      <c r="H83" s="11" t="n">
        <f aca="false">Runs!N1887</f>
        <v>0</v>
      </c>
      <c r="I83" s="11" t="n">
        <f aca="false">Runs!N1898</f>
        <v>0</v>
      </c>
      <c r="J83" s="11" t="n">
        <f aca="false">Runs!N1909</f>
        <v>0</v>
      </c>
      <c r="K83" s="11" t="n">
        <f aca="false">Runs!N1920</f>
        <v>0</v>
      </c>
      <c r="L83" s="11" t="n">
        <f aca="false">Runs!N1931</f>
        <v>0</v>
      </c>
      <c r="M83" s="11" t="n">
        <f aca="false">Runs!N1942</f>
        <v>0</v>
      </c>
      <c r="N83" s="11" t="n">
        <f aca="false">Runs!N1953</f>
        <v>0</v>
      </c>
      <c r="O83" s="11" t="n">
        <f aca="false">Runs!N1964</f>
        <v>0</v>
      </c>
      <c r="P83" s="11" t="n">
        <f aca="false">Runs!N1975</f>
        <v>0</v>
      </c>
      <c r="Q83" s="16" t="n">
        <f aca="false">IF(COUNT(G83:P83)=0,"",AVERAGE(G83:P83))</f>
        <v>0</v>
      </c>
      <c r="R83" s="16" t="n">
        <f aca="false">IF(COUNT(G83:P83)&lt;2,"",STDEV(G83:P83))</f>
        <v>0</v>
      </c>
      <c r="S83" s="6" t="n">
        <f aca="false">COUNT(G83:P83)</f>
        <v>10</v>
      </c>
    </row>
    <row r="84" customFormat="false" ht="15" hidden="false" customHeight="false" outlineLevel="0" collapsed="false">
      <c r="A84" s="6" t="s">
        <v>58</v>
      </c>
      <c r="B84" s="6" t="s">
        <v>59</v>
      </c>
      <c r="C84" s="6" t="s">
        <v>44</v>
      </c>
      <c r="D84" s="6" t="s">
        <v>114</v>
      </c>
      <c r="E84" s="6" t="n">
        <v>4</v>
      </c>
      <c r="F84" s="6" t="s">
        <v>73</v>
      </c>
      <c r="G84" s="11" t="n">
        <f aca="false">Runs!N1877</f>
        <v>0</v>
      </c>
      <c r="H84" s="11" t="n">
        <f aca="false">Runs!N1888</f>
        <v>0</v>
      </c>
      <c r="I84" s="11" t="n">
        <f aca="false">Runs!N1899</f>
        <v>0</v>
      </c>
      <c r="J84" s="11" t="n">
        <f aca="false">Runs!N1910</f>
        <v>0</v>
      </c>
      <c r="K84" s="11" t="n">
        <f aca="false">Runs!N1921</f>
        <v>0</v>
      </c>
      <c r="L84" s="11" t="n">
        <f aca="false">Runs!N1932</f>
        <v>0</v>
      </c>
      <c r="M84" s="11" t="n">
        <f aca="false">Runs!N1943</f>
        <v>0</v>
      </c>
      <c r="N84" s="11" t="n">
        <f aca="false">Runs!N1954</f>
        <v>0</v>
      </c>
      <c r="O84" s="11" t="n">
        <f aca="false">Runs!N1965</f>
        <v>0.05</v>
      </c>
      <c r="P84" s="11" t="n">
        <f aca="false">Runs!N1976</f>
        <v>0</v>
      </c>
      <c r="Q84" s="16" t="n">
        <f aca="false">IF(COUNT(G84:P84)=0,"",AVERAGE(G84:P84))</f>
        <v>0.005</v>
      </c>
      <c r="R84" s="16" t="n">
        <f aca="false">IF(COUNT(G84:P84)&lt;2,"",STDEV(G84:P84))</f>
        <v>0.0158113883008419</v>
      </c>
      <c r="S84" s="6" t="n">
        <f aca="false">COUNT(G84:P84)</f>
        <v>10</v>
      </c>
    </row>
    <row r="85" customFormat="false" ht="15" hidden="false" customHeight="false" outlineLevel="0" collapsed="false">
      <c r="A85" s="6" t="s">
        <v>58</v>
      </c>
      <c r="B85" s="6" t="s">
        <v>59</v>
      </c>
      <c r="C85" s="6" t="s">
        <v>44</v>
      </c>
      <c r="D85" s="6" t="s">
        <v>114</v>
      </c>
      <c r="E85" s="6" t="n">
        <v>4</v>
      </c>
      <c r="F85" s="6" t="s">
        <v>74</v>
      </c>
      <c r="G85" s="11" t="n">
        <f aca="false">Runs!N1878</f>
        <v>0</v>
      </c>
      <c r="H85" s="11" t="n">
        <f aca="false">Runs!N1889</f>
        <v>0</v>
      </c>
      <c r="I85" s="11" t="n">
        <f aca="false">Runs!N1900</f>
        <v>0</v>
      </c>
      <c r="J85" s="11" t="n">
        <f aca="false">Runs!N1911</f>
        <v>0</v>
      </c>
      <c r="K85" s="11" t="n">
        <f aca="false">Runs!N1922</f>
        <v>0</v>
      </c>
      <c r="L85" s="11" t="n">
        <f aca="false">Runs!N1933</f>
        <v>0</v>
      </c>
      <c r="M85" s="11" t="n">
        <f aca="false">Runs!N1944</f>
        <v>0</v>
      </c>
      <c r="N85" s="11" t="n">
        <f aca="false">Runs!N1955</f>
        <v>0</v>
      </c>
      <c r="O85" s="11" t="n">
        <f aca="false">Runs!N1966</f>
        <v>0.05</v>
      </c>
      <c r="P85" s="11" t="n">
        <f aca="false">Runs!N1977</f>
        <v>0</v>
      </c>
      <c r="Q85" s="16" t="n">
        <f aca="false">IF(COUNT(G85:P85)=0,"",AVERAGE(G85:P85))</f>
        <v>0.005</v>
      </c>
      <c r="R85" s="16" t="n">
        <f aca="false">IF(COUNT(G85:P85)&lt;2,"",STDEV(G85:P85))</f>
        <v>0.0158113883008419</v>
      </c>
      <c r="S85" s="6" t="n">
        <f aca="false">COUNT(G85:P85)</f>
        <v>10</v>
      </c>
    </row>
    <row r="86" customFormat="false" ht="15" hidden="false" customHeight="false" outlineLevel="0" collapsed="false">
      <c r="A86" s="6" t="s">
        <v>58</v>
      </c>
      <c r="B86" s="6" t="s">
        <v>59</v>
      </c>
      <c r="C86" s="6" t="s">
        <v>44</v>
      </c>
      <c r="D86" s="6" t="s">
        <v>114</v>
      </c>
      <c r="E86" s="6" t="n">
        <v>4</v>
      </c>
      <c r="F86" s="6" t="s">
        <v>75</v>
      </c>
      <c r="G86" s="11" t="n">
        <f aca="false">Runs!N1879</f>
        <v>0</v>
      </c>
      <c r="H86" s="11" t="n">
        <f aca="false">Runs!N1890</f>
        <v>0</v>
      </c>
      <c r="I86" s="11" t="n">
        <f aca="false">Runs!N1901</f>
        <v>0</v>
      </c>
      <c r="J86" s="11" t="n">
        <f aca="false">Runs!N1912</f>
        <v>0</v>
      </c>
      <c r="K86" s="11" t="n">
        <f aca="false">Runs!N1923</f>
        <v>0</v>
      </c>
      <c r="L86" s="11" t="n">
        <f aca="false">Runs!N1934</f>
        <v>0</v>
      </c>
      <c r="M86" s="11" t="n">
        <f aca="false">Runs!N1945</f>
        <v>0</v>
      </c>
      <c r="N86" s="11" t="n">
        <f aca="false">Runs!N1956</f>
        <v>0</v>
      </c>
      <c r="O86" s="11" t="n">
        <f aca="false">Runs!N1967</f>
        <v>0</v>
      </c>
      <c r="P86" s="11" t="n">
        <f aca="false">Runs!N1978</f>
        <v>0</v>
      </c>
      <c r="Q86" s="16" t="n">
        <f aca="false">IF(COUNT(G86:P86)=0,"",AVERAGE(G86:P86))</f>
        <v>0</v>
      </c>
      <c r="R86" s="16" t="n">
        <f aca="false">IF(COUNT(G86:P86)&lt;2,"",STDEV(G86:P86))</f>
        <v>0</v>
      </c>
      <c r="S86" s="6" t="n">
        <f aca="false">COUNT(G86:P86)</f>
        <v>10</v>
      </c>
    </row>
    <row r="87" customFormat="false" ht="15" hidden="false" customHeight="false" outlineLevel="0" collapsed="false">
      <c r="A87" s="6" t="s">
        <v>58</v>
      </c>
      <c r="B87" s="6" t="s">
        <v>59</v>
      </c>
      <c r="C87" s="6" t="s">
        <v>44</v>
      </c>
      <c r="D87" s="6" t="s">
        <v>114</v>
      </c>
      <c r="E87" s="6" t="n">
        <v>4</v>
      </c>
      <c r="F87" s="6" t="s">
        <v>76</v>
      </c>
      <c r="G87" s="11" t="n">
        <f aca="false">Runs!N1880</f>
        <v>0</v>
      </c>
      <c r="H87" s="11" t="n">
        <f aca="false">Runs!N1891</f>
        <v>0</v>
      </c>
      <c r="I87" s="11" t="n">
        <f aca="false">Runs!N1902</f>
        <v>0</v>
      </c>
      <c r="J87" s="11" t="n">
        <f aca="false">Runs!N1913</f>
        <v>0</v>
      </c>
      <c r="K87" s="11" t="n">
        <f aca="false">Runs!N1924</f>
        <v>0</v>
      </c>
      <c r="L87" s="11" t="n">
        <f aca="false">Runs!N1935</f>
        <v>0</v>
      </c>
      <c r="M87" s="11" t="n">
        <f aca="false">Runs!N1946</f>
        <v>0</v>
      </c>
      <c r="N87" s="11" t="n">
        <f aca="false">Runs!N1957</f>
        <v>0</v>
      </c>
      <c r="O87" s="11" t="n">
        <f aca="false">Runs!N1968</f>
        <v>0</v>
      </c>
      <c r="P87" s="11" t="n">
        <f aca="false">Runs!N1979</f>
        <v>0</v>
      </c>
      <c r="Q87" s="16" t="n">
        <f aca="false">IF(COUNT(G87:P87)=0,"",AVERAGE(G87:P87))</f>
        <v>0</v>
      </c>
      <c r="R87" s="16" t="n">
        <f aca="false">IF(COUNT(G87:P87)&lt;2,"",STDEV(G87:P87))</f>
        <v>0</v>
      </c>
      <c r="S87" s="6" t="n">
        <f aca="false">COUNT(G87:P87)</f>
        <v>10</v>
      </c>
    </row>
    <row r="88" customFormat="false" ht="15" hidden="false" customHeight="false" outlineLevel="0" collapsed="false">
      <c r="A88" s="6" t="s">
        <v>58</v>
      </c>
      <c r="B88" s="6" t="s">
        <v>59</v>
      </c>
      <c r="C88" s="6" t="s">
        <v>44</v>
      </c>
      <c r="D88" s="6" t="s">
        <v>114</v>
      </c>
      <c r="E88" s="6" t="n">
        <v>4</v>
      </c>
      <c r="F88" s="6" t="s">
        <v>77</v>
      </c>
      <c r="G88" s="11" t="n">
        <f aca="false">Runs!N1881</f>
        <v>0.05</v>
      </c>
      <c r="H88" s="11" t="n">
        <f aca="false">Runs!N1892</f>
        <v>0.05</v>
      </c>
      <c r="I88" s="11" t="n">
        <f aca="false">Runs!N1903</f>
        <v>0.05</v>
      </c>
      <c r="J88" s="11" t="n">
        <f aca="false">Runs!N1914</f>
        <v>0</v>
      </c>
      <c r="K88" s="11" t="n">
        <f aca="false">Runs!N1925</f>
        <v>0.05</v>
      </c>
      <c r="L88" s="11" t="n">
        <f aca="false">Runs!N1936</f>
        <v>0.05</v>
      </c>
      <c r="M88" s="11" t="n">
        <f aca="false">Runs!N1947</f>
        <v>0.05</v>
      </c>
      <c r="N88" s="11" t="n">
        <f aca="false">Runs!N1958</f>
        <v>0.05</v>
      </c>
      <c r="O88" s="11" t="n">
        <f aca="false">Runs!N1969</f>
        <v>0</v>
      </c>
      <c r="P88" s="11" t="n">
        <f aca="false">Runs!N1980</f>
        <v>0.05</v>
      </c>
      <c r="Q88" s="16" t="n">
        <f aca="false">IF(COUNT(G88:P88)=0,"",AVERAGE(G88:P88))</f>
        <v>0.04</v>
      </c>
      <c r="R88" s="16" t="n">
        <f aca="false">IF(COUNT(G88:P88)&lt;2,"",STDEV(G88:P88))</f>
        <v>0.0210818510677892</v>
      </c>
      <c r="S88" s="6" t="n">
        <f aca="false">COUNT(G88:P88)</f>
        <v>10</v>
      </c>
    </row>
    <row r="89" customFormat="false" ht="15" hidden="false" customHeight="false" outlineLevel="0" collapsed="false">
      <c r="A89" s="17" t="s">
        <v>58</v>
      </c>
      <c r="B89" s="17" t="s">
        <v>59</v>
      </c>
      <c r="C89" s="17" t="s">
        <v>44</v>
      </c>
      <c r="D89" s="17" t="s">
        <v>114</v>
      </c>
      <c r="E89" s="17" t="n">
        <v>4</v>
      </c>
      <c r="F89" s="17" t="s">
        <v>78</v>
      </c>
      <c r="G89" s="18" t="n">
        <f aca="false">Runs!N1882</f>
        <v>0.005</v>
      </c>
      <c r="H89" s="18" t="n">
        <f aca="false">Runs!N1893</f>
        <v>0.01</v>
      </c>
      <c r="I89" s="18" t="n">
        <f aca="false">Runs!N1904</f>
        <v>0.005</v>
      </c>
      <c r="J89" s="18" t="n">
        <f aca="false">Runs!N1915</f>
        <v>0</v>
      </c>
      <c r="K89" s="18" t="n">
        <f aca="false">Runs!N1926</f>
        <v>0.005</v>
      </c>
      <c r="L89" s="18" t="n">
        <f aca="false">Runs!N1937</f>
        <v>0.005</v>
      </c>
      <c r="M89" s="18" t="n">
        <f aca="false">Runs!N1948</f>
        <v>0.005</v>
      </c>
      <c r="N89" s="18" t="n">
        <f aca="false">Runs!N1959</f>
        <v>0.005</v>
      </c>
      <c r="O89" s="18" t="n">
        <f aca="false">Runs!N1970</f>
        <v>0.01</v>
      </c>
      <c r="P89" s="18" t="n">
        <f aca="false">Runs!N1981</f>
        <v>0.005</v>
      </c>
      <c r="Q89" s="19" t="n">
        <f aca="false">IF(COUNT(G89:P89)=0,"",AVERAGE(G89:P89))</f>
        <v>0.0055</v>
      </c>
      <c r="R89" s="19" t="n">
        <f aca="false">IF(COUNT(G89:P89)&lt;2,"",STDEV(G89:P89))</f>
        <v>0.00283823106098773</v>
      </c>
      <c r="S89" s="20" t="n">
        <f aca="false">COUNT(G89:P89)</f>
        <v>10</v>
      </c>
    </row>
    <row r="90" customFormat="false" ht="15" hidden="false" customHeight="false" outlineLevel="0" collapsed="false">
      <c r="A90" s="6" t="s">
        <v>60</v>
      </c>
      <c r="B90" s="6" t="s">
        <v>59</v>
      </c>
      <c r="C90" s="6" t="s">
        <v>51</v>
      </c>
      <c r="D90" s="6" t="s">
        <v>119</v>
      </c>
      <c r="E90" s="6" t="n">
        <v>16</v>
      </c>
      <c r="F90" s="6" t="s">
        <v>68</v>
      </c>
      <c r="G90" s="11" t="n">
        <f aca="false">Runs!N1982</f>
        <v>0</v>
      </c>
      <c r="H90" s="11" t="n">
        <f aca="false">Runs!N1993</f>
        <v>0</v>
      </c>
      <c r="I90" s="11" t="n">
        <f aca="false">Runs!N2004</f>
        <v>0</v>
      </c>
      <c r="J90" s="11" t="n">
        <f aca="false">Runs!N2015</f>
        <v>0</v>
      </c>
      <c r="K90" s="11" t="n">
        <f aca="false">Runs!N2026</f>
        <v>0</v>
      </c>
      <c r="L90" s="11" t="n">
        <f aca="false">Runs!N2037</f>
        <v>0</v>
      </c>
      <c r="M90" s="11" t="n">
        <f aca="false">Runs!N2048</f>
        <v>0</v>
      </c>
      <c r="N90" s="11" t="n">
        <f aca="false">Runs!N2059</f>
        <v>0</v>
      </c>
      <c r="O90" s="11" t="n">
        <f aca="false">Runs!N2070</f>
        <v>0</v>
      </c>
      <c r="P90" s="11" t="n">
        <f aca="false">Runs!N2081</f>
        <v>0</v>
      </c>
      <c r="Q90" s="16" t="n">
        <f aca="false">IF(COUNT(G90:P90)=0,"",AVERAGE(G90:P90))</f>
        <v>0</v>
      </c>
      <c r="R90" s="16" t="n">
        <f aca="false">IF(COUNT(G90:P90)&lt;2,"",STDEV(G90:P90))</f>
        <v>0</v>
      </c>
      <c r="S90" s="6" t="n">
        <f aca="false">COUNT(G90:P90)</f>
        <v>10</v>
      </c>
    </row>
    <row r="91" customFormat="false" ht="15" hidden="false" customHeight="false" outlineLevel="0" collapsed="false">
      <c r="A91" s="6" t="s">
        <v>60</v>
      </c>
      <c r="B91" s="6" t="s">
        <v>59</v>
      </c>
      <c r="C91" s="6" t="s">
        <v>51</v>
      </c>
      <c r="D91" s="6" t="s">
        <v>119</v>
      </c>
      <c r="E91" s="6" t="n">
        <v>16</v>
      </c>
      <c r="F91" s="6" t="s">
        <v>69</v>
      </c>
      <c r="G91" s="11" t="n">
        <f aca="false">Runs!N1983</f>
        <v>0</v>
      </c>
      <c r="H91" s="11" t="n">
        <f aca="false">Runs!N1994</f>
        <v>0</v>
      </c>
      <c r="I91" s="11" t="n">
        <f aca="false">Runs!N2005</f>
        <v>0</v>
      </c>
      <c r="J91" s="11" t="n">
        <f aca="false">Runs!N2016</f>
        <v>0</v>
      </c>
      <c r="K91" s="11" t="n">
        <f aca="false">Runs!N2027</f>
        <v>0</v>
      </c>
      <c r="L91" s="11" t="n">
        <f aca="false">Runs!N2038</f>
        <v>0</v>
      </c>
      <c r="M91" s="11" t="n">
        <f aca="false">Runs!N2049</f>
        <v>0</v>
      </c>
      <c r="N91" s="11" t="n">
        <f aca="false">Runs!N2060</f>
        <v>0</v>
      </c>
      <c r="O91" s="11" t="n">
        <f aca="false">Runs!N2071</f>
        <v>0</v>
      </c>
      <c r="P91" s="11" t="n">
        <f aca="false">Runs!N2082</f>
        <v>0</v>
      </c>
      <c r="Q91" s="16" t="n">
        <f aca="false">IF(COUNT(G91:P91)=0,"",AVERAGE(G91:P91))</f>
        <v>0</v>
      </c>
      <c r="R91" s="16" t="n">
        <f aca="false">IF(COUNT(G91:P91)&lt;2,"",STDEV(G91:P91))</f>
        <v>0</v>
      </c>
      <c r="S91" s="6" t="n">
        <f aca="false">COUNT(G91:P91)</f>
        <v>10</v>
      </c>
    </row>
    <row r="92" customFormat="false" ht="15" hidden="false" customHeight="false" outlineLevel="0" collapsed="false">
      <c r="A92" s="6" t="s">
        <v>60</v>
      </c>
      <c r="B92" s="6" t="s">
        <v>59</v>
      </c>
      <c r="C92" s="6" t="s">
        <v>51</v>
      </c>
      <c r="D92" s="6" t="s">
        <v>119</v>
      </c>
      <c r="E92" s="6" t="n">
        <v>16</v>
      </c>
      <c r="F92" s="6" t="s">
        <v>70</v>
      </c>
      <c r="G92" s="11" t="n">
        <f aca="false">Runs!N1984</f>
        <v>0</v>
      </c>
      <c r="H92" s="11" t="n">
        <f aca="false">Runs!N1995</f>
        <v>0</v>
      </c>
      <c r="I92" s="11" t="n">
        <f aca="false">Runs!N2006</f>
        <v>0</v>
      </c>
      <c r="J92" s="11" t="n">
        <f aca="false">Runs!N2017</f>
        <v>0</v>
      </c>
      <c r="K92" s="11" t="n">
        <f aca="false">Runs!N2028</f>
        <v>0</v>
      </c>
      <c r="L92" s="11" t="n">
        <f aca="false">Runs!N2039</f>
        <v>0</v>
      </c>
      <c r="M92" s="11" t="n">
        <f aca="false">Runs!N2050</f>
        <v>0</v>
      </c>
      <c r="N92" s="11" t="n">
        <f aca="false">Runs!N2061</f>
        <v>0</v>
      </c>
      <c r="O92" s="11" t="n">
        <f aca="false">Runs!N2072</f>
        <v>0</v>
      </c>
      <c r="P92" s="11" t="n">
        <f aca="false">Runs!N2083</f>
        <v>0</v>
      </c>
      <c r="Q92" s="16" t="n">
        <f aca="false">IF(COUNT(G92:P92)=0,"",AVERAGE(G92:P92))</f>
        <v>0</v>
      </c>
      <c r="R92" s="16" t="n">
        <f aca="false">IF(COUNT(G92:P92)&lt;2,"",STDEV(G92:P92))</f>
        <v>0</v>
      </c>
      <c r="S92" s="6" t="n">
        <f aca="false">COUNT(G92:P92)</f>
        <v>10</v>
      </c>
    </row>
    <row r="93" customFormat="false" ht="15" hidden="false" customHeight="false" outlineLevel="0" collapsed="false">
      <c r="A93" s="6" t="s">
        <v>60</v>
      </c>
      <c r="B93" s="6" t="s">
        <v>59</v>
      </c>
      <c r="C93" s="6" t="s">
        <v>51</v>
      </c>
      <c r="D93" s="6" t="s">
        <v>119</v>
      </c>
      <c r="E93" s="6" t="n">
        <v>16</v>
      </c>
      <c r="F93" s="6" t="s">
        <v>71</v>
      </c>
      <c r="G93" s="11" t="n">
        <f aca="false">Runs!N1985</f>
        <v>0.1</v>
      </c>
      <c r="H93" s="11" t="n">
        <f aca="false">Runs!N1996</f>
        <v>0</v>
      </c>
      <c r="I93" s="11" t="n">
        <f aca="false">Runs!N2007</f>
        <v>0</v>
      </c>
      <c r="J93" s="11" t="n">
        <f aca="false">Runs!N2018</f>
        <v>0</v>
      </c>
      <c r="K93" s="11" t="n">
        <f aca="false">Runs!N2029</f>
        <v>0</v>
      </c>
      <c r="L93" s="11" t="n">
        <f aca="false">Runs!N2040</f>
        <v>0</v>
      </c>
      <c r="M93" s="11" t="n">
        <f aca="false">Runs!N2051</f>
        <v>0</v>
      </c>
      <c r="N93" s="11" t="n">
        <f aca="false">Runs!N2062</f>
        <v>0</v>
      </c>
      <c r="O93" s="11" t="n">
        <f aca="false">Runs!N2073</f>
        <v>0</v>
      </c>
      <c r="P93" s="11" t="n">
        <f aca="false">Runs!N2084</f>
        <v>0</v>
      </c>
      <c r="Q93" s="16" t="n">
        <f aca="false">IF(COUNT(G93:P93)=0,"",AVERAGE(G93:P93))</f>
        <v>0.01</v>
      </c>
      <c r="R93" s="16" t="n">
        <f aca="false">IF(COUNT(G93:P93)&lt;2,"",STDEV(G93:P93))</f>
        <v>0.0316227766016838</v>
      </c>
      <c r="S93" s="6" t="n">
        <f aca="false">COUNT(G93:P93)</f>
        <v>10</v>
      </c>
    </row>
    <row r="94" customFormat="false" ht="15" hidden="false" customHeight="false" outlineLevel="0" collapsed="false">
      <c r="A94" s="6" t="s">
        <v>60</v>
      </c>
      <c r="B94" s="6" t="s">
        <v>59</v>
      </c>
      <c r="C94" s="6" t="s">
        <v>51</v>
      </c>
      <c r="D94" s="6" t="s">
        <v>119</v>
      </c>
      <c r="E94" s="6" t="n">
        <v>16</v>
      </c>
      <c r="F94" s="6" t="s">
        <v>72</v>
      </c>
      <c r="G94" s="11" t="n">
        <f aca="false">Runs!N1986</f>
        <v>0.05</v>
      </c>
      <c r="H94" s="11" t="n">
        <f aca="false">Runs!N1997</f>
        <v>0</v>
      </c>
      <c r="I94" s="11" t="n">
        <f aca="false">Runs!N2008</f>
        <v>0</v>
      </c>
      <c r="J94" s="11" t="n">
        <f aca="false">Runs!N2019</f>
        <v>0</v>
      </c>
      <c r="K94" s="11" t="n">
        <f aca="false">Runs!N2030</f>
        <v>0</v>
      </c>
      <c r="L94" s="11" t="n">
        <f aca="false">Runs!N2041</f>
        <v>0</v>
      </c>
      <c r="M94" s="11" t="n">
        <f aca="false">Runs!N2052</f>
        <v>0</v>
      </c>
      <c r="N94" s="11" t="n">
        <f aca="false">Runs!N2063</f>
        <v>0</v>
      </c>
      <c r="O94" s="11" t="n">
        <f aca="false">Runs!N2074</f>
        <v>0</v>
      </c>
      <c r="P94" s="11" t="n">
        <f aca="false">Runs!N2085</f>
        <v>0</v>
      </c>
      <c r="Q94" s="16" t="n">
        <f aca="false">IF(COUNT(G94:P94)=0,"",AVERAGE(G94:P94))</f>
        <v>0.005</v>
      </c>
      <c r="R94" s="16" t="n">
        <f aca="false">IF(COUNT(G94:P94)&lt;2,"",STDEV(G94:P94))</f>
        <v>0.0158113883008419</v>
      </c>
      <c r="S94" s="6" t="n">
        <f aca="false">COUNT(G94:P94)</f>
        <v>10</v>
      </c>
    </row>
    <row r="95" customFormat="false" ht="15" hidden="false" customHeight="false" outlineLevel="0" collapsed="false">
      <c r="A95" s="6" t="s">
        <v>60</v>
      </c>
      <c r="B95" s="6" t="s">
        <v>59</v>
      </c>
      <c r="C95" s="6" t="s">
        <v>51</v>
      </c>
      <c r="D95" s="6" t="s">
        <v>119</v>
      </c>
      <c r="E95" s="6" t="n">
        <v>16</v>
      </c>
      <c r="F95" s="6" t="s">
        <v>73</v>
      </c>
      <c r="G95" s="11" t="n">
        <f aca="false">Runs!N1987</f>
        <v>0</v>
      </c>
      <c r="H95" s="11" t="n">
        <f aca="false">Runs!N1998</f>
        <v>0</v>
      </c>
      <c r="I95" s="11" t="n">
        <f aca="false">Runs!N2009</f>
        <v>0</v>
      </c>
      <c r="J95" s="11" t="n">
        <f aca="false">Runs!N2020</f>
        <v>0</v>
      </c>
      <c r="K95" s="11" t="n">
        <f aca="false">Runs!N2031</f>
        <v>0</v>
      </c>
      <c r="L95" s="11" t="n">
        <f aca="false">Runs!N2042</f>
        <v>0</v>
      </c>
      <c r="M95" s="11" t="n">
        <f aca="false">Runs!N2053</f>
        <v>0</v>
      </c>
      <c r="N95" s="11" t="n">
        <f aca="false">Runs!N2064</f>
        <v>0</v>
      </c>
      <c r="O95" s="11" t="n">
        <f aca="false">Runs!N2075</f>
        <v>0</v>
      </c>
      <c r="P95" s="11" t="n">
        <f aca="false">Runs!N2086</f>
        <v>0</v>
      </c>
      <c r="Q95" s="16" t="n">
        <f aca="false">IF(COUNT(G95:P95)=0,"",AVERAGE(G95:P95))</f>
        <v>0</v>
      </c>
      <c r="R95" s="16" t="n">
        <f aca="false">IF(COUNT(G95:P95)&lt;2,"",STDEV(G95:P95))</f>
        <v>0</v>
      </c>
      <c r="S95" s="6" t="n">
        <f aca="false">COUNT(G95:P95)</f>
        <v>10</v>
      </c>
    </row>
    <row r="96" customFormat="false" ht="15" hidden="false" customHeight="false" outlineLevel="0" collapsed="false">
      <c r="A96" s="6" t="s">
        <v>60</v>
      </c>
      <c r="B96" s="6" t="s">
        <v>59</v>
      </c>
      <c r="C96" s="6" t="s">
        <v>51</v>
      </c>
      <c r="D96" s="6" t="s">
        <v>119</v>
      </c>
      <c r="E96" s="6" t="n">
        <v>16</v>
      </c>
      <c r="F96" s="6" t="s">
        <v>74</v>
      </c>
      <c r="G96" s="11" t="n">
        <f aca="false">Runs!N1988</f>
        <v>0</v>
      </c>
      <c r="H96" s="11" t="n">
        <f aca="false">Runs!N1999</f>
        <v>0</v>
      </c>
      <c r="I96" s="11" t="n">
        <f aca="false">Runs!N2010</f>
        <v>0</v>
      </c>
      <c r="J96" s="11" t="n">
        <f aca="false">Runs!N2021</f>
        <v>0</v>
      </c>
      <c r="K96" s="11" t="n">
        <f aca="false">Runs!N2032</f>
        <v>0</v>
      </c>
      <c r="L96" s="11" t="n">
        <f aca="false">Runs!N2043</f>
        <v>0</v>
      </c>
      <c r="M96" s="11" t="n">
        <f aca="false">Runs!N2054</f>
        <v>0</v>
      </c>
      <c r="N96" s="11" t="n">
        <f aca="false">Runs!N2065</f>
        <v>0</v>
      </c>
      <c r="O96" s="11" t="n">
        <f aca="false">Runs!N2076</f>
        <v>0</v>
      </c>
      <c r="P96" s="11" t="n">
        <f aca="false">Runs!N2087</f>
        <v>0</v>
      </c>
      <c r="Q96" s="16" t="n">
        <f aca="false">IF(COUNT(G96:P96)=0,"",AVERAGE(G96:P96))</f>
        <v>0</v>
      </c>
      <c r="R96" s="16" t="n">
        <f aca="false">IF(COUNT(G96:P96)&lt;2,"",STDEV(G96:P96))</f>
        <v>0</v>
      </c>
      <c r="S96" s="6" t="n">
        <f aca="false">COUNT(G96:P96)</f>
        <v>10</v>
      </c>
    </row>
    <row r="97" customFormat="false" ht="15" hidden="false" customHeight="false" outlineLevel="0" collapsed="false">
      <c r="A97" s="6" t="s">
        <v>60</v>
      </c>
      <c r="B97" s="6" t="s">
        <v>59</v>
      </c>
      <c r="C97" s="6" t="s">
        <v>51</v>
      </c>
      <c r="D97" s="6" t="s">
        <v>119</v>
      </c>
      <c r="E97" s="6" t="n">
        <v>16</v>
      </c>
      <c r="F97" s="6" t="s">
        <v>75</v>
      </c>
      <c r="G97" s="11" t="n">
        <f aca="false">Runs!N1989</f>
        <v>0.05</v>
      </c>
      <c r="H97" s="11" t="n">
        <f aca="false">Runs!N2000</f>
        <v>0</v>
      </c>
      <c r="I97" s="11" t="n">
        <f aca="false">Runs!N2011</f>
        <v>0</v>
      </c>
      <c r="J97" s="11" t="n">
        <f aca="false">Runs!N2022</f>
        <v>0</v>
      </c>
      <c r="K97" s="11" t="n">
        <f aca="false">Runs!N2033</f>
        <v>0</v>
      </c>
      <c r="L97" s="11" t="n">
        <f aca="false">Runs!N2044</f>
        <v>0</v>
      </c>
      <c r="M97" s="11" t="n">
        <f aca="false">Runs!N2055</f>
        <v>0</v>
      </c>
      <c r="N97" s="11" t="n">
        <f aca="false">Runs!N2066</f>
        <v>0</v>
      </c>
      <c r="O97" s="11" t="n">
        <f aca="false">Runs!N2077</f>
        <v>0</v>
      </c>
      <c r="P97" s="11" t="n">
        <f aca="false">Runs!N2088</f>
        <v>0</v>
      </c>
      <c r="Q97" s="16" t="n">
        <f aca="false">IF(COUNT(G97:P97)=0,"",AVERAGE(G97:P97))</f>
        <v>0.005</v>
      </c>
      <c r="R97" s="16" t="n">
        <f aca="false">IF(COUNT(G97:P97)&lt;2,"",STDEV(G97:P97))</f>
        <v>0.0158113883008419</v>
      </c>
      <c r="S97" s="6" t="n">
        <f aca="false">COUNT(G97:P97)</f>
        <v>10</v>
      </c>
    </row>
    <row r="98" customFormat="false" ht="15" hidden="false" customHeight="false" outlineLevel="0" collapsed="false">
      <c r="A98" s="6" t="s">
        <v>60</v>
      </c>
      <c r="B98" s="6" t="s">
        <v>59</v>
      </c>
      <c r="C98" s="6" t="s">
        <v>51</v>
      </c>
      <c r="D98" s="6" t="s">
        <v>119</v>
      </c>
      <c r="E98" s="6" t="n">
        <v>16</v>
      </c>
      <c r="F98" s="6" t="s">
        <v>76</v>
      </c>
      <c r="G98" s="11" t="n">
        <f aca="false">Runs!N1990</f>
        <v>0</v>
      </c>
      <c r="H98" s="11" t="n">
        <f aca="false">Runs!N2001</f>
        <v>0</v>
      </c>
      <c r="I98" s="11" t="n">
        <f aca="false">Runs!N2012</f>
        <v>0</v>
      </c>
      <c r="J98" s="11" t="n">
        <f aca="false">Runs!N2023</f>
        <v>0</v>
      </c>
      <c r="K98" s="11" t="n">
        <f aca="false">Runs!N2034</f>
        <v>0</v>
      </c>
      <c r="L98" s="11" t="n">
        <f aca="false">Runs!N2045</f>
        <v>0</v>
      </c>
      <c r="M98" s="11" t="n">
        <f aca="false">Runs!N2056</f>
        <v>0</v>
      </c>
      <c r="N98" s="11" t="n">
        <f aca="false">Runs!N2067</f>
        <v>0</v>
      </c>
      <c r="O98" s="11" t="n">
        <f aca="false">Runs!N2078</f>
        <v>0</v>
      </c>
      <c r="P98" s="11" t="n">
        <f aca="false">Runs!N2089</f>
        <v>0</v>
      </c>
      <c r="Q98" s="16" t="n">
        <f aca="false">IF(COUNT(G98:P98)=0,"",AVERAGE(G98:P98))</f>
        <v>0</v>
      </c>
      <c r="R98" s="16" t="n">
        <f aca="false">IF(COUNT(G98:P98)&lt;2,"",STDEV(G98:P98))</f>
        <v>0</v>
      </c>
      <c r="S98" s="6" t="n">
        <f aca="false">COUNT(G98:P98)</f>
        <v>10</v>
      </c>
    </row>
    <row r="99" customFormat="false" ht="15" hidden="false" customHeight="false" outlineLevel="0" collapsed="false">
      <c r="A99" s="6" t="s">
        <v>60</v>
      </c>
      <c r="B99" s="6" t="s">
        <v>59</v>
      </c>
      <c r="C99" s="6" t="s">
        <v>51</v>
      </c>
      <c r="D99" s="6" t="s">
        <v>119</v>
      </c>
      <c r="E99" s="6" t="n">
        <v>16</v>
      </c>
      <c r="F99" s="6" t="s">
        <v>77</v>
      </c>
      <c r="G99" s="11" t="n">
        <f aca="false">Runs!N1991</f>
        <v>0.05</v>
      </c>
      <c r="H99" s="11" t="n">
        <f aca="false">Runs!N2002</f>
        <v>0.05</v>
      </c>
      <c r="I99" s="11" t="n">
        <f aca="false">Runs!N2013</f>
        <v>0.05</v>
      </c>
      <c r="J99" s="11" t="n">
        <f aca="false">Runs!N2024</f>
        <v>0.05</v>
      </c>
      <c r="K99" s="11" t="n">
        <f aca="false">Runs!N2035</f>
        <v>0.05</v>
      </c>
      <c r="L99" s="11" t="n">
        <f aca="false">Runs!N2046</f>
        <v>0.05</v>
      </c>
      <c r="M99" s="11" t="n">
        <f aca="false">Runs!N2057</f>
        <v>0.05</v>
      </c>
      <c r="N99" s="11" t="n">
        <f aca="false">Runs!N2068</f>
        <v>0.05</v>
      </c>
      <c r="O99" s="11" t="n">
        <f aca="false">Runs!N2079</f>
        <v>0.05</v>
      </c>
      <c r="P99" s="11" t="n">
        <f aca="false">Runs!N2090</f>
        <v>0.05</v>
      </c>
      <c r="Q99" s="16" t="n">
        <f aca="false">IF(COUNT(G99:P99)=0,"",AVERAGE(G99:P99))</f>
        <v>0.05</v>
      </c>
      <c r="R99" s="16" t="n">
        <f aca="false">IF(COUNT(G99:P99)&lt;2,"",STDEV(G99:P99))</f>
        <v>0</v>
      </c>
      <c r="S99" s="6" t="n">
        <f aca="false">COUNT(G99:P99)</f>
        <v>10</v>
      </c>
    </row>
    <row r="100" customFormat="false" ht="15" hidden="false" customHeight="false" outlineLevel="0" collapsed="false">
      <c r="A100" s="17" t="s">
        <v>60</v>
      </c>
      <c r="B100" s="17" t="s">
        <v>59</v>
      </c>
      <c r="C100" s="17" t="s">
        <v>51</v>
      </c>
      <c r="D100" s="17" t="s">
        <v>119</v>
      </c>
      <c r="E100" s="17" t="n">
        <v>16</v>
      </c>
      <c r="F100" s="17" t="s">
        <v>78</v>
      </c>
      <c r="G100" s="18" t="n">
        <f aca="false">Runs!N1992</f>
        <v>0.025</v>
      </c>
      <c r="H100" s="18" t="n">
        <f aca="false">Runs!N2003</f>
        <v>0.005</v>
      </c>
      <c r="I100" s="18" t="n">
        <f aca="false">Runs!N2014</f>
        <v>0.005</v>
      </c>
      <c r="J100" s="18" t="n">
        <f aca="false">Runs!N2025</f>
        <v>0.005</v>
      </c>
      <c r="K100" s="18" t="n">
        <f aca="false">Runs!N2036</f>
        <v>0.005</v>
      </c>
      <c r="L100" s="18" t="n">
        <f aca="false">Runs!N2047</f>
        <v>0.005</v>
      </c>
      <c r="M100" s="18" t="n">
        <f aca="false">Runs!N2058</f>
        <v>0.005</v>
      </c>
      <c r="N100" s="18" t="n">
        <f aca="false">Runs!N2069</f>
        <v>0.005</v>
      </c>
      <c r="O100" s="18" t="n">
        <f aca="false">Runs!N2080</f>
        <v>0.005</v>
      </c>
      <c r="P100" s="18" t="n">
        <f aca="false">Runs!N2091</f>
        <v>0.005</v>
      </c>
      <c r="Q100" s="19" t="n">
        <f aca="false">IF(COUNT(G100:P100)=0,"",AVERAGE(G100:P100))</f>
        <v>0.007</v>
      </c>
      <c r="R100" s="19" t="n">
        <f aca="false">IF(COUNT(G100:P100)&lt;2,"",STDEV(G100:P100))</f>
        <v>0.00632455532033676</v>
      </c>
      <c r="S100" s="20" t="n">
        <f aca="false">COUNT(G100:P100)</f>
        <v>10</v>
      </c>
    </row>
    <row r="101" customFormat="false" ht="15" hidden="false" customHeight="false" outlineLevel="0" collapsed="false">
      <c r="A101" s="6" t="s">
        <v>62</v>
      </c>
      <c r="B101" s="6" t="s">
        <v>63</v>
      </c>
      <c r="C101" s="6" t="s">
        <v>44</v>
      </c>
      <c r="D101" s="6" t="s">
        <v>114</v>
      </c>
      <c r="E101" s="6" t="n">
        <v>16</v>
      </c>
      <c r="F101" s="6" t="s">
        <v>68</v>
      </c>
      <c r="G101" s="11" t="n">
        <f aca="false">Runs!N2092</f>
        <v>0</v>
      </c>
      <c r="H101" s="11" t="n">
        <f aca="false">Runs!N2103</f>
        <v>0</v>
      </c>
      <c r="I101" s="11" t="n">
        <f aca="false">Runs!N2114</f>
        <v>0</v>
      </c>
      <c r="J101" s="11" t="n">
        <f aca="false">Runs!N2125</f>
        <v>0</v>
      </c>
      <c r="K101" s="11" t="n">
        <f aca="false">Runs!N2136</f>
        <v>0</v>
      </c>
      <c r="L101" s="11" t="n">
        <f aca="false">Runs!N2147</f>
        <v>0</v>
      </c>
      <c r="M101" s="11" t="n">
        <f aca="false">Runs!N2158</f>
        <v>0</v>
      </c>
      <c r="N101" s="11" t="n">
        <f aca="false">Runs!N2169</f>
        <v>0</v>
      </c>
      <c r="O101" s="11" t="n">
        <f aca="false">Runs!N2180</f>
        <v>0</v>
      </c>
      <c r="P101" s="11" t="n">
        <f aca="false">Runs!N2191</f>
        <v>0</v>
      </c>
      <c r="Q101" s="16" t="n">
        <f aca="false">IF(COUNT(G101:P101)=0,"",AVERAGE(G101:P101))</f>
        <v>0</v>
      </c>
      <c r="R101" s="16" t="n">
        <f aca="false">IF(COUNT(G101:P101)&lt;2,"",STDEV(G101:P101))</f>
        <v>0</v>
      </c>
      <c r="S101" s="6" t="n">
        <f aca="false">COUNT(G101:P101)</f>
        <v>10</v>
      </c>
    </row>
    <row r="102" customFormat="false" ht="15" hidden="false" customHeight="false" outlineLevel="0" collapsed="false">
      <c r="A102" s="6" t="s">
        <v>62</v>
      </c>
      <c r="B102" s="6" t="s">
        <v>63</v>
      </c>
      <c r="C102" s="6" t="s">
        <v>44</v>
      </c>
      <c r="D102" s="6" t="s">
        <v>114</v>
      </c>
      <c r="E102" s="6" t="n">
        <v>16</v>
      </c>
      <c r="F102" s="6" t="s">
        <v>69</v>
      </c>
      <c r="G102" s="11" t="n">
        <f aca="false">Runs!N2093</f>
        <v>0</v>
      </c>
      <c r="H102" s="11" t="n">
        <f aca="false">Runs!N2104</f>
        <v>0</v>
      </c>
      <c r="I102" s="11" t="n">
        <f aca="false">Runs!N2115</f>
        <v>0</v>
      </c>
      <c r="J102" s="11" t="n">
        <f aca="false">Runs!N2126</f>
        <v>0</v>
      </c>
      <c r="K102" s="11" t="n">
        <f aca="false">Runs!N2137</f>
        <v>0</v>
      </c>
      <c r="L102" s="11" t="n">
        <f aca="false">Runs!N2148</f>
        <v>0</v>
      </c>
      <c r="M102" s="11" t="n">
        <f aca="false">Runs!N2159</f>
        <v>0</v>
      </c>
      <c r="N102" s="11" t="n">
        <f aca="false">Runs!N2170</f>
        <v>0</v>
      </c>
      <c r="O102" s="11" t="n">
        <f aca="false">Runs!N2181</f>
        <v>0</v>
      </c>
      <c r="P102" s="11" t="n">
        <f aca="false">Runs!N2192</f>
        <v>0</v>
      </c>
      <c r="Q102" s="16" t="n">
        <f aca="false">IF(COUNT(G102:P102)=0,"",AVERAGE(G102:P102))</f>
        <v>0</v>
      </c>
      <c r="R102" s="16" t="n">
        <f aca="false">IF(COUNT(G102:P102)&lt;2,"",STDEV(G102:P102))</f>
        <v>0</v>
      </c>
      <c r="S102" s="6" t="n">
        <f aca="false">COUNT(G102:P102)</f>
        <v>10</v>
      </c>
    </row>
    <row r="103" customFormat="false" ht="15" hidden="false" customHeight="false" outlineLevel="0" collapsed="false">
      <c r="A103" s="6" t="s">
        <v>62</v>
      </c>
      <c r="B103" s="6" t="s">
        <v>63</v>
      </c>
      <c r="C103" s="6" t="s">
        <v>44</v>
      </c>
      <c r="D103" s="6" t="s">
        <v>114</v>
      </c>
      <c r="E103" s="6" t="n">
        <v>16</v>
      </c>
      <c r="F103" s="6" t="s">
        <v>70</v>
      </c>
      <c r="G103" s="11" t="n">
        <f aca="false">Runs!N2094</f>
        <v>0</v>
      </c>
      <c r="H103" s="11" t="n">
        <f aca="false">Runs!N2105</f>
        <v>0</v>
      </c>
      <c r="I103" s="11" t="n">
        <f aca="false">Runs!N2116</f>
        <v>0</v>
      </c>
      <c r="J103" s="11" t="n">
        <f aca="false">Runs!N2127</f>
        <v>0</v>
      </c>
      <c r="K103" s="11" t="n">
        <f aca="false">Runs!N2138</f>
        <v>0</v>
      </c>
      <c r="L103" s="11" t="n">
        <f aca="false">Runs!N2149</f>
        <v>0</v>
      </c>
      <c r="M103" s="11" t="n">
        <f aca="false">Runs!N2160</f>
        <v>0</v>
      </c>
      <c r="N103" s="11" t="n">
        <f aca="false">Runs!N2171</f>
        <v>0</v>
      </c>
      <c r="O103" s="11" t="n">
        <f aca="false">Runs!N2182</f>
        <v>0</v>
      </c>
      <c r="P103" s="11" t="n">
        <f aca="false">Runs!N2193</f>
        <v>0</v>
      </c>
      <c r="Q103" s="16" t="n">
        <f aca="false">IF(COUNT(G103:P103)=0,"",AVERAGE(G103:P103))</f>
        <v>0</v>
      </c>
      <c r="R103" s="16" t="n">
        <f aca="false">IF(COUNT(G103:P103)&lt;2,"",STDEV(G103:P103))</f>
        <v>0</v>
      </c>
      <c r="S103" s="6" t="n">
        <f aca="false">COUNT(G103:P103)</f>
        <v>10</v>
      </c>
    </row>
    <row r="104" customFormat="false" ht="15" hidden="false" customHeight="false" outlineLevel="0" collapsed="false">
      <c r="A104" s="6" t="s">
        <v>62</v>
      </c>
      <c r="B104" s="6" t="s">
        <v>63</v>
      </c>
      <c r="C104" s="6" t="s">
        <v>44</v>
      </c>
      <c r="D104" s="6" t="s">
        <v>114</v>
      </c>
      <c r="E104" s="6" t="n">
        <v>16</v>
      </c>
      <c r="F104" s="6" t="s">
        <v>71</v>
      </c>
      <c r="G104" s="11" t="n">
        <f aca="false">Runs!N2095</f>
        <v>0</v>
      </c>
      <c r="H104" s="11" t="n">
        <f aca="false">Runs!N2106</f>
        <v>0</v>
      </c>
      <c r="I104" s="11" t="n">
        <f aca="false">Runs!N2117</f>
        <v>0</v>
      </c>
      <c r="J104" s="11" t="n">
        <f aca="false">Runs!N2128</f>
        <v>0</v>
      </c>
      <c r="K104" s="11" t="n">
        <f aca="false">Runs!N2139</f>
        <v>0</v>
      </c>
      <c r="L104" s="11" t="n">
        <f aca="false">Runs!N2150</f>
        <v>0</v>
      </c>
      <c r="M104" s="11" t="n">
        <f aca="false">Runs!N2161</f>
        <v>0</v>
      </c>
      <c r="N104" s="11" t="n">
        <f aca="false">Runs!N2172</f>
        <v>0</v>
      </c>
      <c r="O104" s="11" t="n">
        <f aca="false">Runs!N2183</f>
        <v>0</v>
      </c>
      <c r="P104" s="11" t="n">
        <f aca="false">Runs!N2194</f>
        <v>0</v>
      </c>
      <c r="Q104" s="16" t="n">
        <f aca="false">IF(COUNT(G104:P104)=0,"",AVERAGE(G104:P104))</f>
        <v>0</v>
      </c>
      <c r="R104" s="16" t="n">
        <f aca="false">IF(COUNT(G104:P104)&lt;2,"",STDEV(G104:P104))</f>
        <v>0</v>
      </c>
      <c r="S104" s="6" t="n">
        <f aca="false">COUNT(G104:P104)</f>
        <v>10</v>
      </c>
    </row>
    <row r="105" customFormat="false" ht="15" hidden="false" customHeight="false" outlineLevel="0" collapsed="false">
      <c r="A105" s="6" t="s">
        <v>62</v>
      </c>
      <c r="B105" s="6" t="s">
        <v>63</v>
      </c>
      <c r="C105" s="6" t="s">
        <v>44</v>
      </c>
      <c r="D105" s="6" t="s">
        <v>114</v>
      </c>
      <c r="E105" s="6" t="n">
        <v>16</v>
      </c>
      <c r="F105" s="6" t="s">
        <v>72</v>
      </c>
      <c r="G105" s="11" t="n">
        <f aca="false">Runs!N2096</f>
        <v>0</v>
      </c>
      <c r="H105" s="11" t="n">
        <f aca="false">Runs!N2107</f>
        <v>0</v>
      </c>
      <c r="I105" s="11" t="n">
        <f aca="false">Runs!N2118</f>
        <v>0</v>
      </c>
      <c r="J105" s="11" t="n">
        <f aca="false">Runs!N2129</f>
        <v>0</v>
      </c>
      <c r="K105" s="11" t="n">
        <f aca="false">Runs!N2140</f>
        <v>0</v>
      </c>
      <c r="L105" s="11" t="n">
        <f aca="false">Runs!N2151</f>
        <v>0</v>
      </c>
      <c r="M105" s="11" t="n">
        <f aca="false">Runs!N2162</f>
        <v>0</v>
      </c>
      <c r="N105" s="11" t="n">
        <f aca="false">Runs!N2173</f>
        <v>0</v>
      </c>
      <c r="O105" s="11" t="n">
        <f aca="false">Runs!N2184</f>
        <v>0</v>
      </c>
      <c r="P105" s="11" t="n">
        <f aca="false">Runs!N2195</f>
        <v>0</v>
      </c>
      <c r="Q105" s="16" t="n">
        <f aca="false">IF(COUNT(G105:P105)=0,"",AVERAGE(G105:P105))</f>
        <v>0</v>
      </c>
      <c r="R105" s="16" t="n">
        <f aca="false">IF(COUNT(G105:P105)&lt;2,"",STDEV(G105:P105))</f>
        <v>0</v>
      </c>
      <c r="S105" s="6" t="n">
        <f aca="false">COUNT(G105:P105)</f>
        <v>10</v>
      </c>
    </row>
    <row r="106" customFormat="false" ht="15" hidden="false" customHeight="false" outlineLevel="0" collapsed="false">
      <c r="A106" s="6" t="s">
        <v>62</v>
      </c>
      <c r="B106" s="6" t="s">
        <v>63</v>
      </c>
      <c r="C106" s="6" t="s">
        <v>44</v>
      </c>
      <c r="D106" s="6" t="s">
        <v>114</v>
      </c>
      <c r="E106" s="6" t="n">
        <v>16</v>
      </c>
      <c r="F106" s="6" t="s">
        <v>73</v>
      </c>
      <c r="G106" s="11" t="n">
        <f aca="false">Runs!N2097</f>
        <v>0</v>
      </c>
      <c r="H106" s="11" t="n">
        <f aca="false">Runs!N2108</f>
        <v>0</v>
      </c>
      <c r="I106" s="11" t="n">
        <f aca="false">Runs!N2119</f>
        <v>0</v>
      </c>
      <c r="J106" s="11" t="n">
        <f aca="false">Runs!N2130</f>
        <v>0</v>
      </c>
      <c r="K106" s="11" t="n">
        <f aca="false">Runs!N2141</f>
        <v>0</v>
      </c>
      <c r="L106" s="11" t="n">
        <f aca="false">Runs!N2152</f>
        <v>0</v>
      </c>
      <c r="M106" s="11" t="n">
        <f aca="false">Runs!N2163</f>
        <v>0</v>
      </c>
      <c r="N106" s="11" t="n">
        <f aca="false">Runs!N2174</f>
        <v>0</v>
      </c>
      <c r="O106" s="11" t="n">
        <f aca="false">Runs!N2185</f>
        <v>0</v>
      </c>
      <c r="P106" s="11" t="n">
        <f aca="false">Runs!N2196</f>
        <v>0</v>
      </c>
      <c r="Q106" s="16" t="n">
        <f aca="false">IF(COUNT(G106:P106)=0,"",AVERAGE(G106:P106))</f>
        <v>0</v>
      </c>
      <c r="R106" s="16" t="n">
        <f aca="false">IF(COUNT(G106:P106)&lt;2,"",STDEV(G106:P106))</f>
        <v>0</v>
      </c>
      <c r="S106" s="6" t="n">
        <f aca="false">COUNT(G106:P106)</f>
        <v>10</v>
      </c>
    </row>
    <row r="107" customFormat="false" ht="15" hidden="false" customHeight="false" outlineLevel="0" collapsed="false">
      <c r="A107" s="6" t="s">
        <v>62</v>
      </c>
      <c r="B107" s="6" t="s">
        <v>63</v>
      </c>
      <c r="C107" s="6" t="s">
        <v>44</v>
      </c>
      <c r="D107" s="6" t="s">
        <v>114</v>
      </c>
      <c r="E107" s="6" t="n">
        <v>16</v>
      </c>
      <c r="F107" s="6" t="s">
        <v>74</v>
      </c>
      <c r="G107" s="11" t="n">
        <f aca="false">Runs!N2098</f>
        <v>0.05</v>
      </c>
      <c r="H107" s="11" t="n">
        <f aca="false">Runs!N2109</f>
        <v>0</v>
      </c>
      <c r="I107" s="11" t="n">
        <f aca="false">Runs!N2120</f>
        <v>0</v>
      </c>
      <c r="J107" s="11" t="n">
        <f aca="false">Runs!N2131</f>
        <v>0</v>
      </c>
      <c r="K107" s="11" t="n">
        <f aca="false">Runs!N2142</f>
        <v>0</v>
      </c>
      <c r="L107" s="11" t="n">
        <f aca="false">Runs!N2153</f>
        <v>0</v>
      </c>
      <c r="M107" s="11" t="n">
        <f aca="false">Runs!N2164</f>
        <v>0</v>
      </c>
      <c r="N107" s="11" t="n">
        <f aca="false">Runs!N2175</f>
        <v>0.05</v>
      </c>
      <c r="O107" s="11" t="n">
        <f aca="false">Runs!N2186</f>
        <v>0</v>
      </c>
      <c r="P107" s="11" t="n">
        <f aca="false">Runs!N2197</f>
        <v>0</v>
      </c>
      <c r="Q107" s="16" t="n">
        <f aca="false">IF(COUNT(G107:P107)=0,"",AVERAGE(G107:P107))</f>
        <v>0.01</v>
      </c>
      <c r="R107" s="16" t="n">
        <f aca="false">IF(COUNT(G107:P107)&lt;2,"",STDEV(G107:P107))</f>
        <v>0.0210818510677892</v>
      </c>
      <c r="S107" s="6" t="n">
        <f aca="false">COUNT(G107:P107)</f>
        <v>10</v>
      </c>
    </row>
    <row r="108" customFormat="false" ht="15" hidden="false" customHeight="false" outlineLevel="0" collapsed="false">
      <c r="A108" s="6" t="s">
        <v>62</v>
      </c>
      <c r="B108" s="6" t="s">
        <v>63</v>
      </c>
      <c r="C108" s="6" t="s">
        <v>44</v>
      </c>
      <c r="D108" s="6" t="s">
        <v>114</v>
      </c>
      <c r="E108" s="6" t="n">
        <v>16</v>
      </c>
      <c r="F108" s="6" t="s">
        <v>75</v>
      </c>
      <c r="G108" s="11" t="n">
        <f aca="false">Runs!N2099</f>
        <v>0</v>
      </c>
      <c r="H108" s="11" t="n">
        <f aca="false">Runs!N2110</f>
        <v>0</v>
      </c>
      <c r="I108" s="11" t="n">
        <f aca="false">Runs!N2121</f>
        <v>0</v>
      </c>
      <c r="J108" s="11" t="n">
        <f aca="false">Runs!N2132</f>
        <v>0</v>
      </c>
      <c r="K108" s="11" t="n">
        <f aca="false">Runs!N2143</f>
        <v>0</v>
      </c>
      <c r="L108" s="11" t="n">
        <f aca="false">Runs!N2154</f>
        <v>0</v>
      </c>
      <c r="M108" s="11" t="n">
        <f aca="false">Runs!N2165</f>
        <v>0</v>
      </c>
      <c r="N108" s="11" t="n">
        <f aca="false">Runs!N2176</f>
        <v>0</v>
      </c>
      <c r="O108" s="11" t="n">
        <f aca="false">Runs!N2187</f>
        <v>0</v>
      </c>
      <c r="P108" s="11" t="n">
        <f aca="false">Runs!N2198</f>
        <v>0</v>
      </c>
      <c r="Q108" s="16" t="n">
        <f aca="false">IF(COUNT(G108:P108)=0,"",AVERAGE(G108:P108))</f>
        <v>0</v>
      </c>
      <c r="R108" s="16" t="n">
        <f aca="false">IF(COUNT(G108:P108)&lt;2,"",STDEV(G108:P108))</f>
        <v>0</v>
      </c>
      <c r="S108" s="6" t="n">
        <f aca="false">COUNT(G108:P108)</f>
        <v>10</v>
      </c>
    </row>
    <row r="109" customFormat="false" ht="15" hidden="false" customHeight="false" outlineLevel="0" collapsed="false">
      <c r="A109" s="6" t="s">
        <v>62</v>
      </c>
      <c r="B109" s="6" t="s">
        <v>63</v>
      </c>
      <c r="C109" s="6" t="s">
        <v>44</v>
      </c>
      <c r="D109" s="6" t="s">
        <v>114</v>
      </c>
      <c r="E109" s="6" t="n">
        <v>16</v>
      </c>
      <c r="F109" s="6" t="s">
        <v>76</v>
      </c>
      <c r="G109" s="11" t="n">
        <f aca="false">Runs!N2100</f>
        <v>0</v>
      </c>
      <c r="H109" s="11" t="n">
        <f aca="false">Runs!N2111</f>
        <v>0</v>
      </c>
      <c r="I109" s="11" t="n">
        <f aca="false">Runs!N2122</f>
        <v>0</v>
      </c>
      <c r="J109" s="11" t="n">
        <f aca="false">Runs!N2133</f>
        <v>0</v>
      </c>
      <c r="K109" s="11" t="n">
        <f aca="false">Runs!N2144</f>
        <v>0</v>
      </c>
      <c r="L109" s="11" t="n">
        <f aca="false">Runs!N2155</f>
        <v>0</v>
      </c>
      <c r="M109" s="11" t="n">
        <f aca="false">Runs!N2166</f>
        <v>0</v>
      </c>
      <c r="N109" s="11" t="n">
        <f aca="false">Runs!N2177</f>
        <v>0</v>
      </c>
      <c r="O109" s="11" t="n">
        <f aca="false">Runs!N2188</f>
        <v>0</v>
      </c>
      <c r="P109" s="11" t="n">
        <f aca="false">Runs!N2199</f>
        <v>0</v>
      </c>
      <c r="Q109" s="16" t="n">
        <f aca="false">IF(COUNT(G109:P109)=0,"",AVERAGE(G109:P109))</f>
        <v>0</v>
      </c>
      <c r="R109" s="16" t="n">
        <f aca="false">IF(COUNT(G109:P109)&lt;2,"",STDEV(G109:P109))</f>
        <v>0</v>
      </c>
      <c r="S109" s="6" t="n">
        <f aca="false">COUNT(G109:P109)</f>
        <v>10</v>
      </c>
    </row>
    <row r="110" customFormat="false" ht="15" hidden="false" customHeight="false" outlineLevel="0" collapsed="false">
      <c r="A110" s="6" t="s">
        <v>62</v>
      </c>
      <c r="B110" s="6" t="s">
        <v>63</v>
      </c>
      <c r="C110" s="6" t="s">
        <v>44</v>
      </c>
      <c r="D110" s="6" t="s">
        <v>114</v>
      </c>
      <c r="E110" s="6" t="n">
        <v>16</v>
      </c>
      <c r="F110" s="6" t="s">
        <v>77</v>
      </c>
      <c r="G110" s="11" t="n">
        <f aca="false">Runs!N2101</f>
        <v>0.05</v>
      </c>
      <c r="H110" s="11" t="n">
        <f aca="false">Runs!N2112</f>
        <v>0.05</v>
      </c>
      <c r="I110" s="11" t="n">
        <f aca="false">Runs!N2123</f>
        <v>0</v>
      </c>
      <c r="J110" s="11" t="n">
        <f aca="false">Runs!N2134</f>
        <v>0.05</v>
      </c>
      <c r="K110" s="11" t="n">
        <f aca="false">Runs!N2145</f>
        <v>0.05</v>
      </c>
      <c r="L110" s="11" t="n">
        <f aca="false">Runs!N2156</f>
        <v>0.05</v>
      </c>
      <c r="M110" s="11" t="n">
        <f aca="false">Runs!N2167</f>
        <v>0.05</v>
      </c>
      <c r="N110" s="11" t="n">
        <f aca="false">Runs!N2178</f>
        <v>0.05</v>
      </c>
      <c r="O110" s="11" t="n">
        <f aca="false">Runs!N2189</f>
        <v>0.05</v>
      </c>
      <c r="P110" s="11" t="n">
        <f aca="false">Runs!N2200</f>
        <v>0.05</v>
      </c>
      <c r="Q110" s="16" t="n">
        <f aca="false">IF(COUNT(G110:P110)=0,"",AVERAGE(G110:P110))</f>
        <v>0.045</v>
      </c>
      <c r="R110" s="16" t="n">
        <f aca="false">IF(COUNT(G110:P110)&lt;2,"",STDEV(G110:P110))</f>
        <v>0.0158113883008419</v>
      </c>
      <c r="S110" s="6" t="n">
        <f aca="false">COUNT(G110:P110)</f>
        <v>10</v>
      </c>
    </row>
    <row r="111" customFormat="false" ht="15" hidden="false" customHeight="false" outlineLevel="0" collapsed="false">
      <c r="A111" s="17" t="s">
        <v>62</v>
      </c>
      <c r="B111" s="17" t="s">
        <v>63</v>
      </c>
      <c r="C111" s="17" t="s">
        <v>44</v>
      </c>
      <c r="D111" s="17" t="s">
        <v>114</v>
      </c>
      <c r="E111" s="17" t="n">
        <v>16</v>
      </c>
      <c r="F111" s="17" t="s">
        <v>78</v>
      </c>
      <c r="G111" s="18" t="n">
        <f aca="false">Runs!N2102</f>
        <v>0.01</v>
      </c>
      <c r="H111" s="18" t="n">
        <f aca="false">Runs!N2113</f>
        <v>0.005</v>
      </c>
      <c r="I111" s="18" t="n">
        <f aca="false">Runs!N2124</f>
        <v>0</v>
      </c>
      <c r="J111" s="18" t="n">
        <f aca="false">Runs!N2135</f>
        <v>0.005</v>
      </c>
      <c r="K111" s="18" t="n">
        <f aca="false">Runs!N2146</f>
        <v>0.005</v>
      </c>
      <c r="L111" s="18" t="n">
        <f aca="false">Runs!N2157</f>
        <v>0.005</v>
      </c>
      <c r="M111" s="18" t="n">
        <f aca="false">Runs!N2168</f>
        <v>0.005</v>
      </c>
      <c r="N111" s="18" t="n">
        <f aca="false">Runs!N2179</f>
        <v>0.01</v>
      </c>
      <c r="O111" s="18" t="n">
        <f aca="false">Runs!N2190</f>
        <v>0.005</v>
      </c>
      <c r="P111" s="18" t="n">
        <f aca="false">Runs!N2201</f>
        <v>0.005</v>
      </c>
      <c r="Q111" s="19" t="n">
        <f aca="false">IF(COUNT(G111:P111)=0,"",AVERAGE(G111:P111))</f>
        <v>0.0055</v>
      </c>
      <c r="R111" s="19" t="n">
        <f aca="false">IF(COUNT(G111:P111)&lt;2,"",STDEV(G111:P111))</f>
        <v>0.00283823106098773</v>
      </c>
      <c r="S111" s="20" t="n">
        <f aca="false">COUNT(G111:P111)</f>
        <v>10</v>
      </c>
    </row>
    <row r="113" customFormat="false" ht="15" hidden="false" customHeight="false" outlineLevel="0" collapsed="false">
      <c r="A113" s="1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16" min="7" style="0" width="8"/>
    <col collapsed="false" customWidth="true" hidden="false" outlineLevel="0" max="18" min="17" style="0" width="9"/>
    <col collapsed="false" customWidth="true" hidden="false" outlineLevel="0" max="19" min="19" style="0" width="5"/>
  </cols>
  <sheetData>
    <row r="1" customFormat="false" ht="30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98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  <c r="N1" s="5" t="s">
        <v>127</v>
      </c>
      <c r="O1" s="5" t="s">
        <v>128</v>
      </c>
      <c r="P1" s="5" t="s">
        <v>129</v>
      </c>
      <c r="Q1" s="5" t="s">
        <v>130</v>
      </c>
      <c r="R1" s="5" t="s">
        <v>131</v>
      </c>
      <c r="S1" s="5" t="s">
        <v>132</v>
      </c>
    </row>
    <row r="2" customFormat="false" ht="15" hidden="false" customHeight="false" outlineLevel="0" collapsed="false">
      <c r="A2" s="6" t="s">
        <v>42</v>
      </c>
      <c r="B2" s="6" t="s">
        <v>43</v>
      </c>
      <c r="C2" s="6" t="s">
        <v>44</v>
      </c>
      <c r="D2" s="6" t="s">
        <v>114</v>
      </c>
      <c r="E2" s="6" t="n">
        <v>16</v>
      </c>
      <c r="F2" s="6" t="s">
        <v>68</v>
      </c>
      <c r="G2" s="11" t="str">
        <f aca="false">Runs!O1102</f>
        <v/>
      </c>
      <c r="H2" s="11" t="str">
        <f aca="false">Runs!O1113</f>
        <v/>
      </c>
      <c r="I2" s="11" t="str">
        <f aca="false">Runs!O1124</f>
        <v/>
      </c>
      <c r="J2" s="11" t="str">
        <f aca="false">Runs!O1135</f>
        <v/>
      </c>
      <c r="K2" s="11" t="str">
        <f aca="false">Runs!O1146</f>
        <v/>
      </c>
      <c r="L2" s="11" t="str">
        <f aca="false">Runs!O1157</f>
        <v/>
      </c>
      <c r="M2" s="11" t="str">
        <f aca="false">Runs!O1168</f>
        <v/>
      </c>
      <c r="N2" s="11" t="str">
        <f aca="false">Runs!O1179</f>
        <v/>
      </c>
      <c r="O2" s="11" t="str">
        <f aca="false">Runs!O1190</f>
        <v/>
      </c>
      <c r="P2" s="11" t="str">
        <f aca="false">Runs!O1201</f>
        <v/>
      </c>
      <c r="Q2" s="16" t="str">
        <f aca="false">IF(COUNT(G2:P2)=0,"",AVERAGE(G2:P2))</f>
        <v/>
      </c>
      <c r="R2" s="16" t="str">
        <f aca="false">IF(COUNT(G2:P2)&lt;2,"",STDEV(G2:P2))</f>
        <v/>
      </c>
      <c r="S2" s="6" t="n">
        <f aca="false">COUNT(G2:P2)</f>
        <v>0</v>
      </c>
    </row>
    <row r="3" customFormat="false" ht="15" hidden="false" customHeight="false" outlineLevel="0" collapsed="false">
      <c r="A3" s="6" t="s">
        <v>42</v>
      </c>
      <c r="B3" s="6" t="s">
        <v>43</v>
      </c>
      <c r="C3" s="6" t="s">
        <v>44</v>
      </c>
      <c r="D3" s="6" t="s">
        <v>114</v>
      </c>
      <c r="E3" s="6" t="n">
        <v>16</v>
      </c>
      <c r="F3" s="6" t="s">
        <v>69</v>
      </c>
      <c r="G3" s="11" t="n">
        <f aca="false">Runs!O1103</f>
        <v>1</v>
      </c>
      <c r="H3" s="11" t="str">
        <f aca="false">Runs!O1114</f>
        <v/>
      </c>
      <c r="I3" s="11" t="str">
        <f aca="false">Runs!O1125</f>
        <v/>
      </c>
      <c r="J3" s="11" t="str">
        <f aca="false">Runs!O1136</f>
        <v/>
      </c>
      <c r="K3" s="11" t="str">
        <f aca="false">Runs!O1147</f>
        <v/>
      </c>
      <c r="L3" s="11" t="str">
        <f aca="false">Runs!O1158</f>
        <v/>
      </c>
      <c r="M3" s="11" t="str">
        <f aca="false">Runs!O1169</f>
        <v/>
      </c>
      <c r="N3" s="11" t="str">
        <f aca="false">Runs!O1180</f>
        <v/>
      </c>
      <c r="O3" s="11" t="str">
        <f aca="false">Runs!O1191</f>
        <v/>
      </c>
      <c r="P3" s="11" t="str">
        <f aca="false">Runs!O1202</f>
        <v/>
      </c>
      <c r="Q3" s="16" t="n">
        <f aca="false">IF(COUNT(G3:P3)=0,"",AVERAGE(G3:P3))</f>
        <v>1</v>
      </c>
      <c r="R3" s="16" t="str">
        <f aca="false">IF(COUNT(G3:P3)&lt;2,"",STDEV(G3:P3))</f>
        <v/>
      </c>
      <c r="S3" s="6" t="n">
        <f aca="false">COUNT(G3:P3)</f>
        <v>1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114</v>
      </c>
      <c r="E4" s="6" t="n">
        <v>16</v>
      </c>
      <c r="F4" s="6" t="s">
        <v>70</v>
      </c>
      <c r="G4" s="11" t="str">
        <f aca="false">Runs!O1104</f>
        <v/>
      </c>
      <c r="H4" s="11" t="str">
        <f aca="false">Runs!O1115</f>
        <v/>
      </c>
      <c r="I4" s="11" t="str">
        <f aca="false">Runs!O1126</f>
        <v/>
      </c>
      <c r="J4" s="11" t="str">
        <f aca="false">Runs!O1137</f>
        <v/>
      </c>
      <c r="K4" s="11" t="str">
        <f aca="false">Runs!O1148</f>
        <v/>
      </c>
      <c r="L4" s="11" t="str">
        <f aca="false">Runs!O1159</f>
        <v/>
      </c>
      <c r="M4" s="11" t="str">
        <f aca="false">Runs!O1170</f>
        <v/>
      </c>
      <c r="N4" s="11" t="str">
        <f aca="false">Runs!O1181</f>
        <v/>
      </c>
      <c r="O4" s="11" t="str">
        <f aca="false">Runs!O1192</f>
        <v/>
      </c>
      <c r="P4" s="11" t="str">
        <f aca="false">Runs!O1203</f>
        <v/>
      </c>
      <c r="Q4" s="16" t="str">
        <f aca="false">IF(COUNT(G4:P4)=0,"",AVERAGE(G4:P4))</f>
        <v/>
      </c>
      <c r="R4" s="16" t="str">
        <f aca="false">IF(COUNT(G4:P4)&lt;2,"",STDEV(G4:P4))</f>
        <v/>
      </c>
      <c r="S4" s="6" t="n">
        <f aca="false">COUNT(G4:P4)</f>
        <v>0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44</v>
      </c>
      <c r="D5" s="6" t="s">
        <v>114</v>
      </c>
      <c r="E5" s="6" t="n">
        <v>16</v>
      </c>
      <c r="F5" s="6" t="s">
        <v>71</v>
      </c>
      <c r="G5" s="11" t="str">
        <f aca="false">Runs!O1105</f>
        <v/>
      </c>
      <c r="H5" s="11" t="str">
        <f aca="false">Runs!O1116</f>
        <v/>
      </c>
      <c r="I5" s="11" t="str">
        <f aca="false">Runs!O1127</f>
        <v/>
      </c>
      <c r="J5" s="11" t="str">
        <f aca="false">Runs!O1138</f>
        <v/>
      </c>
      <c r="K5" s="11" t="str">
        <f aca="false">Runs!O1149</f>
        <v/>
      </c>
      <c r="L5" s="11" t="str">
        <f aca="false">Runs!O1160</f>
        <v/>
      </c>
      <c r="M5" s="11" t="str">
        <f aca="false">Runs!O1171</f>
        <v/>
      </c>
      <c r="N5" s="11" t="str">
        <f aca="false">Runs!O1182</f>
        <v/>
      </c>
      <c r="O5" s="11" t="str">
        <f aca="false">Runs!O1193</f>
        <v/>
      </c>
      <c r="P5" s="11" t="str">
        <f aca="false">Runs!O1204</f>
        <v/>
      </c>
      <c r="Q5" s="16" t="str">
        <f aca="false">IF(COUNT(G5:P5)=0,"",AVERAGE(G5:P5))</f>
        <v/>
      </c>
      <c r="R5" s="16" t="str">
        <f aca="false">IF(COUNT(G5:P5)&lt;2,"",STDEV(G5:P5))</f>
        <v/>
      </c>
      <c r="S5" s="6" t="n">
        <f aca="false">COUNT(G5:P5)</f>
        <v>0</v>
      </c>
    </row>
    <row r="6" customFormat="false" ht="15" hidden="false" customHeight="false" outlineLevel="0" collapsed="false">
      <c r="A6" s="6" t="s">
        <v>42</v>
      </c>
      <c r="B6" s="6" t="s">
        <v>43</v>
      </c>
      <c r="C6" s="6" t="s">
        <v>44</v>
      </c>
      <c r="D6" s="6" t="s">
        <v>114</v>
      </c>
      <c r="E6" s="6" t="n">
        <v>16</v>
      </c>
      <c r="F6" s="6" t="s">
        <v>72</v>
      </c>
      <c r="G6" s="11" t="str">
        <f aca="false">Runs!O1106</f>
        <v/>
      </c>
      <c r="H6" s="11" t="str">
        <f aca="false">Runs!O1117</f>
        <v/>
      </c>
      <c r="I6" s="11" t="str">
        <f aca="false">Runs!O1128</f>
        <v/>
      </c>
      <c r="J6" s="11" t="str">
        <f aca="false">Runs!O1139</f>
        <v/>
      </c>
      <c r="K6" s="11" t="str">
        <f aca="false">Runs!O1150</f>
        <v/>
      </c>
      <c r="L6" s="11" t="str">
        <f aca="false">Runs!O1161</f>
        <v/>
      </c>
      <c r="M6" s="11" t="str">
        <f aca="false">Runs!O1172</f>
        <v/>
      </c>
      <c r="N6" s="11" t="str">
        <f aca="false">Runs!O1183</f>
        <v/>
      </c>
      <c r="O6" s="11" t="str">
        <f aca="false">Runs!O1194</f>
        <v/>
      </c>
      <c r="P6" s="11" t="str">
        <f aca="false">Runs!O1205</f>
        <v/>
      </c>
      <c r="Q6" s="16" t="str">
        <f aca="false">IF(COUNT(G6:P6)=0,"",AVERAGE(G6:P6))</f>
        <v/>
      </c>
      <c r="R6" s="16" t="str">
        <f aca="false">IF(COUNT(G6:P6)&lt;2,"",STDEV(G6:P6))</f>
        <v/>
      </c>
      <c r="S6" s="6" t="n">
        <f aca="false">COUNT(G6:P6)</f>
        <v>0</v>
      </c>
    </row>
    <row r="7" customFormat="false" ht="15" hidden="false" customHeight="false" outlineLevel="0" collapsed="false">
      <c r="A7" s="6" t="s">
        <v>42</v>
      </c>
      <c r="B7" s="6" t="s">
        <v>43</v>
      </c>
      <c r="C7" s="6" t="s">
        <v>44</v>
      </c>
      <c r="D7" s="6" t="s">
        <v>114</v>
      </c>
      <c r="E7" s="6" t="n">
        <v>16</v>
      </c>
      <c r="F7" s="6" t="s">
        <v>73</v>
      </c>
      <c r="G7" s="11" t="str">
        <f aca="false">Runs!O1107</f>
        <v/>
      </c>
      <c r="H7" s="11" t="str">
        <f aca="false">Runs!O1118</f>
        <v/>
      </c>
      <c r="I7" s="11" t="str">
        <f aca="false">Runs!O1129</f>
        <v/>
      </c>
      <c r="J7" s="11" t="str">
        <f aca="false">Runs!O1140</f>
        <v/>
      </c>
      <c r="K7" s="11" t="str">
        <f aca="false">Runs!O1151</f>
        <v/>
      </c>
      <c r="L7" s="11" t="str">
        <f aca="false">Runs!O1162</f>
        <v/>
      </c>
      <c r="M7" s="11" t="str">
        <f aca="false">Runs!O1173</f>
        <v/>
      </c>
      <c r="N7" s="11" t="str">
        <f aca="false">Runs!O1184</f>
        <v/>
      </c>
      <c r="O7" s="11" t="str">
        <f aca="false">Runs!O1195</f>
        <v/>
      </c>
      <c r="P7" s="11" t="str">
        <f aca="false">Runs!O1206</f>
        <v/>
      </c>
      <c r="Q7" s="16" t="str">
        <f aca="false">IF(COUNT(G7:P7)=0,"",AVERAGE(G7:P7))</f>
        <v/>
      </c>
      <c r="R7" s="16" t="str">
        <f aca="false">IF(COUNT(G7:P7)&lt;2,"",STDEV(G7:P7))</f>
        <v/>
      </c>
      <c r="S7" s="6" t="n">
        <f aca="false">COUNT(G7:P7)</f>
        <v>0</v>
      </c>
    </row>
    <row r="8" customFormat="false" ht="1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114</v>
      </c>
      <c r="E8" s="6" t="n">
        <v>16</v>
      </c>
      <c r="F8" s="6" t="s">
        <v>74</v>
      </c>
      <c r="G8" s="11" t="str">
        <f aca="false">Runs!O1108</f>
        <v/>
      </c>
      <c r="H8" s="11" t="str">
        <f aca="false">Runs!O1119</f>
        <v/>
      </c>
      <c r="I8" s="11" t="str">
        <f aca="false">Runs!O1130</f>
        <v/>
      </c>
      <c r="J8" s="11" t="str">
        <f aca="false">Runs!O1141</f>
        <v/>
      </c>
      <c r="K8" s="11" t="n">
        <f aca="false">Runs!O1152</f>
        <v>1</v>
      </c>
      <c r="L8" s="11" t="str">
        <f aca="false">Runs!O1163</f>
        <v/>
      </c>
      <c r="M8" s="11" t="str">
        <f aca="false">Runs!O1174</f>
        <v/>
      </c>
      <c r="N8" s="11" t="n">
        <f aca="false">Runs!O1185</f>
        <v>1</v>
      </c>
      <c r="O8" s="11" t="n">
        <f aca="false">Runs!O1196</f>
        <v>1</v>
      </c>
      <c r="P8" s="11" t="str">
        <f aca="false">Runs!O1207</f>
        <v/>
      </c>
      <c r="Q8" s="16" t="n">
        <f aca="false">IF(COUNT(G8:P8)=0,"",AVERAGE(G8:P8))</f>
        <v>1</v>
      </c>
      <c r="R8" s="16" t="n">
        <f aca="false">IF(COUNT(G8:P8)&lt;2,"",STDEV(G8:P8))</f>
        <v>0</v>
      </c>
      <c r="S8" s="6" t="n">
        <f aca="false">COUNT(G8:P8)</f>
        <v>3</v>
      </c>
    </row>
    <row r="9" customFormat="false" ht="15" hidden="false" customHeight="false" outlineLevel="0" collapsed="false">
      <c r="A9" s="6" t="s">
        <v>42</v>
      </c>
      <c r="B9" s="6" t="s">
        <v>43</v>
      </c>
      <c r="C9" s="6" t="s">
        <v>44</v>
      </c>
      <c r="D9" s="6" t="s">
        <v>114</v>
      </c>
      <c r="E9" s="6" t="n">
        <v>16</v>
      </c>
      <c r="F9" s="6" t="s">
        <v>75</v>
      </c>
      <c r="G9" s="11" t="str">
        <f aca="false">Runs!O1109</f>
        <v/>
      </c>
      <c r="H9" s="11" t="str">
        <f aca="false">Runs!O1120</f>
        <v/>
      </c>
      <c r="I9" s="11" t="str">
        <f aca="false">Runs!O1131</f>
        <v/>
      </c>
      <c r="J9" s="11" t="str">
        <f aca="false">Runs!O1142</f>
        <v/>
      </c>
      <c r="K9" s="11" t="str">
        <f aca="false">Runs!O1153</f>
        <v/>
      </c>
      <c r="L9" s="11" t="str">
        <f aca="false">Runs!O1164</f>
        <v/>
      </c>
      <c r="M9" s="11" t="str">
        <f aca="false">Runs!O1175</f>
        <v/>
      </c>
      <c r="N9" s="11" t="str">
        <f aca="false">Runs!O1186</f>
        <v/>
      </c>
      <c r="O9" s="11" t="str">
        <f aca="false">Runs!O1197</f>
        <v/>
      </c>
      <c r="P9" s="11" t="str">
        <f aca="false">Runs!O1208</f>
        <v/>
      </c>
      <c r="Q9" s="16" t="str">
        <f aca="false">IF(COUNT(G9:P9)=0,"",AVERAGE(G9:P9))</f>
        <v/>
      </c>
      <c r="R9" s="16" t="str">
        <f aca="false">IF(COUNT(G9:P9)&lt;2,"",STDEV(G9:P9))</f>
        <v/>
      </c>
      <c r="S9" s="6" t="n">
        <f aca="false">COUNT(G9:P9)</f>
        <v>0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s">
        <v>44</v>
      </c>
      <c r="D10" s="6" t="s">
        <v>114</v>
      </c>
      <c r="E10" s="6" t="n">
        <v>16</v>
      </c>
      <c r="F10" s="6" t="s">
        <v>76</v>
      </c>
      <c r="G10" s="11" t="str">
        <f aca="false">Runs!O1110</f>
        <v/>
      </c>
      <c r="H10" s="11" t="str">
        <f aca="false">Runs!O1121</f>
        <v/>
      </c>
      <c r="I10" s="11" t="str">
        <f aca="false">Runs!O1132</f>
        <v/>
      </c>
      <c r="J10" s="11" t="str">
        <f aca="false">Runs!O1143</f>
        <v/>
      </c>
      <c r="K10" s="11" t="str">
        <f aca="false">Runs!O1154</f>
        <v/>
      </c>
      <c r="L10" s="11" t="str">
        <f aca="false">Runs!O1165</f>
        <v/>
      </c>
      <c r="M10" s="11" t="str">
        <f aca="false">Runs!O1176</f>
        <v/>
      </c>
      <c r="N10" s="11" t="str">
        <f aca="false">Runs!O1187</f>
        <v/>
      </c>
      <c r="O10" s="11" t="str">
        <f aca="false">Runs!O1198</f>
        <v/>
      </c>
      <c r="P10" s="11" t="str">
        <f aca="false">Runs!O1209</f>
        <v/>
      </c>
      <c r="Q10" s="16" t="str">
        <f aca="false">IF(COUNT(G10:P10)=0,"",AVERAGE(G10:P10))</f>
        <v/>
      </c>
      <c r="R10" s="16" t="str">
        <f aca="false">IF(COUNT(G10:P10)&lt;2,"",STDEV(G10:P10))</f>
        <v/>
      </c>
      <c r="S10" s="6" t="n">
        <f aca="false">COUNT(G10:P10)</f>
        <v>0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44</v>
      </c>
      <c r="D11" s="6" t="s">
        <v>114</v>
      </c>
      <c r="E11" s="6" t="n">
        <v>16</v>
      </c>
      <c r="F11" s="6" t="s">
        <v>77</v>
      </c>
      <c r="G11" s="11" t="n">
        <f aca="false">Runs!O1111</f>
        <v>0</v>
      </c>
      <c r="H11" s="11" t="n">
        <f aca="false">Runs!O1122</f>
        <v>0.5</v>
      </c>
      <c r="I11" s="11" t="n">
        <f aca="false">Runs!O1133</f>
        <v>0.5</v>
      </c>
      <c r="J11" s="11" t="n">
        <f aca="false">Runs!O1144</f>
        <v>0.5</v>
      </c>
      <c r="K11" s="11" t="n">
        <f aca="false">Runs!O1155</f>
        <v>0.5</v>
      </c>
      <c r="L11" s="11" t="n">
        <f aca="false">Runs!O1166</f>
        <v>0</v>
      </c>
      <c r="M11" s="11" t="n">
        <f aca="false">Runs!O1177</f>
        <v>0.5</v>
      </c>
      <c r="N11" s="11" t="n">
        <f aca="false">Runs!O1188</f>
        <v>0</v>
      </c>
      <c r="O11" s="11" t="n">
        <f aca="false">Runs!O1199</f>
        <v>0.5</v>
      </c>
      <c r="P11" s="11" t="n">
        <f aca="false">Runs!O1210</f>
        <v>0.5</v>
      </c>
      <c r="Q11" s="16" t="n">
        <f aca="false">IF(COUNT(G11:P11)=0,"",AVERAGE(G11:P11))</f>
        <v>0.35</v>
      </c>
      <c r="R11" s="16" t="n">
        <f aca="false">IF(COUNT(G11:P11)&lt;2,"",STDEV(G11:P11))</f>
        <v>0.241522945769824</v>
      </c>
      <c r="S11" s="6" t="n">
        <f aca="false">COUNT(G11:P11)</f>
        <v>10</v>
      </c>
    </row>
    <row r="12" customFormat="false" ht="15" hidden="false" customHeight="false" outlineLevel="0" collapsed="false">
      <c r="A12" s="17" t="s">
        <v>42</v>
      </c>
      <c r="B12" s="17" t="s">
        <v>43</v>
      </c>
      <c r="C12" s="17" t="s">
        <v>44</v>
      </c>
      <c r="D12" s="17" t="s">
        <v>114</v>
      </c>
      <c r="E12" s="17" t="n">
        <v>16</v>
      </c>
      <c r="F12" s="17" t="s">
        <v>78</v>
      </c>
      <c r="G12" s="18" t="n">
        <f aca="false">Runs!O1112</f>
        <v>0.5</v>
      </c>
      <c r="H12" s="18" t="n">
        <f aca="false">Runs!O1123</f>
        <v>0.5</v>
      </c>
      <c r="I12" s="18" t="n">
        <f aca="false">Runs!O1134</f>
        <v>0.5</v>
      </c>
      <c r="J12" s="18" t="n">
        <f aca="false">Runs!O1145</f>
        <v>0.5</v>
      </c>
      <c r="K12" s="18" t="n">
        <f aca="false">Runs!O1156</f>
        <v>0.666666666666667</v>
      </c>
      <c r="L12" s="18" t="n">
        <f aca="false">Runs!O1167</f>
        <v>0</v>
      </c>
      <c r="M12" s="18" t="n">
        <f aca="false">Runs!O1178</f>
        <v>0.5</v>
      </c>
      <c r="N12" s="18" t="n">
        <f aca="false">Runs!O1189</f>
        <v>0.5</v>
      </c>
      <c r="O12" s="18" t="n">
        <f aca="false">Runs!O1200</f>
        <v>0.666666666666667</v>
      </c>
      <c r="P12" s="18" t="n">
        <f aca="false">Runs!O1211</f>
        <v>0.5</v>
      </c>
      <c r="Q12" s="19" t="n">
        <f aca="false">IF(COUNT(G12:P12)=0,"",AVERAGE(G12:P12))</f>
        <v>0.483333333333333</v>
      </c>
      <c r="R12" s="19" t="n">
        <f aca="false">IF(COUNT(G12:P12)&lt;2,"",STDEV(G12:P12))</f>
        <v>0.183417489102435</v>
      </c>
      <c r="S12" s="20" t="n">
        <f aca="false">COUNT(G12:P12)</f>
        <v>10</v>
      </c>
    </row>
    <row r="13" customFormat="false" ht="15" hidden="false" customHeight="false" outlineLevel="0" collapsed="false">
      <c r="A13" s="6" t="s">
        <v>46</v>
      </c>
      <c r="B13" s="6" t="s">
        <v>43</v>
      </c>
      <c r="C13" s="6" t="s">
        <v>44</v>
      </c>
      <c r="D13" s="6" t="s">
        <v>115</v>
      </c>
      <c r="E13" s="6" t="n">
        <v>1</v>
      </c>
      <c r="F13" s="6" t="s">
        <v>68</v>
      </c>
      <c r="G13" s="11" t="str">
        <f aca="false">Runs!O1212</f>
        <v/>
      </c>
      <c r="H13" s="11" t="str">
        <f aca="false">Runs!O1223</f>
        <v/>
      </c>
      <c r="I13" s="11" t="str">
        <f aca="false">Runs!O1234</f>
        <v/>
      </c>
      <c r="J13" s="11" t="n">
        <f aca="false">Runs!O1245</f>
        <v>1</v>
      </c>
      <c r="K13" s="11" t="str">
        <f aca="false">Runs!O1256</f>
        <v/>
      </c>
      <c r="L13" s="11" t="n">
        <f aca="false">Runs!O1267</f>
        <v>1</v>
      </c>
      <c r="M13" s="11" t="str">
        <f aca="false">Runs!O1278</f>
        <v/>
      </c>
      <c r="N13" s="11" t="str">
        <f aca="false">Runs!O1289</f>
        <v/>
      </c>
      <c r="O13" s="11" t="str">
        <f aca="false">Runs!O1300</f>
        <v/>
      </c>
      <c r="P13" s="11" t="str">
        <f aca="false">Runs!O1311</f>
        <v/>
      </c>
      <c r="Q13" s="16" t="n">
        <f aca="false">IF(COUNT(G13:P13)=0,"",AVERAGE(G13:P13))</f>
        <v>1</v>
      </c>
      <c r="R13" s="16" t="n">
        <f aca="false">IF(COUNT(G13:P13)&lt;2,"",STDEV(G13:P13))</f>
        <v>0</v>
      </c>
      <c r="S13" s="6" t="n">
        <f aca="false">COUNT(G13:P13)</f>
        <v>2</v>
      </c>
    </row>
    <row r="14" customFormat="false" ht="15" hidden="false" customHeight="false" outlineLevel="0" collapsed="false">
      <c r="A14" s="6" t="s">
        <v>46</v>
      </c>
      <c r="B14" s="6" t="s">
        <v>43</v>
      </c>
      <c r="C14" s="6" t="s">
        <v>44</v>
      </c>
      <c r="D14" s="6" t="s">
        <v>115</v>
      </c>
      <c r="E14" s="6" t="n">
        <v>1</v>
      </c>
      <c r="F14" s="6" t="s">
        <v>69</v>
      </c>
      <c r="G14" s="11" t="str">
        <f aca="false">Runs!O1213</f>
        <v/>
      </c>
      <c r="H14" s="11" t="str">
        <f aca="false">Runs!O1224</f>
        <v/>
      </c>
      <c r="I14" s="11" t="str">
        <f aca="false">Runs!O1235</f>
        <v/>
      </c>
      <c r="J14" s="11" t="n">
        <f aca="false">Runs!O1246</f>
        <v>1</v>
      </c>
      <c r="K14" s="11" t="str">
        <f aca="false">Runs!O1257</f>
        <v/>
      </c>
      <c r="L14" s="11" t="n">
        <f aca="false">Runs!O1268</f>
        <v>1</v>
      </c>
      <c r="M14" s="11" t="str">
        <f aca="false">Runs!O1279</f>
        <v/>
      </c>
      <c r="N14" s="11" t="str">
        <f aca="false">Runs!O1290</f>
        <v/>
      </c>
      <c r="O14" s="11" t="str">
        <f aca="false">Runs!O1301</f>
        <v/>
      </c>
      <c r="P14" s="11" t="str">
        <f aca="false">Runs!O1312</f>
        <v/>
      </c>
      <c r="Q14" s="16" t="n">
        <f aca="false">IF(COUNT(G14:P14)=0,"",AVERAGE(G14:P14))</f>
        <v>1</v>
      </c>
      <c r="R14" s="16" t="n">
        <f aca="false">IF(COUNT(G14:P14)&lt;2,"",STDEV(G14:P14))</f>
        <v>0</v>
      </c>
      <c r="S14" s="6" t="n">
        <f aca="false">COUNT(G14:P14)</f>
        <v>2</v>
      </c>
    </row>
    <row r="15" customFormat="false" ht="15" hidden="false" customHeight="false" outlineLevel="0" collapsed="false">
      <c r="A15" s="6" t="s">
        <v>46</v>
      </c>
      <c r="B15" s="6" t="s">
        <v>43</v>
      </c>
      <c r="C15" s="6" t="s">
        <v>44</v>
      </c>
      <c r="D15" s="6" t="s">
        <v>115</v>
      </c>
      <c r="E15" s="6" t="n">
        <v>1</v>
      </c>
      <c r="F15" s="6" t="s">
        <v>70</v>
      </c>
      <c r="G15" s="11" t="str">
        <f aca="false">Runs!O1214</f>
        <v/>
      </c>
      <c r="H15" s="11" t="str">
        <f aca="false">Runs!O1225</f>
        <v/>
      </c>
      <c r="I15" s="11" t="str">
        <f aca="false">Runs!O1236</f>
        <v/>
      </c>
      <c r="J15" s="11" t="n">
        <f aca="false">Runs!O1247</f>
        <v>1</v>
      </c>
      <c r="K15" s="11" t="str">
        <f aca="false">Runs!O1258</f>
        <v/>
      </c>
      <c r="L15" s="11" t="n">
        <f aca="false">Runs!O1269</f>
        <v>1</v>
      </c>
      <c r="M15" s="11" t="str">
        <f aca="false">Runs!O1280</f>
        <v/>
      </c>
      <c r="N15" s="11" t="str">
        <f aca="false">Runs!O1291</f>
        <v/>
      </c>
      <c r="O15" s="11" t="str">
        <f aca="false">Runs!O1302</f>
        <v/>
      </c>
      <c r="P15" s="11" t="str">
        <f aca="false">Runs!O1313</f>
        <v/>
      </c>
      <c r="Q15" s="16" t="n">
        <f aca="false">IF(COUNT(G15:P15)=0,"",AVERAGE(G15:P15))</f>
        <v>1</v>
      </c>
      <c r="R15" s="16" t="n">
        <f aca="false">IF(COUNT(G15:P15)&lt;2,"",STDEV(G15:P15))</f>
        <v>0</v>
      </c>
      <c r="S15" s="6" t="n">
        <f aca="false">COUNT(G15:P15)</f>
        <v>2</v>
      </c>
    </row>
    <row r="16" customFormat="false" ht="15" hidden="false" customHeight="false" outlineLevel="0" collapsed="false">
      <c r="A16" s="6" t="s">
        <v>46</v>
      </c>
      <c r="B16" s="6" t="s">
        <v>43</v>
      </c>
      <c r="C16" s="6" t="s">
        <v>44</v>
      </c>
      <c r="D16" s="6" t="s">
        <v>115</v>
      </c>
      <c r="E16" s="6" t="n">
        <v>1</v>
      </c>
      <c r="F16" s="6" t="s">
        <v>71</v>
      </c>
      <c r="G16" s="11" t="str">
        <f aca="false">Runs!O1215</f>
        <v/>
      </c>
      <c r="H16" s="11" t="str">
        <f aca="false">Runs!O1226</f>
        <v/>
      </c>
      <c r="I16" s="11" t="str">
        <f aca="false">Runs!O1237</f>
        <v/>
      </c>
      <c r="J16" s="11" t="n">
        <f aca="false">Runs!O1248</f>
        <v>1</v>
      </c>
      <c r="K16" s="11" t="str">
        <f aca="false">Runs!O1259</f>
        <v/>
      </c>
      <c r="L16" s="11" t="n">
        <f aca="false">Runs!O1270</f>
        <v>1</v>
      </c>
      <c r="M16" s="11" t="str">
        <f aca="false">Runs!O1281</f>
        <v/>
      </c>
      <c r="N16" s="11" t="str">
        <f aca="false">Runs!O1292</f>
        <v/>
      </c>
      <c r="O16" s="11" t="str">
        <f aca="false">Runs!O1303</f>
        <v/>
      </c>
      <c r="P16" s="11" t="str">
        <f aca="false">Runs!O1314</f>
        <v/>
      </c>
      <c r="Q16" s="16" t="n">
        <f aca="false">IF(COUNT(G16:P16)=0,"",AVERAGE(G16:P16))</f>
        <v>1</v>
      </c>
      <c r="R16" s="16" t="n">
        <f aca="false">IF(COUNT(G16:P16)&lt;2,"",STDEV(G16:P16))</f>
        <v>0</v>
      </c>
      <c r="S16" s="6" t="n">
        <f aca="false">COUNT(G16:P16)</f>
        <v>2</v>
      </c>
    </row>
    <row r="17" customFormat="false" ht="15" hidden="false" customHeight="false" outlineLevel="0" collapsed="false">
      <c r="A17" s="6" t="s">
        <v>46</v>
      </c>
      <c r="B17" s="6" t="s">
        <v>43</v>
      </c>
      <c r="C17" s="6" t="s">
        <v>44</v>
      </c>
      <c r="D17" s="6" t="s">
        <v>115</v>
      </c>
      <c r="E17" s="6" t="n">
        <v>1</v>
      </c>
      <c r="F17" s="6" t="s">
        <v>72</v>
      </c>
      <c r="G17" s="11" t="str">
        <f aca="false">Runs!O1216</f>
        <v/>
      </c>
      <c r="H17" s="11" t="str">
        <f aca="false">Runs!O1227</f>
        <v/>
      </c>
      <c r="I17" s="11" t="str">
        <f aca="false">Runs!O1238</f>
        <v/>
      </c>
      <c r="J17" s="11" t="n">
        <f aca="false">Runs!O1249</f>
        <v>1</v>
      </c>
      <c r="K17" s="11" t="str">
        <f aca="false">Runs!O1260</f>
        <v/>
      </c>
      <c r="L17" s="11" t="n">
        <f aca="false">Runs!O1271</f>
        <v>1</v>
      </c>
      <c r="M17" s="11" t="str">
        <f aca="false">Runs!O1282</f>
        <v/>
      </c>
      <c r="N17" s="11" t="str">
        <f aca="false">Runs!O1293</f>
        <v/>
      </c>
      <c r="O17" s="11" t="str">
        <f aca="false">Runs!O1304</f>
        <v/>
      </c>
      <c r="P17" s="11" t="str">
        <f aca="false">Runs!O1315</f>
        <v/>
      </c>
      <c r="Q17" s="16" t="n">
        <f aca="false">IF(COUNT(G17:P17)=0,"",AVERAGE(G17:P17))</f>
        <v>1</v>
      </c>
      <c r="R17" s="16" t="n">
        <f aca="false">IF(COUNT(G17:P17)&lt;2,"",STDEV(G17:P17))</f>
        <v>0</v>
      </c>
      <c r="S17" s="6" t="n">
        <f aca="false">COUNT(G17:P17)</f>
        <v>2</v>
      </c>
    </row>
    <row r="18" customFormat="false" ht="15" hidden="false" customHeight="false" outlineLevel="0" collapsed="false">
      <c r="A18" s="6" t="s">
        <v>46</v>
      </c>
      <c r="B18" s="6" t="s">
        <v>43</v>
      </c>
      <c r="C18" s="6" t="s">
        <v>44</v>
      </c>
      <c r="D18" s="6" t="s">
        <v>115</v>
      </c>
      <c r="E18" s="6" t="n">
        <v>1</v>
      </c>
      <c r="F18" s="6" t="s">
        <v>73</v>
      </c>
      <c r="G18" s="11" t="str">
        <f aca="false">Runs!O1217</f>
        <v/>
      </c>
      <c r="H18" s="11" t="str">
        <f aca="false">Runs!O1228</f>
        <v/>
      </c>
      <c r="I18" s="11" t="str">
        <f aca="false">Runs!O1239</f>
        <v/>
      </c>
      <c r="J18" s="11" t="n">
        <f aca="false">Runs!O1250</f>
        <v>1</v>
      </c>
      <c r="K18" s="11" t="str">
        <f aca="false">Runs!O1261</f>
        <v/>
      </c>
      <c r="L18" s="11" t="n">
        <f aca="false">Runs!O1272</f>
        <v>1</v>
      </c>
      <c r="M18" s="11" t="str">
        <f aca="false">Runs!O1283</f>
        <v/>
      </c>
      <c r="N18" s="11" t="str">
        <f aca="false">Runs!O1294</f>
        <v/>
      </c>
      <c r="O18" s="11" t="str">
        <f aca="false">Runs!O1305</f>
        <v/>
      </c>
      <c r="P18" s="11" t="str">
        <f aca="false">Runs!O1316</f>
        <v/>
      </c>
      <c r="Q18" s="16" t="n">
        <f aca="false">IF(COUNT(G18:P18)=0,"",AVERAGE(G18:P18))</f>
        <v>1</v>
      </c>
      <c r="R18" s="16" t="n">
        <f aca="false">IF(COUNT(G18:P18)&lt;2,"",STDEV(G18:P18))</f>
        <v>0</v>
      </c>
      <c r="S18" s="6" t="n">
        <f aca="false">COUNT(G18:P18)</f>
        <v>2</v>
      </c>
    </row>
    <row r="19" customFormat="false" ht="15" hidden="false" customHeight="false" outlineLevel="0" collapsed="false">
      <c r="A19" s="6" t="s">
        <v>46</v>
      </c>
      <c r="B19" s="6" t="s">
        <v>43</v>
      </c>
      <c r="C19" s="6" t="s">
        <v>44</v>
      </c>
      <c r="D19" s="6" t="s">
        <v>115</v>
      </c>
      <c r="E19" s="6" t="n">
        <v>1</v>
      </c>
      <c r="F19" s="6" t="s">
        <v>74</v>
      </c>
      <c r="G19" s="11" t="str">
        <f aca="false">Runs!O1218</f>
        <v/>
      </c>
      <c r="H19" s="11" t="str">
        <f aca="false">Runs!O1229</f>
        <v/>
      </c>
      <c r="I19" s="11" t="str">
        <f aca="false">Runs!O1240</f>
        <v/>
      </c>
      <c r="J19" s="11" t="n">
        <f aca="false">Runs!O1251</f>
        <v>1</v>
      </c>
      <c r="K19" s="11" t="str">
        <f aca="false">Runs!O1262</f>
        <v/>
      </c>
      <c r="L19" s="11" t="n">
        <f aca="false">Runs!O1273</f>
        <v>1</v>
      </c>
      <c r="M19" s="11" t="str">
        <f aca="false">Runs!O1284</f>
        <v/>
      </c>
      <c r="N19" s="11" t="str">
        <f aca="false">Runs!O1295</f>
        <v/>
      </c>
      <c r="O19" s="11" t="str">
        <f aca="false">Runs!O1306</f>
        <v/>
      </c>
      <c r="P19" s="11" t="str">
        <f aca="false">Runs!O1317</f>
        <v/>
      </c>
      <c r="Q19" s="16" t="n">
        <f aca="false">IF(COUNT(G19:P19)=0,"",AVERAGE(G19:P19))</f>
        <v>1</v>
      </c>
      <c r="R19" s="16" t="n">
        <f aca="false">IF(COUNT(G19:P19)&lt;2,"",STDEV(G19:P19))</f>
        <v>0</v>
      </c>
      <c r="S19" s="6" t="n">
        <f aca="false">COUNT(G19:P19)</f>
        <v>2</v>
      </c>
    </row>
    <row r="20" customFormat="false" ht="15" hidden="false" customHeight="false" outlineLevel="0" collapsed="false">
      <c r="A20" s="6" t="s">
        <v>46</v>
      </c>
      <c r="B20" s="6" t="s">
        <v>43</v>
      </c>
      <c r="C20" s="6" t="s">
        <v>44</v>
      </c>
      <c r="D20" s="6" t="s">
        <v>115</v>
      </c>
      <c r="E20" s="6" t="n">
        <v>1</v>
      </c>
      <c r="F20" s="6" t="s">
        <v>75</v>
      </c>
      <c r="G20" s="11" t="str">
        <f aca="false">Runs!O1219</f>
        <v/>
      </c>
      <c r="H20" s="11" t="str">
        <f aca="false">Runs!O1230</f>
        <v/>
      </c>
      <c r="I20" s="11" t="str">
        <f aca="false">Runs!O1241</f>
        <v/>
      </c>
      <c r="J20" s="11" t="n">
        <f aca="false">Runs!O1252</f>
        <v>1</v>
      </c>
      <c r="K20" s="11" t="str">
        <f aca="false">Runs!O1263</f>
        <v/>
      </c>
      <c r="L20" s="11" t="n">
        <f aca="false">Runs!O1274</f>
        <v>1</v>
      </c>
      <c r="M20" s="11" t="str">
        <f aca="false">Runs!O1285</f>
        <v/>
      </c>
      <c r="N20" s="11" t="str">
        <f aca="false">Runs!O1296</f>
        <v/>
      </c>
      <c r="O20" s="11" t="str">
        <f aca="false">Runs!O1307</f>
        <v/>
      </c>
      <c r="P20" s="11" t="str">
        <f aca="false">Runs!O1318</f>
        <v/>
      </c>
      <c r="Q20" s="16" t="n">
        <f aca="false">IF(COUNT(G20:P20)=0,"",AVERAGE(G20:P20))</f>
        <v>1</v>
      </c>
      <c r="R20" s="16" t="n">
        <f aca="false">IF(COUNT(G20:P20)&lt;2,"",STDEV(G20:P20))</f>
        <v>0</v>
      </c>
      <c r="S20" s="6" t="n">
        <f aca="false">COUNT(G20:P20)</f>
        <v>2</v>
      </c>
    </row>
    <row r="21" customFormat="false" ht="15" hidden="false" customHeight="false" outlineLevel="0" collapsed="false">
      <c r="A21" s="6" t="s">
        <v>46</v>
      </c>
      <c r="B21" s="6" t="s">
        <v>43</v>
      </c>
      <c r="C21" s="6" t="s">
        <v>44</v>
      </c>
      <c r="D21" s="6" t="s">
        <v>115</v>
      </c>
      <c r="E21" s="6" t="n">
        <v>1</v>
      </c>
      <c r="F21" s="6" t="s">
        <v>76</v>
      </c>
      <c r="G21" s="11" t="str">
        <f aca="false">Runs!O1220</f>
        <v/>
      </c>
      <c r="H21" s="11" t="str">
        <f aca="false">Runs!O1231</f>
        <v/>
      </c>
      <c r="I21" s="11" t="str">
        <f aca="false">Runs!O1242</f>
        <v/>
      </c>
      <c r="J21" s="11" t="n">
        <f aca="false">Runs!O1253</f>
        <v>1</v>
      </c>
      <c r="K21" s="11" t="str">
        <f aca="false">Runs!O1264</f>
        <v/>
      </c>
      <c r="L21" s="11" t="n">
        <f aca="false">Runs!O1275</f>
        <v>1</v>
      </c>
      <c r="M21" s="11" t="str">
        <f aca="false">Runs!O1286</f>
        <v/>
      </c>
      <c r="N21" s="11" t="str">
        <f aca="false">Runs!O1297</f>
        <v/>
      </c>
      <c r="O21" s="11" t="str">
        <f aca="false">Runs!O1308</f>
        <v/>
      </c>
      <c r="P21" s="11" t="str">
        <f aca="false">Runs!O1319</f>
        <v/>
      </c>
      <c r="Q21" s="16" t="n">
        <f aca="false">IF(COUNT(G21:P21)=0,"",AVERAGE(G21:P21))</f>
        <v>1</v>
      </c>
      <c r="R21" s="16" t="n">
        <f aca="false">IF(COUNT(G21:P21)&lt;2,"",STDEV(G21:P21))</f>
        <v>0</v>
      </c>
      <c r="S21" s="6" t="n">
        <f aca="false">COUNT(G21:P21)</f>
        <v>2</v>
      </c>
    </row>
    <row r="22" customFormat="false" ht="15" hidden="false" customHeight="false" outlineLevel="0" collapsed="false">
      <c r="A22" s="6" t="s">
        <v>46</v>
      </c>
      <c r="B22" s="6" t="s">
        <v>43</v>
      </c>
      <c r="C22" s="6" t="s">
        <v>44</v>
      </c>
      <c r="D22" s="6" t="s">
        <v>115</v>
      </c>
      <c r="E22" s="6" t="n">
        <v>1</v>
      </c>
      <c r="F22" s="6" t="s">
        <v>77</v>
      </c>
      <c r="G22" s="11" t="n">
        <f aca="false">Runs!O1221</f>
        <v>0.5</v>
      </c>
      <c r="H22" s="11" t="n">
        <f aca="false">Runs!O1232</f>
        <v>0.5</v>
      </c>
      <c r="I22" s="11" t="n">
        <f aca="false">Runs!O1243</f>
        <v>0.5</v>
      </c>
      <c r="J22" s="11" t="n">
        <f aca="false">Runs!O1254</f>
        <v>0.952380952380952</v>
      </c>
      <c r="K22" s="11" t="n">
        <f aca="false">Runs!O1265</f>
        <v>0.5</v>
      </c>
      <c r="L22" s="11" t="n">
        <f aca="false">Runs!O1276</f>
        <v>0.952380952380952</v>
      </c>
      <c r="M22" s="11" t="n">
        <f aca="false">Runs!O1287</f>
        <v>0.5</v>
      </c>
      <c r="N22" s="11" t="n">
        <f aca="false">Runs!O1298</f>
        <v>0.5</v>
      </c>
      <c r="O22" s="11" t="n">
        <f aca="false">Runs!O1309</f>
        <v>0.5</v>
      </c>
      <c r="P22" s="11" t="n">
        <f aca="false">Runs!O1320</f>
        <v>0.5</v>
      </c>
      <c r="Q22" s="16" t="n">
        <f aca="false">IF(COUNT(G22:P22)=0,"",AVERAGE(G22:P22))</f>
        <v>0.590476190476191</v>
      </c>
      <c r="R22" s="16" t="n">
        <f aca="false">IF(COUNT(G22:P22)&lt;2,"",STDEV(G22:P22))</f>
        <v>0.190740557279997</v>
      </c>
      <c r="S22" s="6" t="n">
        <f aca="false">COUNT(G22:P22)</f>
        <v>10</v>
      </c>
    </row>
    <row r="23" customFormat="false" ht="15" hidden="false" customHeight="false" outlineLevel="0" collapsed="false">
      <c r="A23" s="17" t="s">
        <v>46</v>
      </c>
      <c r="B23" s="17" t="s">
        <v>43</v>
      </c>
      <c r="C23" s="17" t="s">
        <v>44</v>
      </c>
      <c r="D23" s="17" t="s">
        <v>115</v>
      </c>
      <c r="E23" s="17" t="n">
        <v>1</v>
      </c>
      <c r="F23" s="17" t="s">
        <v>78</v>
      </c>
      <c r="G23" s="18" t="n">
        <f aca="false">Runs!O1222</f>
        <v>0.5</v>
      </c>
      <c r="H23" s="18" t="n">
        <f aca="false">Runs!O1233</f>
        <v>0.5</v>
      </c>
      <c r="I23" s="18" t="n">
        <f aca="false">Runs!O1244</f>
        <v>0.5</v>
      </c>
      <c r="J23" s="18" t="n">
        <f aca="false">Runs!O1255</f>
        <v>0.995024875621891</v>
      </c>
      <c r="K23" s="18" t="n">
        <f aca="false">Runs!O1266</f>
        <v>0.5</v>
      </c>
      <c r="L23" s="18" t="n">
        <f aca="false">Runs!O1277</f>
        <v>0.995024875621891</v>
      </c>
      <c r="M23" s="18" t="n">
        <f aca="false">Runs!O1288</f>
        <v>0.5</v>
      </c>
      <c r="N23" s="18" t="n">
        <f aca="false">Runs!O1299</f>
        <v>0.5</v>
      </c>
      <c r="O23" s="18" t="n">
        <f aca="false">Runs!O1310</f>
        <v>0.5</v>
      </c>
      <c r="P23" s="18" t="n">
        <f aca="false">Runs!O1321</f>
        <v>0.5</v>
      </c>
      <c r="Q23" s="19" t="n">
        <f aca="false">IF(COUNT(G23:P23)=0,"",AVERAGE(G23:P23))</f>
        <v>0.599004975124378</v>
      </c>
      <c r="R23" s="19" t="n">
        <f aca="false">IF(COUNT(G23:P23)&lt;2,"",STDEV(G23:P23))</f>
        <v>0.208720814054231</v>
      </c>
      <c r="S23" s="20" t="n">
        <f aca="false">COUNT(G23:P23)</f>
        <v>10</v>
      </c>
    </row>
    <row r="24" customFormat="false" ht="15" hidden="false" customHeight="false" outlineLevel="0" collapsed="false">
      <c r="A24" s="6" t="s">
        <v>48</v>
      </c>
      <c r="B24" s="6" t="s">
        <v>43</v>
      </c>
      <c r="C24" s="6" t="s">
        <v>49</v>
      </c>
      <c r="D24" s="6" t="s">
        <v>115</v>
      </c>
      <c r="E24" s="6" t="n">
        <v>4</v>
      </c>
      <c r="F24" s="6" t="s">
        <v>68</v>
      </c>
      <c r="G24" s="11" t="n">
        <f aca="false">Runs!O1322</f>
        <v>1</v>
      </c>
      <c r="H24" s="11" t="str">
        <f aca="false">Runs!O1333</f>
        <v/>
      </c>
      <c r="I24" s="11" t="n">
        <f aca="false">Runs!O1344</f>
        <v>1</v>
      </c>
      <c r="J24" s="11" t="str">
        <f aca="false">Runs!O1355</f>
        <v/>
      </c>
      <c r="K24" s="11" t="str">
        <f aca="false">Runs!O1366</f>
        <v/>
      </c>
      <c r="L24" s="11" t="str">
        <f aca="false">Runs!O1377</f>
        <v/>
      </c>
      <c r="M24" s="11" t="n">
        <f aca="false">Runs!O1388</f>
        <v>1</v>
      </c>
      <c r="N24" s="11" t="n">
        <f aca="false">Runs!O1399</f>
        <v>1</v>
      </c>
      <c r="O24" s="11" t="n">
        <f aca="false">Runs!O1410</f>
        <v>1</v>
      </c>
      <c r="P24" s="11" t="str">
        <f aca="false">Runs!O1421</f>
        <v/>
      </c>
      <c r="Q24" s="16" t="n">
        <f aca="false">IF(COUNT(G24:P24)=0,"",AVERAGE(G24:P24))</f>
        <v>1</v>
      </c>
      <c r="R24" s="16" t="n">
        <f aca="false">IF(COUNT(G24:P24)&lt;2,"",STDEV(G24:P24))</f>
        <v>0</v>
      </c>
      <c r="S24" s="6" t="n">
        <f aca="false">COUNT(G24:P24)</f>
        <v>5</v>
      </c>
    </row>
    <row r="25" customFormat="false" ht="15" hidden="false" customHeight="false" outlineLevel="0" collapsed="false">
      <c r="A25" s="6" t="s">
        <v>48</v>
      </c>
      <c r="B25" s="6" t="s">
        <v>43</v>
      </c>
      <c r="C25" s="6" t="s">
        <v>49</v>
      </c>
      <c r="D25" s="6" t="s">
        <v>115</v>
      </c>
      <c r="E25" s="6" t="n">
        <v>4</v>
      </c>
      <c r="F25" s="6" t="s">
        <v>69</v>
      </c>
      <c r="G25" s="11" t="n">
        <f aca="false">Runs!O1323</f>
        <v>1</v>
      </c>
      <c r="H25" s="11" t="str">
        <f aca="false">Runs!O1334</f>
        <v/>
      </c>
      <c r="I25" s="11" t="n">
        <f aca="false">Runs!O1345</f>
        <v>1</v>
      </c>
      <c r="J25" s="11" t="str">
        <f aca="false">Runs!O1356</f>
        <v/>
      </c>
      <c r="K25" s="11" t="str">
        <f aca="false">Runs!O1367</f>
        <v/>
      </c>
      <c r="L25" s="11" t="str">
        <f aca="false">Runs!O1378</f>
        <v/>
      </c>
      <c r="M25" s="11" t="n">
        <f aca="false">Runs!O1389</f>
        <v>1</v>
      </c>
      <c r="N25" s="11" t="n">
        <f aca="false">Runs!O1400</f>
        <v>1</v>
      </c>
      <c r="O25" s="11" t="n">
        <f aca="false">Runs!O1411</f>
        <v>1</v>
      </c>
      <c r="P25" s="11" t="str">
        <f aca="false">Runs!O1422</f>
        <v/>
      </c>
      <c r="Q25" s="16" t="n">
        <f aca="false">IF(COUNT(G25:P25)=0,"",AVERAGE(G25:P25))</f>
        <v>1</v>
      </c>
      <c r="R25" s="16" t="n">
        <f aca="false">IF(COUNT(G25:P25)&lt;2,"",STDEV(G25:P25))</f>
        <v>0</v>
      </c>
      <c r="S25" s="6" t="n">
        <f aca="false">COUNT(G25:P25)</f>
        <v>5</v>
      </c>
    </row>
    <row r="26" customFormat="false" ht="15" hidden="false" customHeight="false" outlineLevel="0" collapsed="false">
      <c r="A26" s="6" t="s">
        <v>48</v>
      </c>
      <c r="B26" s="6" t="s">
        <v>43</v>
      </c>
      <c r="C26" s="6" t="s">
        <v>49</v>
      </c>
      <c r="D26" s="6" t="s">
        <v>115</v>
      </c>
      <c r="E26" s="6" t="n">
        <v>4</v>
      </c>
      <c r="F26" s="6" t="s">
        <v>70</v>
      </c>
      <c r="G26" s="11" t="n">
        <f aca="false">Runs!O1324</f>
        <v>1</v>
      </c>
      <c r="H26" s="11" t="str">
        <f aca="false">Runs!O1335</f>
        <v/>
      </c>
      <c r="I26" s="11" t="n">
        <f aca="false">Runs!O1346</f>
        <v>1</v>
      </c>
      <c r="J26" s="11" t="str">
        <f aca="false">Runs!O1357</f>
        <v/>
      </c>
      <c r="K26" s="11" t="str">
        <f aca="false">Runs!O1368</f>
        <v/>
      </c>
      <c r="L26" s="11" t="str">
        <f aca="false">Runs!O1379</f>
        <v/>
      </c>
      <c r="M26" s="11" t="n">
        <f aca="false">Runs!O1390</f>
        <v>1</v>
      </c>
      <c r="N26" s="11" t="n">
        <f aca="false">Runs!O1401</f>
        <v>1</v>
      </c>
      <c r="O26" s="11" t="n">
        <f aca="false">Runs!O1412</f>
        <v>1</v>
      </c>
      <c r="P26" s="11" t="str">
        <f aca="false">Runs!O1423</f>
        <v/>
      </c>
      <c r="Q26" s="16" t="n">
        <f aca="false">IF(COUNT(G26:P26)=0,"",AVERAGE(G26:P26))</f>
        <v>1</v>
      </c>
      <c r="R26" s="16" t="n">
        <f aca="false">IF(COUNT(G26:P26)&lt;2,"",STDEV(G26:P26))</f>
        <v>0</v>
      </c>
      <c r="S26" s="6" t="n">
        <f aca="false">COUNT(G26:P26)</f>
        <v>5</v>
      </c>
    </row>
    <row r="27" customFormat="false" ht="15" hidden="false" customHeight="false" outlineLevel="0" collapsed="false">
      <c r="A27" s="6" t="s">
        <v>48</v>
      </c>
      <c r="B27" s="6" t="s">
        <v>43</v>
      </c>
      <c r="C27" s="6" t="s">
        <v>49</v>
      </c>
      <c r="D27" s="6" t="s">
        <v>115</v>
      </c>
      <c r="E27" s="6" t="n">
        <v>4</v>
      </c>
      <c r="F27" s="6" t="s">
        <v>71</v>
      </c>
      <c r="G27" s="11" t="n">
        <f aca="false">Runs!O1325</f>
        <v>1</v>
      </c>
      <c r="H27" s="11" t="str">
        <f aca="false">Runs!O1336</f>
        <v/>
      </c>
      <c r="I27" s="11" t="n">
        <f aca="false">Runs!O1347</f>
        <v>1</v>
      </c>
      <c r="J27" s="11" t="str">
        <f aca="false">Runs!O1358</f>
        <v/>
      </c>
      <c r="K27" s="11" t="str">
        <f aca="false">Runs!O1369</f>
        <v/>
      </c>
      <c r="L27" s="11" t="str">
        <f aca="false">Runs!O1380</f>
        <v/>
      </c>
      <c r="M27" s="11" t="n">
        <f aca="false">Runs!O1391</f>
        <v>1</v>
      </c>
      <c r="N27" s="11" t="n">
        <f aca="false">Runs!O1402</f>
        <v>1</v>
      </c>
      <c r="O27" s="11" t="n">
        <f aca="false">Runs!O1413</f>
        <v>1</v>
      </c>
      <c r="P27" s="11" t="str">
        <f aca="false">Runs!O1424</f>
        <v/>
      </c>
      <c r="Q27" s="16" t="n">
        <f aca="false">IF(COUNT(G27:P27)=0,"",AVERAGE(G27:P27))</f>
        <v>1</v>
      </c>
      <c r="R27" s="16" t="n">
        <f aca="false">IF(COUNT(G27:P27)&lt;2,"",STDEV(G27:P27))</f>
        <v>0</v>
      </c>
      <c r="S27" s="6" t="n">
        <f aca="false">COUNT(G27:P27)</f>
        <v>5</v>
      </c>
    </row>
    <row r="28" customFormat="false" ht="15" hidden="false" customHeight="false" outlineLevel="0" collapsed="false">
      <c r="A28" s="6" t="s">
        <v>48</v>
      </c>
      <c r="B28" s="6" t="s">
        <v>43</v>
      </c>
      <c r="C28" s="6" t="s">
        <v>49</v>
      </c>
      <c r="D28" s="6" t="s">
        <v>115</v>
      </c>
      <c r="E28" s="6" t="n">
        <v>4</v>
      </c>
      <c r="F28" s="6" t="s">
        <v>72</v>
      </c>
      <c r="G28" s="11" t="n">
        <f aca="false">Runs!O1326</f>
        <v>1</v>
      </c>
      <c r="H28" s="11" t="str">
        <f aca="false">Runs!O1337</f>
        <v/>
      </c>
      <c r="I28" s="11" t="n">
        <f aca="false">Runs!O1348</f>
        <v>1</v>
      </c>
      <c r="J28" s="11" t="str">
        <f aca="false">Runs!O1359</f>
        <v/>
      </c>
      <c r="K28" s="11" t="str">
        <f aca="false">Runs!O1370</f>
        <v/>
      </c>
      <c r="L28" s="11" t="str">
        <f aca="false">Runs!O1381</f>
        <v/>
      </c>
      <c r="M28" s="11" t="n">
        <f aca="false">Runs!O1392</f>
        <v>1</v>
      </c>
      <c r="N28" s="11" t="n">
        <f aca="false">Runs!O1403</f>
        <v>1</v>
      </c>
      <c r="O28" s="11" t="n">
        <f aca="false">Runs!O1414</f>
        <v>1</v>
      </c>
      <c r="P28" s="11" t="str">
        <f aca="false">Runs!O1425</f>
        <v/>
      </c>
      <c r="Q28" s="16" t="n">
        <f aca="false">IF(COUNT(G28:P28)=0,"",AVERAGE(G28:P28))</f>
        <v>1</v>
      </c>
      <c r="R28" s="16" t="n">
        <f aca="false">IF(COUNT(G28:P28)&lt;2,"",STDEV(G28:P28))</f>
        <v>0</v>
      </c>
      <c r="S28" s="6" t="n">
        <f aca="false">COUNT(G28:P28)</f>
        <v>5</v>
      </c>
    </row>
    <row r="29" customFormat="false" ht="15" hidden="false" customHeight="false" outlineLevel="0" collapsed="false">
      <c r="A29" s="6" t="s">
        <v>48</v>
      </c>
      <c r="B29" s="6" t="s">
        <v>43</v>
      </c>
      <c r="C29" s="6" t="s">
        <v>49</v>
      </c>
      <c r="D29" s="6" t="s">
        <v>115</v>
      </c>
      <c r="E29" s="6" t="n">
        <v>4</v>
      </c>
      <c r="F29" s="6" t="s">
        <v>73</v>
      </c>
      <c r="G29" s="11" t="n">
        <f aca="false">Runs!O1327</f>
        <v>1</v>
      </c>
      <c r="H29" s="11" t="str">
        <f aca="false">Runs!O1338</f>
        <v/>
      </c>
      <c r="I29" s="11" t="n">
        <f aca="false">Runs!O1349</f>
        <v>1</v>
      </c>
      <c r="J29" s="11" t="str">
        <f aca="false">Runs!O1360</f>
        <v/>
      </c>
      <c r="K29" s="11" t="str">
        <f aca="false">Runs!O1371</f>
        <v/>
      </c>
      <c r="L29" s="11" t="str">
        <f aca="false">Runs!O1382</f>
        <v/>
      </c>
      <c r="M29" s="11" t="n">
        <f aca="false">Runs!O1393</f>
        <v>1</v>
      </c>
      <c r="N29" s="11" t="n">
        <f aca="false">Runs!O1404</f>
        <v>1</v>
      </c>
      <c r="O29" s="11" t="n">
        <f aca="false">Runs!O1415</f>
        <v>1</v>
      </c>
      <c r="P29" s="11" t="str">
        <f aca="false">Runs!O1426</f>
        <v/>
      </c>
      <c r="Q29" s="16" t="n">
        <f aca="false">IF(COUNT(G29:P29)=0,"",AVERAGE(G29:P29))</f>
        <v>1</v>
      </c>
      <c r="R29" s="16" t="n">
        <f aca="false">IF(COUNT(G29:P29)&lt;2,"",STDEV(G29:P29))</f>
        <v>0</v>
      </c>
      <c r="S29" s="6" t="n">
        <f aca="false">COUNT(G29:P29)</f>
        <v>5</v>
      </c>
    </row>
    <row r="30" customFormat="false" ht="15" hidden="false" customHeight="false" outlineLevel="0" collapsed="false">
      <c r="A30" s="6" t="s">
        <v>48</v>
      </c>
      <c r="B30" s="6" t="s">
        <v>43</v>
      </c>
      <c r="C30" s="6" t="s">
        <v>49</v>
      </c>
      <c r="D30" s="6" t="s">
        <v>115</v>
      </c>
      <c r="E30" s="6" t="n">
        <v>4</v>
      </c>
      <c r="F30" s="6" t="s">
        <v>74</v>
      </c>
      <c r="G30" s="11" t="n">
        <f aca="false">Runs!O1328</f>
        <v>1</v>
      </c>
      <c r="H30" s="11" t="str">
        <f aca="false">Runs!O1339</f>
        <v/>
      </c>
      <c r="I30" s="11" t="n">
        <f aca="false">Runs!O1350</f>
        <v>1</v>
      </c>
      <c r="J30" s="11" t="str">
        <f aca="false">Runs!O1361</f>
        <v/>
      </c>
      <c r="K30" s="11" t="str">
        <f aca="false">Runs!O1372</f>
        <v/>
      </c>
      <c r="L30" s="11" t="str">
        <f aca="false">Runs!O1383</f>
        <v/>
      </c>
      <c r="M30" s="11" t="n">
        <f aca="false">Runs!O1394</f>
        <v>1</v>
      </c>
      <c r="N30" s="11" t="n">
        <f aca="false">Runs!O1405</f>
        <v>1</v>
      </c>
      <c r="O30" s="11" t="n">
        <f aca="false">Runs!O1416</f>
        <v>1</v>
      </c>
      <c r="P30" s="11" t="str">
        <f aca="false">Runs!O1427</f>
        <v/>
      </c>
      <c r="Q30" s="16" t="n">
        <f aca="false">IF(COUNT(G30:P30)=0,"",AVERAGE(G30:P30))</f>
        <v>1</v>
      </c>
      <c r="R30" s="16" t="n">
        <f aca="false">IF(COUNT(G30:P30)&lt;2,"",STDEV(G30:P30))</f>
        <v>0</v>
      </c>
      <c r="S30" s="6" t="n">
        <f aca="false">COUNT(G30:P30)</f>
        <v>5</v>
      </c>
    </row>
    <row r="31" customFormat="false" ht="15" hidden="false" customHeight="false" outlineLevel="0" collapsed="false">
      <c r="A31" s="6" t="s">
        <v>48</v>
      </c>
      <c r="B31" s="6" t="s">
        <v>43</v>
      </c>
      <c r="C31" s="6" t="s">
        <v>49</v>
      </c>
      <c r="D31" s="6" t="s">
        <v>115</v>
      </c>
      <c r="E31" s="6" t="n">
        <v>4</v>
      </c>
      <c r="F31" s="6" t="s">
        <v>75</v>
      </c>
      <c r="G31" s="11" t="n">
        <f aca="false">Runs!O1329</f>
        <v>1</v>
      </c>
      <c r="H31" s="11" t="str">
        <f aca="false">Runs!O1340</f>
        <v/>
      </c>
      <c r="I31" s="11" t="n">
        <f aca="false">Runs!O1351</f>
        <v>1</v>
      </c>
      <c r="J31" s="11" t="str">
        <f aca="false">Runs!O1362</f>
        <v/>
      </c>
      <c r="K31" s="11" t="str">
        <f aca="false">Runs!O1373</f>
        <v/>
      </c>
      <c r="L31" s="11" t="str">
        <f aca="false">Runs!O1384</f>
        <v/>
      </c>
      <c r="M31" s="11" t="n">
        <f aca="false">Runs!O1395</f>
        <v>1</v>
      </c>
      <c r="N31" s="11" t="n">
        <f aca="false">Runs!O1406</f>
        <v>1</v>
      </c>
      <c r="O31" s="11" t="n">
        <f aca="false">Runs!O1417</f>
        <v>1</v>
      </c>
      <c r="P31" s="11" t="str">
        <f aca="false">Runs!O1428</f>
        <v/>
      </c>
      <c r="Q31" s="16" t="n">
        <f aca="false">IF(COUNT(G31:P31)=0,"",AVERAGE(G31:P31))</f>
        <v>1</v>
      </c>
      <c r="R31" s="16" t="n">
        <f aca="false">IF(COUNT(G31:P31)&lt;2,"",STDEV(G31:P31))</f>
        <v>0</v>
      </c>
      <c r="S31" s="6" t="n">
        <f aca="false">COUNT(G31:P31)</f>
        <v>5</v>
      </c>
    </row>
    <row r="32" customFormat="false" ht="15" hidden="false" customHeight="false" outlineLevel="0" collapsed="false">
      <c r="A32" s="6" t="s">
        <v>48</v>
      </c>
      <c r="B32" s="6" t="s">
        <v>43</v>
      </c>
      <c r="C32" s="6" t="s">
        <v>49</v>
      </c>
      <c r="D32" s="6" t="s">
        <v>115</v>
      </c>
      <c r="E32" s="6" t="n">
        <v>4</v>
      </c>
      <c r="F32" s="6" t="s">
        <v>76</v>
      </c>
      <c r="G32" s="11" t="n">
        <f aca="false">Runs!O1330</f>
        <v>1</v>
      </c>
      <c r="H32" s="11" t="str">
        <f aca="false">Runs!O1341</f>
        <v/>
      </c>
      <c r="I32" s="11" t="n">
        <f aca="false">Runs!O1352</f>
        <v>1</v>
      </c>
      <c r="J32" s="11" t="str">
        <f aca="false">Runs!O1363</f>
        <v/>
      </c>
      <c r="K32" s="11" t="str">
        <f aca="false">Runs!O1374</f>
        <v/>
      </c>
      <c r="L32" s="11" t="str">
        <f aca="false">Runs!O1385</f>
        <v/>
      </c>
      <c r="M32" s="11" t="n">
        <f aca="false">Runs!O1396</f>
        <v>1</v>
      </c>
      <c r="N32" s="11" t="n">
        <f aca="false">Runs!O1407</f>
        <v>1</v>
      </c>
      <c r="O32" s="11" t="n">
        <f aca="false">Runs!O1418</f>
        <v>1</v>
      </c>
      <c r="P32" s="11" t="str">
        <f aca="false">Runs!O1429</f>
        <v/>
      </c>
      <c r="Q32" s="16" t="n">
        <f aca="false">IF(COUNT(G32:P32)=0,"",AVERAGE(G32:P32))</f>
        <v>1</v>
      </c>
      <c r="R32" s="16" t="n">
        <f aca="false">IF(COUNT(G32:P32)&lt;2,"",STDEV(G32:P32))</f>
        <v>0</v>
      </c>
      <c r="S32" s="6" t="n">
        <f aca="false">COUNT(G32:P32)</f>
        <v>5</v>
      </c>
    </row>
    <row r="33" customFormat="false" ht="15" hidden="false" customHeight="false" outlineLevel="0" collapsed="false">
      <c r="A33" s="6" t="s">
        <v>48</v>
      </c>
      <c r="B33" s="6" t="s">
        <v>43</v>
      </c>
      <c r="C33" s="6" t="s">
        <v>49</v>
      </c>
      <c r="D33" s="6" t="s">
        <v>115</v>
      </c>
      <c r="E33" s="6" t="n">
        <v>4</v>
      </c>
      <c r="F33" s="6" t="s">
        <v>77</v>
      </c>
      <c r="G33" s="11" t="n">
        <f aca="false">Runs!O1331</f>
        <v>0.952380952380952</v>
      </c>
      <c r="H33" s="11" t="n">
        <f aca="false">Runs!O1342</f>
        <v>0.5</v>
      </c>
      <c r="I33" s="11" t="n">
        <f aca="false">Runs!O1353</f>
        <v>0.952380952380952</v>
      </c>
      <c r="J33" s="11" t="n">
        <f aca="false">Runs!O1364</f>
        <v>0.5</v>
      </c>
      <c r="K33" s="11" t="n">
        <f aca="false">Runs!O1375</f>
        <v>0.5</v>
      </c>
      <c r="L33" s="11" t="n">
        <f aca="false">Runs!O1386</f>
        <v>0.5</v>
      </c>
      <c r="M33" s="11" t="n">
        <f aca="false">Runs!O1397</f>
        <v>0.952380952380952</v>
      </c>
      <c r="N33" s="11" t="n">
        <f aca="false">Runs!O1408</f>
        <v>0.952380952380952</v>
      </c>
      <c r="O33" s="11" t="n">
        <f aca="false">Runs!O1419</f>
        <v>0.952380952380952</v>
      </c>
      <c r="P33" s="11" t="n">
        <f aca="false">Runs!O1430</f>
        <v>0.5</v>
      </c>
      <c r="Q33" s="16" t="n">
        <f aca="false">IF(COUNT(G33:P33)=0,"",AVERAGE(G33:P33))</f>
        <v>0.726190476190476</v>
      </c>
      <c r="R33" s="16" t="n">
        <f aca="false">IF(COUNT(G33:P33)&lt;2,"",STDEV(G33:P33))</f>
        <v>0.238425696599997</v>
      </c>
      <c r="S33" s="6" t="n">
        <f aca="false">COUNT(G33:P33)</f>
        <v>10</v>
      </c>
    </row>
    <row r="34" customFormat="false" ht="15" hidden="false" customHeight="false" outlineLevel="0" collapsed="false">
      <c r="A34" s="17" t="s">
        <v>48</v>
      </c>
      <c r="B34" s="17" t="s">
        <v>43</v>
      </c>
      <c r="C34" s="17" t="s">
        <v>49</v>
      </c>
      <c r="D34" s="17" t="s">
        <v>115</v>
      </c>
      <c r="E34" s="17" t="n">
        <v>4</v>
      </c>
      <c r="F34" s="17" t="s">
        <v>78</v>
      </c>
      <c r="G34" s="18" t="n">
        <f aca="false">Runs!O1332</f>
        <v>0.995024875621891</v>
      </c>
      <c r="H34" s="18" t="n">
        <f aca="false">Runs!O1343</f>
        <v>0.5</v>
      </c>
      <c r="I34" s="18" t="n">
        <f aca="false">Runs!O1354</f>
        <v>0.995024875621891</v>
      </c>
      <c r="J34" s="18" t="n">
        <f aca="false">Runs!O1365</f>
        <v>0.5</v>
      </c>
      <c r="K34" s="18" t="n">
        <f aca="false">Runs!O1376</f>
        <v>0.5</v>
      </c>
      <c r="L34" s="18" t="n">
        <f aca="false">Runs!O1387</f>
        <v>0.5</v>
      </c>
      <c r="M34" s="18" t="n">
        <f aca="false">Runs!O1398</f>
        <v>0.995024875621891</v>
      </c>
      <c r="N34" s="18" t="n">
        <f aca="false">Runs!O1409</f>
        <v>0.995024875621891</v>
      </c>
      <c r="O34" s="18" t="n">
        <f aca="false">Runs!O1420</f>
        <v>0.995024875621891</v>
      </c>
      <c r="P34" s="18" t="n">
        <f aca="false">Runs!O1431</f>
        <v>0.5</v>
      </c>
      <c r="Q34" s="19" t="n">
        <f aca="false">IF(COUNT(G34:P34)=0,"",AVERAGE(G34:P34))</f>
        <v>0.747512437810945</v>
      </c>
      <c r="R34" s="19" t="n">
        <f aca="false">IF(COUNT(G34:P34)&lt;2,"",STDEV(G34:P34))</f>
        <v>0.260901017567789</v>
      </c>
      <c r="S34" s="20" t="n">
        <f aca="false">COUNT(G34:P34)</f>
        <v>10</v>
      </c>
    </row>
    <row r="35" customFormat="false" ht="15" hidden="false" customHeight="false" outlineLevel="0" collapsed="false">
      <c r="A35" s="6" t="s">
        <v>50</v>
      </c>
      <c r="B35" s="6" t="s">
        <v>43</v>
      </c>
      <c r="C35" s="6" t="s">
        <v>51</v>
      </c>
      <c r="D35" s="6" t="s">
        <v>115</v>
      </c>
      <c r="E35" s="6" t="n">
        <v>1</v>
      </c>
      <c r="F35" s="6" t="s">
        <v>68</v>
      </c>
      <c r="G35" s="11" t="str">
        <f aca="false">Runs!O1432</f>
        <v/>
      </c>
      <c r="H35" s="11" t="str">
        <f aca="false">Runs!O1443</f>
        <v/>
      </c>
      <c r="I35" s="11" t="str">
        <f aca="false">Runs!O1454</f>
        <v/>
      </c>
      <c r="J35" s="11" t="n">
        <f aca="false">Runs!O1465</f>
        <v>1</v>
      </c>
      <c r="K35" s="11" t="str">
        <f aca="false">Runs!O1476</f>
        <v/>
      </c>
      <c r="L35" s="11" t="str">
        <f aca="false">Runs!O1487</f>
        <v/>
      </c>
      <c r="M35" s="11" t="str">
        <f aca="false">Runs!O1498</f>
        <v/>
      </c>
      <c r="N35" s="11" t="str">
        <f aca="false">Runs!O1509</f>
        <v/>
      </c>
      <c r="O35" s="11" t="n">
        <f aca="false">Runs!O1520</f>
        <v>1</v>
      </c>
      <c r="P35" s="11" t="str">
        <f aca="false">Runs!O1531</f>
        <v/>
      </c>
      <c r="Q35" s="16" t="n">
        <f aca="false">IF(COUNT(G35:P35)=0,"",AVERAGE(G35:P35))</f>
        <v>1</v>
      </c>
      <c r="R35" s="16" t="n">
        <f aca="false">IF(COUNT(G35:P35)&lt;2,"",STDEV(G35:P35))</f>
        <v>0</v>
      </c>
      <c r="S35" s="6" t="n">
        <f aca="false">COUNT(G35:P35)</f>
        <v>2</v>
      </c>
    </row>
    <row r="36" customFormat="false" ht="15" hidden="false" customHeight="false" outlineLevel="0" collapsed="false">
      <c r="A36" s="6" t="s">
        <v>50</v>
      </c>
      <c r="B36" s="6" t="s">
        <v>43</v>
      </c>
      <c r="C36" s="6" t="s">
        <v>51</v>
      </c>
      <c r="D36" s="6" t="s">
        <v>115</v>
      </c>
      <c r="E36" s="6" t="n">
        <v>1</v>
      </c>
      <c r="F36" s="6" t="s">
        <v>69</v>
      </c>
      <c r="G36" s="11" t="str">
        <f aca="false">Runs!O1433</f>
        <v/>
      </c>
      <c r="H36" s="11" t="str">
        <f aca="false">Runs!O1444</f>
        <v/>
      </c>
      <c r="I36" s="11" t="str">
        <f aca="false">Runs!O1455</f>
        <v/>
      </c>
      <c r="J36" s="11" t="n">
        <f aca="false">Runs!O1466</f>
        <v>1</v>
      </c>
      <c r="K36" s="11" t="str">
        <f aca="false">Runs!O1477</f>
        <v/>
      </c>
      <c r="L36" s="11" t="str">
        <f aca="false">Runs!O1488</f>
        <v/>
      </c>
      <c r="M36" s="11" t="str">
        <f aca="false">Runs!O1499</f>
        <v/>
      </c>
      <c r="N36" s="11" t="str">
        <f aca="false">Runs!O1510</f>
        <v/>
      </c>
      <c r="O36" s="11" t="n">
        <f aca="false">Runs!O1521</f>
        <v>1</v>
      </c>
      <c r="P36" s="11" t="str">
        <f aca="false">Runs!O1532</f>
        <v/>
      </c>
      <c r="Q36" s="16" t="n">
        <f aca="false">IF(COUNT(G36:P36)=0,"",AVERAGE(G36:P36))</f>
        <v>1</v>
      </c>
      <c r="R36" s="16" t="n">
        <f aca="false">IF(COUNT(G36:P36)&lt;2,"",STDEV(G36:P36))</f>
        <v>0</v>
      </c>
      <c r="S36" s="6" t="n">
        <f aca="false">COUNT(G36:P36)</f>
        <v>2</v>
      </c>
    </row>
    <row r="37" customFormat="false" ht="15" hidden="false" customHeight="false" outlineLevel="0" collapsed="false">
      <c r="A37" s="6" t="s">
        <v>50</v>
      </c>
      <c r="B37" s="6" t="s">
        <v>43</v>
      </c>
      <c r="C37" s="6" t="s">
        <v>51</v>
      </c>
      <c r="D37" s="6" t="s">
        <v>115</v>
      </c>
      <c r="E37" s="6" t="n">
        <v>1</v>
      </c>
      <c r="F37" s="6" t="s">
        <v>70</v>
      </c>
      <c r="G37" s="11" t="str">
        <f aca="false">Runs!O1434</f>
        <v/>
      </c>
      <c r="H37" s="11" t="str">
        <f aca="false">Runs!O1445</f>
        <v/>
      </c>
      <c r="I37" s="11" t="str">
        <f aca="false">Runs!O1456</f>
        <v/>
      </c>
      <c r="J37" s="11" t="n">
        <f aca="false">Runs!O1467</f>
        <v>1</v>
      </c>
      <c r="K37" s="11" t="str">
        <f aca="false">Runs!O1478</f>
        <v/>
      </c>
      <c r="L37" s="11" t="str">
        <f aca="false">Runs!O1489</f>
        <v/>
      </c>
      <c r="M37" s="11" t="str">
        <f aca="false">Runs!O1500</f>
        <v/>
      </c>
      <c r="N37" s="11" t="str">
        <f aca="false">Runs!O1511</f>
        <v/>
      </c>
      <c r="O37" s="11" t="n">
        <f aca="false">Runs!O1522</f>
        <v>1</v>
      </c>
      <c r="P37" s="11" t="str">
        <f aca="false">Runs!O1533</f>
        <v/>
      </c>
      <c r="Q37" s="16" t="n">
        <f aca="false">IF(COUNT(G37:P37)=0,"",AVERAGE(G37:P37))</f>
        <v>1</v>
      </c>
      <c r="R37" s="16" t="n">
        <f aca="false">IF(COUNT(G37:P37)&lt;2,"",STDEV(G37:P37))</f>
        <v>0</v>
      </c>
      <c r="S37" s="6" t="n">
        <f aca="false">COUNT(G37:P37)</f>
        <v>2</v>
      </c>
    </row>
    <row r="38" customFormat="false" ht="15" hidden="false" customHeight="false" outlineLevel="0" collapsed="false">
      <c r="A38" s="6" t="s">
        <v>50</v>
      </c>
      <c r="B38" s="6" t="s">
        <v>43</v>
      </c>
      <c r="C38" s="6" t="s">
        <v>51</v>
      </c>
      <c r="D38" s="6" t="s">
        <v>115</v>
      </c>
      <c r="E38" s="6" t="n">
        <v>1</v>
      </c>
      <c r="F38" s="6" t="s">
        <v>71</v>
      </c>
      <c r="G38" s="11" t="str">
        <f aca="false">Runs!O1435</f>
        <v/>
      </c>
      <c r="H38" s="11" t="str">
        <f aca="false">Runs!O1446</f>
        <v/>
      </c>
      <c r="I38" s="11" t="str">
        <f aca="false">Runs!O1457</f>
        <v/>
      </c>
      <c r="J38" s="11" t="n">
        <f aca="false">Runs!O1468</f>
        <v>1</v>
      </c>
      <c r="K38" s="11" t="str">
        <f aca="false">Runs!O1479</f>
        <v/>
      </c>
      <c r="L38" s="11" t="str">
        <f aca="false">Runs!O1490</f>
        <v/>
      </c>
      <c r="M38" s="11" t="str">
        <f aca="false">Runs!O1501</f>
        <v/>
      </c>
      <c r="N38" s="11" t="str">
        <f aca="false">Runs!O1512</f>
        <v/>
      </c>
      <c r="O38" s="11" t="n">
        <f aca="false">Runs!O1523</f>
        <v>1</v>
      </c>
      <c r="P38" s="11" t="str">
        <f aca="false">Runs!O1534</f>
        <v/>
      </c>
      <c r="Q38" s="16" t="n">
        <f aca="false">IF(COUNT(G38:P38)=0,"",AVERAGE(G38:P38))</f>
        <v>1</v>
      </c>
      <c r="R38" s="16" t="n">
        <f aca="false">IF(COUNT(G38:P38)&lt;2,"",STDEV(G38:P38))</f>
        <v>0</v>
      </c>
      <c r="S38" s="6" t="n">
        <f aca="false">COUNT(G38:P38)</f>
        <v>2</v>
      </c>
    </row>
    <row r="39" customFormat="false" ht="15" hidden="false" customHeight="false" outlineLevel="0" collapsed="false">
      <c r="A39" s="6" t="s">
        <v>50</v>
      </c>
      <c r="B39" s="6" t="s">
        <v>43</v>
      </c>
      <c r="C39" s="6" t="s">
        <v>51</v>
      </c>
      <c r="D39" s="6" t="s">
        <v>115</v>
      </c>
      <c r="E39" s="6" t="n">
        <v>1</v>
      </c>
      <c r="F39" s="6" t="s">
        <v>72</v>
      </c>
      <c r="G39" s="11" t="str">
        <f aca="false">Runs!O1436</f>
        <v/>
      </c>
      <c r="H39" s="11" t="str">
        <f aca="false">Runs!O1447</f>
        <v/>
      </c>
      <c r="I39" s="11" t="str">
        <f aca="false">Runs!O1458</f>
        <v/>
      </c>
      <c r="J39" s="11" t="n">
        <f aca="false">Runs!O1469</f>
        <v>1</v>
      </c>
      <c r="K39" s="11" t="str">
        <f aca="false">Runs!O1480</f>
        <v/>
      </c>
      <c r="L39" s="11" t="str">
        <f aca="false">Runs!O1491</f>
        <v/>
      </c>
      <c r="M39" s="11" t="str">
        <f aca="false">Runs!O1502</f>
        <v/>
      </c>
      <c r="N39" s="11" t="str">
        <f aca="false">Runs!O1513</f>
        <v/>
      </c>
      <c r="O39" s="11" t="n">
        <f aca="false">Runs!O1524</f>
        <v>1</v>
      </c>
      <c r="P39" s="11" t="str">
        <f aca="false">Runs!O1535</f>
        <v/>
      </c>
      <c r="Q39" s="16" t="n">
        <f aca="false">IF(COUNT(G39:P39)=0,"",AVERAGE(G39:P39))</f>
        <v>1</v>
      </c>
      <c r="R39" s="16" t="n">
        <f aca="false">IF(COUNT(G39:P39)&lt;2,"",STDEV(G39:P39))</f>
        <v>0</v>
      </c>
      <c r="S39" s="6" t="n">
        <f aca="false">COUNT(G39:P39)</f>
        <v>2</v>
      </c>
    </row>
    <row r="40" customFormat="false" ht="15" hidden="false" customHeight="false" outlineLevel="0" collapsed="false">
      <c r="A40" s="6" t="s">
        <v>50</v>
      </c>
      <c r="B40" s="6" t="s">
        <v>43</v>
      </c>
      <c r="C40" s="6" t="s">
        <v>51</v>
      </c>
      <c r="D40" s="6" t="s">
        <v>115</v>
      </c>
      <c r="E40" s="6" t="n">
        <v>1</v>
      </c>
      <c r="F40" s="6" t="s">
        <v>73</v>
      </c>
      <c r="G40" s="11" t="str">
        <f aca="false">Runs!O1437</f>
        <v/>
      </c>
      <c r="H40" s="11" t="str">
        <f aca="false">Runs!O1448</f>
        <v/>
      </c>
      <c r="I40" s="11" t="str">
        <f aca="false">Runs!O1459</f>
        <v/>
      </c>
      <c r="J40" s="11" t="n">
        <f aca="false">Runs!O1470</f>
        <v>1</v>
      </c>
      <c r="K40" s="11" t="str">
        <f aca="false">Runs!O1481</f>
        <v/>
      </c>
      <c r="L40" s="11" t="str">
        <f aca="false">Runs!O1492</f>
        <v/>
      </c>
      <c r="M40" s="11" t="str">
        <f aca="false">Runs!O1503</f>
        <v/>
      </c>
      <c r="N40" s="11" t="str">
        <f aca="false">Runs!O1514</f>
        <v/>
      </c>
      <c r="O40" s="11" t="n">
        <f aca="false">Runs!O1525</f>
        <v>1</v>
      </c>
      <c r="P40" s="11" t="str">
        <f aca="false">Runs!O1536</f>
        <v/>
      </c>
      <c r="Q40" s="16" t="n">
        <f aca="false">IF(COUNT(G40:P40)=0,"",AVERAGE(G40:P40))</f>
        <v>1</v>
      </c>
      <c r="R40" s="16" t="n">
        <f aca="false">IF(COUNT(G40:P40)&lt;2,"",STDEV(G40:P40))</f>
        <v>0</v>
      </c>
      <c r="S40" s="6" t="n">
        <f aca="false">COUNT(G40:P40)</f>
        <v>2</v>
      </c>
    </row>
    <row r="41" customFormat="false" ht="15" hidden="false" customHeight="false" outlineLevel="0" collapsed="false">
      <c r="A41" s="6" t="s">
        <v>50</v>
      </c>
      <c r="B41" s="6" t="s">
        <v>43</v>
      </c>
      <c r="C41" s="6" t="s">
        <v>51</v>
      </c>
      <c r="D41" s="6" t="s">
        <v>115</v>
      </c>
      <c r="E41" s="6" t="n">
        <v>1</v>
      </c>
      <c r="F41" s="6" t="s">
        <v>74</v>
      </c>
      <c r="G41" s="11" t="str">
        <f aca="false">Runs!O1438</f>
        <v/>
      </c>
      <c r="H41" s="11" t="str">
        <f aca="false">Runs!O1449</f>
        <v/>
      </c>
      <c r="I41" s="11" t="str">
        <f aca="false">Runs!O1460</f>
        <v/>
      </c>
      <c r="J41" s="11" t="n">
        <f aca="false">Runs!O1471</f>
        <v>1</v>
      </c>
      <c r="K41" s="11" t="str">
        <f aca="false">Runs!O1482</f>
        <v/>
      </c>
      <c r="L41" s="11" t="str">
        <f aca="false">Runs!O1493</f>
        <v/>
      </c>
      <c r="M41" s="11" t="str">
        <f aca="false">Runs!O1504</f>
        <v/>
      </c>
      <c r="N41" s="11" t="str">
        <f aca="false">Runs!O1515</f>
        <v/>
      </c>
      <c r="O41" s="11" t="n">
        <f aca="false">Runs!O1526</f>
        <v>1</v>
      </c>
      <c r="P41" s="11" t="str">
        <f aca="false">Runs!O1537</f>
        <v/>
      </c>
      <c r="Q41" s="16" t="n">
        <f aca="false">IF(COUNT(G41:P41)=0,"",AVERAGE(G41:P41))</f>
        <v>1</v>
      </c>
      <c r="R41" s="16" t="n">
        <f aca="false">IF(COUNT(G41:P41)&lt;2,"",STDEV(G41:P41))</f>
        <v>0</v>
      </c>
      <c r="S41" s="6" t="n">
        <f aca="false">COUNT(G41:P41)</f>
        <v>2</v>
      </c>
    </row>
    <row r="42" customFormat="false" ht="15" hidden="false" customHeight="false" outlineLevel="0" collapsed="false">
      <c r="A42" s="6" t="s">
        <v>50</v>
      </c>
      <c r="B42" s="6" t="s">
        <v>43</v>
      </c>
      <c r="C42" s="6" t="s">
        <v>51</v>
      </c>
      <c r="D42" s="6" t="s">
        <v>115</v>
      </c>
      <c r="E42" s="6" t="n">
        <v>1</v>
      </c>
      <c r="F42" s="6" t="s">
        <v>75</v>
      </c>
      <c r="G42" s="11" t="str">
        <f aca="false">Runs!O1439</f>
        <v/>
      </c>
      <c r="H42" s="11" t="str">
        <f aca="false">Runs!O1450</f>
        <v/>
      </c>
      <c r="I42" s="11" t="str">
        <f aca="false">Runs!O1461</f>
        <v/>
      </c>
      <c r="J42" s="11" t="n">
        <f aca="false">Runs!O1472</f>
        <v>1</v>
      </c>
      <c r="K42" s="11" t="str">
        <f aca="false">Runs!O1483</f>
        <v/>
      </c>
      <c r="L42" s="11" t="str">
        <f aca="false">Runs!O1494</f>
        <v/>
      </c>
      <c r="M42" s="11" t="str">
        <f aca="false">Runs!O1505</f>
        <v/>
      </c>
      <c r="N42" s="11" t="str">
        <f aca="false">Runs!O1516</f>
        <v/>
      </c>
      <c r="O42" s="11" t="n">
        <f aca="false">Runs!O1527</f>
        <v>1</v>
      </c>
      <c r="P42" s="11" t="str">
        <f aca="false">Runs!O1538</f>
        <v/>
      </c>
      <c r="Q42" s="16" t="n">
        <f aca="false">IF(COUNT(G42:P42)=0,"",AVERAGE(G42:P42))</f>
        <v>1</v>
      </c>
      <c r="R42" s="16" t="n">
        <f aca="false">IF(COUNT(G42:P42)&lt;2,"",STDEV(G42:P42))</f>
        <v>0</v>
      </c>
      <c r="S42" s="6" t="n">
        <f aca="false">COUNT(G42:P42)</f>
        <v>2</v>
      </c>
    </row>
    <row r="43" customFormat="false" ht="15" hidden="false" customHeight="false" outlineLevel="0" collapsed="false">
      <c r="A43" s="6" t="s">
        <v>50</v>
      </c>
      <c r="B43" s="6" t="s">
        <v>43</v>
      </c>
      <c r="C43" s="6" t="s">
        <v>51</v>
      </c>
      <c r="D43" s="6" t="s">
        <v>115</v>
      </c>
      <c r="E43" s="6" t="n">
        <v>1</v>
      </c>
      <c r="F43" s="6" t="s">
        <v>76</v>
      </c>
      <c r="G43" s="11" t="str">
        <f aca="false">Runs!O1440</f>
        <v/>
      </c>
      <c r="H43" s="11" t="str">
        <f aca="false">Runs!O1451</f>
        <v/>
      </c>
      <c r="I43" s="11" t="str">
        <f aca="false">Runs!O1462</f>
        <v/>
      </c>
      <c r="J43" s="11" t="n">
        <f aca="false">Runs!O1473</f>
        <v>1</v>
      </c>
      <c r="K43" s="11" t="str">
        <f aca="false">Runs!O1484</f>
        <v/>
      </c>
      <c r="L43" s="11" t="str">
        <f aca="false">Runs!O1495</f>
        <v/>
      </c>
      <c r="M43" s="11" t="str">
        <f aca="false">Runs!O1506</f>
        <v/>
      </c>
      <c r="N43" s="11" t="str">
        <f aca="false">Runs!O1517</f>
        <v/>
      </c>
      <c r="O43" s="11" t="n">
        <f aca="false">Runs!O1528</f>
        <v>1</v>
      </c>
      <c r="P43" s="11" t="str">
        <f aca="false">Runs!O1539</f>
        <v/>
      </c>
      <c r="Q43" s="16" t="n">
        <f aca="false">IF(COUNT(G43:P43)=0,"",AVERAGE(G43:P43))</f>
        <v>1</v>
      </c>
      <c r="R43" s="16" t="n">
        <f aca="false">IF(COUNT(G43:P43)&lt;2,"",STDEV(G43:P43))</f>
        <v>0</v>
      </c>
      <c r="S43" s="6" t="n">
        <f aca="false">COUNT(G43:P43)</f>
        <v>2</v>
      </c>
    </row>
    <row r="44" customFormat="false" ht="15" hidden="false" customHeight="false" outlineLevel="0" collapsed="false">
      <c r="A44" s="6" t="s">
        <v>50</v>
      </c>
      <c r="B44" s="6" t="s">
        <v>43</v>
      </c>
      <c r="C44" s="6" t="s">
        <v>51</v>
      </c>
      <c r="D44" s="6" t="s">
        <v>115</v>
      </c>
      <c r="E44" s="6" t="n">
        <v>1</v>
      </c>
      <c r="F44" s="6" t="s">
        <v>77</v>
      </c>
      <c r="G44" s="11" t="n">
        <f aca="false">Runs!O1441</f>
        <v>0.5</v>
      </c>
      <c r="H44" s="11" t="n">
        <f aca="false">Runs!O1452</f>
        <v>0.5</v>
      </c>
      <c r="I44" s="11" t="n">
        <f aca="false">Runs!O1463</f>
        <v>0.5</v>
      </c>
      <c r="J44" s="11" t="n">
        <f aca="false">Runs!O1474</f>
        <v>0.952380952380952</v>
      </c>
      <c r="K44" s="11" t="n">
        <f aca="false">Runs!O1485</f>
        <v>0.5</v>
      </c>
      <c r="L44" s="11" t="n">
        <f aca="false">Runs!O1496</f>
        <v>0.5</v>
      </c>
      <c r="M44" s="11" t="n">
        <f aca="false">Runs!O1507</f>
        <v>0.5</v>
      </c>
      <c r="N44" s="11" t="n">
        <f aca="false">Runs!O1518</f>
        <v>0.5</v>
      </c>
      <c r="O44" s="11" t="n">
        <f aca="false">Runs!O1529</f>
        <v>0.95</v>
      </c>
      <c r="P44" s="11" t="n">
        <f aca="false">Runs!O1540</f>
        <v>0.5</v>
      </c>
      <c r="Q44" s="16" t="n">
        <f aca="false">IF(COUNT(G44:P44)=0,"",AVERAGE(G44:P44))</f>
        <v>0.590238095238095</v>
      </c>
      <c r="R44" s="16" t="n">
        <f aca="false">IF(COUNT(G44:P44)&lt;2,"",STDEV(G44:P44))</f>
        <v>0.190239436195286</v>
      </c>
      <c r="S44" s="6" t="n">
        <f aca="false">COUNT(G44:P44)</f>
        <v>10</v>
      </c>
    </row>
    <row r="45" customFormat="false" ht="15" hidden="false" customHeight="false" outlineLevel="0" collapsed="false">
      <c r="A45" s="17" t="s">
        <v>50</v>
      </c>
      <c r="B45" s="17" t="s">
        <v>43</v>
      </c>
      <c r="C45" s="17" t="s">
        <v>51</v>
      </c>
      <c r="D45" s="17" t="s">
        <v>115</v>
      </c>
      <c r="E45" s="17" t="n">
        <v>1</v>
      </c>
      <c r="F45" s="17" t="s">
        <v>78</v>
      </c>
      <c r="G45" s="18" t="n">
        <f aca="false">Runs!O1442</f>
        <v>0.5</v>
      </c>
      <c r="H45" s="18" t="n">
        <f aca="false">Runs!O1453</f>
        <v>0.5</v>
      </c>
      <c r="I45" s="18" t="n">
        <f aca="false">Runs!O1464</f>
        <v>0.5</v>
      </c>
      <c r="J45" s="18" t="n">
        <f aca="false">Runs!O1475</f>
        <v>0.995024875621891</v>
      </c>
      <c r="K45" s="18" t="n">
        <f aca="false">Runs!O1486</f>
        <v>0.5</v>
      </c>
      <c r="L45" s="18" t="n">
        <f aca="false">Runs!O1497</f>
        <v>0.5</v>
      </c>
      <c r="M45" s="18" t="n">
        <f aca="false">Runs!O1508</f>
        <v>0.5</v>
      </c>
      <c r="N45" s="18" t="n">
        <f aca="false">Runs!O1519</f>
        <v>0.5</v>
      </c>
      <c r="O45" s="18" t="n">
        <f aca="false">Runs!O1530</f>
        <v>0.994818652849741</v>
      </c>
      <c r="P45" s="18" t="n">
        <f aca="false">Runs!O1541</f>
        <v>0.5</v>
      </c>
      <c r="Q45" s="19" t="n">
        <f aca="false">IF(COUNT(G45:P45)=0,"",AVERAGE(G45:P45))</f>
        <v>0.598984352847163</v>
      </c>
      <c r="R45" s="19" t="n">
        <f aca="false">IF(COUNT(G45:P45)&lt;2,"",STDEV(G45:P45))</f>
        <v>0.208677344137569</v>
      </c>
      <c r="S45" s="20" t="n">
        <f aca="false">COUNT(G45:P45)</f>
        <v>10</v>
      </c>
    </row>
    <row r="46" customFormat="false" ht="15" hidden="false" customHeight="false" outlineLevel="0" collapsed="false">
      <c r="A46" s="6" t="s">
        <v>52</v>
      </c>
      <c r="B46" s="6" t="s">
        <v>43</v>
      </c>
      <c r="C46" s="6" t="s">
        <v>51</v>
      </c>
      <c r="D46" s="6" t="s">
        <v>116</v>
      </c>
      <c r="E46" s="6" t="n">
        <v>16</v>
      </c>
      <c r="F46" s="6" t="s">
        <v>68</v>
      </c>
      <c r="G46" s="11" t="str">
        <f aca="false">Runs!O1542</f>
        <v/>
      </c>
      <c r="H46" s="11" t="str">
        <f aca="false">Runs!O1553</f>
        <v/>
      </c>
      <c r="I46" s="11" t="str">
        <f aca="false">Runs!O1564</f>
        <v/>
      </c>
      <c r="J46" s="11" t="str">
        <f aca="false">Runs!O1575</f>
        <v/>
      </c>
      <c r="K46" s="11" t="str">
        <f aca="false">Runs!O1586</f>
        <v/>
      </c>
      <c r="L46" s="11" t="str">
        <f aca="false">Runs!O1597</f>
        <v/>
      </c>
      <c r="M46" s="11" t="str">
        <f aca="false">Runs!O1608</f>
        <v/>
      </c>
      <c r="N46" s="11" t="str">
        <f aca="false">Runs!O1619</f>
        <v/>
      </c>
      <c r="O46" s="11" t="str">
        <f aca="false">Runs!O1630</f>
        <v/>
      </c>
      <c r="P46" s="11" t="str">
        <f aca="false">Runs!O1641</f>
        <v/>
      </c>
      <c r="Q46" s="16" t="str">
        <f aca="false">IF(COUNT(G46:P46)=0,"",AVERAGE(G46:P46))</f>
        <v/>
      </c>
      <c r="R46" s="16" t="str">
        <f aca="false">IF(COUNT(G46:P46)&lt;2,"",STDEV(G46:P46))</f>
        <v/>
      </c>
      <c r="S46" s="6" t="n">
        <f aca="false">COUNT(G46:P46)</f>
        <v>0</v>
      </c>
    </row>
    <row r="47" customFormat="false" ht="15" hidden="false" customHeight="false" outlineLevel="0" collapsed="false">
      <c r="A47" s="6" t="s">
        <v>52</v>
      </c>
      <c r="B47" s="6" t="s">
        <v>43</v>
      </c>
      <c r="C47" s="6" t="s">
        <v>51</v>
      </c>
      <c r="D47" s="6" t="s">
        <v>116</v>
      </c>
      <c r="E47" s="6" t="n">
        <v>16</v>
      </c>
      <c r="F47" s="6" t="s">
        <v>69</v>
      </c>
      <c r="G47" s="11" t="str">
        <f aca="false">Runs!O1543</f>
        <v/>
      </c>
      <c r="H47" s="11" t="str">
        <f aca="false">Runs!O1554</f>
        <v/>
      </c>
      <c r="I47" s="11" t="str">
        <f aca="false">Runs!O1565</f>
        <v/>
      </c>
      <c r="J47" s="11" t="str">
        <f aca="false">Runs!O1576</f>
        <v/>
      </c>
      <c r="K47" s="11" t="n">
        <f aca="false">Runs!O1587</f>
        <v>1</v>
      </c>
      <c r="L47" s="11" t="str">
        <f aca="false">Runs!O1598</f>
        <v/>
      </c>
      <c r="M47" s="11" t="str">
        <f aca="false">Runs!O1609</f>
        <v/>
      </c>
      <c r="N47" s="11" t="str">
        <f aca="false">Runs!O1620</f>
        <v/>
      </c>
      <c r="O47" s="11" t="str">
        <f aca="false">Runs!O1631</f>
        <v/>
      </c>
      <c r="P47" s="11" t="str">
        <f aca="false">Runs!O1642</f>
        <v/>
      </c>
      <c r="Q47" s="16" t="n">
        <f aca="false">IF(COUNT(G47:P47)=0,"",AVERAGE(G47:P47))</f>
        <v>1</v>
      </c>
      <c r="R47" s="16" t="str">
        <f aca="false">IF(COUNT(G47:P47)&lt;2,"",STDEV(G47:P47))</f>
        <v/>
      </c>
      <c r="S47" s="6" t="n">
        <f aca="false">COUNT(G47:P47)</f>
        <v>1</v>
      </c>
    </row>
    <row r="48" customFormat="false" ht="15" hidden="false" customHeight="false" outlineLevel="0" collapsed="false">
      <c r="A48" s="6" t="s">
        <v>52</v>
      </c>
      <c r="B48" s="6" t="s">
        <v>43</v>
      </c>
      <c r="C48" s="6" t="s">
        <v>51</v>
      </c>
      <c r="D48" s="6" t="s">
        <v>116</v>
      </c>
      <c r="E48" s="6" t="n">
        <v>16</v>
      </c>
      <c r="F48" s="6" t="s">
        <v>70</v>
      </c>
      <c r="G48" s="11" t="str">
        <f aca="false">Runs!O1544</f>
        <v/>
      </c>
      <c r="H48" s="11" t="str">
        <f aca="false">Runs!O1555</f>
        <v/>
      </c>
      <c r="I48" s="11" t="str">
        <f aca="false">Runs!O1566</f>
        <v/>
      </c>
      <c r="J48" s="11" t="str">
        <f aca="false">Runs!O1577</f>
        <v/>
      </c>
      <c r="K48" s="11" t="str">
        <f aca="false">Runs!O1588</f>
        <v/>
      </c>
      <c r="L48" s="11" t="str">
        <f aca="false">Runs!O1599</f>
        <v/>
      </c>
      <c r="M48" s="11" t="str">
        <f aca="false">Runs!O1610</f>
        <v/>
      </c>
      <c r="N48" s="11" t="n">
        <f aca="false">Runs!O1621</f>
        <v>1</v>
      </c>
      <c r="O48" s="11" t="str">
        <f aca="false">Runs!O1632</f>
        <v/>
      </c>
      <c r="P48" s="11" t="str">
        <f aca="false">Runs!O1643</f>
        <v/>
      </c>
      <c r="Q48" s="16" t="n">
        <f aca="false">IF(COUNT(G48:P48)=0,"",AVERAGE(G48:P48))</f>
        <v>1</v>
      </c>
      <c r="R48" s="16" t="str">
        <f aca="false">IF(COUNT(G48:P48)&lt;2,"",STDEV(G48:P48))</f>
        <v/>
      </c>
      <c r="S48" s="6" t="n">
        <f aca="false">COUNT(G48:P48)</f>
        <v>1</v>
      </c>
    </row>
    <row r="49" customFormat="false" ht="15" hidden="false" customHeight="false" outlineLevel="0" collapsed="false">
      <c r="A49" s="6" t="s">
        <v>52</v>
      </c>
      <c r="B49" s="6" t="s">
        <v>43</v>
      </c>
      <c r="C49" s="6" t="s">
        <v>51</v>
      </c>
      <c r="D49" s="6" t="s">
        <v>116</v>
      </c>
      <c r="E49" s="6" t="n">
        <v>16</v>
      </c>
      <c r="F49" s="6" t="s">
        <v>71</v>
      </c>
      <c r="G49" s="11" t="str">
        <f aca="false">Runs!O1545</f>
        <v/>
      </c>
      <c r="H49" s="11" t="str">
        <f aca="false">Runs!O1556</f>
        <v/>
      </c>
      <c r="I49" s="11" t="str">
        <f aca="false">Runs!O1567</f>
        <v/>
      </c>
      <c r="J49" s="11" t="str">
        <f aca="false">Runs!O1578</f>
        <v/>
      </c>
      <c r="K49" s="11" t="str">
        <f aca="false">Runs!O1589</f>
        <v/>
      </c>
      <c r="L49" s="11" t="str">
        <f aca="false">Runs!O1600</f>
        <v/>
      </c>
      <c r="M49" s="11" t="n">
        <f aca="false">Runs!O1611</f>
        <v>1</v>
      </c>
      <c r="N49" s="11" t="str">
        <f aca="false">Runs!O1622</f>
        <v/>
      </c>
      <c r="O49" s="11" t="str">
        <f aca="false">Runs!O1633</f>
        <v/>
      </c>
      <c r="P49" s="11" t="str">
        <f aca="false">Runs!O1644</f>
        <v/>
      </c>
      <c r="Q49" s="16" t="n">
        <f aca="false">IF(COUNT(G49:P49)=0,"",AVERAGE(G49:P49))</f>
        <v>1</v>
      </c>
      <c r="R49" s="16" t="str">
        <f aca="false">IF(COUNT(G49:P49)&lt;2,"",STDEV(G49:P49))</f>
        <v/>
      </c>
      <c r="S49" s="6" t="n">
        <f aca="false">COUNT(G49:P49)</f>
        <v>1</v>
      </c>
    </row>
    <row r="50" customFormat="false" ht="15" hidden="false" customHeight="false" outlineLevel="0" collapsed="false">
      <c r="A50" s="6" t="s">
        <v>52</v>
      </c>
      <c r="B50" s="6" t="s">
        <v>43</v>
      </c>
      <c r="C50" s="6" t="s">
        <v>51</v>
      </c>
      <c r="D50" s="6" t="s">
        <v>116</v>
      </c>
      <c r="E50" s="6" t="n">
        <v>16</v>
      </c>
      <c r="F50" s="6" t="s">
        <v>72</v>
      </c>
      <c r="G50" s="11" t="str">
        <f aca="false">Runs!O1546</f>
        <v/>
      </c>
      <c r="H50" s="11" t="str">
        <f aca="false">Runs!O1557</f>
        <v/>
      </c>
      <c r="I50" s="11" t="str">
        <f aca="false">Runs!O1568</f>
        <v/>
      </c>
      <c r="J50" s="11" t="str">
        <f aca="false">Runs!O1579</f>
        <v/>
      </c>
      <c r="K50" s="11" t="str">
        <f aca="false">Runs!O1590</f>
        <v/>
      </c>
      <c r="L50" s="11" t="str">
        <f aca="false">Runs!O1601</f>
        <v/>
      </c>
      <c r="M50" s="11" t="str">
        <f aca="false">Runs!O1612</f>
        <v/>
      </c>
      <c r="N50" s="11" t="str">
        <f aca="false">Runs!O1623</f>
        <v/>
      </c>
      <c r="O50" s="11" t="n">
        <f aca="false">Runs!O1634</f>
        <v>1</v>
      </c>
      <c r="P50" s="11" t="str">
        <f aca="false">Runs!O1645</f>
        <v/>
      </c>
      <c r="Q50" s="16" t="n">
        <f aca="false">IF(COUNT(G50:P50)=0,"",AVERAGE(G50:P50))</f>
        <v>1</v>
      </c>
      <c r="R50" s="16" t="str">
        <f aca="false">IF(COUNT(G50:P50)&lt;2,"",STDEV(G50:P50))</f>
        <v/>
      </c>
      <c r="S50" s="6" t="n">
        <f aca="false">COUNT(G50:P50)</f>
        <v>1</v>
      </c>
    </row>
    <row r="51" customFormat="false" ht="15" hidden="false" customHeight="false" outlineLevel="0" collapsed="false">
      <c r="A51" s="6" t="s">
        <v>52</v>
      </c>
      <c r="B51" s="6" t="s">
        <v>43</v>
      </c>
      <c r="C51" s="6" t="s">
        <v>51</v>
      </c>
      <c r="D51" s="6" t="s">
        <v>116</v>
      </c>
      <c r="E51" s="6" t="n">
        <v>16</v>
      </c>
      <c r="F51" s="6" t="s">
        <v>73</v>
      </c>
      <c r="G51" s="11" t="str">
        <f aca="false">Runs!O1547</f>
        <v/>
      </c>
      <c r="H51" s="11" t="str">
        <f aca="false">Runs!O1558</f>
        <v/>
      </c>
      <c r="I51" s="11" t="str">
        <f aca="false">Runs!O1569</f>
        <v/>
      </c>
      <c r="J51" s="11" t="str">
        <f aca="false">Runs!O1580</f>
        <v/>
      </c>
      <c r="K51" s="11" t="str">
        <f aca="false">Runs!O1591</f>
        <v/>
      </c>
      <c r="L51" s="11" t="str">
        <f aca="false">Runs!O1602</f>
        <v/>
      </c>
      <c r="M51" s="11" t="n">
        <f aca="false">Runs!O1613</f>
        <v>1</v>
      </c>
      <c r="N51" s="11" t="str">
        <f aca="false">Runs!O1624</f>
        <v/>
      </c>
      <c r="O51" s="11" t="str">
        <f aca="false">Runs!O1635</f>
        <v/>
      </c>
      <c r="P51" s="11" t="str">
        <f aca="false">Runs!O1646</f>
        <v/>
      </c>
      <c r="Q51" s="16" t="n">
        <f aca="false">IF(COUNT(G51:P51)=0,"",AVERAGE(G51:P51))</f>
        <v>1</v>
      </c>
      <c r="R51" s="16" t="str">
        <f aca="false">IF(COUNT(G51:P51)&lt;2,"",STDEV(G51:P51))</f>
        <v/>
      </c>
      <c r="S51" s="6" t="n">
        <f aca="false">COUNT(G51:P51)</f>
        <v>1</v>
      </c>
    </row>
    <row r="52" customFormat="false" ht="15" hidden="false" customHeight="false" outlineLevel="0" collapsed="false">
      <c r="A52" s="6" t="s">
        <v>52</v>
      </c>
      <c r="B52" s="6" t="s">
        <v>43</v>
      </c>
      <c r="C52" s="6" t="s">
        <v>51</v>
      </c>
      <c r="D52" s="6" t="s">
        <v>116</v>
      </c>
      <c r="E52" s="6" t="n">
        <v>16</v>
      </c>
      <c r="F52" s="6" t="s">
        <v>74</v>
      </c>
      <c r="G52" s="11" t="str">
        <f aca="false">Runs!O1548</f>
        <v/>
      </c>
      <c r="H52" s="11" t="str">
        <f aca="false">Runs!O1559</f>
        <v/>
      </c>
      <c r="I52" s="11" t="str">
        <f aca="false">Runs!O1570</f>
        <v/>
      </c>
      <c r="J52" s="11" t="str">
        <f aca="false">Runs!O1581</f>
        <v/>
      </c>
      <c r="K52" s="11" t="str">
        <f aca="false">Runs!O1592</f>
        <v/>
      </c>
      <c r="L52" s="11" t="str">
        <f aca="false">Runs!O1603</f>
        <v/>
      </c>
      <c r="M52" s="11" t="n">
        <f aca="false">Runs!O1614</f>
        <v>1</v>
      </c>
      <c r="N52" s="11" t="n">
        <f aca="false">Runs!O1625</f>
        <v>1</v>
      </c>
      <c r="O52" s="11" t="str">
        <f aca="false">Runs!O1636</f>
        <v/>
      </c>
      <c r="P52" s="11" t="str">
        <f aca="false">Runs!O1647</f>
        <v/>
      </c>
      <c r="Q52" s="16" t="n">
        <f aca="false">IF(COUNT(G52:P52)=0,"",AVERAGE(G52:P52))</f>
        <v>1</v>
      </c>
      <c r="R52" s="16" t="n">
        <f aca="false">IF(COUNT(G52:P52)&lt;2,"",STDEV(G52:P52))</f>
        <v>0</v>
      </c>
      <c r="S52" s="6" t="n">
        <f aca="false">COUNT(G52:P52)</f>
        <v>2</v>
      </c>
    </row>
    <row r="53" customFormat="false" ht="15" hidden="false" customHeight="false" outlineLevel="0" collapsed="false">
      <c r="A53" s="6" t="s">
        <v>52</v>
      </c>
      <c r="B53" s="6" t="s">
        <v>43</v>
      </c>
      <c r="C53" s="6" t="s">
        <v>51</v>
      </c>
      <c r="D53" s="6" t="s">
        <v>116</v>
      </c>
      <c r="E53" s="6" t="n">
        <v>16</v>
      </c>
      <c r="F53" s="6" t="s">
        <v>75</v>
      </c>
      <c r="G53" s="11" t="str">
        <f aca="false">Runs!O1549</f>
        <v/>
      </c>
      <c r="H53" s="11" t="str">
        <f aca="false">Runs!O1560</f>
        <v/>
      </c>
      <c r="I53" s="11" t="str">
        <f aca="false">Runs!O1571</f>
        <v/>
      </c>
      <c r="J53" s="11" t="str">
        <f aca="false">Runs!O1582</f>
        <v/>
      </c>
      <c r="K53" s="11" t="str">
        <f aca="false">Runs!O1593</f>
        <v/>
      </c>
      <c r="L53" s="11" t="str">
        <f aca="false">Runs!O1604</f>
        <v/>
      </c>
      <c r="M53" s="11" t="str">
        <f aca="false">Runs!O1615</f>
        <v/>
      </c>
      <c r="N53" s="11" t="str">
        <f aca="false">Runs!O1626</f>
        <v/>
      </c>
      <c r="O53" s="11" t="str">
        <f aca="false">Runs!O1637</f>
        <v/>
      </c>
      <c r="P53" s="11" t="str">
        <f aca="false">Runs!O1648</f>
        <v/>
      </c>
      <c r="Q53" s="16" t="str">
        <f aca="false">IF(COUNT(G53:P53)=0,"",AVERAGE(G53:P53))</f>
        <v/>
      </c>
      <c r="R53" s="16" t="str">
        <f aca="false">IF(COUNT(G53:P53)&lt;2,"",STDEV(G53:P53))</f>
        <v/>
      </c>
      <c r="S53" s="6" t="n">
        <f aca="false">COUNT(G53:P53)</f>
        <v>0</v>
      </c>
    </row>
    <row r="54" customFormat="false" ht="15" hidden="false" customHeight="false" outlineLevel="0" collapsed="false">
      <c r="A54" s="6" t="s">
        <v>52</v>
      </c>
      <c r="B54" s="6" t="s">
        <v>43</v>
      </c>
      <c r="C54" s="6" t="s">
        <v>51</v>
      </c>
      <c r="D54" s="6" t="s">
        <v>116</v>
      </c>
      <c r="E54" s="6" t="n">
        <v>16</v>
      </c>
      <c r="F54" s="6" t="s">
        <v>76</v>
      </c>
      <c r="G54" s="11" t="str">
        <f aca="false">Runs!O1550</f>
        <v/>
      </c>
      <c r="H54" s="11" t="str">
        <f aca="false">Runs!O1561</f>
        <v/>
      </c>
      <c r="I54" s="11" t="str">
        <f aca="false">Runs!O1572</f>
        <v/>
      </c>
      <c r="J54" s="11" t="str">
        <f aca="false">Runs!O1583</f>
        <v/>
      </c>
      <c r="K54" s="11" t="n">
        <f aca="false">Runs!O1594</f>
        <v>1</v>
      </c>
      <c r="L54" s="11" t="str">
        <f aca="false">Runs!O1605</f>
        <v/>
      </c>
      <c r="M54" s="11" t="str">
        <f aca="false">Runs!O1616</f>
        <v/>
      </c>
      <c r="N54" s="11" t="str">
        <f aca="false">Runs!O1627</f>
        <v/>
      </c>
      <c r="O54" s="11" t="str">
        <f aca="false">Runs!O1638</f>
        <v/>
      </c>
      <c r="P54" s="11" t="str">
        <f aca="false">Runs!O1649</f>
        <v/>
      </c>
      <c r="Q54" s="16" t="n">
        <f aca="false">IF(COUNT(G54:P54)=0,"",AVERAGE(G54:P54))</f>
        <v>1</v>
      </c>
      <c r="R54" s="16" t="str">
        <f aca="false">IF(COUNT(G54:P54)&lt;2,"",STDEV(G54:P54))</f>
        <v/>
      </c>
      <c r="S54" s="6" t="n">
        <f aca="false">COUNT(G54:P54)</f>
        <v>1</v>
      </c>
    </row>
    <row r="55" customFormat="false" ht="15" hidden="false" customHeight="false" outlineLevel="0" collapsed="false">
      <c r="A55" s="6" t="s">
        <v>52</v>
      </c>
      <c r="B55" s="6" t="s">
        <v>43</v>
      </c>
      <c r="C55" s="6" t="s">
        <v>51</v>
      </c>
      <c r="D55" s="6" t="s">
        <v>116</v>
      </c>
      <c r="E55" s="6" t="n">
        <v>16</v>
      </c>
      <c r="F55" s="6" t="s">
        <v>77</v>
      </c>
      <c r="G55" s="11" t="n">
        <f aca="false">Runs!O1551</f>
        <v>0.5</v>
      </c>
      <c r="H55" s="11" t="n">
        <f aca="false">Runs!O1562</f>
        <v>0.5</v>
      </c>
      <c r="I55" s="11" t="n">
        <f aca="false">Runs!O1573</f>
        <v>0.5</v>
      </c>
      <c r="J55" s="11" t="n">
        <f aca="false">Runs!O1584</f>
        <v>0.5</v>
      </c>
      <c r="K55" s="11" t="n">
        <f aca="false">Runs!O1595</f>
        <v>0.666666666666667</v>
      </c>
      <c r="L55" s="11" t="n">
        <f aca="false">Runs!O1606</f>
        <v>0.5</v>
      </c>
      <c r="M55" s="11" t="n">
        <f aca="false">Runs!O1617</f>
        <v>0.5</v>
      </c>
      <c r="N55" s="11" t="n">
        <f aca="false">Runs!O1628</f>
        <v>0</v>
      </c>
      <c r="O55" s="11" t="n">
        <f aca="false">Runs!O1639</f>
        <v>0.5</v>
      </c>
      <c r="P55" s="11" t="n">
        <f aca="false">Runs!O1650</f>
        <v>0.5</v>
      </c>
      <c r="Q55" s="16" t="n">
        <f aca="false">IF(COUNT(G55:P55)=0,"",AVERAGE(G55:P55))</f>
        <v>0.466666666666667</v>
      </c>
      <c r="R55" s="16" t="n">
        <f aca="false">IF(COUNT(G55:P55)&lt;2,"",STDEV(G55:P55))</f>
        <v>0.172132593164774</v>
      </c>
      <c r="S55" s="6" t="n">
        <f aca="false">COUNT(G55:P55)</f>
        <v>10</v>
      </c>
    </row>
    <row r="56" customFormat="false" ht="15" hidden="false" customHeight="false" outlineLevel="0" collapsed="false">
      <c r="A56" s="17" t="s">
        <v>52</v>
      </c>
      <c r="B56" s="17" t="s">
        <v>43</v>
      </c>
      <c r="C56" s="17" t="s">
        <v>51</v>
      </c>
      <c r="D56" s="17" t="s">
        <v>116</v>
      </c>
      <c r="E56" s="17" t="n">
        <v>16</v>
      </c>
      <c r="F56" s="17" t="s">
        <v>78</v>
      </c>
      <c r="G56" s="18" t="n">
        <f aca="false">Runs!O1552</f>
        <v>0.5</v>
      </c>
      <c r="H56" s="18" t="n">
        <f aca="false">Runs!O1563</f>
        <v>0.5</v>
      </c>
      <c r="I56" s="18" t="n">
        <f aca="false">Runs!O1574</f>
        <v>0.5</v>
      </c>
      <c r="J56" s="18" t="n">
        <f aca="false">Runs!O1585</f>
        <v>0.5</v>
      </c>
      <c r="K56" s="18" t="n">
        <f aca="false">Runs!O1596</f>
        <v>0.928571428571429</v>
      </c>
      <c r="L56" s="18" t="n">
        <f aca="false">Runs!O1607</f>
        <v>0.5</v>
      </c>
      <c r="M56" s="18" t="n">
        <f aca="false">Runs!O1618</f>
        <v>0.916666666666667</v>
      </c>
      <c r="N56" s="18" t="n">
        <f aca="false">Runs!O1629</f>
        <v>0.666666666666667</v>
      </c>
      <c r="O56" s="18" t="n">
        <f aca="false">Runs!O1640</f>
        <v>0.666666666666667</v>
      </c>
      <c r="P56" s="18" t="n">
        <f aca="false">Runs!O1651</f>
        <v>0.5</v>
      </c>
      <c r="Q56" s="19" t="n">
        <f aca="false">IF(COUNT(G56:P56)=0,"",AVERAGE(G56:P56))</f>
        <v>0.617857142857143</v>
      </c>
      <c r="R56" s="19" t="n">
        <f aca="false">IF(COUNT(G56:P56)&lt;2,"",STDEV(G56:P56))</f>
        <v>0.174463327833907</v>
      </c>
      <c r="S56" s="20" t="n">
        <f aca="false">COUNT(G56:P56)</f>
        <v>10</v>
      </c>
    </row>
    <row r="57" customFormat="false" ht="15" hidden="false" customHeight="false" outlineLevel="0" collapsed="false">
      <c r="A57" s="6" t="s">
        <v>54</v>
      </c>
      <c r="B57" s="6" t="s">
        <v>43</v>
      </c>
      <c r="C57" s="6" t="s">
        <v>49</v>
      </c>
      <c r="D57" s="6" t="s">
        <v>117</v>
      </c>
      <c r="E57" s="6" t="n">
        <v>16</v>
      </c>
      <c r="F57" s="6" t="s">
        <v>68</v>
      </c>
      <c r="G57" s="11" t="str">
        <f aca="false">Runs!O1652</f>
        <v/>
      </c>
      <c r="H57" s="11" t="str">
        <f aca="false">Runs!O1663</f>
        <v/>
      </c>
      <c r="I57" s="11" t="str">
        <f aca="false">Runs!O1674</f>
        <v/>
      </c>
      <c r="J57" s="11" t="str">
        <f aca="false">Runs!O1685</f>
        <v/>
      </c>
      <c r="K57" s="11" t="str">
        <f aca="false">Runs!O1696</f>
        <v/>
      </c>
      <c r="L57" s="11" t="str">
        <f aca="false">Runs!O1707</f>
        <v/>
      </c>
      <c r="M57" s="11" t="str">
        <f aca="false">Runs!O1718</f>
        <v/>
      </c>
      <c r="N57" s="11" t="str">
        <f aca="false">Runs!O1729</f>
        <v/>
      </c>
      <c r="O57" s="11" t="str">
        <f aca="false">Runs!O1740</f>
        <v/>
      </c>
      <c r="P57" s="11" t="str">
        <f aca="false">Runs!O1751</f>
        <v/>
      </c>
      <c r="Q57" s="16" t="str">
        <f aca="false">IF(COUNT(G57:P57)=0,"",AVERAGE(G57:P57))</f>
        <v/>
      </c>
      <c r="R57" s="16" t="str">
        <f aca="false">IF(COUNT(G57:P57)&lt;2,"",STDEV(G57:P57))</f>
        <v/>
      </c>
      <c r="S57" s="6" t="n">
        <f aca="false">COUNT(G57:P57)</f>
        <v>0</v>
      </c>
    </row>
    <row r="58" customFormat="false" ht="15" hidden="false" customHeight="false" outlineLevel="0" collapsed="false">
      <c r="A58" s="6" t="s">
        <v>54</v>
      </c>
      <c r="B58" s="6" t="s">
        <v>43</v>
      </c>
      <c r="C58" s="6" t="s">
        <v>49</v>
      </c>
      <c r="D58" s="6" t="s">
        <v>117</v>
      </c>
      <c r="E58" s="6" t="n">
        <v>16</v>
      </c>
      <c r="F58" s="6" t="s">
        <v>69</v>
      </c>
      <c r="G58" s="11" t="str">
        <f aca="false">Runs!O1653</f>
        <v/>
      </c>
      <c r="H58" s="11" t="str">
        <f aca="false">Runs!O1664</f>
        <v/>
      </c>
      <c r="I58" s="11" t="str">
        <f aca="false">Runs!O1675</f>
        <v/>
      </c>
      <c r="J58" s="11" t="str">
        <f aca="false">Runs!O1686</f>
        <v/>
      </c>
      <c r="K58" s="11" t="str">
        <f aca="false">Runs!O1697</f>
        <v/>
      </c>
      <c r="L58" s="11" t="str">
        <f aca="false">Runs!O1708</f>
        <v/>
      </c>
      <c r="M58" s="11" t="str">
        <f aca="false">Runs!O1719</f>
        <v/>
      </c>
      <c r="N58" s="11" t="str">
        <f aca="false">Runs!O1730</f>
        <v/>
      </c>
      <c r="O58" s="11" t="str">
        <f aca="false">Runs!O1741</f>
        <v/>
      </c>
      <c r="P58" s="11" t="str">
        <f aca="false">Runs!O1752</f>
        <v/>
      </c>
      <c r="Q58" s="16" t="str">
        <f aca="false">IF(COUNT(G58:P58)=0,"",AVERAGE(G58:P58))</f>
        <v/>
      </c>
      <c r="R58" s="16" t="str">
        <f aca="false">IF(COUNT(G58:P58)&lt;2,"",STDEV(G58:P58))</f>
        <v/>
      </c>
      <c r="S58" s="6" t="n">
        <f aca="false">COUNT(G58:P58)</f>
        <v>0</v>
      </c>
    </row>
    <row r="59" customFormat="false" ht="15" hidden="false" customHeight="false" outlineLevel="0" collapsed="false">
      <c r="A59" s="6" t="s">
        <v>54</v>
      </c>
      <c r="B59" s="6" t="s">
        <v>43</v>
      </c>
      <c r="C59" s="6" t="s">
        <v>49</v>
      </c>
      <c r="D59" s="6" t="s">
        <v>117</v>
      </c>
      <c r="E59" s="6" t="n">
        <v>16</v>
      </c>
      <c r="F59" s="6" t="s">
        <v>70</v>
      </c>
      <c r="G59" s="11" t="str">
        <f aca="false">Runs!O1654</f>
        <v/>
      </c>
      <c r="H59" s="11" t="str">
        <f aca="false">Runs!O1665</f>
        <v/>
      </c>
      <c r="I59" s="11" t="str">
        <f aca="false">Runs!O1676</f>
        <v/>
      </c>
      <c r="J59" s="11" t="str">
        <f aca="false">Runs!O1687</f>
        <v/>
      </c>
      <c r="K59" s="11" t="str">
        <f aca="false">Runs!O1698</f>
        <v/>
      </c>
      <c r="L59" s="11" t="str">
        <f aca="false">Runs!O1709</f>
        <v/>
      </c>
      <c r="M59" s="11" t="str">
        <f aca="false">Runs!O1720</f>
        <v/>
      </c>
      <c r="N59" s="11" t="str">
        <f aca="false">Runs!O1731</f>
        <v/>
      </c>
      <c r="O59" s="11" t="str">
        <f aca="false">Runs!O1742</f>
        <v/>
      </c>
      <c r="P59" s="11" t="str">
        <f aca="false">Runs!O1753</f>
        <v/>
      </c>
      <c r="Q59" s="16" t="str">
        <f aca="false">IF(COUNT(G59:P59)=0,"",AVERAGE(G59:P59))</f>
        <v/>
      </c>
      <c r="R59" s="16" t="str">
        <f aca="false">IF(COUNT(G59:P59)&lt;2,"",STDEV(G59:P59))</f>
        <v/>
      </c>
      <c r="S59" s="6" t="n">
        <f aca="false">COUNT(G59:P59)</f>
        <v>0</v>
      </c>
    </row>
    <row r="60" customFormat="false" ht="15" hidden="false" customHeight="false" outlineLevel="0" collapsed="false">
      <c r="A60" s="6" t="s">
        <v>54</v>
      </c>
      <c r="B60" s="6" t="s">
        <v>43</v>
      </c>
      <c r="C60" s="6" t="s">
        <v>49</v>
      </c>
      <c r="D60" s="6" t="s">
        <v>117</v>
      </c>
      <c r="E60" s="6" t="n">
        <v>16</v>
      </c>
      <c r="F60" s="6" t="s">
        <v>71</v>
      </c>
      <c r="G60" s="11" t="str">
        <f aca="false">Runs!O1655</f>
        <v/>
      </c>
      <c r="H60" s="11" t="str">
        <f aca="false">Runs!O1666</f>
        <v/>
      </c>
      <c r="I60" s="11" t="str">
        <f aca="false">Runs!O1677</f>
        <v/>
      </c>
      <c r="J60" s="11" t="str">
        <f aca="false">Runs!O1688</f>
        <v/>
      </c>
      <c r="K60" s="11" t="str">
        <f aca="false">Runs!O1699</f>
        <v/>
      </c>
      <c r="L60" s="11" t="str">
        <f aca="false">Runs!O1710</f>
        <v/>
      </c>
      <c r="M60" s="11" t="str">
        <f aca="false">Runs!O1721</f>
        <v/>
      </c>
      <c r="N60" s="11" t="str">
        <f aca="false">Runs!O1732</f>
        <v/>
      </c>
      <c r="O60" s="11" t="str">
        <f aca="false">Runs!O1743</f>
        <v/>
      </c>
      <c r="P60" s="11" t="str">
        <f aca="false">Runs!O1754</f>
        <v/>
      </c>
      <c r="Q60" s="16" t="str">
        <f aca="false">IF(COUNT(G60:P60)=0,"",AVERAGE(G60:P60))</f>
        <v/>
      </c>
      <c r="R60" s="16" t="str">
        <f aca="false">IF(COUNT(G60:P60)&lt;2,"",STDEV(G60:P60))</f>
        <v/>
      </c>
      <c r="S60" s="6" t="n">
        <f aca="false">COUNT(G60:P60)</f>
        <v>0</v>
      </c>
    </row>
    <row r="61" customFormat="false" ht="15" hidden="false" customHeight="false" outlineLevel="0" collapsed="false">
      <c r="A61" s="6" t="s">
        <v>54</v>
      </c>
      <c r="B61" s="6" t="s">
        <v>43</v>
      </c>
      <c r="C61" s="6" t="s">
        <v>49</v>
      </c>
      <c r="D61" s="6" t="s">
        <v>117</v>
      </c>
      <c r="E61" s="6" t="n">
        <v>16</v>
      </c>
      <c r="F61" s="6" t="s">
        <v>72</v>
      </c>
      <c r="G61" s="11" t="str">
        <f aca="false">Runs!O1656</f>
        <v/>
      </c>
      <c r="H61" s="11" t="str">
        <f aca="false">Runs!O1667</f>
        <v/>
      </c>
      <c r="I61" s="11" t="str">
        <f aca="false">Runs!O1678</f>
        <v/>
      </c>
      <c r="J61" s="11" t="str">
        <f aca="false">Runs!O1689</f>
        <v/>
      </c>
      <c r="K61" s="11" t="str">
        <f aca="false">Runs!O1700</f>
        <v/>
      </c>
      <c r="L61" s="11" t="str">
        <f aca="false">Runs!O1711</f>
        <v/>
      </c>
      <c r="M61" s="11" t="str">
        <f aca="false">Runs!O1722</f>
        <v/>
      </c>
      <c r="N61" s="11" t="str">
        <f aca="false">Runs!O1733</f>
        <v/>
      </c>
      <c r="O61" s="11" t="str">
        <f aca="false">Runs!O1744</f>
        <v/>
      </c>
      <c r="P61" s="11" t="str">
        <f aca="false">Runs!O1755</f>
        <v/>
      </c>
      <c r="Q61" s="16" t="str">
        <f aca="false">IF(COUNT(G61:P61)=0,"",AVERAGE(G61:P61))</f>
        <v/>
      </c>
      <c r="R61" s="16" t="str">
        <f aca="false">IF(COUNT(G61:P61)&lt;2,"",STDEV(G61:P61))</f>
        <v/>
      </c>
      <c r="S61" s="6" t="n">
        <f aca="false">COUNT(G61:P61)</f>
        <v>0</v>
      </c>
    </row>
    <row r="62" customFormat="false" ht="15" hidden="false" customHeight="false" outlineLevel="0" collapsed="false">
      <c r="A62" s="6" t="s">
        <v>54</v>
      </c>
      <c r="B62" s="6" t="s">
        <v>43</v>
      </c>
      <c r="C62" s="6" t="s">
        <v>49</v>
      </c>
      <c r="D62" s="6" t="s">
        <v>117</v>
      </c>
      <c r="E62" s="6" t="n">
        <v>16</v>
      </c>
      <c r="F62" s="6" t="s">
        <v>73</v>
      </c>
      <c r="G62" s="11" t="str">
        <f aca="false">Runs!O1657</f>
        <v/>
      </c>
      <c r="H62" s="11" t="str">
        <f aca="false">Runs!O1668</f>
        <v/>
      </c>
      <c r="I62" s="11" t="str">
        <f aca="false">Runs!O1679</f>
        <v/>
      </c>
      <c r="J62" s="11" t="str">
        <f aca="false">Runs!O1690</f>
        <v/>
      </c>
      <c r="K62" s="11" t="str">
        <f aca="false">Runs!O1701</f>
        <v/>
      </c>
      <c r="L62" s="11" t="str">
        <f aca="false">Runs!O1712</f>
        <v/>
      </c>
      <c r="M62" s="11" t="str">
        <f aca="false">Runs!O1723</f>
        <v/>
      </c>
      <c r="N62" s="11" t="str">
        <f aca="false">Runs!O1734</f>
        <v/>
      </c>
      <c r="O62" s="11" t="str">
        <f aca="false">Runs!O1745</f>
        <v/>
      </c>
      <c r="P62" s="11" t="str">
        <f aca="false">Runs!O1756</f>
        <v/>
      </c>
      <c r="Q62" s="16" t="str">
        <f aca="false">IF(COUNT(G62:P62)=0,"",AVERAGE(G62:P62))</f>
        <v/>
      </c>
      <c r="R62" s="16" t="str">
        <f aca="false">IF(COUNT(G62:P62)&lt;2,"",STDEV(G62:P62))</f>
        <v/>
      </c>
      <c r="S62" s="6" t="n">
        <f aca="false">COUNT(G62:P62)</f>
        <v>0</v>
      </c>
    </row>
    <row r="63" customFormat="false" ht="15" hidden="false" customHeight="false" outlineLevel="0" collapsed="false">
      <c r="A63" s="6" t="s">
        <v>54</v>
      </c>
      <c r="B63" s="6" t="s">
        <v>43</v>
      </c>
      <c r="C63" s="6" t="s">
        <v>49</v>
      </c>
      <c r="D63" s="6" t="s">
        <v>117</v>
      </c>
      <c r="E63" s="6" t="n">
        <v>16</v>
      </c>
      <c r="F63" s="6" t="s">
        <v>74</v>
      </c>
      <c r="G63" s="11" t="str">
        <f aca="false">Runs!O1658</f>
        <v/>
      </c>
      <c r="H63" s="11" t="str">
        <f aca="false">Runs!O1669</f>
        <v/>
      </c>
      <c r="I63" s="11" t="str">
        <f aca="false">Runs!O1680</f>
        <v/>
      </c>
      <c r="J63" s="11" t="str">
        <f aca="false">Runs!O1691</f>
        <v/>
      </c>
      <c r="K63" s="11" t="str">
        <f aca="false">Runs!O1702</f>
        <v/>
      </c>
      <c r="L63" s="11" t="str">
        <f aca="false">Runs!O1713</f>
        <v/>
      </c>
      <c r="M63" s="11" t="str">
        <f aca="false">Runs!O1724</f>
        <v/>
      </c>
      <c r="N63" s="11" t="str">
        <f aca="false">Runs!O1735</f>
        <v/>
      </c>
      <c r="O63" s="11" t="str">
        <f aca="false">Runs!O1746</f>
        <v/>
      </c>
      <c r="P63" s="11" t="str">
        <f aca="false">Runs!O1757</f>
        <v/>
      </c>
      <c r="Q63" s="16" t="str">
        <f aca="false">IF(COUNT(G63:P63)=0,"",AVERAGE(G63:P63))</f>
        <v/>
      </c>
      <c r="R63" s="16" t="str">
        <f aca="false">IF(COUNT(G63:P63)&lt;2,"",STDEV(G63:P63))</f>
        <v/>
      </c>
      <c r="S63" s="6" t="n">
        <f aca="false">COUNT(G63:P63)</f>
        <v>0</v>
      </c>
    </row>
    <row r="64" customFormat="false" ht="15" hidden="false" customHeight="false" outlineLevel="0" collapsed="false">
      <c r="A64" s="6" t="s">
        <v>54</v>
      </c>
      <c r="B64" s="6" t="s">
        <v>43</v>
      </c>
      <c r="C64" s="6" t="s">
        <v>49</v>
      </c>
      <c r="D64" s="6" t="s">
        <v>117</v>
      </c>
      <c r="E64" s="6" t="n">
        <v>16</v>
      </c>
      <c r="F64" s="6" t="s">
        <v>75</v>
      </c>
      <c r="G64" s="11" t="str">
        <f aca="false">Runs!O1659</f>
        <v/>
      </c>
      <c r="H64" s="11" t="str">
        <f aca="false">Runs!O1670</f>
        <v/>
      </c>
      <c r="I64" s="11" t="str">
        <f aca="false">Runs!O1681</f>
        <v/>
      </c>
      <c r="J64" s="11" t="str">
        <f aca="false">Runs!O1692</f>
        <v/>
      </c>
      <c r="K64" s="11" t="str">
        <f aca="false">Runs!O1703</f>
        <v/>
      </c>
      <c r="L64" s="11" t="str">
        <f aca="false">Runs!O1714</f>
        <v/>
      </c>
      <c r="M64" s="11" t="str">
        <f aca="false">Runs!O1725</f>
        <v/>
      </c>
      <c r="N64" s="11" t="str">
        <f aca="false">Runs!O1736</f>
        <v/>
      </c>
      <c r="O64" s="11" t="str">
        <f aca="false">Runs!O1747</f>
        <v/>
      </c>
      <c r="P64" s="11" t="str">
        <f aca="false">Runs!O1758</f>
        <v/>
      </c>
      <c r="Q64" s="16" t="str">
        <f aca="false">IF(COUNT(G64:P64)=0,"",AVERAGE(G64:P64))</f>
        <v/>
      </c>
      <c r="R64" s="16" t="str">
        <f aca="false">IF(COUNT(G64:P64)&lt;2,"",STDEV(G64:P64))</f>
        <v/>
      </c>
      <c r="S64" s="6" t="n">
        <f aca="false">COUNT(G64:P64)</f>
        <v>0</v>
      </c>
    </row>
    <row r="65" customFormat="false" ht="15" hidden="false" customHeight="false" outlineLevel="0" collapsed="false">
      <c r="A65" s="6" t="s">
        <v>54</v>
      </c>
      <c r="B65" s="6" t="s">
        <v>43</v>
      </c>
      <c r="C65" s="6" t="s">
        <v>49</v>
      </c>
      <c r="D65" s="6" t="s">
        <v>117</v>
      </c>
      <c r="E65" s="6" t="n">
        <v>16</v>
      </c>
      <c r="F65" s="6" t="s">
        <v>76</v>
      </c>
      <c r="G65" s="11" t="str">
        <f aca="false">Runs!O1660</f>
        <v/>
      </c>
      <c r="H65" s="11" t="str">
        <f aca="false">Runs!O1671</f>
        <v/>
      </c>
      <c r="I65" s="11" t="str">
        <f aca="false">Runs!O1682</f>
        <v/>
      </c>
      <c r="J65" s="11" t="str">
        <f aca="false">Runs!O1693</f>
        <v/>
      </c>
      <c r="K65" s="11" t="str">
        <f aca="false">Runs!O1704</f>
        <v/>
      </c>
      <c r="L65" s="11" t="str">
        <f aca="false">Runs!O1715</f>
        <v/>
      </c>
      <c r="M65" s="11" t="str">
        <f aca="false">Runs!O1726</f>
        <v/>
      </c>
      <c r="N65" s="11" t="str">
        <f aca="false">Runs!O1737</f>
        <v/>
      </c>
      <c r="O65" s="11" t="str">
        <f aca="false">Runs!O1748</f>
        <v/>
      </c>
      <c r="P65" s="11" t="str">
        <f aca="false">Runs!O1759</f>
        <v/>
      </c>
      <c r="Q65" s="16" t="str">
        <f aca="false">IF(COUNT(G65:P65)=0,"",AVERAGE(G65:P65))</f>
        <v/>
      </c>
      <c r="R65" s="16" t="str">
        <f aca="false">IF(COUNT(G65:P65)&lt;2,"",STDEV(G65:P65))</f>
        <v/>
      </c>
      <c r="S65" s="6" t="n">
        <f aca="false">COUNT(G65:P65)</f>
        <v>0</v>
      </c>
    </row>
    <row r="66" customFormat="false" ht="15" hidden="false" customHeight="false" outlineLevel="0" collapsed="false">
      <c r="A66" s="6" t="s">
        <v>54</v>
      </c>
      <c r="B66" s="6" t="s">
        <v>43</v>
      </c>
      <c r="C66" s="6" t="s">
        <v>49</v>
      </c>
      <c r="D66" s="6" t="s">
        <v>117</v>
      </c>
      <c r="E66" s="6" t="n">
        <v>16</v>
      </c>
      <c r="F66" s="6" t="s">
        <v>77</v>
      </c>
      <c r="G66" s="11" t="n">
        <f aca="false">Runs!O1661</f>
        <v>0.5</v>
      </c>
      <c r="H66" s="11" t="n">
        <f aca="false">Runs!O1672</f>
        <v>0.5</v>
      </c>
      <c r="I66" s="11" t="n">
        <f aca="false">Runs!O1683</f>
        <v>0.5</v>
      </c>
      <c r="J66" s="11" t="n">
        <f aca="false">Runs!O1694</f>
        <v>0.5</v>
      </c>
      <c r="K66" s="11" t="n">
        <f aca="false">Runs!O1705</f>
        <v>0.5</v>
      </c>
      <c r="L66" s="11" t="n">
        <f aca="false">Runs!O1716</f>
        <v>0.5</v>
      </c>
      <c r="M66" s="11" t="n">
        <f aca="false">Runs!O1727</f>
        <v>0.5</v>
      </c>
      <c r="N66" s="11" t="n">
        <f aca="false">Runs!O1738</f>
        <v>0.5</v>
      </c>
      <c r="O66" s="11" t="n">
        <f aca="false">Runs!O1749</f>
        <v>0.5</v>
      </c>
      <c r="P66" s="11" t="n">
        <f aca="false">Runs!O1760</f>
        <v>0.5</v>
      </c>
      <c r="Q66" s="16" t="n">
        <f aca="false">IF(COUNT(G66:P66)=0,"",AVERAGE(G66:P66))</f>
        <v>0.5</v>
      </c>
      <c r="R66" s="16" t="n">
        <f aca="false">IF(COUNT(G66:P66)&lt;2,"",STDEV(G66:P66))</f>
        <v>0</v>
      </c>
      <c r="S66" s="6" t="n">
        <f aca="false">COUNT(G66:P66)</f>
        <v>10</v>
      </c>
    </row>
    <row r="67" customFormat="false" ht="15" hidden="false" customHeight="false" outlineLevel="0" collapsed="false">
      <c r="A67" s="17" t="s">
        <v>54</v>
      </c>
      <c r="B67" s="17" t="s">
        <v>43</v>
      </c>
      <c r="C67" s="17" t="s">
        <v>49</v>
      </c>
      <c r="D67" s="17" t="s">
        <v>117</v>
      </c>
      <c r="E67" s="17" t="n">
        <v>16</v>
      </c>
      <c r="F67" s="17" t="s">
        <v>78</v>
      </c>
      <c r="G67" s="18" t="n">
        <f aca="false">Runs!O1662</f>
        <v>0.5</v>
      </c>
      <c r="H67" s="18" t="n">
        <f aca="false">Runs!O1673</f>
        <v>0.5</v>
      </c>
      <c r="I67" s="18" t="n">
        <f aca="false">Runs!O1684</f>
        <v>0.5</v>
      </c>
      <c r="J67" s="18" t="n">
        <f aca="false">Runs!O1695</f>
        <v>0.5</v>
      </c>
      <c r="K67" s="18" t="n">
        <f aca="false">Runs!O1706</f>
        <v>0.5</v>
      </c>
      <c r="L67" s="18" t="n">
        <f aca="false">Runs!O1717</f>
        <v>0.5</v>
      </c>
      <c r="M67" s="18" t="n">
        <f aca="false">Runs!O1728</f>
        <v>0.5</v>
      </c>
      <c r="N67" s="18" t="n">
        <f aca="false">Runs!O1739</f>
        <v>0.5</v>
      </c>
      <c r="O67" s="18" t="n">
        <f aca="false">Runs!O1750</f>
        <v>0.5</v>
      </c>
      <c r="P67" s="18" t="n">
        <f aca="false">Runs!O1761</f>
        <v>0.5</v>
      </c>
      <c r="Q67" s="19" t="n">
        <f aca="false">IF(COUNT(G67:P67)=0,"",AVERAGE(G67:P67))</f>
        <v>0.5</v>
      </c>
      <c r="R67" s="19" t="n">
        <f aca="false">IF(COUNT(G67:P67)&lt;2,"",STDEV(G67:P67))</f>
        <v>0</v>
      </c>
      <c r="S67" s="20" t="n">
        <f aca="false">COUNT(G67:P67)</f>
        <v>10</v>
      </c>
    </row>
    <row r="68" customFormat="false" ht="15" hidden="false" customHeight="false" outlineLevel="0" collapsed="false">
      <c r="A68" s="6" t="s">
        <v>56</v>
      </c>
      <c r="B68" s="6" t="s">
        <v>43</v>
      </c>
      <c r="C68" s="6" t="s">
        <v>51</v>
      </c>
      <c r="D68" s="6" t="s">
        <v>118</v>
      </c>
      <c r="E68" s="6" t="n">
        <v>16</v>
      </c>
      <c r="F68" s="6" t="s">
        <v>68</v>
      </c>
      <c r="G68" s="11" t="str">
        <f aca="false">Runs!O1762</f>
        <v/>
      </c>
      <c r="H68" s="11" t="str">
        <f aca="false">Runs!O1773</f>
        <v/>
      </c>
      <c r="I68" s="11" t="str">
        <f aca="false">Runs!O1784</f>
        <v/>
      </c>
      <c r="J68" s="11" t="str">
        <f aca="false">Runs!O1795</f>
        <v/>
      </c>
      <c r="K68" s="11" t="str">
        <f aca="false">Runs!O1806</f>
        <v/>
      </c>
      <c r="L68" s="11" t="str">
        <f aca="false">Runs!O1817</f>
        <v/>
      </c>
      <c r="M68" s="11" t="str">
        <f aca="false">Runs!O1828</f>
        <v/>
      </c>
      <c r="N68" s="11" t="str">
        <f aca="false">Runs!O1839</f>
        <v/>
      </c>
      <c r="O68" s="11" t="str">
        <f aca="false">Runs!O1850</f>
        <v/>
      </c>
      <c r="P68" s="11" t="str">
        <f aca="false">Runs!O1861</f>
        <v/>
      </c>
      <c r="Q68" s="16" t="str">
        <f aca="false">IF(COUNT(G68:P68)=0,"",AVERAGE(G68:P68))</f>
        <v/>
      </c>
      <c r="R68" s="16" t="str">
        <f aca="false">IF(COUNT(G68:P68)&lt;2,"",STDEV(G68:P68))</f>
        <v/>
      </c>
      <c r="S68" s="6" t="n">
        <f aca="false">COUNT(G68:P68)</f>
        <v>0</v>
      </c>
    </row>
    <row r="69" customFormat="false" ht="15" hidden="false" customHeight="false" outlineLevel="0" collapsed="false">
      <c r="A69" s="6" t="s">
        <v>56</v>
      </c>
      <c r="B69" s="6" t="s">
        <v>43</v>
      </c>
      <c r="C69" s="6" t="s">
        <v>51</v>
      </c>
      <c r="D69" s="6" t="s">
        <v>118</v>
      </c>
      <c r="E69" s="6" t="n">
        <v>16</v>
      </c>
      <c r="F69" s="6" t="s">
        <v>69</v>
      </c>
      <c r="G69" s="11" t="str">
        <f aca="false">Runs!O1763</f>
        <v/>
      </c>
      <c r="H69" s="11" t="str">
        <f aca="false">Runs!O1774</f>
        <v/>
      </c>
      <c r="I69" s="11" t="str">
        <f aca="false">Runs!O1785</f>
        <v/>
      </c>
      <c r="J69" s="11" t="str">
        <f aca="false">Runs!O1796</f>
        <v/>
      </c>
      <c r="K69" s="11" t="str">
        <f aca="false">Runs!O1807</f>
        <v/>
      </c>
      <c r="L69" s="11" t="str">
        <f aca="false">Runs!O1818</f>
        <v/>
      </c>
      <c r="M69" s="11" t="str">
        <f aca="false">Runs!O1829</f>
        <v/>
      </c>
      <c r="N69" s="11" t="str">
        <f aca="false">Runs!O1840</f>
        <v/>
      </c>
      <c r="O69" s="11" t="str">
        <f aca="false">Runs!O1851</f>
        <v/>
      </c>
      <c r="P69" s="11" t="str">
        <f aca="false">Runs!O1862</f>
        <v/>
      </c>
      <c r="Q69" s="16" t="str">
        <f aca="false">IF(COUNT(G69:P69)=0,"",AVERAGE(G69:P69))</f>
        <v/>
      </c>
      <c r="R69" s="16" t="str">
        <f aca="false">IF(COUNT(G69:P69)&lt;2,"",STDEV(G69:P69))</f>
        <v/>
      </c>
      <c r="S69" s="6" t="n">
        <f aca="false">COUNT(G69:P69)</f>
        <v>0</v>
      </c>
    </row>
    <row r="70" customFormat="false" ht="15" hidden="false" customHeight="false" outlineLevel="0" collapsed="false">
      <c r="A70" s="6" t="s">
        <v>56</v>
      </c>
      <c r="B70" s="6" t="s">
        <v>43</v>
      </c>
      <c r="C70" s="6" t="s">
        <v>51</v>
      </c>
      <c r="D70" s="6" t="s">
        <v>118</v>
      </c>
      <c r="E70" s="6" t="n">
        <v>16</v>
      </c>
      <c r="F70" s="6" t="s">
        <v>70</v>
      </c>
      <c r="G70" s="11" t="str">
        <f aca="false">Runs!O1764</f>
        <v/>
      </c>
      <c r="H70" s="11" t="str">
        <f aca="false">Runs!O1775</f>
        <v/>
      </c>
      <c r="I70" s="11" t="str">
        <f aca="false">Runs!O1786</f>
        <v/>
      </c>
      <c r="J70" s="11" t="str">
        <f aca="false">Runs!O1797</f>
        <v/>
      </c>
      <c r="K70" s="11" t="str">
        <f aca="false">Runs!O1808</f>
        <v/>
      </c>
      <c r="L70" s="11" t="str">
        <f aca="false">Runs!O1819</f>
        <v/>
      </c>
      <c r="M70" s="11" t="str">
        <f aca="false">Runs!O1830</f>
        <v/>
      </c>
      <c r="N70" s="11" t="str">
        <f aca="false">Runs!O1841</f>
        <v/>
      </c>
      <c r="O70" s="11" t="str">
        <f aca="false">Runs!O1852</f>
        <v/>
      </c>
      <c r="P70" s="11" t="str">
        <f aca="false">Runs!O1863</f>
        <v/>
      </c>
      <c r="Q70" s="16" t="str">
        <f aca="false">IF(COUNT(G70:P70)=0,"",AVERAGE(G70:P70))</f>
        <v/>
      </c>
      <c r="R70" s="16" t="str">
        <f aca="false">IF(COUNT(G70:P70)&lt;2,"",STDEV(G70:P70))</f>
        <v/>
      </c>
      <c r="S70" s="6" t="n">
        <f aca="false">COUNT(G70:P70)</f>
        <v>0</v>
      </c>
    </row>
    <row r="71" customFormat="false" ht="15" hidden="false" customHeight="false" outlineLevel="0" collapsed="false">
      <c r="A71" s="6" t="s">
        <v>56</v>
      </c>
      <c r="B71" s="6" t="s">
        <v>43</v>
      </c>
      <c r="C71" s="6" t="s">
        <v>51</v>
      </c>
      <c r="D71" s="6" t="s">
        <v>118</v>
      </c>
      <c r="E71" s="6" t="n">
        <v>16</v>
      </c>
      <c r="F71" s="6" t="s">
        <v>71</v>
      </c>
      <c r="G71" s="11" t="str">
        <f aca="false">Runs!O1765</f>
        <v/>
      </c>
      <c r="H71" s="11" t="str">
        <f aca="false">Runs!O1776</f>
        <v/>
      </c>
      <c r="I71" s="11" t="str">
        <f aca="false">Runs!O1787</f>
        <v/>
      </c>
      <c r="J71" s="11" t="str">
        <f aca="false">Runs!O1798</f>
        <v/>
      </c>
      <c r="K71" s="11" t="str">
        <f aca="false">Runs!O1809</f>
        <v/>
      </c>
      <c r="L71" s="11" t="str">
        <f aca="false">Runs!O1820</f>
        <v/>
      </c>
      <c r="M71" s="11" t="str">
        <f aca="false">Runs!O1831</f>
        <v/>
      </c>
      <c r="N71" s="11" t="str">
        <f aca="false">Runs!O1842</f>
        <v/>
      </c>
      <c r="O71" s="11" t="str">
        <f aca="false">Runs!O1853</f>
        <v/>
      </c>
      <c r="P71" s="11" t="str">
        <f aca="false">Runs!O1864</f>
        <v/>
      </c>
      <c r="Q71" s="16" t="str">
        <f aca="false">IF(COUNT(G71:P71)=0,"",AVERAGE(G71:P71))</f>
        <v/>
      </c>
      <c r="R71" s="16" t="str">
        <f aca="false">IF(COUNT(G71:P71)&lt;2,"",STDEV(G71:P71))</f>
        <v/>
      </c>
      <c r="S71" s="6" t="n">
        <f aca="false">COUNT(G71:P71)</f>
        <v>0</v>
      </c>
    </row>
    <row r="72" customFormat="false" ht="15" hidden="false" customHeight="false" outlineLevel="0" collapsed="false">
      <c r="A72" s="6" t="s">
        <v>56</v>
      </c>
      <c r="B72" s="6" t="s">
        <v>43</v>
      </c>
      <c r="C72" s="6" t="s">
        <v>51</v>
      </c>
      <c r="D72" s="6" t="s">
        <v>118</v>
      </c>
      <c r="E72" s="6" t="n">
        <v>16</v>
      </c>
      <c r="F72" s="6" t="s">
        <v>72</v>
      </c>
      <c r="G72" s="11" t="str">
        <f aca="false">Runs!O1766</f>
        <v/>
      </c>
      <c r="H72" s="11" t="str">
        <f aca="false">Runs!O1777</f>
        <v/>
      </c>
      <c r="I72" s="11" t="str">
        <f aca="false">Runs!O1788</f>
        <v/>
      </c>
      <c r="J72" s="11" t="str">
        <f aca="false">Runs!O1799</f>
        <v/>
      </c>
      <c r="K72" s="11" t="str">
        <f aca="false">Runs!O1810</f>
        <v/>
      </c>
      <c r="L72" s="11" t="str">
        <f aca="false">Runs!O1821</f>
        <v/>
      </c>
      <c r="M72" s="11" t="str">
        <f aca="false">Runs!O1832</f>
        <v/>
      </c>
      <c r="N72" s="11" t="str">
        <f aca="false">Runs!O1843</f>
        <v/>
      </c>
      <c r="O72" s="11" t="str">
        <f aca="false">Runs!O1854</f>
        <v/>
      </c>
      <c r="P72" s="11" t="str">
        <f aca="false">Runs!O1865</f>
        <v/>
      </c>
      <c r="Q72" s="16" t="str">
        <f aca="false">IF(COUNT(G72:P72)=0,"",AVERAGE(G72:P72))</f>
        <v/>
      </c>
      <c r="R72" s="16" t="str">
        <f aca="false">IF(COUNT(G72:P72)&lt;2,"",STDEV(G72:P72))</f>
        <v/>
      </c>
      <c r="S72" s="6" t="n">
        <f aca="false">COUNT(G72:P72)</f>
        <v>0</v>
      </c>
    </row>
    <row r="73" customFormat="false" ht="15" hidden="false" customHeight="false" outlineLevel="0" collapsed="false">
      <c r="A73" s="6" t="s">
        <v>56</v>
      </c>
      <c r="B73" s="6" t="s">
        <v>43</v>
      </c>
      <c r="C73" s="6" t="s">
        <v>51</v>
      </c>
      <c r="D73" s="6" t="s">
        <v>118</v>
      </c>
      <c r="E73" s="6" t="n">
        <v>16</v>
      </c>
      <c r="F73" s="6" t="s">
        <v>73</v>
      </c>
      <c r="G73" s="11" t="str">
        <f aca="false">Runs!O1767</f>
        <v/>
      </c>
      <c r="H73" s="11" t="str">
        <f aca="false">Runs!O1778</f>
        <v/>
      </c>
      <c r="I73" s="11" t="str">
        <f aca="false">Runs!O1789</f>
        <v/>
      </c>
      <c r="J73" s="11" t="str">
        <f aca="false">Runs!O1800</f>
        <v/>
      </c>
      <c r="K73" s="11" t="str">
        <f aca="false">Runs!O1811</f>
        <v/>
      </c>
      <c r="L73" s="11" t="str">
        <f aca="false">Runs!O1822</f>
        <v/>
      </c>
      <c r="M73" s="11" t="str">
        <f aca="false">Runs!O1833</f>
        <v/>
      </c>
      <c r="N73" s="11" t="str">
        <f aca="false">Runs!O1844</f>
        <v/>
      </c>
      <c r="O73" s="11" t="str">
        <f aca="false">Runs!O1855</f>
        <v/>
      </c>
      <c r="P73" s="11" t="str">
        <f aca="false">Runs!O1866</f>
        <v/>
      </c>
      <c r="Q73" s="16" t="str">
        <f aca="false">IF(COUNT(G73:P73)=0,"",AVERAGE(G73:P73))</f>
        <v/>
      </c>
      <c r="R73" s="16" t="str">
        <f aca="false">IF(COUNT(G73:P73)&lt;2,"",STDEV(G73:P73))</f>
        <v/>
      </c>
      <c r="S73" s="6" t="n">
        <f aca="false">COUNT(G73:P73)</f>
        <v>0</v>
      </c>
    </row>
    <row r="74" customFormat="false" ht="15" hidden="false" customHeight="false" outlineLevel="0" collapsed="false">
      <c r="A74" s="6" t="s">
        <v>56</v>
      </c>
      <c r="B74" s="6" t="s">
        <v>43</v>
      </c>
      <c r="C74" s="6" t="s">
        <v>51</v>
      </c>
      <c r="D74" s="6" t="s">
        <v>118</v>
      </c>
      <c r="E74" s="6" t="n">
        <v>16</v>
      </c>
      <c r="F74" s="6" t="s">
        <v>74</v>
      </c>
      <c r="G74" s="11" t="str">
        <f aca="false">Runs!O1768</f>
        <v/>
      </c>
      <c r="H74" s="11" t="str">
        <f aca="false">Runs!O1779</f>
        <v/>
      </c>
      <c r="I74" s="11" t="str">
        <f aca="false">Runs!O1790</f>
        <v/>
      </c>
      <c r="J74" s="11" t="str">
        <f aca="false">Runs!O1801</f>
        <v/>
      </c>
      <c r="K74" s="11" t="str">
        <f aca="false">Runs!O1812</f>
        <v/>
      </c>
      <c r="L74" s="11" t="str">
        <f aca="false">Runs!O1823</f>
        <v/>
      </c>
      <c r="M74" s="11" t="str">
        <f aca="false">Runs!O1834</f>
        <v/>
      </c>
      <c r="N74" s="11" t="str">
        <f aca="false">Runs!O1845</f>
        <v/>
      </c>
      <c r="O74" s="11" t="str">
        <f aca="false">Runs!O1856</f>
        <v/>
      </c>
      <c r="P74" s="11" t="str">
        <f aca="false">Runs!O1867</f>
        <v/>
      </c>
      <c r="Q74" s="16" t="str">
        <f aca="false">IF(COUNT(G74:P74)=0,"",AVERAGE(G74:P74))</f>
        <v/>
      </c>
      <c r="R74" s="16" t="str">
        <f aca="false">IF(COUNT(G74:P74)&lt;2,"",STDEV(G74:P74))</f>
        <v/>
      </c>
      <c r="S74" s="6" t="n">
        <f aca="false">COUNT(G74:P74)</f>
        <v>0</v>
      </c>
    </row>
    <row r="75" customFormat="false" ht="15" hidden="false" customHeight="false" outlineLevel="0" collapsed="false">
      <c r="A75" s="6" t="s">
        <v>56</v>
      </c>
      <c r="B75" s="6" t="s">
        <v>43</v>
      </c>
      <c r="C75" s="6" t="s">
        <v>51</v>
      </c>
      <c r="D75" s="6" t="s">
        <v>118</v>
      </c>
      <c r="E75" s="6" t="n">
        <v>16</v>
      </c>
      <c r="F75" s="6" t="s">
        <v>75</v>
      </c>
      <c r="G75" s="11" t="str">
        <f aca="false">Runs!O1769</f>
        <v/>
      </c>
      <c r="H75" s="11" t="str">
        <f aca="false">Runs!O1780</f>
        <v/>
      </c>
      <c r="I75" s="11" t="str">
        <f aca="false">Runs!O1791</f>
        <v/>
      </c>
      <c r="J75" s="11" t="str">
        <f aca="false">Runs!O1802</f>
        <v/>
      </c>
      <c r="K75" s="11" t="str">
        <f aca="false">Runs!O1813</f>
        <v/>
      </c>
      <c r="L75" s="11" t="str">
        <f aca="false">Runs!O1824</f>
        <v/>
      </c>
      <c r="M75" s="11" t="str">
        <f aca="false">Runs!O1835</f>
        <v/>
      </c>
      <c r="N75" s="11" t="str">
        <f aca="false">Runs!O1846</f>
        <v/>
      </c>
      <c r="O75" s="11" t="str">
        <f aca="false">Runs!O1857</f>
        <v/>
      </c>
      <c r="P75" s="11" t="str">
        <f aca="false">Runs!O1868</f>
        <v/>
      </c>
      <c r="Q75" s="16" t="str">
        <f aca="false">IF(COUNT(G75:P75)=0,"",AVERAGE(G75:P75))</f>
        <v/>
      </c>
      <c r="R75" s="16" t="str">
        <f aca="false">IF(COUNT(G75:P75)&lt;2,"",STDEV(G75:P75))</f>
        <v/>
      </c>
      <c r="S75" s="6" t="n">
        <f aca="false">COUNT(G75:P75)</f>
        <v>0</v>
      </c>
    </row>
    <row r="76" customFormat="false" ht="15" hidden="false" customHeight="false" outlineLevel="0" collapsed="false">
      <c r="A76" s="6" t="s">
        <v>56</v>
      </c>
      <c r="B76" s="6" t="s">
        <v>43</v>
      </c>
      <c r="C76" s="6" t="s">
        <v>51</v>
      </c>
      <c r="D76" s="6" t="s">
        <v>118</v>
      </c>
      <c r="E76" s="6" t="n">
        <v>16</v>
      </c>
      <c r="F76" s="6" t="s">
        <v>76</v>
      </c>
      <c r="G76" s="11" t="str">
        <f aca="false">Runs!O1770</f>
        <v/>
      </c>
      <c r="H76" s="11" t="str">
        <f aca="false">Runs!O1781</f>
        <v/>
      </c>
      <c r="I76" s="11" t="str">
        <f aca="false">Runs!O1792</f>
        <v/>
      </c>
      <c r="J76" s="11" t="str">
        <f aca="false">Runs!O1803</f>
        <v/>
      </c>
      <c r="K76" s="11" t="str">
        <f aca="false">Runs!O1814</f>
        <v/>
      </c>
      <c r="L76" s="11" t="str">
        <f aca="false">Runs!O1825</f>
        <v/>
      </c>
      <c r="M76" s="11" t="str">
        <f aca="false">Runs!O1836</f>
        <v/>
      </c>
      <c r="N76" s="11" t="str">
        <f aca="false">Runs!O1847</f>
        <v/>
      </c>
      <c r="O76" s="11" t="str">
        <f aca="false">Runs!O1858</f>
        <v/>
      </c>
      <c r="P76" s="11" t="str">
        <f aca="false">Runs!O1869</f>
        <v/>
      </c>
      <c r="Q76" s="16" t="str">
        <f aca="false">IF(COUNT(G76:P76)=0,"",AVERAGE(G76:P76))</f>
        <v/>
      </c>
      <c r="R76" s="16" t="str">
        <f aca="false">IF(COUNT(G76:P76)&lt;2,"",STDEV(G76:P76))</f>
        <v/>
      </c>
      <c r="S76" s="6" t="n">
        <f aca="false">COUNT(G76:P76)</f>
        <v>0</v>
      </c>
    </row>
    <row r="77" customFormat="false" ht="15" hidden="false" customHeight="false" outlineLevel="0" collapsed="false">
      <c r="A77" s="6" t="s">
        <v>56</v>
      </c>
      <c r="B77" s="6" t="s">
        <v>43</v>
      </c>
      <c r="C77" s="6" t="s">
        <v>51</v>
      </c>
      <c r="D77" s="6" t="s">
        <v>118</v>
      </c>
      <c r="E77" s="6" t="n">
        <v>16</v>
      </c>
      <c r="F77" s="6" t="s">
        <v>77</v>
      </c>
      <c r="G77" s="11" t="n">
        <f aca="false">Runs!O1771</f>
        <v>0.5</v>
      </c>
      <c r="H77" s="11" t="n">
        <f aca="false">Runs!O1782</f>
        <v>0.5</v>
      </c>
      <c r="I77" s="11" t="n">
        <f aca="false">Runs!O1793</f>
        <v>0.5</v>
      </c>
      <c r="J77" s="11" t="n">
        <f aca="false">Runs!O1804</f>
        <v>0.5</v>
      </c>
      <c r="K77" s="11" t="n">
        <f aca="false">Runs!O1815</f>
        <v>0.5</v>
      </c>
      <c r="L77" s="11" t="n">
        <f aca="false">Runs!O1826</f>
        <v>0.5</v>
      </c>
      <c r="M77" s="11" t="n">
        <f aca="false">Runs!O1837</f>
        <v>0.5</v>
      </c>
      <c r="N77" s="11" t="n">
        <f aca="false">Runs!O1848</f>
        <v>0.5</v>
      </c>
      <c r="O77" s="11" t="n">
        <f aca="false">Runs!O1859</f>
        <v>0.5</v>
      </c>
      <c r="P77" s="11" t="n">
        <f aca="false">Runs!O1870</f>
        <v>0.5</v>
      </c>
      <c r="Q77" s="16" t="n">
        <f aca="false">IF(COUNT(G77:P77)=0,"",AVERAGE(G77:P77))</f>
        <v>0.5</v>
      </c>
      <c r="R77" s="16" t="n">
        <f aca="false">IF(COUNT(G77:P77)&lt;2,"",STDEV(G77:P77))</f>
        <v>0</v>
      </c>
      <c r="S77" s="6" t="n">
        <f aca="false">COUNT(G77:P77)</f>
        <v>10</v>
      </c>
    </row>
    <row r="78" customFormat="false" ht="15" hidden="false" customHeight="false" outlineLevel="0" collapsed="false">
      <c r="A78" s="17" t="s">
        <v>56</v>
      </c>
      <c r="B78" s="17" t="s">
        <v>43</v>
      </c>
      <c r="C78" s="17" t="s">
        <v>51</v>
      </c>
      <c r="D78" s="17" t="s">
        <v>118</v>
      </c>
      <c r="E78" s="17" t="n">
        <v>16</v>
      </c>
      <c r="F78" s="17" t="s">
        <v>78</v>
      </c>
      <c r="G78" s="18" t="n">
        <f aca="false">Runs!O1772</f>
        <v>0.5</v>
      </c>
      <c r="H78" s="18" t="n">
        <f aca="false">Runs!O1783</f>
        <v>0.5</v>
      </c>
      <c r="I78" s="18" t="n">
        <f aca="false">Runs!O1794</f>
        <v>0.5</v>
      </c>
      <c r="J78" s="18" t="n">
        <f aca="false">Runs!O1805</f>
        <v>0.5</v>
      </c>
      <c r="K78" s="18" t="n">
        <f aca="false">Runs!O1816</f>
        <v>0.5</v>
      </c>
      <c r="L78" s="18" t="n">
        <f aca="false">Runs!O1827</f>
        <v>0.5</v>
      </c>
      <c r="M78" s="18" t="n">
        <f aca="false">Runs!O1838</f>
        <v>0.5</v>
      </c>
      <c r="N78" s="18" t="n">
        <f aca="false">Runs!O1849</f>
        <v>0.5</v>
      </c>
      <c r="O78" s="18" t="n">
        <f aca="false">Runs!O1860</f>
        <v>0.5</v>
      </c>
      <c r="P78" s="18" t="n">
        <f aca="false">Runs!O1871</f>
        <v>0.5</v>
      </c>
      <c r="Q78" s="19" t="n">
        <f aca="false">IF(COUNT(G78:P78)=0,"",AVERAGE(G78:P78))</f>
        <v>0.5</v>
      </c>
      <c r="R78" s="19" t="n">
        <f aca="false">IF(COUNT(G78:P78)&lt;2,"",STDEV(G78:P78))</f>
        <v>0</v>
      </c>
      <c r="S78" s="20" t="n">
        <f aca="false">COUNT(G78:P78)</f>
        <v>10</v>
      </c>
    </row>
    <row r="79" customFormat="false" ht="15" hidden="false" customHeight="false" outlineLevel="0" collapsed="false">
      <c r="A79" s="6" t="s">
        <v>58</v>
      </c>
      <c r="B79" s="6" t="s">
        <v>59</v>
      </c>
      <c r="C79" s="6" t="s">
        <v>44</v>
      </c>
      <c r="D79" s="6" t="s">
        <v>114</v>
      </c>
      <c r="E79" s="6" t="n">
        <v>4</v>
      </c>
      <c r="F79" s="6" t="s">
        <v>68</v>
      </c>
      <c r="G79" s="11" t="str">
        <f aca="false">Runs!O1872</f>
        <v/>
      </c>
      <c r="H79" s="11" t="str">
        <f aca="false">Runs!O1883</f>
        <v/>
      </c>
      <c r="I79" s="11" t="str">
        <f aca="false">Runs!O1894</f>
        <v/>
      </c>
      <c r="J79" s="11" t="str">
        <f aca="false">Runs!O1905</f>
        <v/>
      </c>
      <c r="K79" s="11" t="str">
        <f aca="false">Runs!O1916</f>
        <v/>
      </c>
      <c r="L79" s="11" t="str">
        <f aca="false">Runs!O1927</f>
        <v/>
      </c>
      <c r="M79" s="11" t="str">
        <f aca="false">Runs!O1938</f>
        <v/>
      </c>
      <c r="N79" s="11" t="str">
        <f aca="false">Runs!O1949</f>
        <v/>
      </c>
      <c r="O79" s="11" t="str">
        <f aca="false">Runs!O1960</f>
        <v/>
      </c>
      <c r="P79" s="11" t="str">
        <f aca="false">Runs!O1971</f>
        <v/>
      </c>
      <c r="Q79" s="16" t="str">
        <f aca="false">IF(COUNT(G79:P79)=0,"",AVERAGE(G79:P79))</f>
        <v/>
      </c>
      <c r="R79" s="16" t="str">
        <f aca="false">IF(COUNT(G79:P79)&lt;2,"",STDEV(G79:P79))</f>
        <v/>
      </c>
      <c r="S79" s="6" t="n">
        <f aca="false">COUNT(G79:P79)</f>
        <v>0</v>
      </c>
    </row>
    <row r="80" customFormat="false" ht="15" hidden="false" customHeight="false" outlineLevel="0" collapsed="false">
      <c r="A80" s="6" t="s">
        <v>58</v>
      </c>
      <c r="B80" s="6" t="s">
        <v>59</v>
      </c>
      <c r="C80" s="6" t="s">
        <v>44</v>
      </c>
      <c r="D80" s="6" t="s">
        <v>114</v>
      </c>
      <c r="E80" s="6" t="n">
        <v>4</v>
      </c>
      <c r="F80" s="6" t="s">
        <v>69</v>
      </c>
      <c r="G80" s="11" t="str">
        <f aca="false">Runs!O1873</f>
        <v/>
      </c>
      <c r="H80" s="11" t="str">
        <f aca="false">Runs!O1884</f>
        <v/>
      </c>
      <c r="I80" s="11" t="str">
        <f aca="false">Runs!O1895</f>
        <v/>
      </c>
      <c r="J80" s="11" t="str">
        <f aca="false">Runs!O1906</f>
        <v/>
      </c>
      <c r="K80" s="11" t="str">
        <f aca="false">Runs!O1917</f>
        <v/>
      </c>
      <c r="L80" s="11" t="str">
        <f aca="false">Runs!O1928</f>
        <v/>
      </c>
      <c r="M80" s="11" t="str">
        <f aca="false">Runs!O1939</f>
        <v/>
      </c>
      <c r="N80" s="11" t="str">
        <f aca="false">Runs!O1950</f>
        <v/>
      </c>
      <c r="O80" s="11" t="str">
        <f aca="false">Runs!O1961</f>
        <v/>
      </c>
      <c r="P80" s="11" t="str">
        <f aca="false">Runs!O1972</f>
        <v/>
      </c>
      <c r="Q80" s="16" t="str">
        <f aca="false">IF(COUNT(G80:P80)=0,"",AVERAGE(G80:P80))</f>
        <v/>
      </c>
      <c r="R80" s="16" t="str">
        <f aca="false">IF(COUNT(G80:P80)&lt;2,"",STDEV(G80:P80))</f>
        <v/>
      </c>
      <c r="S80" s="6" t="n">
        <f aca="false">COUNT(G80:P80)</f>
        <v>0</v>
      </c>
    </row>
    <row r="81" customFormat="false" ht="15" hidden="false" customHeight="false" outlineLevel="0" collapsed="false">
      <c r="A81" s="6" t="s">
        <v>58</v>
      </c>
      <c r="B81" s="6" t="s">
        <v>59</v>
      </c>
      <c r="C81" s="6" t="s">
        <v>44</v>
      </c>
      <c r="D81" s="6" t="s">
        <v>114</v>
      </c>
      <c r="E81" s="6" t="n">
        <v>4</v>
      </c>
      <c r="F81" s="6" t="s">
        <v>70</v>
      </c>
      <c r="G81" s="11" t="str">
        <f aca="false">Runs!O1874</f>
        <v/>
      </c>
      <c r="H81" s="11" t="n">
        <f aca="false">Runs!O1885</f>
        <v>1</v>
      </c>
      <c r="I81" s="11" t="str">
        <f aca="false">Runs!O1896</f>
        <v/>
      </c>
      <c r="J81" s="11" t="str">
        <f aca="false">Runs!O1907</f>
        <v/>
      </c>
      <c r="K81" s="11" t="str">
        <f aca="false">Runs!O1918</f>
        <v/>
      </c>
      <c r="L81" s="11" t="str">
        <f aca="false">Runs!O1929</f>
        <v/>
      </c>
      <c r="M81" s="11" t="str">
        <f aca="false">Runs!O1940</f>
        <v/>
      </c>
      <c r="N81" s="11" t="str">
        <f aca="false">Runs!O1951</f>
        <v/>
      </c>
      <c r="O81" s="11" t="str">
        <f aca="false">Runs!O1962</f>
        <v/>
      </c>
      <c r="P81" s="11" t="str">
        <f aca="false">Runs!O1973</f>
        <v/>
      </c>
      <c r="Q81" s="16" t="n">
        <f aca="false">IF(COUNT(G81:P81)=0,"",AVERAGE(G81:P81))</f>
        <v>1</v>
      </c>
      <c r="R81" s="16" t="str">
        <f aca="false">IF(COUNT(G81:P81)&lt;2,"",STDEV(G81:P81))</f>
        <v/>
      </c>
      <c r="S81" s="6" t="n">
        <f aca="false">COUNT(G81:P81)</f>
        <v>1</v>
      </c>
    </row>
    <row r="82" customFormat="false" ht="15" hidden="false" customHeight="false" outlineLevel="0" collapsed="false">
      <c r="A82" s="6" t="s">
        <v>58</v>
      </c>
      <c r="B82" s="6" t="s">
        <v>59</v>
      </c>
      <c r="C82" s="6" t="s">
        <v>44</v>
      </c>
      <c r="D82" s="6" t="s">
        <v>114</v>
      </c>
      <c r="E82" s="6" t="n">
        <v>4</v>
      </c>
      <c r="F82" s="6" t="s">
        <v>71</v>
      </c>
      <c r="G82" s="11" t="str">
        <f aca="false">Runs!O1875</f>
        <v/>
      </c>
      <c r="H82" s="11" t="str">
        <f aca="false">Runs!O1886</f>
        <v/>
      </c>
      <c r="I82" s="11" t="str">
        <f aca="false">Runs!O1897</f>
        <v/>
      </c>
      <c r="J82" s="11" t="str">
        <f aca="false">Runs!O1908</f>
        <v/>
      </c>
      <c r="K82" s="11" t="str">
        <f aca="false">Runs!O1919</f>
        <v/>
      </c>
      <c r="L82" s="11" t="str">
        <f aca="false">Runs!O1930</f>
        <v/>
      </c>
      <c r="M82" s="11" t="str">
        <f aca="false">Runs!O1941</f>
        <v/>
      </c>
      <c r="N82" s="11" t="str">
        <f aca="false">Runs!O1952</f>
        <v/>
      </c>
      <c r="O82" s="11" t="str">
        <f aca="false">Runs!O1963</f>
        <v/>
      </c>
      <c r="P82" s="11" t="str">
        <f aca="false">Runs!O1974</f>
        <v/>
      </c>
      <c r="Q82" s="16" t="str">
        <f aca="false">IF(COUNT(G82:P82)=0,"",AVERAGE(G82:P82))</f>
        <v/>
      </c>
      <c r="R82" s="16" t="str">
        <f aca="false">IF(COUNT(G82:P82)&lt;2,"",STDEV(G82:P82))</f>
        <v/>
      </c>
      <c r="S82" s="6" t="n">
        <f aca="false">COUNT(G82:P82)</f>
        <v>0</v>
      </c>
    </row>
    <row r="83" customFormat="false" ht="15" hidden="false" customHeight="false" outlineLevel="0" collapsed="false">
      <c r="A83" s="6" t="s">
        <v>58</v>
      </c>
      <c r="B83" s="6" t="s">
        <v>59</v>
      </c>
      <c r="C83" s="6" t="s">
        <v>44</v>
      </c>
      <c r="D83" s="6" t="s">
        <v>114</v>
      </c>
      <c r="E83" s="6" t="n">
        <v>4</v>
      </c>
      <c r="F83" s="6" t="s">
        <v>72</v>
      </c>
      <c r="G83" s="11" t="str">
        <f aca="false">Runs!O1876</f>
        <v/>
      </c>
      <c r="H83" s="11" t="str">
        <f aca="false">Runs!O1887</f>
        <v/>
      </c>
      <c r="I83" s="11" t="str">
        <f aca="false">Runs!O1898</f>
        <v/>
      </c>
      <c r="J83" s="11" t="str">
        <f aca="false">Runs!O1909</f>
        <v/>
      </c>
      <c r="K83" s="11" t="str">
        <f aca="false">Runs!O1920</f>
        <v/>
      </c>
      <c r="L83" s="11" t="str">
        <f aca="false">Runs!O1931</f>
        <v/>
      </c>
      <c r="M83" s="11" t="str">
        <f aca="false">Runs!O1942</f>
        <v/>
      </c>
      <c r="N83" s="11" t="str">
        <f aca="false">Runs!O1953</f>
        <v/>
      </c>
      <c r="O83" s="11" t="str">
        <f aca="false">Runs!O1964</f>
        <v/>
      </c>
      <c r="P83" s="11" t="str">
        <f aca="false">Runs!O1975</f>
        <v/>
      </c>
      <c r="Q83" s="16" t="str">
        <f aca="false">IF(COUNT(G83:P83)=0,"",AVERAGE(G83:P83))</f>
        <v/>
      </c>
      <c r="R83" s="16" t="str">
        <f aca="false">IF(COUNT(G83:P83)&lt;2,"",STDEV(G83:P83))</f>
        <v/>
      </c>
      <c r="S83" s="6" t="n">
        <f aca="false">COUNT(G83:P83)</f>
        <v>0</v>
      </c>
    </row>
    <row r="84" customFormat="false" ht="15" hidden="false" customHeight="false" outlineLevel="0" collapsed="false">
      <c r="A84" s="6" t="s">
        <v>58</v>
      </c>
      <c r="B84" s="6" t="s">
        <v>59</v>
      </c>
      <c r="C84" s="6" t="s">
        <v>44</v>
      </c>
      <c r="D84" s="6" t="s">
        <v>114</v>
      </c>
      <c r="E84" s="6" t="n">
        <v>4</v>
      </c>
      <c r="F84" s="6" t="s">
        <v>73</v>
      </c>
      <c r="G84" s="11" t="str">
        <f aca="false">Runs!O1877</f>
        <v/>
      </c>
      <c r="H84" s="11" t="str">
        <f aca="false">Runs!O1888</f>
        <v/>
      </c>
      <c r="I84" s="11" t="str">
        <f aca="false">Runs!O1899</f>
        <v/>
      </c>
      <c r="J84" s="11" t="str">
        <f aca="false">Runs!O1910</f>
        <v/>
      </c>
      <c r="K84" s="11" t="str">
        <f aca="false">Runs!O1921</f>
        <v/>
      </c>
      <c r="L84" s="11" t="str">
        <f aca="false">Runs!O1932</f>
        <v/>
      </c>
      <c r="M84" s="11" t="str">
        <f aca="false">Runs!O1943</f>
        <v/>
      </c>
      <c r="N84" s="11" t="str">
        <f aca="false">Runs!O1954</f>
        <v/>
      </c>
      <c r="O84" s="11" t="n">
        <f aca="false">Runs!O1965</f>
        <v>1</v>
      </c>
      <c r="P84" s="11" t="str">
        <f aca="false">Runs!O1976</f>
        <v/>
      </c>
      <c r="Q84" s="16" t="n">
        <f aca="false">IF(COUNT(G84:P84)=0,"",AVERAGE(G84:P84))</f>
        <v>1</v>
      </c>
      <c r="R84" s="16" t="str">
        <f aca="false">IF(COUNT(G84:P84)&lt;2,"",STDEV(G84:P84))</f>
        <v/>
      </c>
      <c r="S84" s="6" t="n">
        <f aca="false">COUNT(G84:P84)</f>
        <v>1</v>
      </c>
    </row>
    <row r="85" customFormat="false" ht="15" hidden="false" customHeight="false" outlineLevel="0" collapsed="false">
      <c r="A85" s="6" t="s">
        <v>58</v>
      </c>
      <c r="B85" s="6" t="s">
        <v>59</v>
      </c>
      <c r="C85" s="6" t="s">
        <v>44</v>
      </c>
      <c r="D85" s="6" t="s">
        <v>114</v>
      </c>
      <c r="E85" s="6" t="n">
        <v>4</v>
      </c>
      <c r="F85" s="6" t="s">
        <v>74</v>
      </c>
      <c r="G85" s="11" t="str">
        <f aca="false">Runs!O1878</f>
        <v/>
      </c>
      <c r="H85" s="11" t="str">
        <f aca="false">Runs!O1889</f>
        <v/>
      </c>
      <c r="I85" s="11" t="str">
        <f aca="false">Runs!O1900</f>
        <v/>
      </c>
      <c r="J85" s="11" t="str">
        <f aca="false">Runs!O1911</f>
        <v/>
      </c>
      <c r="K85" s="11" t="str">
        <f aca="false">Runs!O1922</f>
        <v/>
      </c>
      <c r="L85" s="11" t="str">
        <f aca="false">Runs!O1933</f>
        <v/>
      </c>
      <c r="M85" s="11" t="str">
        <f aca="false">Runs!O1944</f>
        <v/>
      </c>
      <c r="N85" s="11" t="str">
        <f aca="false">Runs!O1955</f>
        <v/>
      </c>
      <c r="O85" s="11" t="n">
        <f aca="false">Runs!O1966</f>
        <v>1</v>
      </c>
      <c r="P85" s="11" t="str">
        <f aca="false">Runs!O1977</f>
        <v/>
      </c>
      <c r="Q85" s="16" t="n">
        <f aca="false">IF(COUNT(G85:P85)=0,"",AVERAGE(G85:P85))</f>
        <v>1</v>
      </c>
      <c r="R85" s="16" t="str">
        <f aca="false">IF(COUNT(G85:P85)&lt;2,"",STDEV(G85:P85))</f>
        <v/>
      </c>
      <c r="S85" s="6" t="n">
        <f aca="false">COUNT(G85:P85)</f>
        <v>1</v>
      </c>
    </row>
    <row r="86" customFormat="false" ht="15" hidden="false" customHeight="false" outlineLevel="0" collapsed="false">
      <c r="A86" s="6" t="s">
        <v>58</v>
      </c>
      <c r="B86" s="6" t="s">
        <v>59</v>
      </c>
      <c r="C86" s="6" t="s">
        <v>44</v>
      </c>
      <c r="D86" s="6" t="s">
        <v>114</v>
      </c>
      <c r="E86" s="6" t="n">
        <v>4</v>
      </c>
      <c r="F86" s="6" t="s">
        <v>75</v>
      </c>
      <c r="G86" s="11" t="str">
        <f aca="false">Runs!O1879</f>
        <v/>
      </c>
      <c r="H86" s="11" t="str">
        <f aca="false">Runs!O1890</f>
        <v/>
      </c>
      <c r="I86" s="11" t="str">
        <f aca="false">Runs!O1901</f>
        <v/>
      </c>
      <c r="J86" s="11" t="str">
        <f aca="false">Runs!O1912</f>
        <v/>
      </c>
      <c r="K86" s="11" t="str">
        <f aca="false">Runs!O1923</f>
        <v/>
      </c>
      <c r="L86" s="11" t="str">
        <f aca="false">Runs!O1934</f>
        <v/>
      </c>
      <c r="M86" s="11" t="str">
        <f aca="false">Runs!O1945</f>
        <v/>
      </c>
      <c r="N86" s="11" t="str">
        <f aca="false">Runs!O1956</f>
        <v/>
      </c>
      <c r="O86" s="11" t="str">
        <f aca="false">Runs!O1967</f>
        <v/>
      </c>
      <c r="P86" s="11" t="str">
        <f aca="false">Runs!O1978</f>
        <v/>
      </c>
      <c r="Q86" s="16" t="str">
        <f aca="false">IF(COUNT(G86:P86)=0,"",AVERAGE(G86:P86))</f>
        <v/>
      </c>
      <c r="R86" s="16" t="str">
        <f aca="false">IF(COUNT(G86:P86)&lt;2,"",STDEV(G86:P86))</f>
        <v/>
      </c>
      <c r="S86" s="6" t="n">
        <f aca="false">COUNT(G86:P86)</f>
        <v>0</v>
      </c>
    </row>
    <row r="87" customFormat="false" ht="15" hidden="false" customHeight="false" outlineLevel="0" collapsed="false">
      <c r="A87" s="6" t="s">
        <v>58</v>
      </c>
      <c r="B87" s="6" t="s">
        <v>59</v>
      </c>
      <c r="C87" s="6" t="s">
        <v>44</v>
      </c>
      <c r="D87" s="6" t="s">
        <v>114</v>
      </c>
      <c r="E87" s="6" t="n">
        <v>4</v>
      </c>
      <c r="F87" s="6" t="s">
        <v>76</v>
      </c>
      <c r="G87" s="11" t="str">
        <f aca="false">Runs!O1880</f>
        <v/>
      </c>
      <c r="H87" s="11" t="str">
        <f aca="false">Runs!O1891</f>
        <v/>
      </c>
      <c r="I87" s="11" t="str">
        <f aca="false">Runs!O1902</f>
        <v/>
      </c>
      <c r="J87" s="11" t="str">
        <f aca="false">Runs!O1913</f>
        <v/>
      </c>
      <c r="K87" s="11" t="str">
        <f aca="false">Runs!O1924</f>
        <v/>
      </c>
      <c r="L87" s="11" t="str">
        <f aca="false">Runs!O1935</f>
        <v/>
      </c>
      <c r="M87" s="11" t="str">
        <f aca="false">Runs!O1946</f>
        <v/>
      </c>
      <c r="N87" s="11" t="str">
        <f aca="false">Runs!O1957</f>
        <v/>
      </c>
      <c r="O87" s="11" t="str">
        <f aca="false">Runs!O1968</f>
        <v/>
      </c>
      <c r="P87" s="11" t="str">
        <f aca="false">Runs!O1979</f>
        <v/>
      </c>
      <c r="Q87" s="16" t="str">
        <f aca="false">IF(COUNT(G87:P87)=0,"",AVERAGE(G87:P87))</f>
        <v/>
      </c>
      <c r="R87" s="16" t="str">
        <f aca="false">IF(COUNT(G87:P87)&lt;2,"",STDEV(G87:P87))</f>
        <v/>
      </c>
      <c r="S87" s="6" t="n">
        <f aca="false">COUNT(G87:P87)</f>
        <v>0</v>
      </c>
    </row>
    <row r="88" customFormat="false" ht="15" hidden="false" customHeight="false" outlineLevel="0" collapsed="false">
      <c r="A88" s="6" t="s">
        <v>58</v>
      </c>
      <c r="B88" s="6" t="s">
        <v>59</v>
      </c>
      <c r="C88" s="6" t="s">
        <v>44</v>
      </c>
      <c r="D88" s="6" t="s">
        <v>114</v>
      </c>
      <c r="E88" s="6" t="n">
        <v>4</v>
      </c>
      <c r="F88" s="6" t="s">
        <v>77</v>
      </c>
      <c r="G88" s="11" t="n">
        <f aca="false">Runs!O1881</f>
        <v>0.5</v>
      </c>
      <c r="H88" s="11" t="n">
        <f aca="false">Runs!O1892</f>
        <v>0.5</v>
      </c>
      <c r="I88" s="11" t="n">
        <f aca="false">Runs!O1903</f>
        <v>0.5</v>
      </c>
      <c r="J88" s="11" t="n">
        <f aca="false">Runs!O1914</f>
        <v>0</v>
      </c>
      <c r="K88" s="11" t="n">
        <f aca="false">Runs!O1925</f>
        <v>0.5</v>
      </c>
      <c r="L88" s="11" t="n">
        <f aca="false">Runs!O1936</f>
        <v>0.5</v>
      </c>
      <c r="M88" s="11" t="n">
        <f aca="false">Runs!O1947</f>
        <v>0.5</v>
      </c>
      <c r="N88" s="11" t="n">
        <f aca="false">Runs!O1958</f>
        <v>0.5</v>
      </c>
      <c r="O88" s="11" t="n">
        <f aca="false">Runs!O1969</f>
        <v>0</v>
      </c>
      <c r="P88" s="11" t="n">
        <f aca="false">Runs!O1980</f>
        <v>0.5</v>
      </c>
      <c r="Q88" s="16" t="n">
        <f aca="false">IF(COUNT(G88:P88)=0,"",AVERAGE(G88:P88))</f>
        <v>0.4</v>
      </c>
      <c r="R88" s="16" t="n">
        <f aca="false">IF(COUNT(G88:P88)&lt;2,"",STDEV(G88:P88))</f>
        <v>0.210818510677892</v>
      </c>
      <c r="S88" s="6" t="n">
        <f aca="false">COUNT(G88:P88)</f>
        <v>10</v>
      </c>
    </row>
    <row r="89" customFormat="false" ht="15" hidden="false" customHeight="false" outlineLevel="0" collapsed="false">
      <c r="A89" s="17" t="s">
        <v>58</v>
      </c>
      <c r="B89" s="17" t="s">
        <v>59</v>
      </c>
      <c r="C89" s="17" t="s">
        <v>44</v>
      </c>
      <c r="D89" s="17" t="s">
        <v>114</v>
      </c>
      <c r="E89" s="17" t="n">
        <v>4</v>
      </c>
      <c r="F89" s="17" t="s">
        <v>78</v>
      </c>
      <c r="G89" s="18" t="n">
        <f aca="false">Runs!O1882</f>
        <v>0.5</v>
      </c>
      <c r="H89" s="18" t="n">
        <f aca="false">Runs!O1893</f>
        <v>0.666666666666667</v>
      </c>
      <c r="I89" s="18" t="n">
        <f aca="false">Runs!O1904</f>
        <v>0.5</v>
      </c>
      <c r="J89" s="18" t="n">
        <f aca="false">Runs!O1915</f>
        <v>0</v>
      </c>
      <c r="K89" s="18" t="n">
        <f aca="false">Runs!O1926</f>
        <v>0.5</v>
      </c>
      <c r="L89" s="18" t="n">
        <f aca="false">Runs!O1937</f>
        <v>0.5</v>
      </c>
      <c r="M89" s="18" t="n">
        <f aca="false">Runs!O1948</f>
        <v>0.5</v>
      </c>
      <c r="N89" s="18" t="n">
        <f aca="false">Runs!O1959</f>
        <v>0.5</v>
      </c>
      <c r="O89" s="18" t="n">
        <f aca="false">Runs!O1970</f>
        <v>0.666666666666667</v>
      </c>
      <c r="P89" s="18" t="n">
        <f aca="false">Runs!O1981</f>
        <v>0.5</v>
      </c>
      <c r="Q89" s="19" t="n">
        <f aca="false">IF(COUNT(G89:P89)=0,"",AVERAGE(G89:P89))</f>
        <v>0.483333333333333</v>
      </c>
      <c r="R89" s="19" t="n">
        <f aca="false">IF(COUNT(G89:P89)&lt;2,"",STDEV(G89:P89))</f>
        <v>0.183417489102435</v>
      </c>
      <c r="S89" s="20" t="n">
        <f aca="false">COUNT(G89:P89)</f>
        <v>10</v>
      </c>
    </row>
    <row r="90" customFormat="false" ht="15" hidden="false" customHeight="false" outlineLevel="0" collapsed="false">
      <c r="A90" s="6" t="s">
        <v>60</v>
      </c>
      <c r="B90" s="6" t="s">
        <v>59</v>
      </c>
      <c r="C90" s="6" t="s">
        <v>51</v>
      </c>
      <c r="D90" s="6" t="s">
        <v>119</v>
      </c>
      <c r="E90" s="6" t="n">
        <v>16</v>
      </c>
      <c r="F90" s="6" t="s">
        <v>68</v>
      </c>
      <c r="G90" s="11" t="str">
        <f aca="false">Runs!O1982</f>
        <v/>
      </c>
      <c r="H90" s="11" t="str">
        <f aca="false">Runs!O1993</f>
        <v/>
      </c>
      <c r="I90" s="11" t="str">
        <f aca="false">Runs!O2004</f>
        <v/>
      </c>
      <c r="J90" s="11" t="str">
        <f aca="false">Runs!O2015</f>
        <v/>
      </c>
      <c r="K90" s="11" t="str">
        <f aca="false">Runs!O2026</f>
        <v/>
      </c>
      <c r="L90" s="11" t="str">
        <f aca="false">Runs!O2037</f>
        <v/>
      </c>
      <c r="M90" s="11" t="str">
        <f aca="false">Runs!O2048</f>
        <v/>
      </c>
      <c r="N90" s="11" t="str">
        <f aca="false">Runs!O2059</f>
        <v/>
      </c>
      <c r="O90" s="11" t="str">
        <f aca="false">Runs!O2070</f>
        <v/>
      </c>
      <c r="P90" s="11" t="str">
        <f aca="false">Runs!O2081</f>
        <v/>
      </c>
      <c r="Q90" s="16" t="str">
        <f aca="false">IF(COUNT(G90:P90)=0,"",AVERAGE(G90:P90))</f>
        <v/>
      </c>
      <c r="R90" s="16" t="str">
        <f aca="false">IF(COUNT(G90:P90)&lt;2,"",STDEV(G90:P90))</f>
        <v/>
      </c>
      <c r="S90" s="6" t="n">
        <f aca="false">COUNT(G90:P90)</f>
        <v>0</v>
      </c>
    </row>
    <row r="91" customFormat="false" ht="15" hidden="false" customHeight="false" outlineLevel="0" collapsed="false">
      <c r="A91" s="6" t="s">
        <v>60</v>
      </c>
      <c r="B91" s="6" t="s">
        <v>59</v>
      </c>
      <c r="C91" s="6" t="s">
        <v>51</v>
      </c>
      <c r="D91" s="6" t="s">
        <v>119</v>
      </c>
      <c r="E91" s="6" t="n">
        <v>16</v>
      </c>
      <c r="F91" s="6" t="s">
        <v>69</v>
      </c>
      <c r="G91" s="11" t="str">
        <f aca="false">Runs!O1983</f>
        <v/>
      </c>
      <c r="H91" s="11" t="str">
        <f aca="false">Runs!O1994</f>
        <v/>
      </c>
      <c r="I91" s="11" t="str">
        <f aca="false">Runs!O2005</f>
        <v/>
      </c>
      <c r="J91" s="11" t="str">
        <f aca="false">Runs!O2016</f>
        <v/>
      </c>
      <c r="K91" s="11" t="str">
        <f aca="false">Runs!O2027</f>
        <v/>
      </c>
      <c r="L91" s="11" t="str">
        <f aca="false">Runs!O2038</f>
        <v/>
      </c>
      <c r="M91" s="11" t="str">
        <f aca="false">Runs!O2049</f>
        <v/>
      </c>
      <c r="N91" s="11" t="str">
        <f aca="false">Runs!O2060</f>
        <v/>
      </c>
      <c r="O91" s="11" t="str">
        <f aca="false">Runs!O2071</f>
        <v/>
      </c>
      <c r="P91" s="11" t="str">
        <f aca="false">Runs!O2082</f>
        <v/>
      </c>
      <c r="Q91" s="16" t="str">
        <f aca="false">IF(COUNT(G91:P91)=0,"",AVERAGE(G91:P91))</f>
        <v/>
      </c>
      <c r="R91" s="16" t="str">
        <f aca="false">IF(COUNT(G91:P91)&lt;2,"",STDEV(G91:P91))</f>
        <v/>
      </c>
      <c r="S91" s="6" t="n">
        <f aca="false">COUNT(G91:P91)</f>
        <v>0</v>
      </c>
    </row>
    <row r="92" customFormat="false" ht="15" hidden="false" customHeight="false" outlineLevel="0" collapsed="false">
      <c r="A92" s="6" t="s">
        <v>60</v>
      </c>
      <c r="B92" s="6" t="s">
        <v>59</v>
      </c>
      <c r="C92" s="6" t="s">
        <v>51</v>
      </c>
      <c r="D92" s="6" t="s">
        <v>119</v>
      </c>
      <c r="E92" s="6" t="n">
        <v>16</v>
      </c>
      <c r="F92" s="6" t="s">
        <v>70</v>
      </c>
      <c r="G92" s="11" t="str">
        <f aca="false">Runs!O1984</f>
        <v/>
      </c>
      <c r="H92" s="11" t="str">
        <f aca="false">Runs!O1995</f>
        <v/>
      </c>
      <c r="I92" s="11" t="str">
        <f aca="false">Runs!O2006</f>
        <v/>
      </c>
      <c r="J92" s="11" t="str">
        <f aca="false">Runs!O2017</f>
        <v/>
      </c>
      <c r="K92" s="11" t="str">
        <f aca="false">Runs!O2028</f>
        <v/>
      </c>
      <c r="L92" s="11" t="str">
        <f aca="false">Runs!O2039</f>
        <v/>
      </c>
      <c r="M92" s="11" t="str">
        <f aca="false">Runs!O2050</f>
        <v/>
      </c>
      <c r="N92" s="11" t="str">
        <f aca="false">Runs!O2061</f>
        <v/>
      </c>
      <c r="O92" s="11" t="str">
        <f aca="false">Runs!O2072</f>
        <v/>
      </c>
      <c r="P92" s="11" t="str">
        <f aca="false">Runs!O2083</f>
        <v/>
      </c>
      <c r="Q92" s="16" t="str">
        <f aca="false">IF(COUNT(G92:P92)=0,"",AVERAGE(G92:P92))</f>
        <v/>
      </c>
      <c r="R92" s="16" t="str">
        <f aca="false">IF(COUNT(G92:P92)&lt;2,"",STDEV(G92:P92))</f>
        <v/>
      </c>
      <c r="S92" s="6" t="n">
        <f aca="false">COUNT(G92:P92)</f>
        <v>0</v>
      </c>
    </row>
    <row r="93" customFormat="false" ht="15" hidden="false" customHeight="false" outlineLevel="0" collapsed="false">
      <c r="A93" s="6" t="s">
        <v>60</v>
      </c>
      <c r="B93" s="6" t="s">
        <v>59</v>
      </c>
      <c r="C93" s="6" t="s">
        <v>51</v>
      </c>
      <c r="D93" s="6" t="s">
        <v>119</v>
      </c>
      <c r="E93" s="6" t="n">
        <v>16</v>
      </c>
      <c r="F93" s="6" t="s">
        <v>71</v>
      </c>
      <c r="G93" s="11" t="n">
        <f aca="false">Runs!O1985</f>
        <v>1</v>
      </c>
      <c r="H93" s="11" t="str">
        <f aca="false">Runs!O1996</f>
        <v/>
      </c>
      <c r="I93" s="11" t="str">
        <f aca="false">Runs!O2007</f>
        <v/>
      </c>
      <c r="J93" s="11" t="str">
        <f aca="false">Runs!O2018</f>
        <v/>
      </c>
      <c r="K93" s="11" t="str">
        <f aca="false">Runs!O2029</f>
        <v/>
      </c>
      <c r="L93" s="11" t="str">
        <f aca="false">Runs!O2040</f>
        <v/>
      </c>
      <c r="M93" s="11" t="str">
        <f aca="false">Runs!O2051</f>
        <v/>
      </c>
      <c r="N93" s="11" t="str">
        <f aca="false">Runs!O2062</f>
        <v/>
      </c>
      <c r="O93" s="11" t="str">
        <f aca="false">Runs!O2073</f>
        <v/>
      </c>
      <c r="P93" s="11" t="str">
        <f aca="false">Runs!O2084</f>
        <v/>
      </c>
      <c r="Q93" s="16" t="n">
        <f aca="false">IF(COUNT(G93:P93)=0,"",AVERAGE(G93:P93))</f>
        <v>1</v>
      </c>
      <c r="R93" s="16" t="str">
        <f aca="false">IF(COUNT(G93:P93)&lt;2,"",STDEV(G93:P93))</f>
        <v/>
      </c>
      <c r="S93" s="6" t="n">
        <f aca="false">COUNT(G93:P93)</f>
        <v>1</v>
      </c>
    </row>
    <row r="94" customFormat="false" ht="15" hidden="false" customHeight="false" outlineLevel="0" collapsed="false">
      <c r="A94" s="6" t="s">
        <v>60</v>
      </c>
      <c r="B94" s="6" t="s">
        <v>59</v>
      </c>
      <c r="C94" s="6" t="s">
        <v>51</v>
      </c>
      <c r="D94" s="6" t="s">
        <v>119</v>
      </c>
      <c r="E94" s="6" t="n">
        <v>16</v>
      </c>
      <c r="F94" s="6" t="s">
        <v>72</v>
      </c>
      <c r="G94" s="11" t="n">
        <f aca="false">Runs!O1986</f>
        <v>1</v>
      </c>
      <c r="H94" s="11" t="str">
        <f aca="false">Runs!O1997</f>
        <v/>
      </c>
      <c r="I94" s="11" t="str">
        <f aca="false">Runs!O2008</f>
        <v/>
      </c>
      <c r="J94" s="11" t="str">
        <f aca="false">Runs!O2019</f>
        <v/>
      </c>
      <c r="K94" s="11" t="str">
        <f aca="false">Runs!O2030</f>
        <v/>
      </c>
      <c r="L94" s="11" t="str">
        <f aca="false">Runs!O2041</f>
        <v/>
      </c>
      <c r="M94" s="11" t="str">
        <f aca="false">Runs!O2052</f>
        <v/>
      </c>
      <c r="N94" s="11" t="str">
        <f aca="false">Runs!O2063</f>
        <v/>
      </c>
      <c r="O94" s="11" t="str">
        <f aca="false">Runs!O2074</f>
        <v/>
      </c>
      <c r="P94" s="11" t="str">
        <f aca="false">Runs!O2085</f>
        <v/>
      </c>
      <c r="Q94" s="16" t="n">
        <f aca="false">IF(COUNT(G94:P94)=0,"",AVERAGE(G94:P94))</f>
        <v>1</v>
      </c>
      <c r="R94" s="16" t="str">
        <f aca="false">IF(COUNT(G94:P94)&lt;2,"",STDEV(G94:P94))</f>
        <v/>
      </c>
      <c r="S94" s="6" t="n">
        <f aca="false">COUNT(G94:P94)</f>
        <v>1</v>
      </c>
    </row>
    <row r="95" customFormat="false" ht="15" hidden="false" customHeight="false" outlineLevel="0" collapsed="false">
      <c r="A95" s="6" t="s">
        <v>60</v>
      </c>
      <c r="B95" s="6" t="s">
        <v>59</v>
      </c>
      <c r="C95" s="6" t="s">
        <v>51</v>
      </c>
      <c r="D95" s="6" t="s">
        <v>119</v>
      </c>
      <c r="E95" s="6" t="n">
        <v>16</v>
      </c>
      <c r="F95" s="6" t="s">
        <v>73</v>
      </c>
      <c r="G95" s="11" t="str">
        <f aca="false">Runs!O1987</f>
        <v/>
      </c>
      <c r="H95" s="11" t="str">
        <f aca="false">Runs!O1998</f>
        <v/>
      </c>
      <c r="I95" s="11" t="str">
        <f aca="false">Runs!O2009</f>
        <v/>
      </c>
      <c r="J95" s="11" t="str">
        <f aca="false">Runs!O2020</f>
        <v/>
      </c>
      <c r="K95" s="11" t="str">
        <f aca="false">Runs!O2031</f>
        <v/>
      </c>
      <c r="L95" s="11" t="str">
        <f aca="false">Runs!O2042</f>
        <v/>
      </c>
      <c r="M95" s="11" t="str">
        <f aca="false">Runs!O2053</f>
        <v/>
      </c>
      <c r="N95" s="11" t="str">
        <f aca="false">Runs!O2064</f>
        <v/>
      </c>
      <c r="O95" s="11" t="str">
        <f aca="false">Runs!O2075</f>
        <v/>
      </c>
      <c r="P95" s="11" t="str">
        <f aca="false">Runs!O2086</f>
        <v/>
      </c>
      <c r="Q95" s="16" t="str">
        <f aca="false">IF(COUNT(G95:P95)=0,"",AVERAGE(G95:P95))</f>
        <v/>
      </c>
      <c r="R95" s="16" t="str">
        <f aca="false">IF(COUNT(G95:P95)&lt;2,"",STDEV(G95:P95))</f>
        <v/>
      </c>
      <c r="S95" s="6" t="n">
        <f aca="false">COUNT(G95:P95)</f>
        <v>0</v>
      </c>
    </row>
    <row r="96" customFormat="false" ht="15" hidden="false" customHeight="false" outlineLevel="0" collapsed="false">
      <c r="A96" s="6" t="s">
        <v>60</v>
      </c>
      <c r="B96" s="6" t="s">
        <v>59</v>
      </c>
      <c r="C96" s="6" t="s">
        <v>51</v>
      </c>
      <c r="D96" s="6" t="s">
        <v>119</v>
      </c>
      <c r="E96" s="6" t="n">
        <v>16</v>
      </c>
      <c r="F96" s="6" t="s">
        <v>74</v>
      </c>
      <c r="G96" s="11" t="str">
        <f aca="false">Runs!O1988</f>
        <v/>
      </c>
      <c r="H96" s="11" t="str">
        <f aca="false">Runs!O1999</f>
        <v/>
      </c>
      <c r="I96" s="11" t="str">
        <f aca="false">Runs!O2010</f>
        <v/>
      </c>
      <c r="J96" s="11" t="str">
        <f aca="false">Runs!O2021</f>
        <v/>
      </c>
      <c r="K96" s="11" t="str">
        <f aca="false">Runs!O2032</f>
        <v/>
      </c>
      <c r="L96" s="11" t="str">
        <f aca="false">Runs!O2043</f>
        <v/>
      </c>
      <c r="M96" s="11" t="str">
        <f aca="false">Runs!O2054</f>
        <v/>
      </c>
      <c r="N96" s="11" t="str">
        <f aca="false">Runs!O2065</f>
        <v/>
      </c>
      <c r="O96" s="11" t="str">
        <f aca="false">Runs!O2076</f>
        <v/>
      </c>
      <c r="P96" s="11" t="str">
        <f aca="false">Runs!O2087</f>
        <v/>
      </c>
      <c r="Q96" s="16" t="str">
        <f aca="false">IF(COUNT(G96:P96)=0,"",AVERAGE(G96:P96))</f>
        <v/>
      </c>
      <c r="R96" s="16" t="str">
        <f aca="false">IF(COUNT(G96:P96)&lt;2,"",STDEV(G96:P96))</f>
        <v/>
      </c>
      <c r="S96" s="6" t="n">
        <f aca="false">COUNT(G96:P96)</f>
        <v>0</v>
      </c>
    </row>
    <row r="97" customFormat="false" ht="15" hidden="false" customHeight="false" outlineLevel="0" collapsed="false">
      <c r="A97" s="6" t="s">
        <v>60</v>
      </c>
      <c r="B97" s="6" t="s">
        <v>59</v>
      </c>
      <c r="C97" s="6" t="s">
        <v>51</v>
      </c>
      <c r="D97" s="6" t="s">
        <v>119</v>
      </c>
      <c r="E97" s="6" t="n">
        <v>16</v>
      </c>
      <c r="F97" s="6" t="s">
        <v>75</v>
      </c>
      <c r="G97" s="11" t="n">
        <f aca="false">Runs!O1989</f>
        <v>1</v>
      </c>
      <c r="H97" s="11" t="str">
        <f aca="false">Runs!O2000</f>
        <v/>
      </c>
      <c r="I97" s="11" t="str">
        <f aca="false">Runs!O2011</f>
        <v/>
      </c>
      <c r="J97" s="11" t="str">
        <f aca="false">Runs!O2022</f>
        <v/>
      </c>
      <c r="K97" s="11" t="str">
        <f aca="false">Runs!O2033</f>
        <v/>
      </c>
      <c r="L97" s="11" t="str">
        <f aca="false">Runs!O2044</f>
        <v/>
      </c>
      <c r="M97" s="11" t="str">
        <f aca="false">Runs!O2055</f>
        <v/>
      </c>
      <c r="N97" s="11" t="str">
        <f aca="false">Runs!O2066</f>
        <v/>
      </c>
      <c r="O97" s="11" t="str">
        <f aca="false">Runs!O2077</f>
        <v/>
      </c>
      <c r="P97" s="11" t="str">
        <f aca="false">Runs!O2088</f>
        <v/>
      </c>
      <c r="Q97" s="16" t="n">
        <f aca="false">IF(COUNT(G97:P97)=0,"",AVERAGE(G97:P97))</f>
        <v>1</v>
      </c>
      <c r="R97" s="16" t="str">
        <f aca="false">IF(COUNT(G97:P97)&lt;2,"",STDEV(G97:P97))</f>
        <v/>
      </c>
      <c r="S97" s="6" t="n">
        <f aca="false">COUNT(G97:P97)</f>
        <v>1</v>
      </c>
    </row>
    <row r="98" customFormat="false" ht="15" hidden="false" customHeight="false" outlineLevel="0" collapsed="false">
      <c r="A98" s="6" t="s">
        <v>60</v>
      </c>
      <c r="B98" s="6" t="s">
        <v>59</v>
      </c>
      <c r="C98" s="6" t="s">
        <v>51</v>
      </c>
      <c r="D98" s="6" t="s">
        <v>119</v>
      </c>
      <c r="E98" s="6" t="n">
        <v>16</v>
      </c>
      <c r="F98" s="6" t="s">
        <v>76</v>
      </c>
      <c r="G98" s="11" t="str">
        <f aca="false">Runs!O1990</f>
        <v/>
      </c>
      <c r="H98" s="11" t="str">
        <f aca="false">Runs!O2001</f>
        <v/>
      </c>
      <c r="I98" s="11" t="str">
        <f aca="false">Runs!O2012</f>
        <v/>
      </c>
      <c r="J98" s="11" t="str">
        <f aca="false">Runs!O2023</f>
        <v/>
      </c>
      <c r="K98" s="11" t="str">
        <f aca="false">Runs!O2034</f>
        <v/>
      </c>
      <c r="L98" s="11" t="str">
        <f aca="false">Runs!O2045</f>
        <v/>
      </c>
      <c r="M98" s="11" t="str">
        <f aca="false">Runs!O2056</f>
        <v/>
      </c>
      <c r="N98" s="11" t="str">
        <f aca="false">Runs!O2067</f>
        <v/>
      </c>
      <c r="O98" s="11" t="str">
        <f aca="false">Runs!O2078</f>
        <v/>
      </c>
      <c r="P98" s="11" t="str">
        <f aca="false">Runs!O2089</f>
        <v/>
      </c>
      <c r="Q98" s="16" t="str">
        <f aca="false">IF(COUNT(G98:P98)=0,"",AVERAGE(G98:P98))</f>
        <v/>
      </c>
      <c r="R98" s="16" t="str">
        <f aca="false">IF(COUNT(G98:P98)&lt;2,"",STDEV(G98:P98))</f>
        <v/>
      </c>
      <c r="S98" s="6" t="n">
        <f aca="false">COUNT(G98:P98)</f>
        <v>0</v>
      </c>
    </row>
    <row r="99" customFormat="false" ht="15" hidden="false" customHeight="false" outlineLevel="0" collapsed="false">
      <c r="A99" s="6" t="s">
        <v>60</v>
      </c>
      <c r="B99" s="6" t="s">
        <v>59</v>
      </c>
      <c r="C99" s="6" t="s">
        <v>51</v>
      </c>
      <c r="D99" s="6" t="s">
        <v>119</v>
      </c>
      <c r="E99" s="6" t="n">
        <v>16</v>
      </c>
      <c r="F99" s="6" t="s">
        <v>77</v>
      </c>
      <c r="G99" s="11" t="n">
        <f aca="false">Runs!O1991</f>
        <v>0.5</v>
      </c>
      <c r="H99" s="11" t="n">
        <f aca="false">Runs!O2002</f>
        <v>0.5</v>
      </c>
      <c r="I99" s="11" t="n">
        <f aca="false">Runs!O2013</f>
        <v>0.5</v>
      </c>
      <c r="J99" s="11" t="n">
        <f aca="false">Runs!O2024</f>
        <v>0.5</v>
      </c>
      <c r="K99" s="11" t="n">
        <f aca="false">Runs!O2035</f>
        <v>0.5</v>
      </c>
      <c r="L99" s="11" t="n">
        <f aca="false">Runs!O2046</f>
        <v>0.5</v>
      </c>
      <c r="M99" s="11" t="n">
        <f aca="false">Runs!O2057</f>
        <v>0.5</v>
      </c>
      <c r="N99" s="11" t="n">
        <f aca="false">Runs!O2068</f>
        <v>0.5</v>
      </c>
      <c r="O99" s="11" t="n">
        <f aca="false">Runs!O2079</f>
        <v>0.5</v>
      </c>
      <c r="P99" s="11" t="n">
        <f aca="false">Runs!O2090</f>
        <v>0.5</v>
      </c>
      <c r="Q99" s="16" t="n">
        <f aca="false">IF(COUNT(G99:P99)=0,"",AVERAGE(G99:P99))</f>
        <v>0.5</v>
      </c>
      <c r="R99" s="16" t="n">
        <f aca="false">IF(COUNT(G99:P99)&lt;2,"",STDEV(G99:P99))</f>
        <v>0</v>
      </c>
      <c r="S99" s="6" t="n">
        <f aca="false">COUNT(G99:P99)</f>
        <v>10</v>
      </c>
    </row>
    <row r="100" customFormat="false" ht="15" hidden="false" customHeight="false" outlineLevel="0" collapsed="false">
      <c r="A100" s="17" t="s">
        <v>60</v>
      </c>
      <c r="B100" s="17" t="s">
        <v>59</v>
      </c>
      <c r="C100" s="17" t="s">
        <v>51</v>
      </c>
      <c r="D100" s="17" t="s">
        <v>119</v>
      </c>
      <c r="E100" s="17" t="n">
        <v>16</v>
      </c>
      <c r="F100" s="17" t="s">
        <v>78</v>
      </c>
      <c r="G100" s="18" t="n">
        <f aca="false">Runs!O1992</f>
        <v>0.833333333333333</v>
      </c>
      <c r="H100" s="18" t="n">
        <f aca="false">Runs!O2003</f>
        <v>0.5</v>
      </c>
      <c r="I100" s="18" t="n">
        <f aca="false">Runs!O2014</f>
        <v>0.5</v>
      </c>
      <c r="J100" s="18" t="n">
        <f aca="false">Runs!O2025</f>
        <v>0.5</v>
      </c>
      <c r="K100" s="18" t="n">
        <f aca="false">Runs!O2036</f>
        <v>0.5</v>
      </c>
      <c r="L100" s="18" t="n">
        <f aca="false">Runs!O2047</f>
        <v>0.5</v>
      </c>
      <c r="M100" s="18" t="n">
        <f aca="false">Runs!O2058</f>
        <v>0.5</v>
      </c>
      <c r="N100" s="18" t="n">
        <f aca="false">Runs!O2069</f>
        <v>0.5</v>
      </c>
      <c r="O100" s="18" t="n">
        <f aca="false">Runs!O2080</f>
        <v>0.5</v>
      </c>
      <c r="P100" s="18" t="n">
        <f aca="false">Runs!O2091</f>
        <v>0.5</v>
      </c>
      <c r="Q100" s="19" t="n">
        <f aca="false">IF(COUNT(G100:P100)=0,"",AVERAGE(G100:P100))</f>
        <v>0.533333333333333</v>
      </c>
      <c r="R100" s="19" t="n">
        <f aca="false">IF(COUNT(G100:P100)&lt;2,"",STDEV(G100:P100))</f>
        <v>0.105409255338946</v>
      </c>
      <c r="S100" s="20" t="n">
        <f aca="false">COUNT(G100:P100)</f>
        <v>10</v>
      </c>
    </row>
    <row r="101" customFormat="false" ht="15" hidden="false" customHeight="false" outlineLevel="0" collapsed="false">
      <c r="A101" s="6" t="s">
        <v>62</v>
      </c>
      <c r="B101" s="6" t="s">
        <v>63</v>
      </c>
      <c r="C101" s="6" t="s">
        <v>44</v>
      </c>
      <c r="D101" s="6" t="s">
        <v>114</v>
      </c>
      <c r="E101" s="6" t="n">
        <v>16</v>
      </c>
      <c r="F101" s="6" t="s">
        <v>68</v>
      </c>
      <c r="G101" s="11" t="str">
        <f aca="false">Runs!O2092</f>
        <v/>
      </c>
      <c r="H101" s="11" t="str">
        <f aca="false">Runs!O2103</f>
        <v/>
      </c>
      <c r="I101" s="11" t="str">
        <f aca="false">Runs!O2114</f>
        <v/>
      </c>
      <c r="J101" s="11" t="str">
        <f aca="false">Runs!O2125</f>
        <v/>
      </c>
      <c r="K101" s="11" t="str">
        <f aca="false">Runs!O2136</f>
        <v/>
      </c>
      <c r="L101" s="11" t="str">
        <f aca="false">Runs!O2147</f>
        <v/>
      </c>
      <c r="M101" s="11" t="str">
        <f aca="false">Runs!O2158</f>
        <v/>
      </c>
      <c r="N101" s="11" t="str">
        <f aca="false">Runs!O2169</f>
        <v/>
      </c>
      <c r="O101" s="11" t="str">
        <f aca="false">Runs!O2180</f>
        <v/>
      </c>
      <c r="P101" s="11" t="str">
        <f aca="false">Runs!O2191</f>
        <v/>
      </c>
      <c r="Q101" s="16" t="str">
        <f aca="false">IF(COUNT(G101:P101)=0,"",AVERAGE(G101:P101))</f>
        <v/>
      </c>
      <c r="R101" s="16" t="str">
        <f aca="false">IF(COUNT(G101:P101)&lt;2,"",STDEV(G101:P101))</f>
        <v/>
      </c>
      <c r="S101" s="6" t="n">
        <f aca="false">COUNT(G101:P101)</f>
        <v>0</v>
      </c>
    </row>
    <row r="102" customFormat="false" ht="15" hidden="false" customHeight="false" outlineLevel="0" collapsed="false">
      <c r="A102" s="6" t="s">
        <v>62</v>
      </c>
      <c r="B102" s="6" t="s">
        <v>63</v>
      </c>
      <c r="C102" s="6" t="s">
        <v>44</v>
      </c>
      <c r="D102" s="6" t="s">
        <v>114</v>
      </c>
      <c r="E102" s="6" t="n">
        <v>16</v>
      </c>
      <c r="F102" s="6" t="s">
        <v>69</v>
      </c>
      <c r="G102" s="11" t="str">
        <f aca="false">Runs!O2093</f>
        <v/>
      </c>
      <c r="H102" s="11" t="str">
        <f aca="false">Runs!O2104</f>
        <v/>
      </c>
      <c r="I102" s="11" t="str">
        <f aca="false">Runs!O2115</f>
        <v/>
      </c>
      <c r="J102" s="11" t="str">
        <f aca="false">Runs!O2126</f>
        <v/>
      </c>
      <c r="K102" s="11" t="str">
        <f aca="false">Runs!O2137</f>
        <v/>
      </c>
      <c r="L102" s="11" t="str">
        <f aca="false">Runs!O2148</f>
        <v/>
      </c>
      <c r="M102" s="11" t="str">
        <f aca="false">Runs!O2159</f>
        <v/>
      </c>
      <c r="N102" s="11" t="str">
        <f aca="false">Runs!O2170</f>
        <v/>
      </c>
      <c r="O102" s="11" t="str">
        <f aca="false">Runs!O2181</f>
        <v/>
      </c>
      <c r="P102" s="11" t="str">
        <f aca="false">Runs!O2192</f>
        <v/>
      </c>
      <c r="Q102" s="16" t="str">
        <f aca="false">IF(COUNT(G102:P102)=0,"",AVERAGE(G102:P102))</f>
        <v/>
      </c>
      <c r="R102" s="16" t="str">
        <f aca="false">IF(COUNT(G102:P102)&lt;2,"",STDEV(G102:P102))</f>
        <v/>
      </c>
      <c r="S102" s="6" t="n">
        <f aca="false">COUNT(G102:P102)</f>
        <v>0</v>
      </c>
    </row>
    <row r="103" customFormat="false" ht="15" hidden="false" customHeight="false" outlineLevel="0" collapsed="false">
      <c r="A103" s="6" t="s">
        <v>62</v>
      </c>
      <c r="B103" s="6" t="s">
        <v>63</v>
      </c>
      <c r="C103" s="6" t="s">
        <v>44</v>
      </c>
      <c r="D103" s="6" t="s">
        <v>114</v>
      </c>
      <c r="E103" s="6" t="n">
        <v>16</v>
      </c>
      <c r="F103" s="6" t="s">
        <v>70</v>
      </c>
      <c r="G103" s="11" t="str">
        <f aca="false">Runs!O2094</f>
        <v/>
      </c>
      <c r="H103" s="11" t="str">
        <f aca="false">Runs!O2105</f>
        <v/>
      </c>
      <c r="I103" s="11" t="str">
        <f aca="false">Runs!O2116</f>
        <v/>
      </c>
      <c r="J103" s="11" t="str">
        <f aca="false">Runs!O2127</f>
        <v/>
      </c>
      <c r="K103" s="11" t="str">
        <f aca="false">Runs!O2138</f>
        <v/>
      </c>
      <c r="L103" s="11" t="str">
        <f aca="false">Runs!O2149</f>
        <v/>
      </c>
      <c r="M103" s="11" t="str">
        <f aca="false">Runs!O2160</f>
        <v/>
      </c>
      <c r="N103" s="11" t="str">
        <f aca="false">Runs!O2171</f>
        <v/>
      </c>
      <c r="O103" s="11" t="str">
        <f aca="false">Runs!O2182</f>
        <v/>
      </c>
      <c r="P103" s="11" t="str">
        <f aca="false">Runs!O2193</f>
        <v/>
      </c>
      <c r="Q103" s="16" t="str">
        <f aca="false">IF(COUNT(G103:P103)=0,"",AVERAGE(G103:P103))</f>
        <v/>
      </c>
      <c r="R103" s="16" t="str">
        <f aca="false">IF(COUNT(G103:P103)&lt;2,"",STDEV(G103:P103))</f>
        <v/>
      </c>
      <c r="S103" s="6" t="n">
        <f aca="false">COUNT(G103:P103)</f>
        <v>0</v>
      </c>
    </row>
    <row r="104" customFormat="false" ht="15" hidden="false" customHeight="false" outlineLevel="0" collapsed="false">
      <c r="A104" s="6" t="s">
        <v>62</v>
      </c>
      <c r="B104" s="6" t="s">
        <v>63</v>
      </c>
      <c r="C104" s="6" t="s">
        <v>44</v>
      </c>
      <c r="D104" s="6" t="s">
        <v>114</v>
      </c>
      <c r="E104" s="6" t="n">
        <v>16</v>
      </c>
      <c r="F104" s="6" t="s">
        <v>71</v>
      </c>
      <c r="G104" s="11" t="str">
        <f aca="false">Runs!O2095</f>
        <v/>
      </c>
      <c r="H104" s="11" t="str">
        <f aca="false">Runs!O2106</f>
        <v/>
      </c>
      <c r="I104" s="11" t="str">
        <f aca="false">Runs!O2117</f>
        <v/>
      </c>
      <c r="J104" s="11" t="str">
        <f aca="false">Runs!O2128</f>
        <v/>
      </c>
      <c r="K104" s="11" t="str">
        <f aca="false">Runs!O2139</f>
        <v/>
      </c>
      <c r="L104" s="11" t="str">
        <f aca="false">Runs!O2150</f>
        <v/>
      </c>
      <c r="M104" s="11" t="str">
        <f aca="false">Runs!O2161</f>
        <v/>
      </c>
      <c r="N104" s="11" t="str">
        <f aca="false">Runs!O2172</f>
        <v/>
      </c>
      <c r="O104" s="11" t="str">
        <f aca="false">Runs!O2183</f>
        <v/>
      </c>
      <c r="P104" s="11" t="str">
        <f aca="false">Runs!O2194</f>
        <v/>
      </c>
      <c r="Q104" s="16" t="str">
        <f aca="false">IF(COUNT(G104:P104)=0,"",AVERAGE(G104:P104))</f>
        <v/>
      </c>
      <c r="R104" s="16" t="str">
        <f aca="false">IF(COUNT(G104:P104)&lt;2,"",STDEV(G104:P104))</f>
        <v/>
      </c>
      <c r="S104" s="6" t="n">
        <f aca="false">COUNT(G104:P104)</f>
        <v>0</v>
      </c>
    </row>
    <row r="105" customFormat="false" ht="15" hidden="false" customHeight="false" outlineLevel="0" collapsed="false">
      <c r="A105" s="6" t="s">
        <v>62</v>
      </c>
      <c r="B105" s="6" t="s">
        <v>63</v>
      </c>
      <c r="C105" s="6" t="s">
        <v>44</v>
      </c>
      <c r="D105" s="6" t="s">
        <v>114</v>
      </c>
      <c r="E105" s="6" t="n">
        <v>16</v>
      </c>
      <c r="F105" s="6" t="s">
        <v>72</v>
      </c>
      <c r="G105" s="11" t="str">
        <f aca="false">Runs!O2096</f>
        <v/>
      </c>
      <c r="H105" s="11" t="str">
        <f aca="false">Runs!O2107</f>
        <v/>
      </c>
      <c r="I105" s="11" t="str">
        <f aca="false">Runs!O2118</f>
        <v/>
      </c>
      <c r="J105" s="11" t="str">
        <f aca="false">Runs!O2129</f>
        <v/>
      </c>
      <c r="K105" s="11" t="str">
        <f aca="false">Runs!O2140</f>
        <v/>
      </c>
      <c r="L105" s="11" t="str">
        <f aca="false">Runs!O2151</f>
        <v/>
      </c>
      <c r="M105" s="11" t="str">
        <f aca="false">Runs!O2162</f>
        <v/>
      </c>
      <c r="N105" s="11" t="str">
        <f aca="false">Runs!O2173</f>
        <v/>
      </c>
      <c r="O105" s="11" t="str">
        <f aca="false">Runs!O2184</f>
        <v/>
      </c>
      <c r="P105" s="11" t="str">
        <f aca="false">Runs!O2195</f>
        <v/>
      </c>
      <c r="Q105" s="16" t="str">
        <f aca="false">IF(COUNT(G105:P105)=0,"",AVERAGE(G105:P105))</f>
        <v/>
      </c>
      <c r="R105" s="16" t="str">
        <f aca="false">IF(COUNT(G105:P105)&lt;2,"",STDEV(G105:P105))</f>
        <v/>
      </c>
      <c r="S105" s="6" t="n">
        <f aca="false">COUNT(G105:P105)</f>
        <v>0</v>
      </c>
    </row>
    <row r="106" customFormat="false" ht="15" hidden="false" customHeight="false" outlineLevel="0" collapsed="false">
      <c r="A106" s="6" t="s">
        <v>62</v>
      </c>
      <c r="B106" s="6" t="s">
        <v>63</v>
      </c>
      <c r="C106" s="6" t="s">
        <v>44</v>
      </c>
      <c r="D106" s="6" t="s">
        <v>114</v>
      </c>
      <c r="E106" s="6" t="n">
        <v>16</v>
      </c>
      <c r="F106" s="6" t="s">
        <v>73</v>
      </c>
      <c r="G106" s="11" t="str">
        <f aca="false">Runs!O2097</f>
        <v/>
      </c>
      <c r="H106" s="11" t="str">
        <f aca="false">Runs!O2108</f>
        <v/>
      </c>
      <c r="I106" s="11" t="str">
        <f aca="false">Runs!O2119</f>
        <v/>
      </c>
      <c r="J106" s="11" t="str">
        <f aca="false">Runs!O2130</f>
        <v/>
      </c>
      <c r="K106" s="11" t="str">
        <f aca="false">Runs!O2141</f>
        <v/>
      </c>
      <c r="L106" s="11" t="str">
        <f aca="false">Runs!O2152</f>
        <v/>
      </c>
      <c r="M106" s="11" t="str">
        <f aca="false">Runs!O2163</f>
        <v/>
      </c>
      <c r="N106" s="11" t="str">
        <f aca="false">Runs!O2174</f>
        <v/>
      </c>
      <c r="O106" s="11" t="str">
        <f aca="false">Runs!O2185</f>
        <v/>
      </c>
      <c r="P106" s="11" t="str">
        <f aca="false">Runs!O2196</f>
        <v/>
      </c>
      <c r="Q106" s="16" t="str">
        <f aca="false">IF(COUNT(G106:P106)=0,"",AVERAGE(G106:P106))</f>
        <v/>
      </c>
      <c r="R106" s="16" t="str">
        <f aca="false">IF(COUNT(G106:P106)&lt;2,"",STDEV(G106:P106))</f>
        <v/>
      </c>
      <c r="S106" s="6" t="n">
        <f aca="false">COUNT(G106:P106)</f>
        <v>0</v>
      </c>
    </row>
    <row r="107" customFormat="false" ht="15" hidden="false" customHeight="false" outlineLevel="0" collapsed="false">
      <c r="A107" s="6" t="s">
        <v>62</v>
      </c>
      <c r="B107" s="6" t="s">
        <v>63</v>
      </c>
      <c r="C107" s="6" t="s">
        <v>44</v>
      </c>
      <c r="D107" s="6" t="s">
        <v>114</v>
      </c>
      <c r="E107" s="6" t="n">
        <v>16</v>
      </c>
      <c r="F107" s="6" t="s">
        <v>74</v>
      </c>
      <c r="G107" s="11" t="n">
        <f aca="false">Runs!O2098</f>
        <v>1</v>
      </c>
      <c r="H107" s="11" t="str">
        <f aca="false">Runs!O2109</f>
        <v/>
      </c>
      <c r="I107" s="11" t="str">
        <f aca="false">Runs!O2120</f>
        <v/>
      </c>
      <c r="J107" s="11" t="str">
        <f aca="false">Runs!O2131</f>
        <v/>
      </c>
      <c r="K107" s="11" t="str">
        <f aca="false">Runs!O2142</f>
        <v/>
      </c>
      <c r="L107" s="11" t="str">
        <f aca="false">Runs!O2153</f>
        <v/>
      </c>
      <c r="M107" s="11" t="str">
        <f aca="false">Runs!O2164</f>
        <v/>
      </c>
      <c r="N107" s="11" t="n">
        <f aca="false">Runs!O2175</f>
        <v>1</v>
      </c>
      <c r="O107" s="11" t="str">
        <f aca="false">Runs!O2186</f>
        <v/>
      </c>
      <c r="P107" s="11" t="str">
        <f aca="false">Runs!O2197</f>
        <v/>
      </c>
      <c r="Q107" s="16" t="n">
        <f aca="false">IF(COUNT(G107:P107)=0,"",AVERAGE(G107:P107))</f>
        <v>1</v>
      </c>
      <c r="R107" s="16" t="n">
        <f aca="false">IF(COUNT(G107:P107)&lt;2,"",STDEV(G107:P107))</f>
        <v>0</v>
      </c>
      <c r="S107" s="6" t="n">
        <f aca="false">COUNT(G107:P107)</f>
        <v>2</v>
      </c>
    </row>
    <row r="108" customFormat="false" ht="15" hidden="false" customHeight="false" outlineLevel="0" collapsed="false">
      <c r="A108" s="6" t="s">
        <v>62</v>
      </c>
      <c r="B108" s="6" t="s">
        <v>63</v>
      </c>
      <c r="C108" s="6" t="s">
        <v>44</v>
      </c>
      <c r="D108" s="6" t="s">
        <v>114</v>
      </c>
      <c r="E108" s="6" t="n">
        <v>16</v>
      </c>
      <c r="F108" s="6" t="s">
        <v>75</v>
      </c>
      <c r="G108" s="11" t="str">
        <f aca="false">Runs!O2099</f>
        <v/>
      </c>
      <c r="H108" s="11" t="str">
        <f aca="false">Runs!O2110</f>
        <v/>
      </c>
      <c r="I108" s="11" t="str">
        <f aca="false">Runs!O2121</f>
        <v/>
      </c>
      <c r="J108" s="11" t="str">
        <f aca="false">Runs!O2132</f>
        <v/>
      </c>
      <c r="K108" s="11" t="str">
        <f aca="false">Runs!O2143</f>
        <v/>
      </c>
      <c r="L108" s="11" t="str">
        <f aca="false">Runs!O2154</f>
        <v/>
      </c>
      <c r="M108" s="11" t="str">
        <f aca="false">Runs!O2165</f>
        <v/>
      </c>
      <c r="N108" s="11" t="str">
        <f aca="false">Runs!O2176</f>
        <v/>
      </c>
      <c r="O108" s="11" t="str">
        <f aca="false">Runs!O2187</f>
        <v/>
      </c>
      <c r="P108" s="11" t="str">
        <f aca="false">Runs!O2198</f>
        <v/>
      </c>
      <c r="Q108" s="16" t="str">
        <f aca="false">IF(COUNT(G108:P108)=0,"",AVERAGE(G108:P108))</f>
        <v/>
      </c>
      <c r="R108" s="16" t="str">
        <f aca="false">IF(COUNT(G108:P108)&lt;2,"",STDEV(G108:P108))</f>
        <v/>
      </c>
      <c r="S108" s="6" t="n">
        <f aca="false">COUNT(G108:P108)</f>
        <v>0</v>
      </c>
    </row>
    <row r="109" customFormat="false" ht="15" hidden="false" customHeight="false" outlineLevel="0" collapsed="false">
      <c r="A109" s="6" t="s">
        <v>62</v>
      </c>
      <c r="B109" s="6" t="s">
        <v>63</v>
      </c>
      <c r="C109" s="6" t="s">
        <v>44</v>
      </c>
      <c r="D109" s="6" t="s">
        <v>114</v>
      </c>
      <c r="E109" s="6" t="n">
        <v>16</v>
      </c>
      <c r="F109" s="6" t="s">
        <v>76</v>
      </c>
      <c r="G109" s="11" t="str">
        <f aca="false">Runs!O2100</f>
        <v/>
      </c>
      <c r="H109" s="11" t="str">
        <f aca="false">Runs!O2111</f>
        <v/>
      </c>
      <c r="I109" s="11" t="str">
        <f aca="false">Runs!O2122</f>
        <v/>
      </c>
      <c r="J109" s="11" t="str">
        <f aca="false">Runs!O2133</f>
        <v/>
      </c>
      <c r="K109" s="11" t="str">
        <f aca="false">Runs!O2144</f>
        <v/>
      </c>
      <c r="L109" s="11" t="str">
        <f aca="false">Runs!O2155</f>
        <v/>
      </c>
      <c r="M109" s="11" t="str">
        <f aca="false">Runs!O2166</f>
        <v/>
      </c>
      <c r="N109" s="11" t="str">
        <f aca="false">Runs!O2177</f>
        <v/>
      </c>
      <c r="O109" s="11" t="str">
        <f aca="false">Runs!O2188</f>
        <v/>
      </c>
      <c r="P109" s="11" t="str">
        <f aca="false">Runs!O2199</f>
        <v/>
      </c>
      <c r="Q109" s="16" t="str">
        <f aca="false">IF(COUNT(G109:P109)=0,"",AVERAGE(G109:P109))</f>
        <v/>
      </c>
      <c r="R109" s="16" t="str">
        <f aca="false">IF(COUNT(G109:P109)&lt;2,"",STDEV(G109:P109))</f>
        <v/>
      </c>
      <c r="S109" s="6" t="n">
        <f aca="false">COUNT(G109:P109)</f>
        <v>0</v>
      </c>
    </row>
    <row r="110" customFormat="false" ht="15" hidden="false" customHeight="false" outlineLevel="0" collapsed="false">
      <c r="A110" s="6" t="s">
        <v>62</v>
      </c>
      <c r="B110" s="6" t="s">
        <v>63</v>
      </c>
      <c r="C110" s="6" t="s">
        <v>44</v>
      </c>
      <c r="D110" s="6" t="s">
        <v>114</v>
      </c>
      <c r="E110" s="6" t="n">
        <v>16</v>
      </c>
      <c r="F110" s="6" t="s">
        <v>77</v>
      </c>
      <c r="G110" s="11" t="n">
        <f aca="false">Runs!O2101</f>
        <v>0.5</v>
      </c>
      <c r="H110" s="11" t="n">
        <f aca="false">Runs!O2112</f>
        <v>0.5</v>
      </c>
      <c r="I110" s="11" t="n">
        <f aca="false">Runs!O2123</f>
        <v>0</v>
      </c>
      <c r="J110" s="11" t="n">
        <f aca="false">Runs!O2134</f>
        <v>0.5</v>
      </c>
      <c r="K110" s="11" t="n">
        <f aca="false">Runs!O2145</f>
        <v>0.5</v>
      </c>
      <c r="L110" s="11" t="n">
        <f aca="false">Runs!O2156</f>
        <v>0.5</v>
      </c>
      <c r="M110" s="11" t="n">
        <f aca="false">Runs!O2167</f>
        <v>0.5</v>
      </c>
      <c r="N110" s="11" t="n">
        <f aca="false">Runs!O2178</f>
        <v>0.5</v>
      </c>
      <c r="O110" s="11" t="n">
        <f aca="false">Runs!O2189</f>
        <v>0.5</v>
      </c>
      <c r="P110" s="11" t="n">
        <f aca="false">Runs!O2200</f>
        <v>0.5</v>
      </c>
      <c r="Q110" s="16" t="n">
        <f aca="false">IF(COUNT(G110:P110)=0,"",AVERAGE(G110:P110))</f>
        <v>0.45</v>
      </c>
      <c r="R110" s="16" t="n">
        <f aca="false">IF(COUNT(G110:P110)&lt;2,"",STDEV(G110:P110))</f>
        <v>0.158113883008419</v>
      </c>
      <c r="S110" s="6" t="n">
        <f aca="false">COUNT(G110:P110)</f>
        <v>10</v>
      </c>
    </row>
    <row r="111" customFormat="false" ht="15" hidden="false" customHeight="false" outlineLevel="0" collapsed="false">
      <c r="A111" s="17" t="s">
        <v>62</v>
      </c>
      <c r="B111" s="17" t="s">
        <v>63</v>
      </c>
      <c r="C111" s="17" t="s">
        <v>44</v>
      </c>
      <c r="D111" s="17" t="s">
        <v>114</v>
      </c>
      <c r="E111" s="17" t="n">
        <v>16</v>
      </c>
      <c r="F111" s="17" t="s">
        <v>78</v>
      </c>
      <c r="G111" s="18" t="n">
        <f aca="false">Runs!O2102</f>
        <v>0.666666666666667</v>
      </c>
      <c r="H111" s="18" t="n">
        <f aca="false">Runs!O2113</f>
        <v>0.5</v>
      </c>
      <c r="I111" s="18" t="n">
        <f aca="false">Runs!O2124</f>
        <v>0</v>
      </c>
      <c r="J111" s="18" t="n">
        <f aca="false">Runs!O2135</f>
        <v>0.5</v>
      </c>
      <c r="K111" s="18" t="n">
        <f aca="false">Runs!O2146</f>
        <v>0.5</v>
      </c>
      <c r="L111" s="18" t="n">
        <f aca="false">Runs!O2157</f>
        <v>0.5</v>
      </c>
      <c r="M111" s="18" t="n">
        <f aca="false">Runs!O2168</f>
        <v>0.5</v>
      </c>
      <c r="N111" s="18" t="n">
        <f aca="false">Runs!O2179</f>
        <v>0.666666666666667</v>
      </c>
      <c r="O111" s="18" t="n">
        <f aca="false">Runs!O2190</f>
        <v>0.5</v>
      </c>
      <c r="P111" s="18" t="n">
        <f aca="false">Runs!O2201</f>
        <v>0.5</v>
      </c>
      <c r="Q111" s="19" t="n">
        <f aca="false">IF(COUNT(G111:P111)=0,"",AVERAGE(G111:P111))</f>
        <v>0.483333333333333</v>
      </c>
      <c r="R111" s="19" t="n">
        <f aca="false">IF(COUNT(G111:P111)&lt;2,"",STDEV(G111:P111))</f>
        <v>0.183417489102435</v>
      </c>
      <c r="S111" s="20" t="n">
        <f aca="false">COUNT(G111:P111)</f>
        <v>10</v>
      </c>
    </row>
    <row r="113" customFormat="false" ht="15" hidden="false" customHeight="false" outlineLevel="0" collapsed="false">
      <c r="A113" s="1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16" min="7" style="0" width="8"/>
    <col collapsed="false" customWidth="true" hidden="false" outlineLevel="0" max="18" min="17" style="0" width="9"/>
    <col collapsed="false" customWidth="true" hidden="false" outlineLevel="0" max="19" min="19" style="0" width="5"/>
  </cols>
  <sheetData>
    <row r="1" customFormat="false" ht="30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98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  <c r="N1" s="5" t="s">
        <v>127</v>
      </c>
      <c r="O1" s="5" t="s">
        <v>128</v>
      </c>
      <c r="P1" s="5" t="s">
        <v>129</v>
      </c>
      <c r="Q1" s="5" t="s">
        <v>130</v>
      </c>
      <c r="R1" s="5" t="s">
        <v>131</v>
      </c>
      <c r="S1" s="5" t="s">
        <v>132</v>
      </c>
    </row>
    <row r="2" customFormat="false" ht="15" hidden="false" customHeight="false" outlineLevel="0" collapsed="false">
      <c r="A2" s="6" t="s">
        <v>42</v>
      </c>
      <c r="B2" s="6" t="s">
        <v>43</v>
      </c>
      <c r="C2" s="6" t="s">
        <v>44</v>
      </c>
      <c r="D2" s="6" t="s">
        <v>114</v>
      </c>
      <c r="E2" s="6" t="n">
        <v>16</v>
      </c>
      <c r="F2" s="6" t="s">
        <v>68</v>
      </c>
      <c r="G2" s="11" t="n">
        <f aca="false">Runs!P1102</f>
        <v>0</v>
      </c>
      <c r="H2" s="11" t="n">
        <f aca="false">Runs!P1113</f>
        <v>0</v>
      </c>
      <c r="I2" s="11" t="n">
        <f aca="false">Runs!P1124</f>
        <v>0</v>
      </c>
      <c r="J2" s="11" t="n">
        <f aca="false">Runs!P1135</f>
        <v>0</v>
      </c>
      <c r="K2" s="11" t="n">
        <f aca="false">Runs!P1146</f>
        <v>0</v>
      </c>
      <c r="L2" s="11" t="n">
        <f aca="false">Runs!P1157</f>
        <v>0</v>
      </c>
      <c r="M2" s="11" t="n">
        <f aca="false">Runs!P1168</f>
        <v>0</v>
      </c>
      <c r="N2" s="11" t="n">
        <f aca="false">Runs!P1179</f>
        <v>0</v>
      </c>
      <c r="O2" s="11" t="n">
        <f aca="false">Runs!P1190</f>
        <v>0</v>
      </c>
      <c r="P2" s="11" t="n">
        <f aca="false">Runs!P1201</f>
        <v>0</v>
      </c>
      <c r="Q2" s="16" t="n">
        <f aca="false">IF(COUNT(G2:P2)=0,"",AVERAGE(G2:P2))</f>
        <v>0</v>
      </c>
      <c r="R2" s="16" t="n">
        <f aca="false">IF(COUNT(G2:P2)&lt;2,"",STDEV(G2:P2))</f>
        <v>0</v>
      </c>
      <c r="S2" s="6" t="n">
        <f aca="false">COUNT(G2:P2)</f>
        <v>10</v>
      </c>
    </row>
    <row r="3" customFormat="false" ht="15" hidden="false" customHeight="false" outlineLevel="0" collapsed="false">
      <c r="A3" s="6" t="s">
        <v>42</v>
      </c>
      <c r="B3" s="6" t="s">
        <v>43</v>
      </c>
      <c r="C3" s="6" t="s">
        <v>44</v>
      </c>
      <c r="D3" s="6" t="s">
        <v>114</v>
      </c>
      <c r="E3" s="6" t="n">
        <v>16</v>
      </c>
      <c r="F3" s="6" t="s">
        <v>69</v>
      </c>
      <c r="G3" s="11" t="n">
        <f aca="false">Runs!P1103</f>
        <v>0.0952380952380952</v>
      </c>
      <c r="H3" s="11" t="n">
        <f aca="false">Runs!P1114</f>
        <v>0</v>
      </c>
      <c r="I3" s="11" t="n">
        <f aca="false">Runs!P1125</f>
        <v>0</v>
      </c>
      <c r="J3" s="11" t="n">
        <f aca="false">Runs!P1136</f>
        <v>0</v>
      </c>
      <c r="K3" s="11" t="n">
        <f aca="false">Runs!P1147</f>
        <v>0</v>
      </c>
      <c r="L3" s="11" t="n">
        <f aca="false">Runs!P1158</f>
        <v>0</v>
      </c>
      <c r="M3" s="11" t="n">
        <f aca="false">Runs!P1169</f>
        <v>0</v>
      </c>
      <c r="N3" s="11" t="n">
        <f aca="false">Runs!P1180</f>
        <v>0</v>
      </c>
      <c r="O3" s="11" t="n">
        <f aca="false">Runs!P1191</f>
        <v>0</v>
      </c>
      <c r="P3" s="11" t="n">
        <f aca="false">Runs!P1202</f>
        <v>0</v>
      </c>
      <c r="Q3" s="16" t="n">
        <f aca="false">IF(COUNT(G3:P3)=0,"",AVERAGE(G3:P3))</f>
        <v>0.00952380952380952</v>
      </c>
      <c r="R3" s="16" t="n">
        <f aca="false">IF(COUNT(G3:P3)&lt;2,"",STDEV(G3:P3))</f>
        <v>0.0301169300968417</v>
      </c>
      <c r="S3" s="6" t="n">
        <f aca="false">COUNT(G3:P3)</f>
        <v>10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114</v>
      </c>
      <c r="E4" s="6" t="n">
        <v>16</v>
      </c>
      <c r="F4" s="6" t="s">
        <v>70</v>
      </c>
      <c r="G4" s="11" t="n">
        <f aca="false">Runs!P1104</f>
        <v>0</v>
      </c>
      <c r="H4" s="11" t="n">
        <f aca="false">Runs!P1115</f>
        <v>0</v>
      </c>
      <c r="I4" s="11" t="n">
        <f aca="false">Runs!P1126</f>
        <v>0</v>
      </c>
      <c r="J4" s="11" t="n">
        <f aca="false">Runs!P1137</f>
        <v>0</v>
      </c>
      <c r="K4" s="11" t="n">
        <f aca="false">Runs!P1148</f>
        <v>0</v>
      </c>
      <c r="L4" s="11" t="n">
        <f aca="false">Runs!P1159</f>
        <v>0</v>
      </c>
      <c r="M4" s="11" t="n">
        <f aca="false">Runs!P1170</f>
        <v>0</v>
      </c>
      <c r="N4" s="11" t="n">
        <f aca="false">Runs!P1181</f>
        <v>0</v>
      </c>
      <c r="O4" s="11" t="n">
        <f aca="false">Runs!P1192</f>
        <v>0</v>
      </c>
      <c r="P4" s="11" t="n">
        <f aca="false">Runs!P1203</f>
        <v>0</v>
      </c>
      <c r="Q4" s="16" t="n">
        <f aca="false">IF(COUNT(G4:P4)=0,"",AVERAGE(G4:P4))</f>
        <v>0</v>
      </c>
      <c r="R4" s="16" t="n">
        <f aca="false">IF(COUNT(G4:P4)&lt;2,"",STDEV(G4:P4))</f>
        <v>0</v>
      </c>
      <c r="S4" s="6" t="n">
        <f aca="false">COUNT(G4:P4)</f>
        <v>10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44</v>
      </c>
      <c r="D5" s="6" t="s">
        <v>114</v>
      </c>
      <c r="E5" s="6" t="n">
        <v>16</v>
      </c>
      <c r="F5" s="6" t="s">
        <v>71</v>
      </c>
      <c r="G5" s="11" t="n">
        <f aca="false">Runs!P1105</f>
        <v>0</v>
      </c>
      <c r="H5" s="11" t="n">
        <f aca="false">Runs!P1116</f>
        <v>0</v>
      </c>
      <c r="I5" s="11" t="n">
        <f aca="false">Runs!P1127</f>
        <v>0</v>
      </c>
      <c r="J5" s="11" t="n">
        <f aca="false">Runs!P1138</f>
        <v>0</v>
      </c>
      <c r="K5" s="11" t="n">
        <f aca="false">Runs!P1149</f>
        <v>0</v>
      </c>
      <c r="L5" s="11" t="n">
        <f aca="false">Runs!P1160</f>
        <v>0</v>
      </c>
      <c r="M5" s="11" t="n">
        <f aca="false">Runs!P1171</f>
        <v>0</v>
      </c>
      <c r="N5" s="11" t="n">
        <f aca="false">Runs!P1182</f>
        <v>0</v>
      </c>
      <c r="O5" s="11" t="n">
        <f aca="false">Runs!P1193</f>
        <v>0</v>
      </c>
      <c r="P5" s="11" t="n">
        <f aca="false">Runs!P1204</f>
        <v>0</v>
      </c>
      <c r="Q5" s="16" t="n">
        <f aca="false">IF(COUNT(G5:P5)=0,"",AVERAGE(G5:P5))</f>
        <v>0</v>
      </c>
      <c r="R5" s="16" t="n">
        <f aca="false">IF(COUNT(G5:P5)&lt;2,"",STDEV(G5:P5))</f>
        <v>0</v>
      </c>
      <c r="S5" s="6" t="n">
        <f aca="false">COUNT(G5:P5)</f>
        <v>10</v>
      </c>
    </row>
    <row r="6" customFormat="false" ht="15" hidden="false" customHeight="false" outlineLevel="0" collapsed="false">
      <c r="A6" s="6" t="s">
        <v>42</v>
      </c>
      <c r="B6" s="6" t="s">
        <v>43</v>
      </c>
      <c r="C6" s="6" t="s">
        <v>44</v>
      </c>
      <c r="D6" s="6" t="s">
        <v>114</v>
      </c>
      <c r="E6" s="6" t="n">
        <v>16</v>
      </c>
      <c r="F6" s="6" t="s">
        <v>72</v>
      </c>
      <c r="G6" s="11" t="n">
        <f aca="false">Runs!P1106</f>
        <v>0</v>
      </c>
      <c r="H6" s="11" t="n">
        <f aca="false">Runs!P1117</f>
        <v>0</v>
      </c>
      <c r="I6" s="11" t="n">
        <f aca="false">Runs!P1128</f>
        <v>0</v>
      </c>
      <c r="J6" s="11" t="n">
        <f aca="false">Runs!P1139</f>
        <v>0</v>
      </c>
      <c r="K6" s="11" t="n">
        <f aca="false">Runs!P1150</f>
        <v>0</v>
      </c>
      <c r="L6" s="11" t="n">
        <f aca="false">Runs!P1161</f>
        <v>0</v>
      </c>
      <c r="M6" s="11" t="n">
        <f aca="false">Runs!P1172</f>
        <v>0</v>
      </c>
      <c r="N6" s="11" t="n">
        <f aca="false">Runs!P1183</f>
        <v>0</v>
      </c>
      <c r="O6" s="11" t="n">
        <f aca="false">Runs!P1194</f>
        <v>0</v>
      </c>
      <c r="P6" s="11" t="n">
        <f aca="false">Runs!P1205</f>
        <v>0</v>
      </c>
      <c r="Q6" s="16" t="n">
        <f aca="false">IF(COUNT(G6:P6)=0,"",AVERAGE(G6:P6))</f>
        <v>0</v>
      </c>
      <c r="R6" s="16" t="n">
        <f aca="false">IF(COUNT(G6:P6)&lt;2,"",STDEV(G6:P6))</f>
        <v>0</v>
      </c>
      <c r="S6" s="6" t="n">
        <f aca="false">COUNT(G6:P6)</f>
        <v>10</v>
      </c>
    </row>
    <row r="7" customFormat="false" ht="15" hidden="false" customHeight="false" outlineLevel="0" collapsed="false">
      <c r="A7" s="6" t="s">
        <v>42</v>
      </c>
      <c r="B7" s="6" t="s">
        <v>43</v>
      </c>
      <c r="C7" s="6" t="s">
        <v>44</v>
      </c>
      <c r="D7" s="6" t="s">
        <v>114</v>
      </c>
      <c r="E7" s="6" t="n">
        <v>16</v>
      </c>
      <c r="F7" s="6" t="s">
        <v>73</v>
      </c>
      <c r="G7" s="11" t="n">
        <f aca="false">Runs!P1107</f>
        <v>0</v>
      </c>
      <c r="H7" s="11" t="n">
        <f aca="false">Runs!P1118</f>
        <v>0</v>
      </c>
      <c r="I7" s="11" t="n">
        <f aca="false">Runs!P1129</f>
        <v>0</v>
      </c>
      <c r="J7" s="11" t="n">
        <f aca="false">Runs!P1140</f>
        <v>0</v>
      </c>
      <c r="K7" s="11" t="n">
        <f aca="false">Runs!P1151</f>
        <v>0</v>
      </c>
      <c r="L7" s="11" t="n">
        <f aca="false">Runs!P1162</f>
        <v>0</v>
      </c>
      <c r="M7" s="11" t="n">
        <f aca="false">Runs!P1173</f>
        <v>0</v>
      </c>
      <c r="N7" s="11" t="n">
        <f aca="false">Runs!P1184</f>
        <v>0</v>
      </c>
      <c r="O7" s="11" t="n">
        <f aca="false">Runs!P1195</f>
        <v>0</v>
      </c>
      <c r="P7" s="11" t="n">
        <f aca="false">Runs!P1206</f>
        <v>0</v>
      </c>
      <c r="Q7" s="16" t="n">
        <f aca="false">IF(COUNT(G7:P7)=0,"",AVERAGE(G7:P7))</f>
        <v>0</v>
      </c>
      <c r="R7" s="16" t="n">
        <f aca="false">IF(COUNT(G7:P7)&lt;2,"",STDEV(G7:P7))</f>
        <v>0</v>
      </c>
      <c r="S7" s="6" t="n">
        <f aca="false">COUNT(G7:P7)</f>
        <v>10</v>
      </c>
    </row>
    <row r="8" customFormat="false" ht="1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114</v>
      </c>
      <c r="E8" s="6" t="n">
        <v>16</v>
      </c>
      <c r="F8" s="6" t="s">
        <v>74</v>
      </c>
      <c r="G8" s="11" t="n">
        <f aca="false">Runs!P1108</f>
        <v>0</v>
      </c>
      <c r="H8" s="11" t="n">
        <f aca="false">Runs!P1119</f>
        <v>0</v>
      </c>
      <c r="I8" s="11" t="n">
        <f aca="false">Runs!P1130</f>
        <v>0</v>
      </c>
      <c r="J8" s="11" t="n">
        <f aca="false">Runs!P1141</f>
        <v>0</v>
      </c>
      <c r="K8" s="11" t="n">
        <f aca="false">Runs!P1152</f>
        <v>0.0952380952380952</v>
      </c>
      <c r="L8" s="11" t="n">
        <f aca="false">Runs!P1163</f>
        <v>0</v>
      </c>
      <c r="M8" s="11" t="n">
        <f aca="false">Runs!P1174</f>
        <v>0</v>
      </c>
      <c r="N8" s="11" t="n">
        <f aca="false">Runs!P1185</f>
        <v>0.0952380952380952</v>
      </c>
      <c r="O8" s="11" t="n">
        <f aca="false">Runs!P1196</f>
        <v>0.0952380952380952</v>
      </c>
      <c r="P8" s="11" t="n">
        <f aca="false">Runs!P1207</f>
        <v>0</v>
      </c>
      <c r="Q8" s="16" t="n">
        <f aca="false">IF(COUNT(G8:P8)=0,"",AVERAGE(G8:P8))</f>
        <v>0.0285714285714286</v>
      </c>
      <c r="R8" s="16" t="n">
        <f aca="false">IF(COUNT(G8:P8)&lt;2,"",STDEV(G8:P8))</f>
        <v>0.0460043706228236</v>
      </c>
      <c r="S8" s="6" t="n">
        <f aca="false">COUNT(G8:P8)</f>
        <v>10</v>
      </c>
    </row>
    <row r="9" customFormat="false" ht="15" hidden="false" customHeight="false" outlineLevel="0" collapsed="false">
      <c r="A9" s="6" t="s">
        <v>42</v>
      </c>
      <c r="B9" s="6" t="s">
        <v>43</v>
      </c>
      <c r="C9" s="6" t="s">
        <v>44</v>
      </c>
      <c r="D9" s="6" t="s">
        <v>114</v>
      </c>
      <c r="E9" s="6" t="n">
        <v>16</v>
      </c>
      <c r="F9" s="6" t="s">
        <v>75</v>
      </c>
      <c r="G9" s="11" t="n">
        <f aca="false">Runs!P1109</f>
        <v>0</v>
      </c>
      <c r="H9" s="11" t="n">
        <f aca="false">Runs!P1120</f>
        <v>0</v>
      </c>
      <c r="I9" s="11" t="n">
        <f aca="false">Runs!P1131</f>
        <v>0</v>
      </c>
      <c r="J9" s="11" t="n">
        <f aca="false">Runs!P1142</f>
        <v>0</v>
      </c>
      <c r="K9" s="11" t="n">
        <f aca="false">Runs!P1153</f>
        <v>0</v>
      </c>
      <c r="L9" s="11" t="n">
        <f aca="false">Runs!P1164</f>
        <v>0</v>
      </c>
      <c r="M9" s="11" t="n">
        <f aca="false">Runs!P1175</f>
        <v>0</v>
      </c>
      <c r="N9" s="11" t="n">
        <f aca="false">Runs!P1186</f>
        <v>0</v>
      </c>
      <c r="O9" s="11" t="n">
        <f aca="false">Runs!P1197</f>
        <v>0</v>
      </c>
      <c r="P9" s="11" t="n">
        <f aca="false">Runs!P1208</f>
        <v>0</v>
      </c>
      <c r="Q9" s="16" t="n">
        <f aca="false">IF(COUNT(G9:P9)=0,"",AVERAGE(G9:P9))</f>
        <v>0</v>
      </c>
      <c r="R9" s="16" t="n">
        <f aca="false">IF(COUNT(G9:P9)&lt;2,"",STDEV(G9:P9))</f>
        <v>0</v>
      </c>
      <c r="S9" s="6" t="n">
        <f aca="false">COUNT(G9:P9)</f>
        <v>10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s">
        <v>44</v>
      </c>
      <c r="D10" s="6" t="s">
        <v>114</v>
      </c>
      <c r="E10" s="6" t="n">
        <v>16</v>
      </c>
      <c r="F10" s="6" t="s">
        <v>76</v>
      </c>
      <c r="G10" s="11" t="n">
        <f aca="false">Runs!P1110</f>
        <v>0</v>
      </c>
      <c r="H10" s="11" t="n">
        <f aca="false">Runs!P1121</f>
        <v>0</v>
      </c>
      <c r="I10" s="11" t="n">
        <f aca="false">Runs!P1132</f>
        <v>0</v>
      </c>
      <c r="J10" s="11" t="n">
        <f aca="false">Runs!P1143</f>
        <v>0</v>
      </c>
      <c r="K10" s="11" t="n">
        <f aca="false">Runs!P1154</f>
        <v>0</v>
      </c>
      <c r="L10" s="11" t="n">
        <f aca="false">Runs!P1165</f>
        <v>0</v>
      </c>
      <c r="M10" s="11" t="n">
        <f aca="false">Runs!P1176</f>
        <v>0</v>
      </c>
      <c r="N10" s="11" t="n">
        <f aca="false">Runs!P1187</f>
        <v>0</v>
      </c>
      <c r="O10" s="11" t="n">
        <f aca="false">Runs!P1198</f>
        <v>0</v>
      </c>
      <c r="P10" s="11" t="n">
        <f aca="false">Runs!P1209</f>
        <v>0</v>
      </c>
      <c r="Q10" s="16" t="n">
        <f aca="false">IF(COUNT(G10:P10)=0,"",AVERAGE(G10:P10))</f>
        <v>0</v>
      </c>
      <c r="R10" s="16" t="n">
        <f aca="false">IF(COUNT(G10:P10)&lt;2,"",STDEV(G10:P10))</f>
        <v>0</v>
      </c>
      <c r="S10" s="6" t="n">
        <f aca="false">COUNT(G10:P10)</f>
        <v>10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44</v>
      </c>
      <c r="D11" s="6" t="s">
        <v>114</v>
      </c>
      <c r="E11" s="6" t="n">
        <v>16</v>
      </c>
      <c r="F11" s="6" t="s">
        <v>77</v>
      </c>
      <c r="G11" s="11" t="n">
        <f aca="false">Runs!P1111</f>
        <v>0</v>
      </c>
      <c r="H11" s="11" t="n">
        <f aca="false">Runs!P1122</f>
        <v>0.0909090909090909</v>
      </c>
      <c r="I11" s="11" t="n">
        <f aca="false">Runs!P1133</f>
        <v>0.0909090909090909</v>
      </c>
      <c r="J11" s="11" t="n">
        <f aca="false">Runs!P1144</f>
        <v>0.0909090909090909</v>
      </c>
      <c r="K11" s="11" t="n">
        <f aca="false">Runs!P1155</f>
        <v>0.0909090909090909</v>
      </c>
      <c r="L11" s="11" t="n">
        <f aca="false">Runs!P1166</f>
        <v>0</v>
      </c>
      <c r="M11" s="11" t="n">
        <f aca="false">Runs!P1177</f>
        <v>0.0909090909090909</v>
      </c>
      <c r="N11" s="11" t="n">
        <f aca="false">Runs!P1188</f>
        <v>0</v>
      </c>
      <c r="O11" s="11" t="n">
        <f aca="false">Runs!P1199</f>
        <v>0.0909090909090909</v>
      </c>
      <c r="P11" s="11" t="n">
        <f aca="false">Runs!P1210</f>
        <v>0.0909090909090909</v>
      </c>
      <c r="Q11" s="16" t="n">
        <f aca="false">IF(COUNT(G11:P11)=0,"",AVERAGE(G11:P11))</f>
        <v>0.0636363636363636</v>
      </c>
      <c r="R11" s="16" t="n">
        <f aca="false">IF(COUNT(G11:P11)&lt;2,"",STDEV(G11:P11))</f>
        <v>0.0439132628672407</v>
      </c>
      <c r="S11" s="6" t="n">
        <f aca="false">COUNT(G11:P11)</f>
        <v>10</v>
      </c>
    </row>
    <row r="12" customFormat="false" ht="15" hidden="false" customHeight="false" outlineLevel="0" collapsed="false">
      <c r="A12" s="17" t="s">
        <v>42</v>
      </c>
      <c r="B12" s="17" t="s">
        <v>43</v>
      </c>
      <c r="C12" s="17" t="s">
        <v>44</v>
      </c>
      <c r="D12" s="17" t="s">
        <v>114</v>
      </c>
      <c r="E12" s="17" t="n">
        <v>16</v>
      </c>
      <c r="F12" s="17" t="s">
        <v>78</v>
      </c>
      <c r="G12" s="18" t="n">
        <f aca="false">Runs!P1112</f>
        <v>0.0099009900990099</v>
      </c>
      <c r="H12" s="18" t="n">
        <f aca="false">Runs!P1123</f>
        <v>0.0099009900990099</v>
      </c>
      <c r="I12" s="18" t="n">
        <f aca="false">Runs!P1134</f>
        <v>0.0099009900990099</v>
      </c>
      <c r="J12" s="18" t="n">
        <f aca="false">Runs!P1145</f>
        <v>0.0099009900990099</v>
      </c>
      <c r="K12" s="18" t="n">
        <f aca="false">Runs!P1156</f>
        <v>0.0197044334975369</v>
      </c>
      <c r="L12" s="18" t="n">
        <f aca="false">Runs!P1167</f>
        <v>0</v>
      </c>
      <c r="M12" s="18" t="n">
        <f aca="false">Runs!P1178</f>
        <v>0.0099009900990099</v>
      </c>
      <c r="N12" s="18" t="n">
        <f aca="false">Runs!P1189</f>
        <v>0.0099009900990099</v>
      </c>
      <c r="O12" s="18" t="n">
        <f aca="false">Runs!P1200</f>
        <v>0.0197044334975369</v>
      </c>
      <c r="P12" s="18" t="n">
        <f aca="false">Runs!P1211</f>
        <v>0.0099009900990099</v>
      </c>
      <c r="Q12" s="19" t="n">
        <f aca="false">IF(COUNT(G12:P12)=0,"",AVERAGE(G12:P12))</f>
        <v>0.0108715797688143</v>
      </c>
      <c r="R12" s="19" t="n">
        <f aca="false">IF(COUNT(G12:P12)&lt;2,"",STDEV(G12:P12))</f>
        <v>0.00558593637634957</v>
      </c>
      <c r="S12" s="20" t="n">
        <f aca="false">COUNT(G12:P12)</f>
        <v>10</v>
      </c>
    </row>
    <row r="13" customFormat="false" ht="15" hidden="false" customHeight="false" outlineLevel="0" collapsed="false">
      <c r="A13" s="6" t="s">
        <v>46</v>
      </c>
      <c r="B13" s="6" t="s">
        <v>43</v>
      </c>
      <c r="C13" s="6" t="s">
        <v>44</v>
      </c>
      <c r="D13" s="6" t="s">
        <v>115</v>
      </c>
      <c r="E13" s="6" t="n">
        <v>1</v>
      </c>
      <c r="F13" s="6" t="s">
        <v>68</v>
      </c>
      <c r="G13" s="11" t="n">
        <f aca="false">Runs!P1212</f>
        <v>0</v>
      </c>
      <c r="H13" s="11" t="n">
        <f aca="false">Runs!P1223</f>
        <v>0</v>
      </c>
      <c r="I13" s="11" t="n">
        <f aca="false">Runs!P1234</f>
        <v>0</v>
      </c>
      <c r="J13" s="11" t="n">
        <f aca="false">Runs!P1245</f>
        <v>1</v>
      </c>
      <c r="K13" s="11" t="n">
        <f aca="false">Runs!P1256</f>
        <v>0</v>
      </c>
      <c r="L13" s="11" t="n">
        <f aca="false">Runs!P1267</f>
        <v>1</v>
      </c>
      <c r="M13" s="11" t="n">
        <f aca="false">Runs!P1278</f>
        <v>0</v>
      </c>
      <c r="N13" s="11" t="n">
        <f aca="false">Runs!P1289</f>
        <v>0</v>
      </c>
      <c r="O13" s="11" t="n">
        <f aca="false">Runs!P1300</f>
        <v>0</v>
      </c>
      <c r="P13" s="11" t="n">
        <f aca="false">Runs!P1311</f>
        <v>0</v>
      </c>
      <c r="Q13" s="16" t="n">
        <f aca="false">IF(COUNT(G13:P13)=0,"",AVERAGE(G13:P13))</f>
        <v>0.2</v>
      </c>
      <c r="R13" s="16" t="n">
        <f aca="false">IF(COUNT(G13:P13)&lt;2,"",STDEV(G13:P13))</f>
        <v>0.421637021355784</v>
      </c>
      <c r="S13" s="6" t="n">
        <f aca="false">COUNT(G13:P13)</f>
        <v>10</v>
      </c>
    </row>
    <row r="14" customFormat="false" ht="15" hidden="false" customHeight="false" outlineLevel="0" collapsed="false">
      <c r="A14" s="6" t="s">
        <v>46</v>
      </c>
      <c r="B14" s="6" t="s">
        <v>43</v>
      </c>
      <c r="C14" s="6" t="s">
        <v>44</v>
      </c>
      <c r="D14" s="6" t="s">
        <v>115</v>
      </c>
      <c r="E14" s="6" t="n">
        <v>1</v>
      </c>
      <c r="F14" s="6" t="s">
        <v>69</v>
      </c>
      <c r="G14" s="11" t="n">
        <f aca="false">Runs!P1213</f>
        <v>0</v>
      </c>
      <c r="H14" s="11" t="n">
        <f aca="false">Runs!P1224</f>
        <v>0</v>
      </c>
      <c r="I14" s="11" t="n">
        <f aca="false">Runs!P1235</f>
        <v>0</v>
      </c>
      <c r="J14" s="11" t="n">
        <f aca="false">Runs!P1246</f>
        <v>1</v>
      </c>
      <c r="K14" s="11" t="n">
        <f aca="false">Runs!P1257</f>
        <v>0</v>
      </c>
      <c r="L14" s="11" t="n">
        <f aca="false">Runs!P1268</f>
        <v>1</v>
      </c>
      <c r="M14" s="11" t="n">
        <f aca="false">Runs!P1279</f>
        <v>0</v>
      </c>
      <c r="N14" s="11" t="n">
        <f aca="false">Runs!P1290</f>
        <v>0</v>
      </c>
      <c r="O14" s="11" t="n">
        <f aca="false">Runs!P1301</f>
        <v>0</v>
      </c>
      <c r="P14" s="11" t="n">
        <f aca="false">Runs!P1312</f>
        <v>0</v>
      </c>
      <c r="Q14" s="16" t="n">
        <f aca="false">IF(COUNT(G14:P14)=0,"",AVERAGE(G14:P14))</f>
        <v>0.2</v>
      </c>
      <c r="R14" s="16" t="n">
        <f aca="false">IF(COUNT(G14:P14)&lt;2,"",STDEV(G14:P14))</f>
        <v>0.421637021355784</v>
      </c>
      <c r="S14" s="6" t="n">
        <f aca="false">COUNT(G14:P14)</f>
        <v>10</v>
      </c>
    </row>
    <row r="15" customFormat="false" ht="15" hidden="false" customHeight="false" outlineLevel="0" collapsed="false">
      <c r="A15" s="6" t="s">
        <v>46</v>
      </c>
      <c r="B15" s="6" t="s">
        <v>43</v>
      </c>
      <c r="C15" s="6" t="s">
        <v>44</v>
      </c>
      <c r="D15" s="6" t="s">
        <v>115</v>
      </c>
      <c r="E15" s="6" t="n">
        <v>1</v>
      </c>
      <c r="F15" s="6" t="s">
        <v>70</v>
      </c>
      <c r="G15" s="11" t="n">
        <f aca="false">Runs!P1214</f>
        <v>0</v>
      </c>
      <c r="H15" s="11" t="n">
        <f aca="false">Runs!P1225</f>
        <v>0</v>
      </c>
      <c r="I15" s="11" t="n">
        <f aca="false">Runs!P1236</f>
        <v>0</v>
      </c>
      <c r="J15" s="11" t="n">
        <f aca="false">Runs!P1247</f>
        <v>1</v>
      </c>
      <c r="K15" s="11" t="n">
        <f aca="false">Runs!P1258</f>
        <v>0</v>
      </c>
      <c r="L15" s="11" t="n">
        <f aca="false">Runs!P1269</f>
        <v>1</v>
      </c>
      <c r="M15" s="11" t="n">
        <f aca="false">Runs!P1280</f>
        <v>0</v>
      </c>
      <c r="N15" s="11" t="n">
        <f aca="false">Runs!P1291</f>
        <v>0</v>
      </c>
      <c r="O15" s="11" t="n">
        <f aca="false">Runs!P1302</f>
        <v>0</v>
      </c>
      <c r="P15" s="11" t="n">
        <f aca="false">Runs!P1313</f>
        <v>0</v>
      </c>
      <c r="Q15" s="16" t="n">
        <f aca="false">IF(COUNT(G15:P15)=0,"",AVERAGE(G15:P15))</f>
        <v>0.2</v>
      </c>
      <c r="R15" s="16" t="n">
        <f aca="false">IF(COUNT(G15:P15)&lt;2,"",STDEV(G15:P15))</f>
        <v>0.421637021355784</v>
      </c>
      <c r="S15" s="6" t="n">
        <f aca="false">COUNT(G15:P15)</f>
        <v>10</v>
      </c>
    </row>
    <row r="16" customFormat="false" ht="15" hidden="false" customHeight="false" outlineLevel="0" collapsed="false">
      <c r="A16" s="6" t="s">
        <v>46</v>
      </c>
      <c r="B16" s="6" t="s">
        <v>43</v>
      </c>
      <c r="C16" s="6" t="s">
        <v>44</v>
      </c>
      <c r="D16" s="6" t="s">
        <v>115</v>
      </c>
      <c r="E16" s="6" t="n">
        <v>1</v>
      </c>
      <c r="F16" s="6" t="s">
        <v>71</v>
      </c>
      <c r="G16" s="11" t="n">
        <f aca="false">Runs!P1215</f>
        <v>0</v>
      </c>
      <c r="H16" s="11" t="n">
        <f aca="false">Runs!P1226</f>
        <v>0</v>
      </c>
      <c r="I16" s="11" t="n">
        <f aca="false">Runs!P1237</f>
        <v>0</v>
      </c>
      <c r="J16" s="11" t="n">
        <f aca="false">Runs!P1248</f>
        <v>1</v>
      </c>
      <c r="K16" s="11" t="n">
        <f aca="false">Runs!P1259</f>
        <v>0</v>
      </c>
      <c r="L16" s="11" t="n">
        <f aca="false">Runs!P1270</f>
        <v>1</v>
      </c>
      <c r="M16" s="11" t="n">
        <f aca="false">Runs!P1281</f>
        <v>0</v>
      </c>
      <c r="N16" s="11" t="n">
        <f aca="false">Runs!P1292</f>
        <v>0</v>
      </c>
      <c r="O16" s="11" t="n">
        <f aca="false">Runs!P1303</f>
        <v>0</v>
      </c>
      <c r="P16" s="11" t="n">
        <f aca="false">Runs!P1314</f>
        <v>0</v>
      </c>
      <c r="Q16" s="16" t="n">
        <f aca="false">IF(COUNT(G16:P16)=0,"",AVERAGE(G16:P16))</f>
        <v>0.2</v>
      </c>
      <c r="R16" s="16" t="n">
        <f aca="false">IF(COUNT(G16:P16)&lt;2,"",STDEV(G16:P16))</f>
        <v>0.421637021355784</v>
      </c>
      <c r="S16" s="6" t="n">
        <f aca="false">COUNT(G16:P16)</f>
        <v>10</v>
      </c>
    </row>
    <row r="17" customFormat="false" ht="15" hidden="false" customHeight="false" outlineLevel="0" collapsed="false">
      <c r="A17" s="6" t="s">
        <v>46</v>
      </c>
      <c r="B17" s="6" t="s">
        <v>43</v>
      </c>
      <c r="C17" s="6" t="s">
        <v>44</v>
      </c>
      <c r="D17" s="6" t="s">
        <v>115</v>
      </c>
      <c r="E17" s="6" t="n">
        <v>1</v>
      </c>
      <c r="F17" s="6" t="s">
        <v>72</v>
      </c>
      <c r="G17" s="11" t="n">
        <f aca="false">Runs!P1216</f>
        <v>0</v>
      </c>
      <c r="H17" s="11" t="n">
        <f aca="false">Runs!P1227</f>
        <v>0</v>
      </c>
      <c r="I17" s="11" t="n">
        <f aca="false">Runs!P1238</f>
        <v>0</v>
      </c>
      <c r="J17" s="11" t="n">
        <f aca="false">Runs!P1249</f>
        <v>1</v>
      </c>
      <c r="K17" s="11" t="n">
        <f aca="false">Runs!P1260</f>
        <v>0</v>
      </c>
      <c r="L17" s="11" t="n">
        <f aca="false">Runs!P1271</f>
        <v>1</v>
      </c>
      <c r="M17" s="11" t="n">
        <f aca="false">Runs!P1282</f>
        <v>0</v>
      </c>
      <c r="N17" s="11" t="n">
        <f aca="false">Runs!P1293</f>
        <v>0</v>
      </c>
      <c r="O17" s="11" t="n">
        <f aca="false">Runs!P1304</f>
        <v>0</v>
      </c>
      <c r="P17" s="11" t="n">
        <f aca="false">Runs!P1315</f>
        <v>0</v>
      </c>
      <c r="Q17" s="16" t="n">
        <f aca="false">IF(COUNT(G17:P17)=0,"",AVERAGE(G17:P17))</f>
        <v>0.2</v>
      </c>
      <c r="R17" s="16" t="n">
        <f aca="false">IF(COUNT(G17:P17)&lt;2,"",STDEV(G17:P17))</f>
        <v>0.421637021355784</v>
      </c>
      <c r="S17" s="6" t="n">
        <f aca="false">COUNT(G17:P17)</f>
        <v>10</v>
      </c>
    </row>
    <row r="18" customFormat="false" ht="15" hidden="false" customHeight="false" outlineLevel="0" collapsed="false">
      <c r="A18" s="6" t="s">
        <v>46</v>
      </c>
      <c r="B18" s="6" t="s">
        <v>43</v>
      </c>
      <c r="C18" s="6" t="s">
        <v>44</v>
      </c>
      <c r="D18" s="6" t="s">
        <v>115</v>
      </c>
      <c r="E18" s="6" t="n">
        <v>1</v>
      </c>
      <c r="F18" s="6" t="s">
        <v>73</v>
      </c>
      <c r="G18" s="11" t="n">
        <f aca="false">Runs!P1217</f>
        <v>0</v>
      </c>
      <c r="H18" s="11" t="n">
        <f aca="false">Runs!P1228</f>
        <v>0</v>
      </c>
      <c r="I18" s="11" t="n">
        <f aca="false">Runs!P1239</f>
        <v>0</v>
      </c>
      <c r="J18" s="11" t="n">
        <f aca="false">Runs!P1250</f>
        <v>1</v>
      </c>
      <c r="K18" s="11" t="n">
        <f aca="false">Runs!P1261</f>
        <v>0</v>
      </c>
      <c r="L18" s="11" t="n">
        <f aca="false">Runs!P1272</f>
        <v>1</v>
      </c>
      <c r="M18" s="11" t="n">
        <f aca="false">Runs!P1283</f>
        <v>0</v>
      </c>
      <c r="N18" s="11" t="n">
        <f aca="false">Runs!P1294</f>
        <v>0</v>
      </c>
      <c r="O18" s="11" t="n">
        <f aca="false">Runs!P1305</f>
        <v>0</v>
      </c>
      <c r="P18" s="11" t="n">
        <f aca="false">Runs!P1316</f>
        <v>0</v>
      </c>
      <c r="Q18" s="16" t="n">
        <f aca="false">IF(COUNT(G18:P18)=0,"",AVERAGE(G18:P18))</f>
        <v>0.2</v>
      </c>
      <c r="R18" s="16" t="n">
        <f aca="false">IF(COUNT(G18:P18)&lt;2,"",STDEV(G18:P18))</f>
        <v>0.421637021355784</v>
      </c>
      <c r="S18" s="6" t="n">
        <f aca="false">COUNT(G18:P18)</f>
        <v>10</v>
      </c>
    </row>
    <row r="19" customFormat="false" ht="15" hidden="false" customHeight="false" outlineLevel="0" collapsed="false">
      <c r="A19" s="6" t="s">
        <v>46</v>
      </c>
      <c r="B19" s="6" t="s">
        <v>43</v>
      </c>
      <c r="C19" s="6" t="s">
        <v>44</v>
      </c>
      <c r="D19" s="6" t="s">
        <v>115</v>
      </c>
      <c r="E19" s="6" t="n">
        <v>1</v>
      </c>
      <c r="F19" s="6" t="s">
        <v>74</v>
      </c>
      <c r="G19" s="11" t="n">
        <f aca="false">Runs!P1218</f>
        <v>0</v>
      </c>
      <c r="H19" s="11" t="n">
        <f aca="false">Runs!P1229</f>
        <v>0</v>
      </c>
      <c r="I19" s="11" t="n">
        <f aca="false">Runs!P1240</f>
        <v>0</v>
      </c>
      <c r="J19" s="11" t="n">
        <f aca="false">Runs!P1251</f>
        <v>1</v>
      </c>
      <c r="K19" s="11" t="n">
        <f aca="false">Runs!P1262</f>
        <v>0</v>
      </c>
      <c r="L19" s="11" t="n">
        <f aca="false">Runs!P1273</f>
        <v>1</v>
      </c>
      <c r="M19" s="11" t="n">
        <f aca="false">Runs!P1284</f>
        <v>0</v>
      </c>
      <c r="N19" s="11" t="n">
        <f aca="false">Runs!P1295</f>
        <v>0</v>
      </c>
      <c r="O19" s="11" t="n">
        <f aca="false">Runs!P1306</f>
        <v>0</v>
      </c>
      <c r="P19" s="11" t="n">
        <f aca="false">Runs!P1317</f>
        <v>0</v>
      </c>
      <c r="Q19" s="16" t="n">
        <f aca="false">IF(COUNT(G19:P19)=0,"",AVERAGE(G19:P19))</f>
        <v>0.2</v>
      </c>
      <c r="R19" s="16" t="n">
        <f aca="false">IF(COUNT(G19:P19)&lt;2,"",STDEV(G19:P19))</f>
        <v>0.421637021355784</v>
      </c>
      <c r="S19" s="6" t="n">
        <f aca="false">COUNT(G19:P19)</f>
        <v>10</v>
      </c>
    </row>
    <row r="20" customFormat="false" ht="15" hidden="false" customHeight="false" outlineLevel="0" collapsed="false">
      <c r="A20" s="6" t="s">
        <v>46</v>
      </c>
      <c r="B20" s="6" t="s">
        <v>43</v>
      </c>
      <c r="C20" s="6" t="s">
        <v>44</v>
      </c>
      <c r="D20" s="6" t="s">
        <v>115</v>
      </c>
      <c r="E20" s="6" t="n">
        <v>1</v>
      </c>
      <c r="F20" s="6" t="s">
        <v>75</v>
      </c>
      <c r="G20" s="11" t="n">
        <f aca="false">Runs!P1219</f>
        <v>0</v>
      </c>
      <c r="H20" s="11" t="n">
        <f aca="false">Runs!P1230</f>
        <v>0</v>
      </c>
      <c r="I20" s="11" t="n">
        <f aca="false">Runs!P1241</f>
        <v>0</v>
      </c>
      <c r="J20" s="11" t="n">
        <f aca="false">Runs!P1252</f>
        <v>1</v>
      </c>
      <c r="K20" s="11" t="n">
        <f aca="false">Runs!P1263</f>
        <v>0</v>
      </c>
      <c r="L20" s="11" t="n">
        <f aca="false">Runs!P1274</f>
        <v>1</v>
      </c>
      <c r="M20" s="11" t="n">
        <f aca="false">Runs!P1285</f>
        <v>0</v>
      </c>
      <c r="N20" s="11" t="n">
        <f aca="false">Runs!P1296</f>
        <v>0</v>
      </c>
      <c r="O20" s="11" t="n">
        <f aca="false">Runs!P1307</f>
        <v>0</v>
      </c>
      <c r="P20" s="11" t="n">
        <f aca="false">Runs!P1318</f>
        <v>0</v>
      </c>
      <c r="Q20" s="16" t="n">
        <f aca="false">IF(COUNT(G20:P20)=0,"",AVERAGE(G20:P20))</f>
        <v>0.2</v>
      </c>
      <c r="R20" s="16" t="n">
        <f aca="false">IF(COUNT(G20:P20)&lt;2,"",STDEV(G20:P20))</f>
        <v>0.421637021355784</v>
      </c>
      <c r="S20" s="6" t="n">
        <f aca="false">COUNT(G20:P20)</f>
        <v>10</v>
      </c>
    </row>
    <row r="21" customFormat="false" ht="15" hidden="false" customHeight="false" outlineLevel="0" collapsed="false">
      <c r="A21" s="6" t="s">
        <v>46</v>
      </c>
      <c r="B21" s="6" t="s">
        <v>43</v>
      </c>
      <c r="C21" s="6" t="s">
        <v>44</v>
      </c>
      <c r="D21" s="6" t="s">
        <v>115</v>
      </c>
      <c r="E21" s="6" t="n">
        <v>1</v>
      </c>
      <c r="F21" s="6" t="s">
        <v>76</v>
      </c>
      <c r="G21" s="11" t="n">
        <f aca="false">Runs!P1220</f>
        <v>0</v>
      </c>
      <c r="H21" s="11" t="n">
        <f aca="false">Runs!P1231</f>
        <v>0</v>
      </c>
      <c r="I21" s="11" t="n">
        <f aca="false">Runs!P1242</f>
        <v>0</v>
      </c>
      <c r="J21" s="11" t="n">
        <f aca="false">Runs!P1253</f>
        <v>1</v>
      </c>
      <c r="K21" s="11" t="n">
        <f aca="false">Runs!P1264</f>
        <v>0</v>
      </c>
      <c r="L21" s="11" t="n">
        <f aca="false">Runs!P1275</f>
        <v>1</v>
      </c>
      <c r="M21" s="11" t="n">
        <f aca="false">Runs!P1286</f>
        <v>0</v>
      </c>
      <c r="N21" s="11" t="n">
        <f aca="false">Runs!P1297</f>
        <v>0</v>
      </c>
      <c r="O21" s="11" t="n">
        <f aca="false">Runs!P1308</f>
        <v>0</v>
      </c>
      <c r="P21" s="11" t="n">
        <f aca="false">Runs!P1319</f>
        <v>0</v>
      </c>
      <c r="Q21" s="16" t="n">
        <f aca="false">IF(COUNT(G21:P21)=0,"",AVERAGE(G21:P21))</f>
        <v>0.2</v>
      </c>
      <c r="R21" s="16" t="n">
        <f aca="false">IF(COUNT(G21:P21)&lt;2,"",STDEV(G21:P21))</f>
        <v>0.421637021355784</v>
      </c>
      <c r="S21" s="6" t="n">
        <f aca="false">COUNT(G21:P21)</f>
        <v>10</v>
      </c>
    </row>
    <row r="22" customFormat="false" ht="15" hidden="false" customHeight="false" outlineLevel="0" collapsed="false">
      <c r="A22" s="6" t="s">
        <v>46</v>
      </c>
      <c r="B22" s="6" t="s">
        <v>43</v>
      </c>
      <c r="C22" s="6" t="s">
        <v>44</v>
      </c>
      <c r="D22" s="6" t="s">
        <v>115</v>
      </c>
      <c r="E22" s="6" t="n">
        <v>1</v>
      </c>
      <c r="F22" s="6" t="s">
        <v>77</v>
      </c>
      <c r="G22" s="11" t="n">
        <f aca="false">Runs!P1221</f>
        <v>0.0909090909090909</v>
      </c>
      <c r="H22" s="11" t="n">
        <f aca="false">Runs!P1232</f>
        <v>0.0909090909090909</v>
      </c>
      <c r="I22" s="11" t="n">
        <f aca="false">Runs!P1243</f>
        <v>0.0909090909090909</v>
      </c>
      <c r="J22" s="11" t="n">
        <f aca="false">Runs!P1254</f>
        <v>0.975609756097561</v>
      </c>
      <c r="K22" s="11" t="n">
        <f aca="false">Runs!P1265</f>
        <v>0.0909090909090909</v>
      </c>
      <c r="L22" s="11" t="n">
        <f aca="false">Runs!P1276</f>
        <v>0.975609756097561</v>
      </c>
      <c r="M22" s="11" t="n">
        <f aca="false">Runs!P1287</f>
        <v>0.0909090909090909</v>
      </c>
      <c r="N22" s="11" t="n">
        <f aca="false">Runs!P1298</f>
        <v>0.0909090909090909</v>
      </c>
      <c r="O22" s="11" t="n">
        <f aca="false">Runs!P1309</f>
        <v>0.0909090909090909</v>
      </c>
      <c r="P22" s="11" t="n">
        <f aca="false">Runs!P1320</f>
        <v>0.0909090909090909</v>
      </c>
      <c r="Q22" s="16" t="n">
        <f aca="false">IF(COUNT(G22:P22)=0,"",AVERAGE(G22:P22))</f>
        <v>0.267849223946785</v>
      </c>
      <c r="R22" s="16" t="n">
        <f aca="false">IF(COUNT(G22:P22)&lt;2,"",STDEV(G22:P22))</f>
        <v>0.373022553261547</v>
      </c>
      <c r="S22" s="6" t="n">
        <f aca="false">COUNT(G22:P22)</f>
        <v>10</v>
      </c>
    </row>
    <row r="23" customFormat="false" ht="15" hidden="false" customHeight="false" outlineLevel="0" collapsed="false">
      <c r="A23" s="17" t="s">
        <v>46</v>
      </c>
      <c r="B23" s="17" t="s">
        <v>43</v>
      </c>
      <c r="C23" s="17" t="s">
        <v>44</v>
      </c>
      <c r="D23" s="17" t="s">
        <v>115</v>
      </c>
      <c r="E23" s="17" t="n">
        <v>1</v>
      </c>
      <c r="F23" s="17" t="s">
        <v>78</v>
      </c>
      <c r="G23" s="18" t="n">
        <f aca="false">Runs!P1222</f>
        <v>0.0099009900990099</v>
      </c>
      <c r="H23" s="18" t="n">
        <f aca="false">Runs!P1233</f>
        <v>0.0099009900990099</v>
      </c>
      <c r="I23" s="18" t="n">
        <f aca="false">Runs!P1244</f>
        <v>0.0099009900990099</v>
      </c>
      <c r="J23" s="18" t="n">
        <f aca="false">Runs!P1255</f>
        <v>0.997506234413965</v>
      </c>
      <c r="K23" s="18" t="n">
        <f aca="false">Runs!P1266</f>
        <v>0.0099009900990099</v>
      </c>
      <c r="L23" s="18" t="n">
        <f aca="false">Runs!P1277</f>
        <v>0.997506234413965</v>
      </c>
      <c r="M23" s="18" t="n">
        <f aca="false">Runs!P1288</f>
        <v>0.0099009900990099</v>
      </c>
      <c r="N23" s="18" t="n">
        <f aca="false">Runs!P1299</f>
        <v>0.0099009900990099</v>
      </c>
      <c r="O23" s="18" t="n">
        <f aca="false">Runs!P1310</f>
        <v>0.0099009900990099</v>
      </c>
      <c r="P23" s="18" t="n">
        <f aca="false">Runs!P1321</f>
        <v>0.0099009900990099</v>
      </c>
      <c r="Q23" s="19" t="n">
        <f aca="false">IF(COUNT(G23:P23)=0,"",AVERAGE(G23:P23))</f>
        <v>0.207422038962001</v>
      </c>
      <c r="R23" s="19" t="n">
        <f aca="false">IF(COUNT(G23:P23)&lt;2,"",STDEV(G23:P23))</f>
        <v>0.416410933488309</v>
      </c>
      <c r="S23" s="20" t="n">
        <f aca="false">COUNT(G23:P23)</f>
        <v>10</v>
      </c>
    </row>
    <row r="24" customFormat="false" ht="15" hidden="false" customHeight="false" outlineLevel="0" collapsed="false">
      <c r="A24" s="6" t="s">
        <v>48</v>
      </c>
      <c r="B24" s="6" t="s">
        <v>43</v>
      </c>
      <c r="C24" s="6" t="s">
        <v>49</v>
      </c>
      <c r="D24" s="6" t="s">
        <v>115</v>
      </c>
      <c r="E24" s="6" t="n">
        <v>4</v>
      </c>
      <c r="F24" s="6" t="s">
        <v>68</v>
      </c>
      <c r="G24" s="11" t="n">
        <f aca="false">Runs!P1322</f>
        <v>1</v>
      </c>
      <c r="H24" s="11" t="n">
        <f aca="false">Runs!P1333</f>
        <v>0</v>
      </c>
      <c r="I24" s="11" t="n">
        <f aca="false">Runs!P1344</f>
        <v>1</v>
      </c>
      <c r="J24" s="11" t="n">
        <f aca="false">Runs!P1355</f>
        <v>0</v>
      </c>
      <c r="K24" s="11" t="n">
        <f aca="false">Runs!P1366</f>
        <v>0</v>
      </c>
      <c r="L24" s="11" t="n">
        <f aca="false">Runs!P1377</f>
        <v>0</v>
      </c>
      <c r="M24" s="11" t="n">
        <f aca="false">Runs!P1388</f>
        <v>1</v>
      </c>
      <c r="N24" s="11" t="n">
        <f aca="false">Runs!P1399</f>
        <v>1</v>
      </c>
      <c r="O24" s="11" t="n">
        <f aca="false">Runs!P1410</f>
        <v>1</v>
      </c>
      <c r="P24" s="11" t="n">
        <f aca="false">Runs!P1421</f>
        <v>0</v>
      </c>
      <c r="Q24" s="16" t="n">
        <f aca="false">IF(COUNT(G24:P24)=0,"",AVERAGE(G24:P24))</f>
        <v>0.5</v>
      </c>
      <c r="R24" s="16" t="n">
        <f aca="false">IF(COUNT(G24:P24)&lt;2,"",STDEV(G24:P24))</f>
        <v>0.52704627669473</v>
      </c>
      <c r="S24" s="6" t="n">
        <f aca="false">COUNT(G24:P24)</f>
        <v>10</v>
      </c>
    </row>
    <row r="25" customFormat="false" ht="15" hidden="false" customHeight="false" outlineLevel="0" collapsed="false">
      <c r="A25" s="6" t="s">
        <v>48</v>
      </c>
      <c r="B25" s="6" t="s">
        <v>43</v>
      </c>
      <c r="C25" s="6" t="s">
        <v>49</v>
      </c>
      <c r="D25" s="6" t="s">
        <v>115</v>
      </c>
      <c r="E25" s="6" t="n">
        <v>4</v>
      </c>
      <c r="F25" s="6" t="s">
        <v>69</v>
      </c>
      <c r="G25" s="11" t="n">
        <f aca="false">Runs!P1323</f>
        <v>1</v>
      </c>
      <c r="H25" s="11" t="n">
        <f aca="false">Runs!P1334</f>
        <v>0</v>
      </c>
      <c r="I25" s="11" t="n">
        <f aca="false">Runs!P1345</f>
        <v>1</v>
      </c>
      <c r="J25" s="11" t="n">
        <f aca="false">Runs!P1356</f>
        <v>0</v>
      </c>
      <c r="K25" s="11" t="n">
        <f aca="false">Runs!P1367</f>
        <v>0</v>
      </c>
      <c r="L25" s="11" t="n">
        <f aca="false">Runs!P1378</f>
        <v>0</v>
      </c>
      <c r="M25" s="11" t="n">
        <f aca="false">Runs!P1389</f>
        <v>1</v>
      </c>
      <c r="N25" s="11" t="n">
        <f aca="false">Runs!P1400</f>
        <v>1</v>
      </c>
      <c r="O25" s="11" t="n">
        <f aca="false">Runs!P1411</f>
        <v>1</v>
      </c>
      <c r="P25" s="11" t="n">
        <f aca="false">Runs!P1422</f>
        <v>0</v>
      </c>
      <c r="Q25" s="16" t="n">
        <f aca="false">IF(COUNT(G25:P25)=0,"",AVERAGE(G25:P25))</f>
        <v>0.5</v>
      </c>
      <c r="R25" s="16" t="n">
        <f aca="false">IF(COUNT(G25:P25)&lt;2,"",STDEV(G25:P25))</f>
        <v>0.52704627669473</v>
      </c>
      <c r="S25" s="6" t="n">
        <f aca="false">COUNT(G25:P25)</f>
        <v>10</v>
      </c>
    </row>
    <row r="26" customFormat="false" ht="15" hidden="false" customHeight="false" outlineLevel="0" collapsed="false">
      <c r="A26" s="6" t="s">
        <v>48</v>
      </c>
      <c r="B26" s="6" t="s">
        <v>43</v>
      </c>
      <c r="C26" s="6" t="s">
        <v>49</v>
      </c>
      <c r="D26" s="6" t="s">
        <v>115</v>
      </c>
      <c r="E26" s="6" t="n">
        <v>4</v>
      </c>
      <c r="F26" s="6" t="s">
        <v>70</v>
      </c>
      <c r="G26" s="11" t="n">
        <f aca="false">Runs!P1324</f>
        <v>1</v>
      </c>
      <c r="H26" s="11" t="n">
        <f aca="false">Runs!P1335</f>
        <v>0</v>
      </c>
      <c r="I26" s="11" t="n">
        <f aca="false">Runs!P1346</f>
        <v>1</v>
      </c>
      <c r="J26" s="11" t="n">
        <f aca="false">Runs!P1357</f>
        <v>0</v>
      </c>
      <c r="K26" s="11" t="n">
        <f aca="false">Runs!P1368</f>
        <v>0</v>
      </c>
      <c r="L26" s="11" t="n">
        <f aca="false">Runs!P1379</f>
        <v>0</v>
      </c>
      <c r="M26" s="11" t="n">
        <f aca="false">Runs!P1390</f>
        <v>1</v>
      </c>
      <c r="N26" s="11" t="n">
        <f aca="false">Runs!P1401</f>
        <v>1</v>
      </c>
      <c r="O26" s="11" t="n">
        <f aca="false">Runs!P1412</f>
        <v>1</v>
      </c>
      <c r="P26" s="11" t="n">
        <f aca="false">Runs!P1423</f>
        <v>0</v>
      </c>
      <c r="Q26" s="16" t="n">
        <f aca="false">IF(COUNT(G26:P26)=0,"",AVERAGE(G26:P26))</f>
        <v>0.5</v>
      </c>
      <c r="R26" s="16" t="n">
        <f aca="false">IF(COUNT(G26:P26)&lt;2,"",STDEV(G26:P26))</f>
        <v>0.52704627669473</v>
      </c>
      <c r="S26" s="6" t="n">
        <f aca="false">COUNT(G26:P26)</f>
        <v>10</v>
      </c>
    </row>
    <row r="27" customFormat="false" ht="15" hidden="false" customHeight="false" outlineLevel="0" collapsed="false">
      <c r="A27" s="6" t="s">
        <v>48</v>
      </c>
      <c r="B27" s="6" t="s">
        <v>43</v>
      </c>
      <c r="C27" s="6" t="s">
        <v>49</v>
      </c>
      <c r="D27" s="6" t="s">
        <v>115</v>
      </c>
      <c r="E27" s="6" t="n">
        <v>4</v>
      </c>
      <c r="F27" s="6" t="s">
        <v>71</v>
      </c>
      <c r="G27" s="11" t="n">
        <f aca="false">Runs!P1325</f>
        <v>1</v>
      </c>
      <c r="H27" s="11" t="n">
        <f aca="false">Runs!P1336</f>
        <v>0</v>
      </c>
      <c r="I27" s="11" t="n">
        <f aca="false">Runs!P1347</f>
        <v>1</v>
      </c>
      <c r="J27" s="11" t="n">
        <f aca="false">Runs!P1358</f>
        <v>0</v>
      </c>
      <c r="K27" s="11" t="n">
        <f aca="false">Runs!P1369</f>
        <v>0</v>
      </c>
      <c r="L27" s="11" t="n">
        <f aca="false">Runs!P1380</f>
        <v>0</v>
      </c>
      <c r="M27" s="11" t="n">
        <f aca="false">Runs!P1391</f>
        <v>1</v>
      </c>
      <c r="N27" s="11" t="n">
        <f aca="false">Runs!P1402</f>
        <v>1</v>
      </c>
      <c r="O27" s="11" t="n">
        <f aca="false">Runs!P1413</f>
        <v>1</v>
      </c>
      <c r="P27" s="11" t="n">
        <f aca="false">Runs!P1424</f>
        <v>0</v>
      </c>
      <c r="Q27" s="16" t="n">
        <f aca="false">IF(COUNT(G27:P27)=0,"",AVERAGE(G27:P27))</f>
        <v>0.5</v>
      </c>
      <c r="R27" s="16" t="n">
        <f aca="false">IF(COUNT(G27:P27)&lt;2,"",STDEV(G27:P27))</f>
        <v>0.52704627669473</v>
      </c>
      <c r="S27" s="6" t="n">
        <f aca="false">COUNT(G27:P27)</f>
        <v>10</v>
      </c>
    </row>
    <row r="28" customFormat="false" ht="15" hidden="false" customHeight="false" outlineLevel="0" collapsed="false">
      <c r="A28" s="6" t="s">
        <v>48</v>
      </c>
      <c r="B28" s="6" t="s">
        <v>43</v>
      </c>
      <c r="C28" s="6" t="s">
        <v>49</v>
      </c>
      <c r="D28" s="6" t="s">
        <v>115</v>
      </c>
      <c r="E28" s="6" t="n">
        <v>4</v>
      </c>
      <c r="F28" s="6" t="s">
        <v>72</v>
      </c>
      <c r="G28" s="11" t="n">
        <f aca="false">Runs!P1326</f>
        <v>1</v>
      </c>
      <c r="H28" s="11" t="n">
        <f aca="false">Runs!P1337</f>
        <v>0</v>
      </c>
      <c r="I28" s="11" t="n">
        <f aca="false">Runs!P1348</f>
        <v>1</v>
      </c>
      <c r="J28" s="11" t="n">
        <f aca="false">Runs!P1359</f>
        <v>0</v>
      </c>
      <c r="K28" s="11" t="n">
        <f aca="false">Runs!P1370</f>
        <v>0</v>
      </c>
      <c r="L28" s="11" t="n">
        <f aca="false">Runs!P1381</f>
        <v>0</v>
      </c>
      <c r="M28" s="11" t="n">
        <f aca="false">Runs!P1392</f>
        <v>1</v>
      </c>
      <c r="N28" s="11" t="n">
        <f aca="false">Runs!P1403</f>
        <v>1</v>
      </c>
      <c r="O28" s="11" t="n">
        <f aca="false">Runs!P1414</f>
        <v>1</v>
      </c>
      <c r="P28" s="11" t="n">
        <f aca="false">Runs!P1425</f>
        <v>0</v>
      </c>
      <c r="Q28" s="16" t="n">
        <f aca="false">IF(COUNT(G28:P28)=0,"",AVERAGE(G28:P28))</f>
        <v>0.5</v>
      </c>
      <c r="R28" s="16" t="n">
        <f aca="false">IF(COUNT(G28:P28)&lt;2,"",STDEV(G28:P28))</f>
        <v>0.52704627669473</v>
      </c>
      <c r="S28" s="6" t="n">
        <f aca="false">COUNT(G28:P28)</f>
        <v>10</v>
      </c>
    </row>
    <row r="29" customFormat="false" ht="15" hidden="false" customHeight="false" outlineLevel="0" collapsed="false">
      <c r="A29" s="6" t="s">
        <v>48</v>
      </c>
      <c r="B29" s="6" t="s">
        <v>43</v>
      </c>
      <c r="C29" s="6" t="s">
        <v>49</v>
      </c>
      <c r="D29" s="6" t="s">
        <v>115</v>
      </c>
      <c r="E29" s="6" t="n">
        <v>4</v>
      </c>
      <c r="F29" s="6" t="s">
        <v>73</v>
      </c>
      <c r="G29" s="11" t="n">
        <f aca="false">Runs!P1327</f>
        <v>1</v>
      </c>
      <c r="H29" s="11" t="n">
        <f aca="false">Runs!P1338</f>
        <v>0</v>
      </c>
      <c r="I29" s="11" t="n">
        <f aca="false">Runs!P1349</f>
        <v>1</v>
      </c>
      <c r="J29" s="11" t="n">
        <f aca="false">Runs!P1360</f>
        <v>0</v>
      </c>
      <c r="K29" s="11" t="n">
        <f aca="false">Runs!P1371</f>
        <v>0</v>
      </c>
      <c r="L29" s="11" t="n">
        <f aca="false">Runs!P1382</f>
        <v>0</v>
      </c>
      <c r="M29" s="11" t="n">
        <f aca="false">Runs!P1393</f>
        <v>1</v>
      </c>
      <c r="N29" s="11" t="n">
        <f aca="false">Runs!P1404</f>
        <v>1</v>
      </c>
      <c r="O29" s="11" t="n">
        <f aca="false">Runs!P1415</f>
        <v>1</v>
      </c>
      <c r="P29" s="11" t="n">
        <f aca="false">Runs!P1426</f>
        <v>0</v>
      </c>
      <c r="Q29" s="16" t="n">
        <f aca="false">IF(COUNT(G29:P29)=0,"",AVERAGE(G29:P29))</f>
        <v>0.5</v>
      </c>
      <c r="R29" s="16" t="n">
        <f aca="false">IF(COUNT(G29:P29)&lt;2,"",STDEV(G29:P29))</f>
        <v>0.52704627669473</v>
      </c>
      <c r="S29" s="6" t="n">
        <f aca="false">COUNT(G29:P29)</f>
        <v>10</v>
      </c>
    </row>
    <row r="30" customFormat="false" ht="15" hidden="false" customHeight="false" outlineLevel="0" collapsed="false">
      <c r="A30" s="6" t="s">
        <v>48</v>
      </c>
      <c r="B30" s="6" t="s">
        <v>43</v>
      </c>
      <c r="C30" s="6" t="s">
        <v>49</v>
      </c>
      <c r="D30" s="6" t="s">
        <v>115</v>
      </c>
      <c r="E30" s="6" t="n">
        <v>4</v>
      </c>
      <c r="F30" s="6" t="s">
        <v>74</v>
      </c>
      <c r="G30" s="11" t="n">
        <f aca="false">Runs!P1328</f>
        <v>1</v>
      </c>
      <c r="H30" s="11" t="n">
        <f aca="false">Runs!P1339</f>
        <v>0</v>
      </c>
      <c r="I30" s="11" t="n">
        <f aca="false">Runs!P1350</f>
        <v>1</v>
      </c>
      <c r="J30" s="11" t="n">
        <f aca="false">Runs!P1361</f>
        <v>0</v>
      </c>
      <c r="K30" s="11" t="n">
        <f aca="false">Runs!P1372</f>
        <v>0</v>
      </c>
      <c r="L30" s="11" t="n">
        <f aca="false">Runs!P1383</f>
        <v>0</v>
      </c>
      <c r="M30" s="11" t="n">
        <f aca="false">Runs!P1394</f>
        <v>1</v>
      </c>
      <c r="N30" s="11" t="n">
        <f aca="false">Runs!P1405</f>
        <v>1</v>
      </c>
      <c r="O30" s="11" t="n">
        <f aca="false">Runs!P1416</f>
        <v>1</v>
      </c>
      <c r="P30" s="11" t="n">
        <f aca="false">Runs!P1427</f>
        <v>0</v>
      </c>
      <c r="Q30" s="16" t="n">
        <f aca="false">IF(COUNT(G30:P30)=0,"",AVERAGE(G30:P30))</f>
        <v>0.5</v>
      </c>
      <c r="R30" s="16" t="n">
        <f aca="false">IF(COUNT(G30:P30)&lt;2,"",STDEV(G30:P30))</f>
        <v>0.52704627669473</v>
      </c>
      <c r="S30" s="6" t="n">
        <f aca="false">COUNT(G30:P30)</f>
        <v>10</v>
      </c>
    </row>
    <row r="31" customFormat="false" ht="15" hidden="false" customHeight="false" outlineLevel="0" collapsed="false">
      <c r="A31" s="6" t="s">
        <v>48</v>
      </c>
      <c r="B31" s="6" t="s">
        <v>43</v>
      </c>
      <c r="C31" s="6" t="s">
        <v>49</v>
      </c>
      <c r="D31" s="6" t="s">
        <v>115</v>
      </c>
      <c r="E31" s="6" t="n">
        <v>4</v>
      </c>
      <c r="F31" s="6" t="s">
        <v>75</v>
      </c>
      <c r="G31" s="11" t="n">
        <f aca="false">Runs!P1329</f>
        <v>1</v>
      </c>
      <c r="H31" s="11" t="n">
        <f aca="false">Runs!P1340</f>
        <v>0</v>
      </c>
      <c r="I31" s="11" t="n">
        <f aca="false">Runs!P1351</f>
        <v>1</v>
      </c>
      <c r="J31" s="11" t="n">
        <f aca="false">Runs!P1362</f>
        <v>0</v>
      </c>
      <c r="K31" s="11" t="n">
        <f aca="false">Runs!P1373</f>
        <v>0</v>
      </c>
      <c r="L31" s="11" t="n">
        <f aca="false">Runs!P1384</f>
        <v>0</v>
      </c>
      <c r="M31" s="11" t="n">
        <f aca="false">Runs!P1395</f>
        <v>1</v>
      </c>
      <c r="N31" s="11" t="n">
        <f aca="false">Runs!P1406</f>
        <v>1</v>
      </c>
      <c r="O31" s="11" t="n">
        <f aca="false">Runs!P1417</f>
        <v>1</v>
      </c>
      <c r="P31" s="11" t="n">
        <f aca="false">Runs!P1428</f>
        <v>0</v>
      </c>
      <c r="Q31" s="16" t="n">
        <f aca="false">IF(COUNT(G31:P31)=0,"",AVERAGE(G31:P31))</f>
        <v>0.5</v>
      </c>
      <c r="R31" s="16" t="n">
        <f aca="false">IF(COUNT(G31:P31)&lt;2,"",STDEV(G31:P31))</f>
        <v>0.52704627669473</v>
      </c>
      <c r="S31" s="6" t="n">
        <f aca="false">COUNT(G31:P31)</f>
        <v>10</v>
      </c>
    </row>
    <row r="32" customFormat="false" ht="15" hidden="false" customHeight="false" outlineLevel="0" collapsed="false">
      <c r="A32" s="6" t="s">
        <v>48</v>
      </c>
      <c r="B32" s="6" t="s">
        <v>43</v>
      </c>
      <c r="C32" s="6" t="s">
        <v>49</v>
      </c>
      <c r="D32" s="6" t="s">
        <v>115</v>
      </c>
      <c r="E32" s="6" t="n">
        <v>4</v>
      </c>
      <c r="F32" s="6" t="s">
        <v>76</v>
      </c>
      <c r="G32" s="11" t="n">
        <f aca="false">Runs!P1330</f>
        <v>1</v>
      </c>
      <c r="H32" s="11" t="n">
        <f aca="false">Runs!P1341</f>
        <v>0</v>
      </c>
      <c r="I32" s="11" t="n">
        <f aca="false">Runs!P1352</f>
        <v>1</v>
      </c>
      <c r="J32" s="11" t="n">
        <f aca="false">Runs!P1363</f>
        <v>0</v>
      </c>
      <c r="K32" s="11" t="n">
        <f aca="false">Runs!P1374</f>
        <v>0</v>
      </c>
      <c r="L32" s="11" t="n">
        <f aca="false">Runs!P1385</f>
        <v>0</v>
      </c>
      <c r="M32" s="11" t="n">
        <f aca="false">Runs!P1396</f>
        <v>1</v>
      </c>
      <c r="N32" s="11" t="n">
        <f aca="false">Runs!P1407</f>
        <v>1</v>
      </c>
      <c r="O32" s="11" t="n">
        <f aca="false">Runs!P1418</f>
        <v>1</v>
      </c>
      <c r="P32" s="11" t="n">
        <f aca="false">Runs!P1429</f>
        <v>0</v>
      </c>
      <c r="Q32" s="16" t="n">
        <f aca="false">IF(COUNT(G32:P32)=0,"",AVERAGE(G32:P32))</f>
        <v>0.5</v>
      </c>
      <c r="R32" s="16" t="n">
        <f aca="false">IF(COUNT(G32:P32)&lt;2,"",STDEV(G32:P32))</f>
        <v>0.52704627669473</v>
      </c>
      <c r="S32" s="6" t="n">
        <f aca="false">COUNT(G32:P32)</f>
        <v>10</v>
      </c>
    </row>
    <row r="33" customFormat="false" ht="15" hidden="false" customHeight="false" outlineLevel="0" collapsed="false">
      <c r="A33" s="6" t="s">
        <v>48</v>
      </c>
      <c r="B33" s="6" t="s">
        <v>43</v>
      </c>
      <c r="C33" s="6" t="s">
        <v>49</v>
      </c>
      <c r="D33" s="6" t="s">
        <v>115</v>
      </c>
      <c r="E33" s="6" t="n">
        <v>4</v>
      </c>
      <c r="F33" s="6" t="s">
        <v>77</v>
      </c>
      <c r="G33" s="11" t="n">
        <f aca="false">Runs!P1331</f>
        <v>0.975609756097561</v>
      </c>
      <c r="H33" s="11" t="n">
        <f aca="false">Runs!P1342</f>
        <v>0.0909090909090909</v>
      </c>
      <c r="I33" s="11" t="n">
        <f aca="false">Runs!P1353</f>
        <v>0.975609756097561</v>
      </c>
      <c r="J33" s="11" t="n">
        <f aca="false">Runs!P1364</f>
        <v>0.0909090909090909</v>
      </c>
      <c r="K33" s="11" t="n">
        <f aca="false">Runs!P1375</f>
        <v>0.0909090909090909</v>
      </c>
      <c r="L33" s="11" t="n">
        <f aca="false">Runs!P1386</f>
        <v>0.0909090909090909</v>
      </c>
      <c r="M33" s="11" t="n">
        <f aca="false">Runs!P1397</f>
        <v>0.975609756097561</v>
      </c>
      <c r="N33" s="11" t="n">
        <f aca="false">Runs!P1408</f>
        <v>0.975609756097561</v>
      </c>
      <c r="O33" s="11" t="n">
        <f aca="false">Runs!P1419</f>
        <v>0.975609756097561</v>
      </c>
      <c r="P33" s="11" t="n">
        <f aca="false">Runs!P1430</f>
        <v>0.0909090909090909</v>
      </c>
      <c r="Q33" s="16" t="n">
        <f aca="false">IF(COUNT(G33:P33)=0,"",AVERAGE(G33:P33))</f>
        <v>0.533259423503326</v>
      </c>
      <c r="R33" s="16" t="n">
        <f aca="false">IF(COUNT(G33:P33)&lt;2,"",STDEV(G33:P33))</f>
        <v>0.466278191576934</v>
      </c>
      <c r="S33" s="6" t="n">
        <f aca="false">COUNT(G33:P33)</f>
        <v>10</v>
      </c>
    </row>
    <row r="34" customFormat="false" ht="15" hidden="false" customHeight="false" outlineLevel="0" collapsed="false">
      <c r="A34" s="17" t="s">
        <v>48</v>
      </c>
      <c r="B34" s="17" t="s">
        <v>43</v>
      </c>
      <c r="C34" s="17" t="s">
        <v>49</v>
      </c>
      <c r="D34" s="17" t="s">
        <v>115</v>
      </c>
      <c r="E34" s="17" t="n">
        <v>4</v>
      </c>
      <c r="F34" s="17" t="s">
        <v>78</v>
      </c>
      <c r="G34" s="18" t="n">
        <f aca="false">Runs!P1332</f>
        <v>0.997506234413965</v>
      </c>
      <c r="H34" s="18" t="n">
        <f aca="false">Runs!P1343</f>
        <v>0.0099009900990099</v>
      </c>
      <c r="I34" s="18" t="n">
        <f aca="false">Runs!P1354</f>
        <v>0.997506234413965</v>
      </c>
      <c r="J34" s="18" t="n">
        <f aca="false">Runs!P1365</f>
        <v>0.0099009900990099</v>
      </c>
      <c r="K34" s="18" t="n">
        <f aca="false">Runs!P1376</f>
        <v>0.0099009900990099</v>
      </c>
      <c r="L34" s="18" t="n">
        <f aca="false">Runs!P1387</f>
        <v>0.0099009900990099</v>
      </c>
      <c r="M34" s="18" t="n">
        <f aca="false">Runs!P1398</f>
        <v>0.997506234413965</v>
      </c>
      <c r="N34" s="18" t="n">
        <f aca="false">Runs!P1409</f>
        <v>0.997506234413965</v>
      </c>
      <c r="O34" s="18" t="n">
        <f aca="false">Runs!P1420</f>
        <v>0.997506234413965</v>
      </c>
      <c r="P34" s="18" t="n">
        <f aca="false">Runs!P1431</f>
        <v>0.0099009900990099</v>
      </c>
      <c r="Q34" s="19" t="n">
        <f aca="false">IF(COUNT(G34:P34)=0,"",AVERAGE(G34:P34))</f>
        <v>0.503703612256488</v>
      </c>
      <c r="R34" s="19" t="n">
        <f aca="false">IF(COUNT(G34:P34)&lt;2,"",STDEV(G34:P34))</f>
        <v>0.520513666860386</v>
      </c>
      <c r="S34" s="20" t="n">
        <f aca="false">COUNT(G34:P34)</f>
        <v>10</v>
      </c>
    </row>
    <row r="35" customFormat="false" ht="15" hidden="false" customHeight="false" outlineLevel="0" collapsed="false">
      <c r="A35" s="6" t="s">
        <v>50</v>
      </c>
      <c r="B35" s="6" t="s">
        <v>43</v>
      </c>
      <c r="C35" s="6" t="s">
        <v>51</v>
      </c>
      <c r="D35" s="6" t="s">
        <v>115</v>
      </c>
      <c r="E35" s="6" t="n">
        <v>1</v>
      </c>
      <c r="F35" s="6" t="s">
        <v>68</v>
      </c>
      <c r="G35" s="11" t="n">
        <f aca="false">Runs!P1432</f>
        <v>0</v>
      </c>
      <c r="H35" s="11" t="n">
        <f aca="false">Runs!P1443</f>
        <v>0</v>
      </c>
      <c r="I35" s="11" t="n">
        <f aca="false">Runs!P1454</f>
        <v>0</v>
      </c>
      <c r="J35" s="11" t="n">
        <f aca="false">Runs!P1465</f>
        <v>1</v>
      </c>
      <c r="K35" s="11" t="n">
        <f aca="false">Runs!P1476</f>
        <v>0</v>
      </c>
      <c r="L35" s="11" t="n">
        <f aca="false">Runs!P1487</f>
        <v>0</v>
      </c>
      <c r="M35" s="11" t="n">
        <f aca="false">Runs!P1498</f>
        <v>0</v>
      </c>
      <c r="N35" s="11" t="n">
        <f aca="false">Runs!P1509</f>
        <v>0</v>
      </c>
      <c r="O35" s="11" t="n">
        <f aca="false">Runs!P1520</f>
        <v>1</v>
      </c>
      <c r="P35" s="11" t="n">
        <f aca="false">Runs!P1531</f>
        <v>0</v>
      </c>
      <c r="Q35" s="16" t="n">
        <f aca="false">IF(COUNT(G35:P35)=0,"",AVERAGE(G35:P35))</f>
        <v>0.2</v>
      </c>
      <c r="R35" s="16" t="n">
        <f aca="false">IF(COUNT(G35:P35)&lt;2,"",STDEV(G35:P35))</f>
        <v>0.421637021355784</v>
      </c>
      <c r="S35" s="6" t="n">
        <f aca="false">COUNT(G35:P35)</f>
        <v>10</v>
      </c>
    </row>
    <row r="36" customFormat="false" ht="15" hidden="false" customHeight="false" outlineLevel="0" collapsed="false">
      <c r="A36" s="6" t="s">
        <v>50</v>
      </c>
      <c r="B36" s="6" t="s">
        <v>43</v>
      </c>
      <c r="C36" s="6" t="s">
        <v>51</v>
      </c>
      <c r="D36" s="6" t="s">
        <v>115</v>
      </c>
      <c r="E36" s="6" t="n">
        <v>1</v>
      </c>
      <c r="F36" s="6" t="s">
        <v>69</v>
      </c>
      <c r="G36" s="11" t="n">
        <f aca="false">Runs!P1433</f>
        <v>0</v>
      </c>
      <c r="H36" s="11" t="n">
        <f aca="false">Runs!P1444</f>
        <v>0</v>
      </c>
      <c r="I36" s="11" t="n">
        <f aca="false">Runs!P1455</f>
        <v>0</v>
      </c>
      <c r="J36" s="11" t="n">
        <f aca="false">Runs!P1466</f>
        <v>1</v>
      </c>
      <c r="K36" s="11" t="n">
        <f aca="false">Runs!P1477</f>
        <v>0</v>
      </c>
      <c r="L36" s="11" t="n">
        <f aca="false">Runs!P1488</f>
        <v>0</v>
      </c>
      <c r="M36" s="11" t="n">
        <f aca="false">Runs!P1499</f>
        <v>0</v>
      </c>
      <c r="N36" s="11" t="n">
        <f aca="false">Runs!P1510</f>
        <v>0</v>
      </c>
      <c r="O36" s="11" t="n">
        <f aca="false">Runs!P1521</f>
        <v>1</v>
      </c>
      <c r="P36" s="11" t="n">
        <f aca="false">Runs!P1532</f>
        <v>0</v>
      </c>
      <c r="Q36" s="16" t="n">
        <f aca="false">IF(COUNT(G36:P36)=0,"",AVERAGE(G36:P36))</f>
        <v>0.2</v>
      </c>
      <c r="R36" s="16" t="n">
        <f aca="false">IF(COUNT(G36:P36)&lt;2,"",STDEV(G36:P36))</f>
        <v>0.421637021355784</v>
      </c>
      <c r="S36" s="6" t="n">
        <f aca="false">COUNT(G36:P36)</f>
        <v>10</v>
      </c>
    </row>
    <row r="37" customFormat="false" ht="15" hidden="false" customHeight="false" outlineLevel="0" collapsed="false">
      <c r="A37" s="6" t="s">
        <v>50</v>
      </c>
      <c r="B37" s="6" t="s">
        <v>43</v>
      </c>
      <c r="C37" s="6" t="s">
        <v>51</v>
      </c>
      <c r="D37" s="6" t="s">
        <v>115</v>
      </c>
      <c r="E37" s="6" t="n">
        <v>1</v>
      </c>
      <c r="F37" s="6" t="s">
        <v>70</v>
      </c>
      <c r="G37" s="11" t="n">
        <f aca="false">Runs!P1434</f>
        <v>0</v>
      </c>
      <c r="H37" s="11" t="n">
        <f aca="false">Runs!P1445</f>
        <v>0</v>
      </c>
      <c r="I37" s="11" t="n">
        <f aca="false">Runs!P1456</f>
        <v>0</v>
      </c>
      <c r="J37" s="11" t="n">
        <f aca="false">Runs!P1467</f>
        <v>1</v>
      </c>
      <c r="K37" s="11" t="n">
        <f aca="false">Runs!P1478</f>
        <v>0</v>
      </c>
      <c r="L37" s="11" t="n">
        <f aca="false">Runs!P1489</f>
        <v>0</v>
      </c>
      <c r="M37" s="11" t="n">
        <f aca="false">Runs!P1500</f>
        <v>0</v>
      </c>
      <c r="N37" s="11" t="n">
        <f aca="false">Runs!P1511</f>
        <v>0</v>
      </c>
      <c r="O37" s="11" t="n">
        <f aca="false">Runs!P1522</f>
        <v>1</v>
      </c>
      <c r="P37" s="11" t="n">
        <f aca="false">Runs!P1533</f>
        <v>0</v>
      </c>
      <c r="Q37" s="16" t="n">
        <f aca="false">IF(COUNT(G37:P37)=0,"",AVERAGE(G37:P37))</f>
        <v>0.2</v>
      </c>
      <c r="R37" s="16" t="n">
        <f aca="false">IF(COUNT(G37:P37)&lt;2,"",STDEV(G37:P37))</f>
        <v>0.421637021355784</v>
      </c>
      <c r="S37" s="6" t="n">
        <f aca="false">COUNT(G37:P37)</f>
        <v>10</v>
      </c>
    </row>
    <row r="38" customFormat="false" ht="15" hidden="false" customHeight="false" outlineLevel="0" collapsed="false">
      <c r="A38" s="6" t="s">
        <v>50</v>
      </c>
      <c r="B38" s="6" t="s">
        <v>43</v>
      </c>
      <c r="C38" s="6" t="s">
        <v>51</v>
      </c>
      <c r="D38" s="6" t="s">
        <v>115</v>
      </c>
      <c r="E38" s="6" t="n">
        <v>1</v>
      </c>
      <c r="F38" s="6" t="s">
        <v>71</v>
      </c>
      <c r="G38" s="11" t="n">
        <f aca="false">Runs!P1435</f>
        <v>0</v>
      </c>
      <c r="H38" s="11" t="n">
        <f aca="false">Runs!P1446</f>
        <v>0</v>
      </c>
      <c r="I38" s="11" t="n">
        <f aca="false">Runs!P1457</f>
        <v>0</v>
      </c>
      <c r="J38" s="11" t="n">
        <f aca="false">Runs!P1468</f>
        <v>1</v>
      </c>
      <c r="K38" s="11" t="n">
        <f aca="false">Runs!P1479</f>
        <v>0</v>
      </c>
      <c r="L38" s="11" t="n">
        <f aca="false">Runs!P1490</f>
        <v>0</v>
      </c>
      <c r="M38" s="11" t="n">
        <f aca="false">Runs!P1501</f>
        <v>0</v>
      </c>
      <c r="N38" s="11" t="n">
        <f aca="false">Runs!P1512</f>
        <v>0</v>
      </c>
      <c r="O38" s="11" t="n">
        <f aca="false">Runs!P1523</f>
        <v>1</v>
      </c>
      <c r="P38" s="11" t="n">
        <f aca="false">Runs!P1534</f>
        <v>0</v>
      </c>
      <c r="Q38" s="16" t="n">
        <f aca="false">IF(COUNT(G38:P38)=0,"",AVERAGE(G38:P38))</f>
        <v>0.2</v>
      </c>
      <c r="R38" s="16" t="n">
        <f aca="false">IF(COUNT(G38:P38)&lt;2,"",STDEV(G38:P38))</f>
        <v>0.421637021355784</v>
      </c>
      <c r="S38" s="6" t="n">
        <f aca="false">COUNT(G38:P38)</f>
        <v>10</v>
      </c>
    </row>
    <row r="39" customFormat="false" ht="15" hidden="false" customHeight="false" outlineLevel="0" collapsed="false">
      <c r="A39" s="6" t="s">
        <v>50</v>
      </c>
      <c r="B39" s="6" t="s">
        <v>43</v>
      </c>
      <c r="C39" s="6" t="s">
        <v>51</v>
      </c>
      <c r="D39" s="6" t="s">
        <v>115</v>
      </c>
      <c r="E39" s="6" t="n">
        <v>1</v>
      </c>
      <c r="F39" s="6" t="s">
        <v>72</v>
      </c>
      <c r="G39" s="11" t="n">
        <f aca="false">Runs!P1436</f>
        <v>0</v>
      </c>
      <c r="H39" s="11" t="n">
        <f aca="false">Runs!P1447</f>
        <v>0</v>
      </c>
      <c r="I39" s="11" t="n">
        <f aca="false">Runs!P1458</f>
        <v>0</v>
      </c>
      <c r="J39" s="11" t="n">
        <f aca="false">Runs!P1469</f>
        <v>1</v>
      </c>
      <c r="K39" s="11" t="n">
        <f aca="false">Runs!P1480</f>
        <v>0</v>
      </c>
      <c r="L39" s="11" t="n">
        <f aca="false">Runs!P1491</f>
        <v>0</v>
      </c>
      <c r="M39" s="11" t="n">
        <f aca="false">Runs!P1502</f>
        <v>0</v>
      </c>
      <c r="N39" s="11" t="n">
        <f aca="false">Runs!P1513</f>
        <v>0</v>
      </c>
      <c r="O39" s="11" t="n">
        <f aca="false">Runs!P1524</f>
        <v>0.947368421052632</v>
      </c>
      <c r="P39" s="11" t="n">
        <f aca="false">Runs!P1535</f>
        <v>0</v>
      </c>
      <c r="Q39" s="16" t="n">
        <f aca="false">IF(COUNT(G39:P39)=0,"",AVERAGE(G39:P39))</f>
        <v>0.194736842105263</v>
      </c>
      <c r="R39" s="16" t="n">
        <f aca="false">IF(COUNT(G39:P39)&lt;2,"",STDEV(G39:P39))</f>
        <v>0.410728695055298</v>
      </c>
      <c r="S39" s="6" t="n">
        <f aca="false">COUNT(G39:P39)</f>
        <v>10</v>
      </c>
    </row>
    <row r="40" customFormat="false" ht="15" hidden="false" customHeight="false" outlineLevel="0" collapsed="false">
      <c r="A40" s="6" t="s">
        <v>50</v>
      </c>
      <c r="B40" s="6" t="s">
        <v>43</v>
      </c>
      <c r="C40" s="6" t="s">
        <v>51</v>
      </c>
      <c r="D40" s="6" t="s">
        <v>115</v>
      </c>
      <c r="E40" s="6" t="n">
        <v>1</v>
      </c>
      <c r="F40" s="6" t="s">
        <v>73</v>
      </c>
      <c r="G40" s="11" t="n">
        <f aca="false">Runs!P1437</f>
        <v>0</v>
      </c>
      <c r="H40" s="11" t="n">
        <f aca="false">Runs!P1448</f>
        <v>0</v>
      </c>
      <c r="I40" s="11" t="n">
        <f aca="false">Runs!P1459</f>
        <v>0</v>
      </c>
      <c r="J40" s="11" t="n">
        <f aca="false">Runs!P1470</f>
        <v>1</v>
      </c>
      <c r="K40" s="11" t="n">
        <f aca="false">Runs!P1481</f>
        <v>0</v>
      </c>
      <c r="L40" s="11" t="n">
        <f aca="false">Runs!P1492</f>
        <v>0</v>
      </c>
      <c r="M40" s="11" t="n">
        <f aca="false">Runs!P1503</f>
        <v>0</v>
      </c>
      <c r="N40" s="11" t="n">
        <f aca="false">Runs!P1514</f>
        <v>0</v>
      </c>
      <c r="O40" s="11" t="n">
        <f aca="false">Runs!P1525</f>
        <v>0.974358974358974</v>
      </c>
      <c r="P40" s="11" t="n">
        <f aca="false">Runs!P1536</f>
        <v>0</v>
      </c>
      <c r="Q40" s="16" t="n">
        <f aca="false">IF(COUNT(G40:P40)=0,"",AVERAGE(G40:P40))</f>
        <v>0.197435897435897</v>
      </c>
      <c r="R40" s="16" t="n">
        <f aca="false">IF(COUNT(G40:P40)&lt;2,"",STDEV(G40:P40))</f>
        <v>0.416275292851937</v>
      </c>
      <c r="S40" s="6" t="n">
        <f aca="false">COUNT(G40:P40)</f>
        <v>10</v>
      </c>
    </row>
    <row r="41" customFormat="false" ht="15" hidden="false" customHeight="false" outlineLevel="0" collapsed="false">
      <c r="A41" s="6" t="s">
        <v>50</v>
      </c>
      <c r="B41" s="6" t="s">
        <v>43</v>
      </c>
      <c r="C41" s="6" t="s">
        <v>51</v>
      </c>
      <c r="D41" s="6" t="s">
        <v>115</v>
      </c>
      <c r="E41" s="6" t="n">
        <v>1</v>
      </c>
      <c r="F41" s="6" t="s">
        <v>74</v>
      </c>
      <c r="G41" s="11" t="n">
        <f aca="false">Runs!P1438</f>
        <v>0</v>
      </c>
      <c r="H41" s="11" t="n">
        <f aca="false">Runs!P1449</f>
        <v>0</v>
      </c>
      <c r="I41" s="11" t="n">
        <f aca="false">Runs!P1460</f>
        <v>0</v>
      </c>
      <c r="J41" s="11" t="n">
        <f aca="false">Runs!P1471</f>
        <v>1</v>
      </c>
      <c r="K41" s="11" t="n">
        <f aca="false">Runs!P1482</f>
        <v>0</v>
      </c>
      <c r="L41" s="11" t="n">
        <f aca="false">Runs!P1493</f>
        <v>0</v>
      </c>
      <c r="M41" s="11" t="n">
        <f aca="false">Runs!P1504</f>
        <v>0</v>
      </c>
      <c r="N41" s="11" t="n">
        <f aca="false">Runs!P1515</f>
        <v>0</v>
      </c>
      <c r="O41" s="11" t="n">
        <f aca="false">Runs!P1526</f>
        <v>0.947368421052632</v>
      </c>
      <c r="P41" s="11" t="n">
        <f aca="false">Runs!P1537</f>
        <v>0</v>
      </c>
      <c r="Q41" s="16" t="n">
        <f aca="false">IF(COUNT(G41:P41)=0,"",AVERAGE(G41:P41))</f>
        <v>0.194736842105263</v>
      </c>
      <c r="R41" s="16" t="n">
        <f aca="false">IF(COUNT(G41:P41)&lt;2,"",STDEV(G41:P41))</f>
        <v>0.410728695055298</v>
      </c>
      <c r="S41" s="6" t="n">
        <f aca="false">COUNT(G41:P41)</f>
        <v>10</v>
      </c>
    </row>
    <row r="42" customFormat="false" ht="15" hidden="false" customHeight="false" outlineLevel="0" collapsed="false">
      <c r="A42" s="6" t="s">
        <v>50</v>
      </c>
      <c r="B42" s="6" t="s">
        <v>43</v>
      </c>
      <c r="C42" s="6" t="s">
        <v>51</v>
      </c>
      <c r="D42" s="6" t="s">
        <v>115</v>
      </c>
      <c r="E42" s="6" t="n">
        <v>1</v>
      </c>
      <c r="F42" s="6" t="s">
        <v>75</v>
      </c>
      <c r="G42" s="11" t="n">
        <f aca="false">Runs!P1439</f>
        <v>0</v>
      </c>
      <c r="H42" s="11" t="n">
        <f aca="false">Runs!P1450</f>
        <v>0</v>
      </c>
      <c r="I42" s="11" t="n">
        <f aca="false">Runs!P1461</f>
        <v>0</v>
      </c>
      <c r="J42" s="11" t="n">
        <f aca="false">Runs!P1472</f>
        <v>1</v>
      </c>
      <c r="K42" s="11" t="n">
        <f aca="false">Runs!P1483</f>
        <v>0</v>
      </c>
      <c r="L42" s="11" t="n">
        <f aca="false">Runs!P1494</f>
        <v>0</v>
      </c>
      <c r="M42" s="11" t="n">
        <f aca="false">Runs!P1505</f>
        <v>0</v>
      </c>
      <c r="N42" s="11" t="n">
        <f aca="false">Runs!P1516</f>
        <v>0</v>
      </c>
      <c r="O42" s="11" t="n">
        <f aca="false">Runs!P1527</f>
        <v>1</v>
      </c>
      <c r="P42" s="11" t="n">
        <f aca="false">Runs!P1538</f>
        <v>0</v>
      </c>
      <c r="Q42" s="16" t="n">
        <f aca="false">IF(COUNT(G42:P42)=0,"",AVERAGE(G42:P42))</f>
        <v>0.2</v>
      </c>
      <c r="R42" s="16" t="n">
        <f aca="false">IF(COUNT(G42:P42)&lt;2,"",STDEV(G42:P42))</f>
        <v>0.421637021355784</v>
      </c>
      <c r="S42" s="6" t="n">
        <f aca="false">COUNT(G42:P42)</f>
        <v>10</v>
      </c>
    </row>
    <row r="43" customFormat="false" ht="15" hidden="false" customHeight="false" outlineLevel="0" collapsed="false">
      <c r="A43" s="6" t="s">
        <v>50</v>
      </c>
      <c r="B43" s="6" t="s">
        <v>43</v>
      </c>
      <c r="C43" s="6" t="s">
        <v>51</v>
      </c>
      <c r="D43" s="6" t="s">
        <v>115</v>
      </c>
      <c r="E43" s="6" t="n">
        <v>1</v>
      </c>
      <c r="F43" s="6" t="s">
        <v>76</v>
      </c>
      <c r="G43" s="11" t="n">
        <f aca="false">Runs!P1440</f>
        <v>0</v>
      </c>
      <c r="H43" s="11" t="n">
        <f aca="false">Runs!P1451</f>
        <v>0</v>
      </c>
      <c r="I43" s="11" t="n">
        <f aca="false">Runs!P1462</f>
        <v>0</v>
      </c>
      <c r="J43" s="11" t="n">
        <f aca="false">Runs!P1473</f>
        <v>1</v>
      </c>
      <c r="K43" s="11" t="n">
        <f aca="false">Runs!P1484</f>
        <v>0</v>
      </c>
      <c r="L43" s="11" t="n">
        <f aca="false">Runs!P1495</f>
        <v>0</v>
      </c>
      <c r="M43" s="11" t="n">
        <f aca="false">Runs!P1506</f>
        <v>0</v>
      </c>
      <c r="N43" s="11" t="n">
        <f aca="false">Runs!P1517</f>
        <v>0</v>
      </c>
      <c r="O43" s="11" t="n">
        <f aca="false">Runs!P1528</f>
        <v>0.947368421052632</v>
      </c>
      <c r="P43" s="11" t="n">
        <f aca="false">Runs!P1539</f>
        <v>0</v>
      </c>
      <c r="Q43" s="16" t="n">
        <f aca="false">IF(COUNT(G43:P43)=0,"",AVERAGE(G43:P43))</f>
        <v>0.194736842105263</v>
      </c>
      <c r="R43" s="16" t="n">
        <f aca="false">IF(COUNT(G43:P43)&lt;2,"",STDEV(G43:P43))</f>
        <v>0.410728695055298</v>
      </c>
      <c r="S43" s="6" t="n">
        <f aca="false">COUNT(G43:P43)</f>
        <v>10</v>
      </c>
    </row>
    <row r="44" customFormat="false" ht="15" hidden="false" customHeight="false" outlineLevel="0" collapsed="false">
      <c r="A44" s="6" t="s">
        <v>50</v>
      </c>
      <c r="B44" s="6" t="s">
        <v>43</v>
      </c>
      <c r="C44" s="6" t="s">
        <v>51</v>
      </c>
      <c r="D44" s="6" t="s">
        <v>115</v>
      </c>
      <c r="E44" s="6" t="n">
        <v>1</v>
      </c>
      <c r="F44" s="6" t="s">
        <v>77</v>
      </c>
      <c r="G44" s="11" t="n">
        <f aca="false">Runs!P1441</f>
        <v>0.0909090909090909</v>
      </c>
      <c r="H44" s="11" t="n">
        <f aca="false">Runs!P1452</f>
        <v>0.0909090909090909</v>
      </c>
      <c r="I44" s="11" t="n">
        <f aca="false">Runs!P1463</f>
        <v>0.0909090909090909</v>
      </c>
      <c r="J44" s="11" t="n">
        <f aca="false">Runs!P1474</f>
        <v>0.975609756097561</v>
      </c>
      <c r="K44" s="11" t="n">
        <f aca="false">Runs!P1485</f>
        <v>0.0909090909090909</v>
      </c>
      <c r="L44" s="11" t="n">
        <f aca="false">Runs!P1496</f>
        <v>0.0909090909090909</v>
      </c>
      <c r="M44" s="11" t="n">
        <f aca="false">Runs!P1507</f>
        <v>0.0909090909090909</v>
      </c>
      <c r="N44" s="11" t="n">
        <f aca="false">Runs!P1518</f>
        <v>0.0909090909090909</v>
      </c>
      <c r="O44" s="11" t="n">
        <f aca="false">Runs!P1529</f>
        <v>0.95</v>
      </c>
      <c r="P44" s="11" t="n">
        <f aca="false">Runs!P1540</f>
        <v>0.0909090909090909</v>
      </c>
      <c r="Q44" s="16" t="n">
        <f aca="false">IF(COUNT(G44:P44)=0,"",AVERAGE(G44:P44))</f>
        <v>0.265288248337029</v>
      </c>
      <c r="R44" s="16" t="n">
        <f aca="false">IF(COUNT(G44:P44)&lt;2,"",STDEV(G44:P44))</f>
        <v>0.367673096289322</v>
      </c>
      <c r="S44" s="6" t="n">
        <f aca="false">COUNT(G44:P44)</f>
        <v>10</v>
      </c>
    </row>
    <row r="45" customFormat="false" ht="15" hidden="false" customHeight="false" outlineLevel="0" collapsed="false">
      <c r="A45" s="17" t="s">
        <v>50</v>
      </c>
      <c r="B45" s="17" t="s">
        <v>43</v>
      </c>
      <c r="C45" s="17" t="s">
        <v>51</v>
      </c>
      <c r="D45" s="17" t="s">
        <v>115</v>
      </c>
      <c r="E45" s="17" t="n">
        <v>1</v>
      </c>
      <c r="F45" s="17" t="s">
        <v>78</v>
      </c>
      <c r="G45" s="18" t="n">
        <f aca="false">Runs!P1442</f>
        <v>0.0099009900990099</v>
      </c>
      <c r="H45" s="18" t="n">
        <f aca="false">Runs!P1453</f>
        <v>0.0099009900990099</v>
      </c>
      <c r="I45" s="18" t="n">
        <f aca="false">Runs!P1464</f>
        <v>0.0099009900990099</v>
      </c>
      <c r="J45" s="18" t="n">
        <f aca="false">Runs!P1475</f>
        <v>0.997506234413965</v>
      </c>
      <c r="K45" s="18" t="n">
        <f aca="false">Runs!P1486</f>
        <v>0.0099009900990099</v>
      </c>
      <c r="L45" s="18" t="n">
        <f aca="false">Runs!P1497</f>
        <v>0.0099009900990099</v>
      </c>
      <c r="M45" s="18" t="n">
        <f aca="false">Runs!P1508</f>
        <v>0.0099009900990099</v>
      </c>
      <c r="N45" s="18" t="n">
        <f aca="false">Runs!P1519</f>
        <v>0.0099009900990099</v>
      </c>
      <c r="O45" s="18" t="n">
        <f aca="false">Runs!P1530</f>
        <v>0.977099236641221</v>
      </c>
      <c r="P45" s="18" t="n">
        <f aca="false">Runs!P1541</f>
        <v>0.0099009900990099</v>
      </c>
      <c r="Q45" s="19" t="n">
        <f aca="false">IF(COUNT(G45:P45)=0,"",AVERAGE(G45:P45))</f>
        <v>0.205381339184727</v>
      </c>
      <c r="R45" s="19" t="n">
        <f aca="false">IF(COUNT(G45:P45)&lt;2,"",STDEV(G45:P45))</f>
        <v>0.412136829749807</v>
      </c>
      <c r="S45" s="20" t="n">
        <f aca="false">COUNT(G45:P45)</f>
        <v>10</v>
      </c>
    </row>
    <row r="46" customFormat="false" ht="15" hidden="false" customHeight="false" outlineLevel="0" collapsed="false">
      <c r="A46" s="6" t="s">
        <v>52</v>
      </c>
      <c r="B46" s="6" t="s">
        <v>43</v>
      </c>
      <c r="C46" s="6" t="s">
        <v>51</v>
      </c>
      <c r="D46" s="6" t="s">
        <v>116</v>
      </c>
      <c r="E46" s="6" t="n">
        <v>16</v>
      </c>
      <c r="F46" s="6" t="s">
        <v>68</v>
      </c>
      <c r="G46" s="11" t="n">
        <f aca="false">Runs!P1542</f>
        <v>0</v>
      </c>
      <c r="H46" s="11" t="n">
        <f aca="false">Runs!P1553</f>
        <v>0</v>
      </c>
      <c r="I46" s="11" t="n">
        <f aca="false">Runs!P1564</f>
        <v>0</v>
      </c>
      <c r="J46" s="11" t="n">
        <f aca="false">Runs!P1575</f>
        <v>0</v>
      </c>
      <c r="K46" s="11" t="n">
        <f aca="false">Runs!P1586</f>
        <v>0</v>
      </c>
      <c r="L46" s="11" t="n">
        <f aca="false">Runs!P1597</f>
        <v>0</v>
      </c>
      <c r="M46" s="11" t="n">
        <f aca="false">Runs!P1608</f>
        <v>0</v>
      </c>
      <c r="N46" s="11" t="n">
        <f aca="false">Runs!P1619</f>
        <v>0</v>
      </c>
      <c r="O46" s="11" t="n">
        <f aca="false">Runs!P1630</f>
        <v>0</v>
      </c>
      <c r="P46" s="11" t="n">
        <f aca="false">Runs!P1641</f>
        <v>0</v>
      </c>
      <c r="Q46" s="16" t="n">
        <f aca="false">IF(COUNT(G46:P46)=0,"",AVERAGE(G46:P46))</f>
        <v>0</v>
      </c>
      <c r="R46" s="16" t="n">
        <f aca="false">IF(COUNT(G46:P46)&lt;2,"",STDEV(G46:P46))</f>
        <v>0</v>
      </c>
      <c r="S46" s="6" t="n">
        <f aca="false">COUNT(G46:P46)</f>
        <v>10</v>
      </c>
    </row>
    <row r="47" customFormat="false" ht="15" hidden="false" customHeight="false" outlineLevel="0" collapsed="false">
      <c r="A47" s="6" t="s">
        <v>52</v>
      </c>
      <c r="B47" s="6" t="s">
        <v>43</v>
      </c>
      <c r="C47" s="6" t="s">
        <v>51</v>
      </c>
      <c r="D47" s="6" t="s">
        <v>116</v>
      </c>
      <c r="E47" s="6" t="n">
        <v>16</v>
      </c>
      <c r="F47" s="6" t="s">
        <v>69</v>
      </c>
      <c r="G47" s="11" t="n">
        <f aca="false">Runs!P1543</f>
        <v>0</v>
      </c>
      <c r="H47" s="11" t="n">
        <f aca="false">Runs!P1554</f>
        <v>0</v>
      </c>
      <c r="I47" s="11" t="n">
        <f aca="false">Runs!P1565</f>
        <v>0</v>
      </c>
      <c r="J47" s="11" t="n">
        <f aca="false">Runs!P1576</f>
        <v>0</v>
      </c>
      <c r="K47" s="11" t="n">
        <f aca="false">Runs!P1587</f>
        <v>0.666666666666667</v>
      </c>
      <c r="L47" s="11" t="n">
        <f aca="false">Runs!P1598</f>
        <v>0</v>
      </c>
      <c r="M47" s="11" t="n">
        <f aca="false">Runs!P1609</f>
        <v>0</v>
      </c>
      <c r="N47" s="11" t="n">
        <f aca="false">Runs!P1620</f>
        <v>0</v>
      </c>
      <c r="O47" s="11" t="n">
        <f aca="false">Runs!P1631</f>
        <v>0</v>
      </c>
      <c r="P47" s="11" t="n">
        <f aca="false">Runs!P1642</f>
        <v>0</v>
      </c>
      <c r="Q47" s="16" t="n">
        <f aca="false">IF(COUNT(G47:P47)=0,"",AVERAGE(G47:P47))</f>
        <v>0.0666666666666667</v>
      </c>
      <c r="R47" s="16" t="n">
        <f aca="false">IF(COUNT(G47:P47)&lt;2,"",STDEV(G47:P47))</f>
        <v>0.210818510677892</v>
      </c>
      <c r="S47" s="6" t="n">
        <f aca="false">COUNT(G47:P47)</f>
        <v>10</v>
      </c>
    </row>
    <row r="48" customFormat="false" ht="15" hidden="false" customHeight="false" outlineLevel="0" collapsed="false">
      <c r="A48" s="6" t="s">
        <v>52</v>
      </c>
      <c r="B48" s="6" t="s">
        <v>43</v>
      </c>
      <c r="C48" s="6" t="s">
        <v>51</v>
      </c>
      <c r="D48" s="6" t="s">
        <v>116</v>
      </c>
      <c r="E48" s="6" t="n">
        <v>16</v>
      </c>
      <c r="F48" s="6" t="s">
        <v>70</v>
      </c>
      <c r="G48" s="11" t="n">
        <f aca="false">Runs!P1544</f>
        <v>0</v>
      </c>
      <c r="H48" s="11" t="n">
        <f aca="false">Runs!P1555</f>
        <v>0</v>
      </c>
      <c r="I48" s="11" t="n">
        <f aca="false">Runs!P1566</f>
        <v>0</v>
      </c>
      <c r="J48" s="11" t="n">
        <f aca="false">Runs!P1577</f>
        <v>0</v>
      </c>
      <c r="K48" s="11" t="n">
        <f aca="false">Runs!P1588</f>
        <v>0</v>
      </c>
      <c r="L48" s="11" t="n">
        <f aca="false">Runs!P1599</f>
        <v>0</v>
      </c>
      <c r="M48" s="11" t="n">
        <f aca="false">Runs!P1610</f>
        <v>0</v>
      </c>
      <c r="N48" s="11" t="n">
        <f aca="false">Runs!P1621</f>
        <v>0.0952380952380952</v>
      </c>
      <c r="O48" s="11" t="n">
        <f aca="false">Runs!P1632</f>
        <v>0</v>
      </c>
      <c r="P48" s="11" t="n">
        <f aca="false">Runs!P1643</f>
        <v>0</v>
      </c>
      <c r="Q48" s="16" t="n">
        <f aca="false">IF(COUNT(G48:P48)=0,"",AVERAGE(G48:P48))</f>
        <v>0.00952380952380952</v>
      </c>
      <c r="R48" s="16" t="n">
        <f aca="false">IF(COUNT(G48:P48)&lt;2,"",STDEV(G48:P48))</f>
        <v>0.0301169300968417</v>
      </c>
      <c r="S48" s="6" t="n">
        <f aca="false">COUNT(G48:P48)</f>
        <v>10</v>
      </c>
    </row>
    <row r="49" customFormat="false" ht="15" hidden="false" customHeight="false" outlineLevel="0" collapsed="false">
      <c r="A49" s="6" t="s">
        <v>52</v>
      </c>
      <c r="B49" s="6" t="s">
        <v>43</v>
      </c>
      <c r="C49" s="6" t="s">
        <v>51</v>
      </c>
      <c r="D49" s="6" t="s">
        <v>116</v>
      </c>
      <c r="E49" s="6" t="n">
        <v>16</v>
      </c>
      <c r="F49" s="6" t="s">
        <v>71</v>
      </c>
      <c r="G49" s="11" t="n">
        <f aca="false">Runs!P1545</f>
        <v>0</v>
      </c>
      <c r="H49" s="11" t="n">
        <f aca="false">Runs!P1556</f>
        <v>0</v>
      </c>
      <c r="I49" s="11" t="n">
        <f aca="false">Runs!P1567</f>
        <v>0</v>
      </c>
      <c r="J49" s="11" t="n">
        <f aca="false">Runs!P1578</f>
        <v>0</v>
      </c>
      <c r="K49" s="11" t="n">
        <f aca="false">Runs!P1589</f>
        <v>0</v>
      </c>
      <c r="L49" s="11" t="n">
        <f aca="false">Runs!P1600</f>
        <v>0</v>
      </c>
      <c r="M49" s="11" t="n">
        <f aca="false">Runs!P1611</f>
        <v>0.461538461538462</v>
      </c>
      <c r="N49" s="11" t="n">
        <f aca="false">Runs!P1622</f>
        <v>0</v>
      </c>
      <c r="O49" s="11" t="n">
        <f aca="false">Runs!P1633</f>
        <v>0</v>
      </c>
      <c r="P49" s="11" t="n">
        <f aca="false">Runs!P1644</f>
        <v>0</v>
      </c>
      <c r="Q49" s="16" t="n">
        <f aca="false">IF(COUNT(G49:P49)=0,"",AVERAGE(G49:P49))</f>
        <v>0.0461538461538462</v>
      </c>
      <c r="R49" s="16" t="n">
        <f aca="false">IF(COUNT(G49:P49)&lt;2,"",STDEV(G49:P49))</f>
        <v>0.145951276623156</v>
      </c>
      <c r="S49" s="6" t="n">
        <f aca="false">COUNT(G49:P49)</f>
        <v>10</v>
      </c>
    </row>
    <row r="50" customFormat="false" ht="15" hidden="false" customHeight="false" outlineLevel="0" collapsed="false">
      <c r="A50" s="6" t="s">
        <v>52</v>
      </c>
      <c r="B50" s="6" t="s">
        <v>43</v>
      </c>
      <c r="C50" s="6" t="s">
        <v>51</v>
      </c>
      <c r="D50" s="6" t="s">
        <v>116</v>
      </c>
      <c r="E50" s="6" t="n">
        <v>16</v>
      </c>
      <c r="F50" s="6" t="s">
        <v>72</v>
      </c>
      <c r="G50" s="11" t="n">
        <f aca="false">Runs!P1546</f>
        <v>0</v>
      </c>
      <c r="H50" s="11" t="n">
        <f aca="false">Runs!P1557</f>
        <v>0</v>
      </c>
      <c r="I50" s="11" t="n">
        <f aca="false">Runs!P1568</f>
        <v>0</v>
      </c>
      <c r="J50" s="11" t="n">
        <f aca="false">Runs!P1579</f>
        <v>0</v>
      </c>
      <c r="K50" s="11" t="n">
        <f aca="false">Runs!P1590</f>
        <v>0</v>
      </c>
      <c r="L50" s="11" t="n">
        <f aca="false">Runs!P1601</f>
        <v>0</v>
      </c>
      <c r="M50" s="11" t="n">
        <f aca="false">Runs!P1612</f>
        <v>0</v>
      </c>
      <c r="N50" s="11" t="n">
        <f aca="false">Runs!P1623</f>
        <v>0</v>
      </c>
      <c r="O50" s="11" t="n">
        <f aca="false">Runs!P1634</f>
        <v>0.0952380952380952</v>
      </c>
      <c r="P50" s="11" t="n">
        <f aca="false">Runs!P1645</f>
        <v>0</v>
      </c>
      <c r="Q50" s="16" t="n">
        <f aca="false">IF(COUNT(G50:P50)=0,"",AVERAGE(G50:P50))</f>
        <v>0.00952380952380952</v>
      </c>
      <c r="R50" s="16" t="n">
        <f aca="false">IF(COUNT(G50:P50)&lt;2,"",STDEV(G50:P50))</f>
        <v>0.0301169300968417</v>
      </c>
      <c r="S50" s="6" t="n">
        <f aca="false">COUNT(G50:P50)</f>
        <v>10</v>
      </c>
    </row>
    <row r="51" customFormat="false" ht="15" hidden="false" customHeight="false" outlineLevel="0" collapsed="false">
      <c r="A51" s="6" t="s">
        <v>52</v>
      </c>
      <c r="B51" s="6" t="s">
        <v>43</v>
      </c>
      <c r="C51" s="6" t="s">
        <v>51</v>
      </c>
      <c r="D51" s="6" t="s">
        <v>116</v>
      </c>
      <c r="E51" s="6" t="n">
        <v>16</v>
      </c>
      <c r="F51" s="6" t="s">
        <v>73</v>
      </c>
      <c r="G51" s="11" t="n">
        <f aca="false">Runs!P1547</f>
        <v>0</v>
      </c>
      <c r="H51" s="11" t="n">
        <f aca="false">Runs!P1558</f>
        <v>0</v>
      </c>
      <c r="I51" s="11" t="n">
        <f aca="false">Runs!P1569</f>
        <v>0</v>
      </c>
      <c r="J51" s="11" t="n">
        <f aca="false">Runs!P1580</f>
        <v>0</v>
      </c>
      <c r="K51" s="11" t="n">
        <f aca="false">Runs!P1591</f>
        <v>0</v>
      </c>
      <c r="L51" s="11" t="n">
        <f aca="false">Runs!P1602</f>
        <v>0</v>
      </c>
      <c r="M51" s="11" t="n">
        <f aca="false">Runs!P1613</f>
        <v>0.260869565217391</v>
      </c>
      <c r="N51" s="11" t="n">
        <f aca="false">Runs!P1624</f>
        <v>0</v>
      </c>
      <c r="O51" s="11" t="n">
        <f aca="false">Runs!P1635</f>
        <v>0</v>
      </c>
      <c r="P51" s="11" t="n">
        <f aca="false">Runs!P1646</f>
        <v>0</v>
      </c>
      <c r="Q51" s="16" t="n">
        <f aca="false">IF(COUNT(G51:P51)=0,"",AVERAGE(G51:P51))</f>
        <v>0.0260869565217391</v>
      </c>
      <c r="R51" s="16" t="n">
        <f aca="false">IF(COUNT(G51:P51)&lt;2,"",STDEV(G51:P51))</f>
        <v>0.0824941998304795</v>
      </c>
      <c r="S51" s="6" t="n">
        <f aca="false">COUNT(G51:P51)</f>
        <v>10</v>
      </c>
    </row>
    <row r="52" customFormat="false" ht="15" hidden="false" customHeight="false" outlineLevel="0" collapsed="false">
      <c r="A52" s="6" t="s">
        <v>52</v>
      </c>
      <c r="B52" s="6" t="s">
        <v>43</v>
      </c>
      <c r="C52" s="6" t="s">
        <v>51</v>
      </c>
      <c r="D52" s="6" t="s">
        <v>116</v>
      </c>
      <c r="E52" s="6" t="n">
        <v>16</v>
      </c>
      <c r="F52" s="6" t="s">
        <v>74</v>
      </c>
      <c r="G52" s="11" t="n">
        <f aca="false">Runs!P1548</f>
        <v>0</v>
      </c>
      <c r="H52" s="11" t="n">
        <f aca="false">Runs!P1559</f>
        <v>0</v>
      </c>
      <c r="I52" s="11" t="n">
        <f aca="false">Runs!P1570</f>
        <v>0</v>
      </c>
      <c r="J52" s="11" t="n">
        <f aca="false">Runs!P1581</f>
        <v>0</v>
      </c>
      <c r="K52" s="11" t="n">
        <f aca="false">Runs!P1592</f>
        <v>0</v>
      </c>
      <c r="L52" s="11" t="n">
        <f aca="false">Runs!P1603</f>
        <v>0</v>
      </c>
      <c r="M52" s="11" t="n">
        <f aca="false">Runs!P1614</f>
        <v>0.0952380952380952</v>
      </c>
      <c r="N52" s="11" t="n">
        <f aca="false">Runs!P1625</f>
        <v>0.0952380952380952</v>
      </c>
      <c r="O52" s="11" t="n">
        <f aca="false">Runs!P1636</f>
        <v>0</v>
      </c>
      <c r="P52" s="11" t="n">
        <f aca="false">Runs!P1647</f>
        <v>0</v>
      </c>
      <c r="Q52" s="16" t="n">
        <f aca="false">IF(COUNT(G52:P52)=0,"",AVERAGE(G52:P52))</f>
        <v>0.019047619047619</v>
      </c>
      <c r="R52" s="16" t="n">
        <f aca="false">IF(COUNT(G52:P52)&lt;2,"",STDEV(G52:P52))</f>
        <v>0.040155906795789</v>
      </c>
      <c r="S52" s="6" t="n">
        <f aca="false">COUNT(G52:P52)</f>
        <v>10</v>
      </c>
    </row>
    <row r="53" customFormat="false" ht="15" hidden="false" customHeight="false" outlineLevel="0" collapsed="false">
      <c r="A53" s="6" t="s">
        <v>52</v>
      </c>
      <c r="B53" s="6" t="s">
        <v>43</v>
      </c>
      <c r="C53" s="6" t="s">
        <v>51</v>
      </c>
      <c r="D53" s="6" t="s">
        <v>116</v>
      </c>
      <c r="E53" s="6" t="n">
        <v>16</v>
      </c>
      <c r="F53" s="6" t="s">
        <v>75</v>
      </c>
      <c r="G53" s="11" t="n">
        <f aca="false">Runs!P1549</f>
        <v>0</v>
      </c>
      <c r="H53" s="11" t="n">
        <f aca="false">Runs!P1560</f>
        <v>0</v>
      </c>
      <c r="I53" s="11" t="n">
        <f aca="false">Runs!P1571</f>
        <v>0</v>
      </c>
      <c r="J53" s="11" t="n">
        <f aca="false">Runs!P1582</f>
        <v>0</v>
      </c>
      <c r="K53" s="11" t="n">
        <f aca="false">Runs!P1593</f>
        <v>0</v>
      </c>
      <c r="L53" s="11" t="n">
        <f aca="false">Runs!P1604</f>
        <v>0</v>
      </c>
      <c r="M53" s="11" t="n">
        <f aca="false">Runs!P1615</f>
        <v>0</v>
      </c>
      <c r="N53" s="11" t="n">
        <f aca="false">Runs!P1626</f>
        <v>0</v>
      </c>
      <c r="O53" s="11" t="n">
        <f aca="false">Runs!P1637</f>
        <v>0</v>
      </c>
      <c r="P53" s="11" t="n">
        <f aca="false">Runs!P1648</f>
        <v>0</v>
      </c>
      <c r="Q53" s="16" t="n">
        <f aca="false">IF(COUNT(G53:P53)=0,"",AVERAGE(G53:P53))</f>
        <v>0</v>
      </c>
      <c r="R53" s="16" t="n">
        <f aca="false">IF(COUNT(G53:P53)&lt;2,"",STDEV(G53:P53))</f>
        <v>0</v>
      </c>
      <c r="S53" s="6" t="n">
        <f aca="false">COUNT(G53:P53)</f>
        <v>10</v>
      </c>
    </row>
    <row r="54" customFormat="false" ht="15" hidden="false" customHeight="false" outlineLevel="0" collapsed="false">
      <c r="A54" s="6" t="s">
        <v>52</v>
      </c>
      <c r="B54" s="6" t="s">
        <v>43</v>
      </c>
      <c r="C54" s="6" t="s">
        <v>51</v>
      </c>
      <c r="D54" s="6" t="s">
        <v>116</v>
      </c>
      <c r="E54" s="6" t="n">
        <v>16</v>
      </c>
      <c r="F54" s="6" t="s">
        <v>76</v>
      </c>
      <c r="G54" s="11" t="n">
        <f aca="false">Runs!P1550</f>
        <v>0</v>
      </c>
      <c r="H54" s="11" t="n">
        <f aca="false">Runs!P1561</f>
        <v>0</v>
      </c>
      <c r="I54" s="11" t="n">
        <f aca="false">Runs!P1572</f>
        <v>0</v>
      </c>
      <c r="J54" s="11" t="n">
        <f aca="false">Runs!P1583</f>
        <v>0</v>
      </c>
      <c r="K54" s="11" t="n">
        <f aca="false">Runs!P1594</f>
        <v>0.0952380952380952</v>
      </c>
      <c r="L54" s="11" t="n">
        <f aca="false">Runs!P1605</f>
        <v>0</v>
      </c>
      <c r="M54" s="11" t="n">
        <f aca="false">Runs!P1616</f>
        <v>0</v>
      </c>
      <c r="N54" s="11" t="n">
        <f aca="false">Runs!P1627</f>
        <v>0</v>
      </c>
      <c r="O54" s="11" t="n">
        <f aca="false">Runs!P1638</f>
        <v>0</v>
      </c>
      <c r="P54" s="11" t="n">
        <f aca="false">Runs!P1649</f>
        <v>0</v>
      </c>
      <c r="Q54" s="16" t="n">
        <f aca="false">IF(COUNT(G54:P54)=0,"",AVERAGE(G54:P54))</f>
        <v>0.00952380952380952</v>
      </c>
      <c r="R54" s="16" t="n">
        <f aca="false">IF(COUNT(G54:P54)&lt;2,"",STDEV(G54:P54))</f>
        <v>0.0301169300968417</v>
      </c>
      <c r="S54" s="6" t="n">
        <f aca="false">COUNT(G54:P54)</f>
        <v>10</v>
      </c>
    </row>
    <row r="55" customFormat="false" ht="15" hidden="false" customHeight="false" outlineLevel="0" collapsed="false">
      <c r="A55" s="6" t="s">
        <v>52</v>
      </c>
      <c r="B55" s="6" t="s">
        <v>43</v>
      </c>
      <c r="C55" s="6" t="s">
        <v>51</v>
      </c>
      <c r="D55" s="6" t="s">
        <v>116</v>
      </c>
      <c r="E55" s="6" t="n">
        <v>16</v>
      </c>
      <c r="F55" s="6" t="s">
        <v>77</v>
      </c>
      <c r="G55" s="11" t="n">
        <f aca="false">Runs!P1551</f>
        <v>0.0909090909090909</v>
      </c>
      <c r="H55" s="11" t="n">
        <f aca="false">Runs!P1562</f>
        <v>0.0909090909090909</v>
      </c>
      <c r="I55" s="11" t="n">
        <f aca="false">Runs!P1573</f>
        <v>0.0909090909090909</v>
      </c>
      <c r="J55" s="11" t="n">
        <f aca="false">Runs!P1584</f>
        <v>0.0909090909090909</v>
      </c>
      <c r="K55" s="11" t="n">
        <f aca="false">Runs!P1595</f>
        <v>0.173913043478261</v>
      </c>
      <c r="L55" s="11" t="n">
        <f aca="false">Runs!P1606</f>
        <v>0.0909090909090909</v>
      </c>
      <c r="M55" s="11" t="n">
        <f aca="false">Runs!P1617</f>
        <v>0.0909090909090909</v>
      </c>
      <c r="N55" s="11" t="n">
        <f aca="false">Runs!P1628</f>
        <v>0</v>
      </c>
      <c r="O55" s="11" t="n">
        <f aca="false">Runs!P1639</f>
        <v>0.0909090909090909</v>
      </c>
      <c r="P55" s="11" t="n">
        <f aca="false">Runs!P1650</f>
        <v>0.0909090909090909</v>
      </c>
      <c r="Q55" s="16" t="n">
        <f aca="false">IF(COUNT(G55:P55)=0,"",AVERAGE(G55:P55))</f>
        <v>0.0901185770750988</v>
      </c>
      <c r="R55" s="16" t="n">
        <f aca="false">IF(COUNT(G55:P55)&lt;2,"",STDEV(G55:P55))</f>
        <v>0.0410255609086241</v>
      </c>
      <c r="S55" s="6" t="n">
        <f aca="false">COUNT(G55:P55)</f>
        <v>10</v>
      </c>
    </row>
    <row r="56" customFormat="false" ht="15" hidden="false" customHeight="false" outlineLevel="0" collapsed="false">
      <c r="A56" s="17" t="s">
        <v>52</v>
      </c>
      <c r="B56" s="17" t="s">
        <v>43</v>
      </c>
      <c r="C56" s="17" t="s">
        <v>51</v>
      </c>
      <c r="D56" s="17" t="s">
        <v>116</v>
      </c>
      <c r="E56" s="17" t="n">
        <v>16</v>
      </c>
      <c r="F56" s="17" t="s">
        <v>78</v>
      </c>
      <c r="G56" s="18" t="n">
        <f aca="false">Runs!P1552</f>
        <v>0.0099009900990099</v>
      </c>
      <c r="H56" s="18" t="n">
        <f aca="false">Runs!P1563</f>
        <v>0.0099009900990099</v>
      </c>
      <c r="I56" s="18" t="n">
        <f aca="false">Runs!P1574</f>
        <v>0.0099009900990099</v>
      </c>
      <c r="J56" s="18" t="n">
        <f aca="false">Runs!P1585</f>
        <v>0.0099009900990099</v>
      </c>
      <c r="K56" s="18" t="n">
        <f aca="false">Runs!P1596</f>
        <v>0.121495327102804</v>
      </c>
      <c r="L56" s="18" t="n">
        <f aca="false">Runs!P1607</f>
        <v>0.0099009900990099</v>
      </c>
      <c r="M56" s="18" t="n">
        <f aca="false">Runs!P1618</f>
        <v>0.10377358490566</v>
      </c>
      <c r="N56" s="18" t="n">
        <f aca="false">Runs!P1629</f>
        <v>0.0197044334975369</v>
      </c>
      <c r="O56" s="18" t="n">
        <f aca="false">Runs!P1640</f>
        <v>0.0197044334975369</v>
      </c>
      <c r="P56" s="18" t="n">
        <f aca="false">Runs!P1651</f>
        <v>0.0099009900990099</v>
      </c>
      <c r="Q56" s="19" t="n">
        <f aca="false">IF(COUNT(G56:P56)=0,"",AVERAGE(G56:P56))</f>
        <v>0.0324083719597597</v>
      </c>
      <c r="R56" s="19" t="n">
        <f aca="false">IF(COUNT(G56:P56)&lt;2,"",STDEV(G56:P56))</f>
        <v>0.042676760172943</v>
      </c>
      <c r="S56" s="20" t="n">
        <f aca="false">COUNT(G56:P56)</f>
        <v>10</v>
      </c>
    </row>
    <row r="57" customFormat="false" ht="15" hidden="false" customHeight="false" outlineLevel="0" collapsed="false">
      <c r="A57" s="6" t="s">
        <v>54</v>
      </c>
      <c r="B57" s="6" t="s">
        <v>43</v>
      </c>
      <c r="C57" s="6" t="s">
        <v>49</v>
      </c>
      <c r="D57" s="6" t="s">
        <v>117</v>
      </c>
      <c r="E57" s="6" t="n">
        <v>16</v>
      </c>
      <c r="F57" s="6" t="s">
        <v>68</v>
      </c>
      <c r="G57" s="11" t="n">
        <f aca="false">Runs!P1652</f>
        <v>0</v>
      </c>
      <c r="H57" s="11" t="n">
        <f aca="false">Runs!P1663</f>
        <v>0</v>
      </c>
      <c r="I57" s="11" t="n">
        <f aca="false">Runs!P1674</f>
        <v>0</v>
      </c>
      <c r="J57" s="11" t="n">
        <f aca="false">Runs!P1685</f>
        <v>0</v>
      </c>
      <c r="K57" s="11" t="n">
        <f aca="false">Runs!P1696</f>
        <v>0</v>
      </c>
      <c r="L57" s="11" t="n">
        <f aca="false">Runs!P1707</f>
        <v>0</v>
      </c>
      <c r="M57" s="11" t="n">
        <f aca="false">Runs!P1718</f>
        <v>0</v>
      </c>
      <c r="N57" s="11" t="n">
        <f aca="false">Runs!P1729</f>
        <v>0</v>
      </c>
      <c r="O57" s="11" t="n">
        <f aca="false">Runs!P1740</f>
        <v>0</v>
      </c>
      <c r="P57" s="11" t="n">
        <f aca="false">Runs!P1751</f>
        <v>0</v>
      </c>
      <c r="Q57" s="16" t="n">
        <f aca="false">IF(COUNT(G57:P57)=0,"",AVERAGE(G57:P57))</f>
        <v>0</v>
      </c>
      <c r="R57" s="16" t="n">
        <f aca="false">IF(COUNT(G57:P57)&lt;2,"",STDEV(G57:P57))</f>
        <v>0</v>
      </c>
      <c r="S57" s="6" t="n">
        <f aca="false">COUNT(G57:P57)</f>
        <v>10</v>
      </c>
    </row>
    <row r="58" customFormat="false" ht="15" hidden="false" customHeight="false" outlineLevel="0" collapsed="false">
      <c r="A58" s="6" t="s">
        <v>54</v>
      </c>
      <c r="B58" s="6" t="s">
        <v>43</v>
      </c>
      <c r="C58" s="6" t="s">
        <v>49</v>
      </c>
      <c r="D58" s="6" t="s">
        <v>117</v>
      </c>
      <c r="E58" s="6" t="n">
        <v>16</v>
      </c>
      <c r="F58" s="6" t="s">
        <v>69</v>
      </c>
      <c r="G58" s="11" t="n">
        <f aca="false">Runs!P1653</f>
        <v>0</v>
      </c>
      <c r="H58" s="11" t="n">
        <f aca="false">Runs!P1664</f>
        <v>0</v>
      </c>
      <c r="I58" s="11" t="n">
        <f aca="false">Runs!P1675</f>
        <v>0</v>
      </c>
      <c r="J58" s="11" t="n">
        <f aca="false">Runs!P1686</f>
        <v>0</v>
      </c>
      <c r="K58" s="11" t="n">
        <f aca="false">Runs!P1697</f>
        <v>0</v>
      </c>
      <c r="L58" s="11" t="n">
        <f aca="false">Runs!P1708</f>
        <v>0</v>
      </c>
      <c r="M58" s="11" t="n">
        <f aca="false">Runs!P1719</f>
        <v>0</v>
      </c>
      <c r="N58" s="11" t="n">
        <f aca="false">Runs!P1730</f>
        <v>0</v>
      </c>
      <c r="O58" s="11" t="n">
        <f aca="false">Runs!P1741</f>
        <v>0</v>
      </c>
      <c r="P58" s="11" t="n">
        <f aca="false">Runs!P1752</f>
        <v>0</v>
      </c>
      <c r="Q58" s="16" t="n">
        <f aca="false">IF(COUNT(G58:P58)=0,"",AVERAGE(G58:P58))</f>
        <v>0</v>
      </c>
      <c r="R58" s="16" t="n">
        <f aca="false">IF(COUNT(G58:P58)&lt;2,"",STDEV(G58:P58))</f>
        <v>0</v>
      </c>
      <c r="S58" s="6" t="n">
        <f aca="false">COUNT(G58:P58)</f>
        <v>10</v>
      </c>
    </row>
    <row r="59" customFormat="false" ht="15" hidden="false" customHeight="false" outlineLevel="0" collapsed="false">
      <c r="A59" s="6" t="s">
        <v>54</v>
      </c>
      <c r="B59" s="6" t="s">
        <v>43</v>
      </c>
      <c r="C59" s="6" t="s">
        <v>49</v>
      </c>
      <c r="D59" s="6" t="s">
        <v>117</v>
      </c>
      <c r="E59" s="6" t="n">
        <v>16</v>
      </c>
      <c r="F59" s="6" t="s">
        <v>70</v>
      </c>
      <c r="G59" s="11" t="n">
        <f aca="false">Runs!P1654</f>
        <v>0</v>
      </c>
      <c r="H59" s="11" t="n">
        <f aca="false">Runs!P1665</f>
        <v>0</v>
      </c>
      <c r="I59" s="11" t="n">
        <f aca="false">Runs!P1676</f>
        <v>0</v>
      </c>
      <c r="J59" s="11" t="n">
        <f aca="false">Runs!P1687</f>
        <v>0</v>
      </c>
      <c r="K59" s="11" t="n">
        <f aca="false">Runs!P1698</f>
        <v>0</v>
      </c>
      <c r="L59" s="11" t="n">
        <f aca="false">Runs!P1709</f>
        <v>0</v>
      </c>
      <c r="M59" s="11" t="n">
        <f aca="false">Runs!P1720</f>
        <v>0</v>
      </c>
      <c r="N59" s="11" t="n">
        <f aca="false">Runs!P1731</f>
        <v>0</v>
      </c>
      <c r="O59" s="11" t="n">
        <f aca="false">Runs!P1742</f>
        <v>0</v>
      </c>
      <c r="P59" s="11" t="n">
        <f aca="false">Runs!P1753</f>
        <v>0</v>
      </c>
      <c r="Q59" s="16" t="n">
        <f aca="false">IF(COUNT(G59:P59)=0,"",AVERAGE(G59:P59))</f>
        <v>0</v>
      </c>
      <c r="R59" s="16" t="n">
        <f aca="false">IF(COUNT(G59:P59)&lt;2,"",STDEV(G59:P59))</f>
        <v>0</v>
      </c>
      <c r="S59" s="6" t="n">
        <f aca="false">COUNT(G59:P59)</f>
        <v>10</v>
      </c>
    </row>
    <row r="60" customFormat="false" ht="15" hidden="false" customHeight="false" outlineLevel="0" collapsed="false">
      <c r="A60" s="6" t="s">
        <v>54</v>
      </c>
      <c r="B60" s="6" t="s">
        <v>43</v>
      </c>
      <c r="C60" s="6" t="s">
        <v>49</v>
      </c>
      <c r="D60" s="6" t="s">
        <v>117</v>
      </c>
      <c r="E60" s="6" t="n">
        <v>16</v>
      </c>
      <c r="F60" s="6" t="s">
        <v>71</v>
      </c>
      <c r="G60" s="11" t="n">
        <f aca="false">Runs!P1655</f>
        <v>0</v>
      </c>
      <c r="H60" s="11" t="n">
        <f aca="false">Runs!P1666</f>
        <v>0</v>
      </c>
      <c r="I60" s="11" t="n">
        <f aca="false">Runs!P1677</f>
        <v>0</v>
      </c>
      <c r="J60" s="11" t="n">
        <f aca="false">Runs!P1688</f>
        <v>0</v>
      </c>
      <c r="K60" s="11" t="n">
        <f aca="false">Runs!P1699</f>
        <v>0</v>
      </c>
      <c r="L60" s="11" t="n">
        <f aca="false">Runs!P1710</f>
        <v>0</v>
      </c>
      <c r="M60" s="11" t="n">
        <f aca="false">Runs!P1721</f>
        <v>0</v>
      </c>
      <c r="N60" s="11" t="n">
        <f aca="false">Runs!P1732</f>
        <v>0</v>
      </c>
      <c r="O60" s="11" t="n">
        <f aca="false">Runs!P1743</f>
        <v>0</v>
      </c>
      <c r="P60" s="11" t="n">
        <f aca="false">Runs!P1754</f>
        <v>0</v>
      </c>
      <c r="Q60" s="16" t="n">
        <f aca="false">IF(COUNT(G60:P60)=0,"",AVERAGE(G60:P60))</f>
        <v>0</v>
      </c>
      <c r="R60" s="16" t="n">
        <f aca="false">IF(COUNT(G60:P60)&lt;2,"",STDEV(G60:P60))</f>
        <v>0</v>
      </c>
      <c r="S60" s="6" t="n">
        <f aca="false">COUNT(G60:P60)</f>
        <v>10</v>
      </c>
    </row>
    <row r="61" customFormat="false" ht="15" hidden="false" customHeight="false" outlineLevel="0" collapsed="false">
      <c r="A61" s="6" t="s">
        <v>54</v>
      </c>
      <c r="B61" s="6" t="s">
        <v>43</v>
      </c>
      <c r="C61" s="6" t="s">
        <v>49</v>
      </c>
      <c r="D61" s="6" t="s">
        <v>117</v>
      </c>
      <c r="E61" s="6" t="n">
        <v>16</v>
      </c>
      <c r="F61" s="6" t="s">
        <v>72</v>
      </c>
      <c r="G61" s="11" t="n">
        <f aca="false">Runs!P1656</f>
        <v>0</v>
      </c>
      <c r="H61" s="11" t="n">
        <f aca="false">Runs!P1667</f>
        <v>0</v>
      </c>
      <c r="I61" s="11" t="n">
        <f aca="false">Runs!P1678</f>
        <v>0</v>
      </c>
      <c r="J61" s="11" t="n">
        <f aca="false">Runs!P1689</f>
        <v>0</v>
      </c>
      <c r="K61" s="11" t="n">
        <f aca="false">Runs!P1700</f>
        <v>0</v>
      </c>
      <c r="L61" s="11" t="n">
        <f aca="false">Runs!P1711</f>
        <v>0</v>
      </c>
      <c r="M61" s="11" t="n">
        <f aca="false">Runs!P1722</f>
        <v>0</v>
      </c>
      <c r="N61" s="11" t="n">
        <f aca="false">Runs!P1733</f>
        <v>0</v>
      </c>
      <c r="O61" s="11" t="n">
        <f aca="false">Runs!P1744</f>
        <v>0</v>
      </c>
      <c r="P61" s="11" t="n">
        <f aca="false">Runs!P1755</f>
        <v>0</v>
      </c>
      <c r="Q61" s="16" t="n">
        <f aca="false">IF(COUNT(G61:P61)=0,"",AVERAGE(G61:P61))</f>
        <v>0</v>
      </c>
      <c r="R61" s="16" t="n">
        <f aca="false">IF(COUNT(G61:P61)&lt;2,"",STDEV(G61:P61))</f>
        <v>0</v>
      </c>
      <c r="S61" s="6" t="n">
        <f aca="false">COUNT(G61:P61)</f>
        <v>10</v>
      </c>
    </row>
    <row r="62" customFormat="false" ht="15" hidden="false" customHeight="false" outlineLevel="0" collapsed="false">
      <c r="A62" s="6" t="s">
        <v>54</v>
      </c>
      <c r="B62" s="6" t="s">
        <v>43</v>
      </c>
      <c r="C62" s="6" t="s">
        <v>49</v>
      </c>
      <c r="D62" s="6" t="s">
        <v>117</v>
      </c>
      <c r="E62" s="6" t="n">
        <v>16</v>
      </c>
      <c r="F62" s="6" t="s">
        <v>73</v>
      </c>
      <c r="G62" s="11" t="n">
        <f aca="false">Runs!P1657</f>
        <v>0</v>
      </c>
      <c r="H62" s="11" t="n">
        <f aca="false">Runs!P1668</f>
        <v>0</v>
      </c>
      <c r="I62" s="11" t="n">
        <f aca="false">Runs!P1679</f>
        <v>0</v>
      </c>
      <c r="J62" s="11" t="n">
        <f aca="false">Runs!P1690</f>
        <v>0</v>
      </c>
      <c r="K62" s="11" t="n">
        <f aca="false">Runs!P1701</f>
        <v>0</v>
      </c>
      <c r="L62" s="11" t="n">
        <f aca="false">Runs!P1712</f>
        <v>0</v>
      </c>
      <c r="M62" s="11" t="n">
        <f aca="false">Runs!P1723</f>
        <v>0</v>
      </c>
      <c r="N62" s="11" t="n">
        <f aca="false">Runs!P1734</f>
        <v>0</v>
      </c>
      <c r="O62" s="11" t="n">
        <f aca="false">Runs!P1745</f>
        <v>0</v>
      </c>
      <c r="P62" s="11" t="n">
        <f aca="false">Runs!P1756</f>
        <v>0</v>
      </c>
      <c r="Q62" s="16" t="n">
        <f aca="false">IF(COUNT(G62:P62)=0,"",AVERAGE(G62:P62))</f>
        <v>0</v>
      </c>
      <c r="R62" s="16" t="n">
        <f aca="false">IF(COUNT(G62:P62)&lt;2,"",STDEV(G62:P62))</f>
        <v>0</v>
      </c>
      <c r="S62" s="6" t="n">
        <f aca="false">COUNT(G62:P62)</f>
        <v>10</v>
      </c>
    </row>
    <row r="63" customFormat="false" ht="15" hidden="false" customHeight="false" outlineLevel="0" collapsed="false">
      <c r="A63" s="6" t="s">
        <v>54</v>
      </c>
      <c r="B63" s="6" t="s">
        <v>43</v>
      </c>
      <c r="C63" s="6" t="s">
        <v>49</v>
      </c>
      <c r="D63" s="6" t="s">
        <v>117</v>
      </c>
      <c r="E63" s="6" t="n">
        <v>16</v>
      </c>
      <c r="F63" s="6" t="s">
        <v>74</v>
      </c>
      <c r="G63" s="11" t="n">
        <f aca="false">Runs!P1658</f>
        <v>0</v>
      </c>
      <c r="H63" s="11" t="n">
        <f aca="false">Runs!P1669</f>
        <v>0</v>
      </c>
      <c r="I63" s="11" t="n">
        <f aca="false">Runs!P1680</f>
        <v>0</v>
      </c>
      <c r="J63" s="11" t="n">
        <f aca="false">Runs!P1691</f>
        <v>0</v>
      </c>
      <c r="K63" s="11" t="n">
        <f aca="false">Runs!P1702</f>
        <v>0</v>
      </c>
      <c r="L63" s="11" t="n">
        <f aca="false">Runs!P1713</f>
        <v>0</v>
      </c>
      <c r="M63" s="11" t="n">
        <f aca="false">Runs!P1724</f>
        <v>0</v>
      </c>
      <c r="N63" s="11" t="n">
        <f aca="false">Runs!P1735</f>
        <v>0</v>
      </c>
      <c r="O63" s="11" t="n">
        <f aca="false">Runs!P1746</f>
        <v>0</v>
      </c>
      <c r="P63" s="11" t="n">
        <f aca="false">Runs!P1757</f>
        <v>0</v>
      </c>
      <c r="Q63" s="16" t="n">
        <f aca="false">IF(COUNT(G63:P63)=0,"",AVERAGE(G63:P63))</f>
        <v>0</v>
      </c>
      <c r="R63" s="16" t="n">
        <f aca="false">IF(COUNT(G63:P63)&lt;2,"",STDEV(G63:P63))</f>
        <v>0</v>
      </c>
      <c r="S63" s="6" t="n">
        <f aca="false">COUNT(G63:P63)</f>
        <v>10</v>
      </c>
    </row>
    <row r="64" customFormat="false" ht="15" hidden="false" customHeight="false" outlineLevel="0" collapsed="false">
      <c r="A64" s="6" t="s">
        <v>54</v>
      </c>
      <c r="B64" s="6" t="s">
        <v>43</v>
      </c>
      <c r="C64" s="6" t="s">
        <v>49</v>
      </c>
      <c r="D64" s="6" t="s">
        <v>117</v>
      </c>
      <c r="E64" s="6" t="n">
        <v>16</v>
      </c>
      <c r="F64" s="6" t="s">
        <v>75</v>
      </c>
      <c r="G64" s="11" t="n">
        <f aca="false">Runs!P1659</f>
        <v>0</v>
      </c>
      <c r="H64" s="11" t="n">
        <f aca="false">Runs!P1670</f>
        <v>0</v>
      </c>
      <c r="I64" s="11" t="n">
        <f aca="false">Runs!P1681</f>
        <v>0</v>
      </c>
      <c r="J64" s="11" t="n">
        <f aca="false">Runs!P1692</f>
        <v>0</v>
      </c>
      <c r="K64" s="11" t="n">
        <f aca="false">Runs!P1703</f>
        <v>0</v>
      </c>
      <c r="L64" s="11" t="n">
        <f aca="false">Runs!P1714</f>
        <v>0</v>
      </c>
      <c r="M64" s="11" t="n">
        <f aca="false">Runs!P1725</f>
        <v>0</v>
      </c>
      <c r="N64" s="11" t="n">
        <f aca="false">Runs!P1736</f>
        <v>0</v>
      </c>
      <c r="O64" s="11" t="n">
        <f aca="false">Runs!P1747</f>
        <v>0</v>
      </c>
      <c r="P64" s="11" t="n">
        <f aca="false">Runs!P1758</f>
        <v>0</v>
      </c>
      <c r="Q64" s="16" t="n">
        <f aca="false">IF(COUNT(G64:P64)=0,"",AVERAGE(G64:P64))</f>
        <v>0</v>
      </c>
      <c r="R64" s="16" t="n">
        <f aca="false">IF(COUNT(G64:P64)&lt;2,"",STDEV(G64:P64))</f>
        <v>0</v>
      </c>
      <c r="S64" s="6" t="n">
        <f aca="false">COUNT(G64:P64)</f>
        <v>10</v>
      </c>
    </row>
    <row r="65" customFormat="false" ht="15" hidden="false" customHeight="false" outlineLevel="0" collapsed="false">
      <c r="A65" s="6" t="s">
        <v>54</v>
      </c>
      <c r="B65" s="6" t="s">
        <v>43</v>
      </c>
      <c r="C65" s="6" t="s">
        <v>49</v>
      </c>
      <c r="D65" s="6" t="s">
        <v>117</v>
      </c>
      <c r="E65" s="6" t="n">
        <v>16</v>
      </c>
      <c r="F65" s="6" t="s">
        <v>76</v>
      </c>
      <c r="G65" s="11" t="n">
        <f aca="false">Runs!P1660</f>
        <v>0</v>
      </c>
      <c r="H65" s="11" t="n">
        <f aca="false">Runs!P1671</f>
        <v>0</v>
      </c>
      <c r="I65" s="11" t="n">
        <f aca="false">Runs!P1682</f>
        <v>0</v>
      </c>
      <c r="J65" s="11" t="n">
        <f aca="false">Runs!P1693</f>
        <v>0</v>
      </c>
      <c r="K65" s="11" t="n">
        <f aca="false">Runs!P1704</f>
        <v>0</v>
      </c>
      <c r="L65" s="11" t="n">
        <f aca="false">Runs!P1715</f>
        <v>0</v>
      </c>
      <c r="M65" s="11" t="n">
        <f aca="false">Runs!P1726</f>
        <v>0</v>
      </c>
      <c r="N65" s="11" t="n">
        <f aca="false">Runs!P1737</f>
        <v>0</v>
      </c>
      <c r="O65" s="11" t="n">
        <f aca="false">Runs!P1748</f>
        <v>0</v>
      </c>
      <c r="P65" s="11" t="n">
        <f aca="false">Runs!P1759</f>
        <v>0</v>
      </c>
      <c r="Q65" s="16" t="n">
        <f aca="false">IF(COUNT(G65:P65)=0,"",AVERAGE(G65:P65))</f>
        <v>0</v>
      </c>
      <c r="R65" s="16" t="n">
        <f aca="false">IF(COUNT(G65:P65)&lt;2,"",STDEV(G65:P65))</f>
        <v>0</v>
      </c>
      <c r="S65" s="6" t="n">
        <f aca="false">COUNT(G65:P65)</f>
        <v>10</v>
      </c>
    </row>
    <row r="66" customFormat="false" ht="15" hidden="false" customHeight="false" outlineLevel="0" collapsed="false">
      <c r="A66" s="6" t="s">
        <v>54</v>
      </c>
      <c r="B66" s="6" t="s">
        <v>43</v>
      </c>
      <c r="C66" s="6" t="s">
        <v>49</v>
      </c>
      <c r="D66" s="6" t="s">
        <v>117</v>
      </c>
      <c r="E66" s="6" t="n">
        <v>16</v>
      </c>
      <c r="F66" s="6" t="s">
        <v>77</v>
      </c>
      <c r="G66" s="11" t="n">
        <f aca="false">Runs!P1661</f>
        <v>0.0909090909090909</v>
      </c>
      <c r="H66" s="11" t="n">
        <f aca="false">Runs!P1672</f>
        <v>0.0909090909090909</v>
      </c>
      <c r="I66" s="11" t="n">
        <f aca="false">Runs!P1683</f>
        <v>0.0909090909090909</v>
      </c>
      <c r="J66" s="11" t="n">
        <f aca="false">Runs!P1694</f>
        <v>0.0909090909090909</v>
      </c>
      <c r="K66" s="11" t="n">
        <f aca="false">Runs!P1705</f>
        <v>0.0909090909090909</v>
      </c>
      <c r="L66" s="11" t="n">
        <f aca="false">Runs!P1716</f>
        <v>0.0909090909090909</v>
      </c>
      <c r="M66" s="11" t="n">
        <f aca="false">Runs!P1727</f>
        <v>0.0909090909090909</v>
      </c>
      <c r="N66" s="11" t="n">
        <f aca="false">Runs!P1738</f>
        <v>0.0909090909090909</v>
      </c>
      <c r="O66" s="11" t="n">
        <f aca="false">Runs!P1749</f>
        <v>0.0909090909090909</v>
      </c>
      <c r="P66" s="11" t="n">
        <f aca="false">Runs!P1760</f>
        <v>0.0909090909090909</v>
      </c>
      <c r="Q66" s="16" t="n">
        <f aca="false">IF(COUNT(G66:P66)=0,"",AVERAGE(G66:P66))</f>
        <v>0.0909090909090909</v>
      </c>
      <c r="R66" s="16" t="n">
        <f aca="false">IF(COUNT(G66:P66)&lt;2,"",STDEV(G66:P66))</f>
        <v>0</v>
      </c>
      <c r="S66" s="6" t="n">
        <f aca="false">COUNT(G66:P66)</f>
        <v>10</v>
      </c>
    </row>
    <row r="67" customFormat="false" ht="15" hidden="false" customHeight="false" outlineLevel="0" collapsed="false">
      <c r="A67" s="17" t="s">
        <v>54</v>
      </c>
      <c r="B67" s="17" t="s">
        <v>43</v>
      </c>
      <c r="C67" s="17" t="s">
        <v>49</v>
      </c>
      <c r="D67" s="17" t="s">
        <v>117</v>
      </c>
      <c r="E67" s="17" t="n">
        <v>16</v>
      </c>
      <c r="F67" s="17" t="s">
        <v>78</v>
      </c>
      <c r="G67" s="18" t="n">
        <f aca="false">Runs!P1662</f>
        <v>0.0099009900990099</v>
      </c>
      <c r="H67" s="18" t="n">
        <f aca="false">Runs!P1673</f>
        <v>0.0099009900990099</v>
      </c>
      <c r="I67" s="18" t="n">
        <f aca="false">Runs!P1684</f>
        <v>0.0099009900990099</v>
      </c>
      <c r="J67" s="18" t="n">
        <f aca="false">Runs!P1695</f>
        <v>0.0099009900990099</v>
      </c>
      <c r="K67" s="18" t="n">
        <f aca="false">Runs!P1706</f>
        <v>0.0099009900990099</v>
      </c>
      <c r="L67" s="18" t="n">
        <f aca="false">Runs!P1717</f>
        <v>0.0099009900990099</v>
      </c>
      <c r="M67" s="18" t="n">
        <f aca="false">Runs!P1728</f>
        <v>0.0099009900990099</v>
      </c>
      <c r="N67" s="18" t="n">
        <f aca="false">Runs!P1739</f>
        <v>0.0099009900990099</v>
      </c>
      <c r="O67" s="18" t="n">
        <f aca="false">Runs!P1750</f>
        <v>0.0099009900990099</v>
      </c>
      <c r="P67" s="18" t="n">
        <f aca="false">Runs!P1761</f>
        <v>0.0099009900990099</v>
      </c>
      <c r="Q67" s="19" t="n">
        <f aca="false">IF(COUNT(G67:P67)=0,"",AVERAGE(G67:P67))</f>
        <v>0.0099009900990099</v>
      </c>
      <c r="R67" s="19" t="n">
        <f aca="false">IF(COUNT(G67:P67)&lt;2,"",STDEV(G67:P67))</f>
        <v>0</v>
      </c>
      <c r="S67" s="20" t="n">
        <f aca="false">COUNT(G67:P67)</f>
        <v>10</v>
      </c>
    </row>
    <row r="68" customFormat="false" ht="15" hidden="false" customHeight="false" outlineLevel="0" collapsed="false">
      <c r="A68" s="6" t="s">
        <v>56</v>
      </c>
      <c r="B68" s="6" t="s">
        <v>43</v>
      </c>
      <c r="C68" s="6" t="s">
        <v>51</v>
      </c>
      <c r="D68" s="6" t="s">
        <v>118</v>
      </c>
      <c r="E68" s="6" t="n">
        <v>16</v>
      </c>
      <c r="F68" s="6" t="s">
        <v>68</v>
      </c>
      <c r="G68" s="11" t="n">
        <f aca="false">Runs!P1762</f>
        <v>0</v>
      </c>
      <c r="H68" s="11" t="n">
        <f aca="false">Runs!P1773</f>
        <v>0</v>
      </c>
      <c r="I68" s="11" t="n">
        <f aca="false">Runs!P1784</f>
        <v>0</v>
      </c>
      <c r="J68" s="11" t="n">
        <f aca="false">Runs!P1795</f>
        <v>0</v>
      </c>
      <c r="K68" s="11" t="n">
        <f aca="false">Runs!P1806</f>
        <v>0</v>
      </c>
      <c r="L68" s="11" t="n">
        <f aca="false">Runs!P1817</f>
        <v>0</v>
      </c>
      <c r="M68" s="11" t="n">
        <f aca="false">Runs!P1828</f>
        <v>0</v>
      </c>
      <c r="N68" s="11" t="n">
        <f aca="false">Runs!P1839</f>
        <v>0</v>
      </c>
      <c r="O68" s="11" t="n">
        <f aca="false">Runs!P1850</f>
        <v>0</v>
      </c>
      <c r="P68" s="11" t="n">
        <f aca="false">Runs!P1861</f>
        <v>0</v>
      </c>
      <c r="Q68" s="16" t="n">
        <f aca="false">IF(COUNT(G68:P68)=0,"",AVERAGE(G68:P68))</f>
        <v>0</v>
      </c>
      <c r="R68" s="16" t="n">
        <f aca="false">IF(COUNT(G68:P68)&lt;2,"",STDEV(G68:P68))</f>
        <v>0</v>
      </c>
      <c r="S68" s="6" t="n">
        <f aca="false">COUNT(G68:P68)</f>
        <v>10</v>
      </c>
    </row>
    <row r="69" customFormat="false" ht="15" hidden="false" customHeight="false" outlineLevel="0" collapsed="false">
      <c r="A69" s="6" t="s">
        <v>56</v>
      </c>
      <c r="B69" s="6" t="s">
        <v>43</v>
      </c>
      <c r="C69" s="6" t="s">
        <v>51</v>
      </c>
      <c r="D69" s="6" t="s">
        <v>118</v>
      </c>
      <c r="E69" s="6" t="n">
        <v>16</v>
      </c>
      <c r="F69" s="6" t="s">
        <v>69</v>
      </c>
      <c r="G69" s="11" t="n">
        <f aca="false">Runs!P1763</f>
        <v>0</v>
      </c>
      <c r="H69" s="11" t="n">
        <f aca="false">Runs!P1774</f>
        <v>0</v>
      </c>
      <c r="I69" s="11" t="n">
        <f aca="false">Runs!P1785</f>
        <v>0</v>
      </c>
      <c r="J69" s="11" t="n">
        <f aca="false">Runs!P1796</f>
        <v>0</v>
      </c>
      <c r="K69" s="11" t="n">
        <f aca="false">Runs!P1807</f>
        <v>0</v>
      </c>
      <c r="L69" s="11" t="n">
        <f aca="false">Runs!P1818</f>
        <v>0</v>
      </c>
      <c r="M69" s="11" t="n">
        <f aca="false">Runs!P1829</f>
        <v>0</v>
      </c>
      <c r="N69" s="11" t="n">
        <f aca="false">Runs!P1840</f>
        <v>0</v>
      </c>
      <c r="O69" s="11" t="n">
        <f aca="false">Runs!P1851</f>
        <v>0</v>
      </c>
      <c r="P69" s="11" t="n">
        <f aca="false">Runs!P1862</f>
        <v>0</v>
      </c>
      <c r="Q69" s="16" t="n">
        <f aca="false">IF(COUNT(G69:P69)=0,"",AVERAGE(G69:P69))</f>
        <v>0</v>
      </c>
      <c r="R69" s="16" t="n">
        <f aca="false">IF(COUNT(G69:P69)&lt;2,"",STDEV(G69:P69))</f>
        <v>0</v>
      </c>
      <c r="S69" s="6" t="n">
        <f aca="false">COUNT(G69:P69)</f>
        <v>10</v>
      </c>
    </row>
    <row r="70" customFormat="false" ht="15" hidden="false" customHeight="false" outlineLevel="0" collapsed="false">
      <c r="A70" s="6" t="s">
        <v>56</v>
      </c>
      <c r="B70" s="6" t="s">
        <v>43</v>
      </c>
      <c r="C70" s="6" t="s">
        <v>51</v>
      </c>
      <c r="D70" s="6" t="s">
        <v>118</v>
      </c>
      <c r="E70" s="6" t="n">
        <v>16</v>
      </c>
      <c r="F70" s="6" t="s">
        <v>70</v>
      </c>
      <c r="G70" s="11" t="n">
        <f aca="false">Runs!P1764</f>
        <v>0</v>
      </c>
      <c r="H70" s="11" t="n">
        <f aca="false">Runs!P1775</f>
        <v>0</v>
      </c>
      <c r="I70" s="11" t="n">
        <f aca="false">Runs!P1786</f>
        <v>0</v>
      </c>
      <c r="J70" s="11" t="n">
        <f aca="false">Runs!P1797</f>
        <v>0</v>
      </c>
      <c r="K70" s="11" t="n">
        <f aca="false">Runs!P1808</f>
        <v>0</v>
      </c>
      <c r="L70" s="11" t="n">
        <f aca="false">Runs!P1819</f>
        <v>0</v>
      </c>
      <c r="M70" s="11" t="n">
        <f aca="false">Runs!P1830</f>
        <v>0</v>
      </c>
      <c r="N70" s="11" t="n">
        <f aca="false">Runs!P1841</f>
        <v>0</v>
      </c>
      <c r="O70" s="11" t="n">
        <f aca="false">Runs!P1852</f>
        <v>0</v>
      </c>
      <c r="P70" s="11" t="n">
        <f aca="false">Runs!P1863</f>
        <v>0</v>
      </c>
      <c r="Q70" s="16" t="n">
        <f aca="false">IF(COUNT(G70:P70)=0,"",AVERAGE(G70:P70))</f>
        <v>0</v>
      </c>
      <c r="R70" s="16" t="n">
        <f aca="false">IF(COUNT(G70:P70)&lt;2,"",STDEV(G70:P70))</f>
        <v>0</v>
      </c>
      <c r="S70" s="6" t="n">
        <f aca="false">COUNT(G70:P70)</f>
        <v>10</v>
      </c>
    </row>
    <row r="71" customFormat="false" ht="15" hidden="false" customHeight="false" outlineLevel="0" collapsed="false">
      <c r="A71" s="6" t="s">
        <v>56</v>
      </c>
      <c r="B71" s="6" t="s">
        <v>43</v>
      </c>
      <c r="C71" s="6" t="s">
        <v>51</v>
      </c>
      <c r="D71" s="6" t="s">
        <v>118</v>
      </c>
      <c r="E71" s="6" t="n">
        <v>16</v>
      </c>
      <c r="F71" s="6" t="s">
        <v>71</v>
      </c>
      <c r="G71" s="11" t="n">
        <f aca="false">Runs!P1765</f>
        <v>0</v>
      </c>
      <c r="H71" s="11" t="n">
        <f aca="false">Runs!P1776</f>
        <v>0</v>
      </c>
      <c r="I71" s="11" t="n">
        <f aca="false">Runs!P1787</f>
        <v>0</v>
      </c>
      <c r="J71" s="11" t="n">
        <f aca="false">Runs!P1798</f>
        <v>0</v>
      </c>
      <c r="K71" s="11" t="n">
        <f aca="false">Runs!P1809</f>
        <v>0</v>
      </c>
      <c r="L71" s="11" t="n">
        <f aca="false">Runs!P1820</f>
        <v>0</v>
      </c>
      <c r="M71" s="11" t="n">
        <f aca="false">Runs!P1831</f>
        <v>0</v>
      </c>
      <c r="N71" s="11" t="n">
        <f aca="false">Runs!P1842</f>
        <v>0</v>
      </c>
      <c r="O71" s="11" t="n">
        <f aca="false">Runs!P1853</f>
        <v>0</v>
      </c>
      <c r="P71" s="11" t="n">
        <f aca="false">Runs!P1864</f>
        <v>0</v>
      </c>
      <c r="Q71" s="16" t="n">
        <f aca="false">IF(COUNT(G71:P71)=0,"",AVERAGE(G71:P71))</f>
        <v>0</v>
      </c>
      <c r="R71" s="16" t="n">
        <f aca="false">IF(COUNT(G71:P71)&lt;2,"",STDEV(G71:P71))</f>
        <v>0</v>
      </c>
      <c r="S71" s="6" t="n">
        <f aca="false">COUNT(G71:P71)</f>
        <v>10</v>
      </c>
    </row>
    <row r="72" customFormat="false" ht="15" hidden="false" customHeight="false" outlineLevel="0" collapsed="false">
      <c r="A72" s="6" t="s">
        <v>56</v>
      </c>
      <c r="B72" s="6" t="s">
        <v>43</v>
      </c>
      <c r="C72" s="6" t="s">
        <v>51</v>
      </c>
      <c r="D72" s="6" t="s">
        <v>118</v>
      </c>
      <c r="E72" s="6" t="n">
        <v>16</v>
      </c>
      <c r="F72" s="6" t="s">
        <v>72</v>
      </c>
      <c r="G72" s="11" t="n">
        <f aca="false">Runs!P1766</f>
        <v>0</v>
      </c>
      <c r="H72" s="11" t="n">
        <f aca="false">Runs!P1777</f>
        <v>0</v>
      </c>
      <c r="I72" s="11" t="n">
        <f aca="false">Runs!P1788</f>
        <v>0</v>
      </c>
      <c r="J72" s="11" t="n">
        <f aca="false">Runs!P1799</f>
        <v>0</v>
      </c>
      <c r="K72" s="11" t="n">
        <f aca="false">Runs!P1810</f>
        <v>0</v>
      </c>
      <c r="L72" s="11" t="n">
        <f aca="false">Runs!P1821</f>
        <v>0</v>
      </c>
      <c r="M72" s="11" t="n">
        <f aca="false">Runs!P1832</f>
        <v>0</v>
      </c>
      <c r="N72" s="11" t="n">
        <f aca="false">Runs!P1843</f>
        <v>0</v>
      </c>
      <c r="O72" s="11" t="n">
        <f aca="false">Runs!P1854</f>
        <v>0</v>
      </c>
      <c r="P72" s="11" t="n">
        <f aca="false">Runs!P1865</f>
        <v>0</v>
      </c>
      <c r="Q72" s="16" t="n">
        <f aca="false">IF(COUNT(G72:P72)=0,"",AVERAGE(G72:P72))</f>
        <v>0</v>
      </c>
      <c r="R72" s="16" t="n">
        <f aca="false">IF(COUNT(G72:P72)&lt;2,"",STDEV(G72:P72))</f>
        <v>0</v>
      </c>
      <c r="S72" s="6" t="n">
        <f aca="false">COUNT(G72:P72)</f>
        <v>10</v>
      </c>
    </row>
    <row r="73" customFormat="false" ht="15" hidden="false" customHeight="false" outlineLevel="0" collapsed="false">
      <c r="A73" s="6" t="s">
        <v>56</v>
      </c>
      <c r="B73" s="6" t="s">
        <v>43</v>
      </c>
      <c r="C73" s="6" t="s">
        <v>51</v>
      </c>
      <c r="D73" s="6" t="s">
        <v>118</v>
      </c>
      <c r="E73" s="6" t="n">
        <v>16</v>
      </c>
      <c r="F73" s="6" t="s">
        <v>73</v>
      </c>
      <c r="G73" s="11" t="n">
        <f aca="false">Runs!P1767</f>
        <v>0</v>
      </c>
      <c r="H73" s="11" t="n">
        <f aca="false">Runs!P1778</f>
        <v>0</v>
      </c>
      <c r="I73" s="11" t="n">
        <f aca="false">Runs!P1789</f>
        <v>0</v>
      </c>
      <c r="J73" s="11" t="n">
        <f aca="false">Runs!P1800</f>
        <v>0</v>
      </c>
      <c r="K73" s="11" t="n">
        <f aca="false">Runs!P1811</f>
        <v>0</v>
      </c>
      <c r="L73" s="11" t="n">
        <f aca="false">Runs!P1822</f>
        <v>0</v>
      </c>
      <c r="M73" s="11" t="n">
        <f aca="false">Runs!P1833</f>
        <v>0</v>
      </c>
      <c r="N73" s="11" t="n">
        <f aca="false">Runs!P1844</f>
        <v>0</v>
      </c>
      <c r="O73" s="11" t="n">
        <f aca="false">Runs!P1855</f>
        <v>0</v>
      </c>
      <c r="P73" s="11" t="n">
        <f aca="false">Runs!P1866</f>
        <v>0</v>
      </c>
      <c r="Q73" s="16" t="n">
        <f aca="false">IF(COUNT(G73:P73)=0,"",AVERAGE(G73:P73))</f>
        <v>0</v>
      </c>
      <c r="R73" s="16" t="n">
        <f aca="false">IF(COUNT(G73:P73)&lt;2,"",STDEV(G73:P73))</f>
        <v>0</v>
      </c>
      <c r="S73" s="6" t="n">
        <f aca="false">COUNT(G73:P73)</f>
        <v>10</v>
      </c>
    </row>
    <row r="74" customFormat="false" ht="15" hidden="false" customHeight="false" outlineLevel="0" collapsed="false">
      <c r="A74" s="6" t="s">
        <v>56</v>
      </c>
      <c r="B74" s="6" t="s">
        <v>43</v>
      </c>
      <c r="C74" s="6" t="s">
        <v>51</v>
      </c>
      <c r="D74" s="6" t="s">
        <v>118</v>
      </c>
      <c r="E74" s="6" t="n">
        <v>16</v>
      </c>
      <c r="F74" s="6" t="s">
        <v>74</v>
      </c>
      <c r="G74" s="11" t="n">
        <f aca="false">Runs!P1768</f>
        <v>0</v>
      </c>
      <c r="H74" s="11" t="n">
        <f aca="false">Runs!P1779</f>
        <v>0</v>
      </c>
      <c r="I74" s="11" t="n">
        <f aca="false">Runs!P1790</f>
        <v>0</v>
      </c>
      <c r="J74" s="11" t="n">
        <f aca="false">Runs!P1801</f>
        <v>0</v>
      </c>
      <c r="K74" s="11" t="n">
        <f aca="false">Runs!P1812</f>
        <v>0</v>
      </c>
      <c r="L74" s="11" t="n">
        <f aca="false">Runs!P1823</f>
        <v>0</v>
      </c>
      <c r="M74" s="11" t="n">
        <f aca="false">Runs!P1834</f>
        <v>0</v>
      </c>
      <c r="N74" s="11" t="n">
        <f aca="false">Runs!P1845</f>
        <v>0</v>
      </c>
      <c r="O74" s="11" t="n">
        <f aca="false">Runs!P1856</f>
        <v>0</v>
      </c>
      <c r="P74" s="11" t="n">
        <f aca="false">Runs!P1867</f>
        <v>0</v>
      </c>
      <c r="Q74" s="16" t="n">
        <f aca="false">IF(COUNT(G74:P74)=0,"",AVERAGE(G74:P74))</f>
        <v>0</v>
      </c>
      <c r="R74" s="16" t="n">
        <f aca="false">IF(COUNT(G74:P74)&lt;2,"",STDEV(G74:P74))</f>
        <v>0</v>
      </c>
      <c r="S74" s="6" t="n">
        <f aca="false">COUNT(G74:P74)</f>
        <v>10</v>
      </c>
    </row>
    <row r="75" customFormat="false" ht="15" hidden="false" customHeight="false" outlineLevel="0" collapsed="false">
      <c r="A75" s="6" t="s">
        <v>56</v>
      </c>
      <c r="B75" s="6" t="s">
        <v>43</v>
      </c>
      <c r="C75" s="6" t="s">
        <v>51</v>
      </c>
      <c r="D75" s="6" t="s">
        <v>118</v>
      </c>
      <c r="E75" s="6" t="n">
        <v>16</v>
      </c>
      <c r="F75" s="6" t="s">
        <v>75</v>
      </c>
      <c r="G75" s="11" t="n">
        <f aca="false">Runs!P1769</f>
        <v>0</v>
      </c>
      <c r="H75" s="11" t="n">
        <f aca="false">Runs!P1780</f>
        <v>0</v>
      </c>
      <c r="I75" s="11" t="n">
        <f aca="false">Runs!P1791</f>
        <v>0</v>
      </c>
      <c r="J75" s="11" t="n">
        <f aca="false">Runs!P1802</f>
        <v>0</v>
      </c>
      <c r="K75" s="11" t="n">
        <f aca="false">Runs!P1813</f>
        <v>0</v>
      </c>
      <c r="L75" s="11" t="n">
        <f aca="false">Runs!P1824</f>
        <v>0</v>
      </c>
      <c r="M75" s="11" t="n">
        <f aca="false">Runs!P1835</f>
        <v>0</v>
      </c>
      <c r="N75" s="11" t="n">
        <f aca="false">Runs!P1846</f>
        <v>0</v>
      </c>
      <c r="O75" s="11" t="n">
        <f aca="false">Runs!P1857</f>
        <v>0</v>
      </c>
      <c r="P75" s="11" t="n">
        <f aca="false">Runs!P1868</f>
        <v>0</v>
      </c>
      <c r="Q75" s="16" t="n">
        <f aca="false">IF(COUNT(G75:P75)=0,"",AVERAGE(G75:P75))</f>
        <v>0</v>
      </c>
      <c r="R75" s="16" t="n">
        <f aca="false">IF(COUNT(G75:P75)&lt;2,"",STDEV(G75:P75))</f>
        <v>0</v>
      </c>
      <c r="S75" s="6" t="n">
        <f aca="false">COUNT(G75:P75)</f>
        <v>10</v>
      </c>
    </row>
    <row r="76" customFormat="false" ht="15" hidden="false" customHeight="false" outlineLevel="0" collapsed="false">
      <c r="A76" s="6" t="s">
        <v>56</v>
      </c>
      <c r="B76" s="6" t="s">
        <v>43</v>
      </c>
      <c r="C76" s="6" t="s">
        <v>51</v>
      </c>
      <c r="D76" s="6" t="s">
        <v>118</v>
      </c>
      <c r="E76" s="6" t="n">
        <v>16</v>
      </c>
      <c r="F76" s="6" t="s">
        <v>76</v>
      </c>
      <c r="G76" s="11" t="n">
        <f aca="false">Runs!P1770</f>
        <v>0</v>
      </c>
      <c r="H76" s="11" t="n">
        <f aca="false">Runs!P1781</f>
        <v>0</v>
      </c>
      <c r="I76" s="11" t="n">
        <f aca="false">Runs!P1792</f>
        <v>0</v>
      </c>
      <c r="J76" s="11" t="n">
        <f aca="false">Runs!P1803</f>
        <v>0</v>
      </c>
      <c r="K76" s="11" t="n">
        <f aca="false">Runs!P1814</f>
        <v>0</v>
      </c>
      <c r="L76" s="11" t="n">
        <f aca="false">Runs!P1825</f>
        <v>0</v>
      </c>
      <c r="M76" s="11" t="n">
        <f aca="false">Runs!P1836</f>
        <v>0</v>
      </c>
      <c r="N76" s="11" t="n">
        <f aca="false">Runs!P1847</f>
        <v>0</v>
      </c>
      <c r="O76" s="11" t="n">
        <f aca="false">Runs!P1858</f>
        <v>0</v>
      </c>
      <c r="P76" s="11" t="n">
        <f aca="false">Runs!P1869</f>
        <v>0</v>
      </c>
      <c r="Q76" s="16" t="n">
        <f aca="false">IF(COUNT(G76:P76)=0,"",AVERAGE(G76:P76))</f>
        <v>0</v>
      </c>
      <c r="R76" s="16" t="n">
        <f aca="false">IF(COUNT(G76:P76)&lt;2,"",STDEV(G76:P76))</f>
        <v>0</v>
      </c>
      <c r="S76" s="6" t="n">
        <f aca="false">COUNT(G76:P76)</f>
        <v>10</v>
      </c>
    </row>
    <row r="77" customFormat="false" ht="15" hidden="false" customHeight="false" outlineLevel="0" collapsed="false">
      <c r="A77" s="6" t="s">
        <v>56</v>
      </c>
      <c r="B77" s="6" t="s">
        <v>43</v>
      </c>
      <c r="C77" s="6" t="s">
        <v>51</v>
      </c>
      <c r="D77" s="6" t="s">
        <v>118</v>
      </c>
      <c r="E77" s="6" t="n">
        <v>16</v>
      </c>
      <c r="F77" s="6" t="s">
        <v>77</v>
      </c>
      <c r="G77" s="11" t="n">
        <f aca="false">Runs!P1771</f>
        <v>0.0909090909090909</v>
      </c>
      <c r="H77" s="11" t="n">
        <f aca="false">Runs!P1782</f>
        <v>0.0909090909090909</v>
      </c>
      <c r="I77" s="11" t="n">
        <f aca="false">Runs!P1793</f>
        <v>0.0909090909090909</v>
      </c>
      <c r="J77" s="11" t="n">
        <f aca="false">Runs!P1804</f>
        <v>0.0909090909090909</v>
      </c>
      <c r="K77" s="11" t="n">
        <f aca="false">Runs!P1815</f>
        <v>0.0909090909090909</v>
      </c>
      <c r="L77" s="11" t="n">
        <f aca="false">Runs!P1826</f>
        <v>0.0909090909090909</v>
      </c>
      <c r="M77" s="11" t="n">
        <f aca="false">Runs!P1837</f>
        <v>0.0909090909090909</v>
      </c>
      <c r="N77" s="11" t="n">
        <f aca="false">Runs!P1848</f>
        <v>0.0909090909090909</v>
      </c>
      <c r="O77" s="11" t="n">
        <f aca="false">Runs!P1859</f>
        <v>0.0909090909090909</v>
      </c>
      <c r="P77" s="11" t="n">
        <f aca="false">Runs!P1870</f>
        <v>0.0909090909090909</v>
      </c>
      <c r="Q77" s="16" t="n">
        <f aca="false">IF(COUNT(G77:P77)=0,"",AVERAGE(G77:P77))</f>
        <v>0.0909090909090909</v>
      </c>
      <c r="R77" s="16" t="n">
        <f aca="false">IF(COUNT(G77:P77)&lt;2,"",STDEV(G77:P77))</f>
        <v>0</v>
      </c>
      <c r="S77" s="6" t="n">
        <f aca="false">COUNT(G77:P77)</f>
        <v>10</v>
      </c>
    </row>
    <row r="78" customFormat="false" ht="15" hidden="false" customHeight="false" outlineLevel="0" collapsed="false">
      <c r="A78" s="17" t="s">
        <v>56</v>
      </c>
      <c r="B78" s="17" t="s">
        <v>43</v>
      </c>
      <c r="C78" s="17" t="s">
        <v>51</v>
      </c>
      <c r="D78" s="17" t="s">
        <v>118</v>
      </c>
      <c r="E78" s="17" t="n">
        <v>16</v>
      </c>
      <c r="F78" s="17" t="s">
        <v>78</v>
      </c>
      <c r="G78" s="18" t="n">
        <f aca="false">Runs!P1772</f>
        <v>0.0099009900990099</v>
      </c>
      <c r="H78" s="18" t="n">
        <f aca="false">Runs!P1783</f>
        <v>0.0099009900990099</v>
      </c>
      <c r="I78" s="18" t="n">
        <f aca="false">Runs!P1794</f>
        <v>0.0099009900990099</v>
      </c>
      <c r="J78" s="18" t="n">
        <f aca="false">Runs!P1805</f>
        <v>0.0099009900990099</v>
      </c>
      <c r="K78" s="18" t="n">
        <f aca="false">Runs!P1816</f>
        <v>0.0099009900990099</v>
      </c>
      <c r="L78" s="18" t="n">
        <f aca="false">Runs!P1827</f>
        <v>0.0099009900990099</v>
      </c>
      <c r="M78" s="18" t="n">
        <f aca="false">Runs!P1838</f>
        <v>0.0099009900990099</v>
      </c>
      <c r="N78" s="18" t="n">
        <f aca="false">Runs!P1849</f>
        <v>0.0099009900990099</v>
      </c>
      <c r="O78" s="18" t="n">
        <f aca="false">Runs!P1860</f>
        <v>0.0099009900990099</v>
      </c>
      <c r="P78" s="18" t="n">
        <f aca="false">Runs!P1871</f>
        <v>0.0099009900990099</v>
      </c>
      <c r="Q78" s="19" t="n">
        <f aca="false">IF(COUNT(G78:P78)=0,"",AVERAGE(G78:P78))</f>
        <v>0.0099009900990099</v>
      </c>
      <c r="R78" s="19" t="n">
        <f aca="false">IF(COUNT(G78:P78)&lt;2,"",STDEV(G78:P78))</f>
        <v>0</v>
      </c>
      <c r="S78" s="20" t="n">
        <f aca="false">COUNT(G78:P78)</f>
        <v>10</v>
      </c>
    </row>
    <row r="79" customFormat="false" ht="15" hidden="false" customHeight="false" outlineLevel="0" collapsed="false">
      <c r="A79" s="6" t="s">
        <v>58</v>
      </c>
      <c r="B79" s="6" t="s">
        <v>59</v>
      </c>
      <c r="C79" s="6" t="s">
        <v>44</v>
      </c>
      <c r="D79" s="6" t="s">
        <v>114</v>
      </c>
      <c r="E79" s="6" t="n">
        <v>4</v>
      </c>
      <c r="F79" s="6" t="s">
        <v>68</v>
      </c>
      <c r="G79" s="11" t="n">
        <f aca="false">Runs!P1872</f>
        <v>0</v>
      </c>
      <c r="H79" s="11" t="n">
        <f aca="false">Runs!P1883</f>
        <v>0</v>
      </c>
      <c r="I79" s="11" t="n">
        <f aca="false">Runs!P1894</f>
        <v>0</v>
      </c>
      <c r="J79" s="11" t="n">
        <f aca="false">Runs!P1905</f>
        <v>0</v>
      </c>
      <c r="K79" s="11" t="n">
        <f aca="false">Runs!P1916</f>
        <v>0</v>
      </c>
      <c r="L79" s="11" t="n">
        <f aca="false">Runs!P1927</f>
        <v>0</v>
      </c>
      <c r="M79" s="11" t="n">
        <f aca="false">Runs!P1938</f>
        <v>0</v>
      </c>
      <c r="N79" s="11" t="n">
        <f aca="false">Runs!P1949</f>
        <v>0</v>
      </c>
      <c r="O79" s="11" t="n">
        <f aca="false">Runs!P1960</f>
        <v>0</v>
      </c>
      <c r="P79" s="11" t="n">
        <f aca="false">Runs!P1971</f>
        <v>0</v>
      </c>
      <c r="Q79" s="16" t="n">
        <f aca="false">IF(COUNT(G79:P79)=0,"",AVERAGE(G79:P79))</f>
        <v>0</v>
      </c>
      <c r="R79" s="16" t="n">
        <f aca="false">IF(COUNT(G79:P79)&lt;2,"",STDEV(G79:P79))</f>
        <v>0</v>
      </c>
      <c r="S79" s="6" t="n">
        <f aca="false">COUNT(G79:P79)</f>
        <v>10</v>
      </c>
    </row>
    <row r="80" customFormat="false" ht="15" hidden="false" customHeight="false" outlineLevel="0" collapsed="false">
      <c r="A80" s="6" t="s">
        <v>58</v>
      </c>
      <c r="B80" s="6" t="s">
        <v>59</v>
      </c>
      <c r="C80" s="6" t="s">
        <v>44</v>
      </c>
      <c r="D80" s="6" t="s">
        <v>114</v>
      </c>
      <c r="E80" s="6" t="n">
        <v>4</v>
      </c>
      <c r="F80" s="6" t="s">
        <v>69</v>
      </c>
      <c r="G80" s="11" t="n">
        <f aca="false">Runs!P1873</f>
        <v>0</v>
      </c>
      <c r="H80" s="11" t="n">
        <f aca="false">Runs!P1884</f>
        <v>0</v>
      </c>
      <c r="I80" s="11" t="n">
        <f aca="false">Runs!P1895</f>
        <v>0</v>
      </c>
      <c r="J80" s="11" t="n">
        <f aca="false">Runs!P1906</f>
        <v>0</v>
      </c>
      <c r="K80" s="11" t="n">
        <f aca="false">Runs!P1917</f>
        <v>0</v>
      </c>
      <c r="L80" s="11" t="n">
        <f aca="false">Runs!P1928</f>
        <v>0</v>
      </c>
      <c r="M80" s="11" t="n">
        <f aca="false">Runs!P1939</f>
        <v>0</v>
      </c>
      <c r="N80" s="11" t="n">
        <f aca="false">Runs!P1950</f>
        <v>0</v>
      </c>
      <c r="O80" s="11" t="n">
        <f aca="false">Runs!P1961</f>
        <v>0</v>
      </c>
      <c r="P80" s="11" t="n">
        <f aca="false">Runs!P1972</f>
        <v>0</v>
      </c>
      <c r="Q80" s="16" t="n">
        <f aca="false">IF(COUNT(G80:P80)=0,"",AVERAGE(G80:P80))</f>
        <v>0</v>
      </c>
      <c r="R80" s="16" t="n">
        <f aca="false">IF(COUNT(G80:P80)&lt;2,"",STDEV(G80:P80))</f>
        <v>0</v>
      </c>
      <c r="S80" s="6" t="n">
        <f aca="false">COUNT(G80:P80)</f>
        <v>10</v>
      </c>
    </row>
    <row r="81" customFormat="false" ht="15" hidden="false" customHeight="false" outlineLevel="0" collapsed="false">
      <c r="A81" s="6" t="s">
        <v>58</v>
      </c>
      <c r="B81" s="6" t="s">
        <v>59</v>
      </c>
      <c r="C81" s="6" t="s">
        <v>44</v>
      </c>
      <c r="D81" s="6" t="s">
        <v>114</v>
      </c>
      <c r="E81" s="6" t="n">
        <v>4</v>
      </c>
      <c r="F81" s="6" t="s">
        <v>70</v>
      </c>
      <c r="G81" s="11" t="n">
        <f aca="false">Runs!P1874</f>
        <v>0</v>
      </c>
      <c r="H81" s="11" t="n">
        <f aca="false">Runs!P1885</f>
        <v>0.0952380952380952</v>
      </c>
      <c r="I81" s="11" t="n">
        <f aca="false">Runs!P1896</f>
        <v>0</v>
      </c>
      <c r="J81" s="11" t="n">
        <f aca="false">Runs!P1907</f>
        <v>0</v>
      </c>
      <c r="K81" s="11" t="n">
        <f aca="false">Runs!P1918</f>
        <v>0</v>
      </c>
      <c r="L81" s="11" t="n">
        <f aca="false">Runs!P1929</f>
        <v>0</v>
      </c>
      <c r="M81" s="11" t="n">
        <f aca="false">Runs!P1940</f>
        <v>0</v>
      </c>
      <c r="N81" s="11" t="n">
        <f aca="false">Runs!P1951</f>
        <v>0</v>
      </c>
      <c r="O81" s="11" t="n">
        <f aca="false">Runs!P1962</f>
        <v>0</v>
      </c>
      <c r="P81" s="11" t="n">
        <f aca="false">Runs!P1973</f>
        <v>0</v>
      </c>
      <c r="Q81" s="16" t="n">
        <f aca="false">IF(COUNT(G81:P81)=0,"",AVERAGE(G81:P81))</f>
        <v>0.00952380952380952</v>
      </c>
      <c r="R81" s="16" t="n">
        <f aca="false">IF(COUNT(G81:P81)&lt;2,"",STDEV(G81:P81))</f>
        <v>0.0301169300968417</v>
      </c>
      <c r="S81" s="6" t="n">
        <f aca="false">COUNT(G81:P81)</f>
        <v>10</v>
      </c>
    </row>
    <row r="82" customFormat="false" ht="15" hidden="false" customHeight="false" outlineLevel="0" collapsed="false">
      <c r="A82" s="6" t="s">
        <v>58</v>
      </c>
      <c r="B82" s="6" t="s">
        <v>59</v>
      </c>
      <c r="C82" s="6" t="s">
        <v>44</v>
      </c>
      <c r="D82" s="6" t="s">
        <v>114</v>
      </c>
      <c r="E82" s="6" t="n">
        <v>4</v>
      </c>
      <c r="F82" s="6" t="s">
        <v>71</v>
      </c>
      <c r="G82" s="11" t="n">
        <f aca="false">Runs!P1875</f>
        <v>0</v>
      </c>
      <c r="H82" s="11" t="n">
        <f aca="false">Runs!P1886</f>
        <v>0</v>
      </c>
      <c r="I82" s="11" t="n">
        <f aca="false">Runs!P1897</f>
        <v>0</v>
      </c>
      <c r="J82" s="11" t="n">
        <f aca="false">Runs!P1908</f>
        <v>0</v>
      </c>
      <c r="K82" s="11" t="n">
        <f aca="false">Runs!P1919</f>
        <v>0</v>
      </c>
      <c r="L82" s="11" t="n">
        <f aca="false">Runs!P1930</f>
        <v>0</v>
      </c>
      <c r="M82" s="11" t="n">
        <f aca="false">Runs!P1941</f>
        <v>0</v>
      </c>
      <c r="N82" s="11" t="n">
        <f aca="false">Runs!P1952</f>
        <v>0</v>
      </c>
      <c r="O82" s="11" t="n">
        <f aca="false">Runs!P1963</f>
        <v>0</v>
      </c>
      <c r="P82" s="11" t="n">
        <f aca="false">Runs!P1974</f>
        <v>0</v>
      </c>
      <c r="Q82" s="16" t="n">
        <f aca="false">IF(COUNT(G82:P82)=0,"",AVERAGE(G82:P82))</f>
        <v>0</v>
      </c>
      <c r="R82" s="16" t="n">
        <f aca="false">IF(COUNT(G82:P82)&lt;2,"",STDEV(G82:P82))</f>
        <v>0</v>
      </c>
      <c r="S82" s="6" t="n">
        <f aca="false">COUNT(G82:P82)</f>
        <v>10</v>
      </c>
    </row>
    <row r="83" customFormat="false" ht="15" hidden="false" customHeight="false" outlineLevel="0" collapsed="false">
      <c r="A83" s="6" t="s">
        <v>58</v>
      </c>
      <c r="B83" s="6" t="s">
        <v>59</v>
      </c>
      <c r="C83" s="6" t="s">
        <v>44</v>
      </c>
      <c r="D83" s="6" t="s">
        <v>114</v>
      </c>
      <c r="E83" s="6" t="n">
        <v>4</v>
      </c>
      <c r="F83" s="6" t="s">
        <v>72</v>
      </c>
      <c r="G83" s="11" t="n">
        <f aca="false">Runs!P1876</f>
        <v>0</v>
      </c>
      <c r="H83" s="11" t="n">
        <f aca="false">Runs!P1887</f>
        <v>0</v>
      </c>
      <c r="I83" s="11" t="n">
        <f aca="false">Runs!P1898</f>
        <v>0</v>
      </c>
      <c r="J83" s="11" t="n">
        <f aca="false">Runs!P1909</f>
        <v>0</v>
      </c>
      <c r="K83" s="11" t="n">
        <f aca="false">Runs!P1920</f>
        <v>0</v>
      </c>
      <c r="L83" s="11" t="n">
        <f aca="false">Runs!P1931</f>
        <v>0</v>
      </c>
      <c r="M83" s="11" t="n">
        <f aca="false">Runs!P1942</f>
        <v>0</v>
      </c>
      <c r="N83" s="11" t="n">
        <f aca="false">Runs!P1953</f>
        <v>0</v>
      </c>
      <c r="O83" s="11" t="n">
        <f aca="false">Runs!P1964</f>
        <v>0</v>
      </c>
      <c r="P83" s="11" t="n">
        <f aca="false">Runs!P1975</f>
        <v>0</v>
      </c>
      <c r="Q83" s="16" t="n">
        <f aca="false">IF(COUNT(G83:P83)=0,"",AVERAGE(G83:P83))</f>
        <v>0</v>
      </c>
      <c r="R83" s="16" t="n">
        <f aca="false">IF(COUNT(G83:P83)&lt;2,"",STDEV(G83:P83))</f>
        <v>0</v>
      </c>
      <c r="S83" s="6" t="n">
        <f aca="false">COUNT(G83:P83)</f>
        <v>10</v>
      </c>
    </row>
    <row r="84" customFormat="false" ht="15" hidden="false" customHeight="false" outlineLevel="0" collapsed="false">
      <c r="A84" s="6" t="s">
        <v>58</v>
      </c>
      <c r="B84" s="6" t="s">
        <v>59</v>
      </c>
      <c r="C84" s="6" t="s">
        <v>44</v>
      </c>
      <c r="D84" s="6" t="s">
        <v>114</v>
      </c>
      <c r="E84" s="6" t="n">
        <v>4</v>
      </c>
      <c r="F84" s="6" t="s">
        <v>73</v>
      </c>
      <c r="G84" s="11" t="n">
        <f aca="false">Runs!P1877</f>
        <v>0</v>
      </c>
      <c r="H84" s="11" t="n">
        <f aca="false">Runs!P1888</f>
        <v>0</v>
      </c>
      <c r="I84" s="11" t="n">
        <f aca="false">Runs!P1899</f>
        <v>0</v>
      </c>
      <c r="J84" s="11" t="n">
        <f aca="false">Runs!P1910</f>
        <v>0</v>
      </c>
      <c r="K84" s="11" t="n">
        <f aca="false">Runs!P1921</f>
        <v>0</v>
      </c>
      <c r="L84" s="11" t="n">
        <f aca="false">Runs!P1932</f>
        <v>0</v>
      </c>
      <c r="M84" s="11" t="n">
        <f aca="false">Runs!P1943</f>
        <v>0</v>
      </c>
      <c r="N84" s="11" t="n">
        <f aca="false">Runs!P1954</f>
        <v>0</v>
      </c>
      <c r="O84" s="11" t="n">
        <f aca="false">Runs!P1965</f>
        <v>0.0952380952380952</v>
      </c>
      <c r="P84" s="11" t="n">
        <f aca="false">Runs!P1976</f>
        <v>0</v>
      </c>
      <c r="Q84" s="16" t="n">
        <f aca="false">IF(COUNT(G84:P84)=0,"",AVERAGE(G84:P84))</f>
        <v>0.00952380952380952</v>
      </c>
      <c r="R84" s="16" t="n">
        <f aca="false">IF(COUNT(G84:P84)&lt;2,"",STDEV(G84:P84))</f>
        <v>0.0301169300968417</v>
      </c>
      <c r="S84" s="6" t="n">
        <f aca="false">COUNT(G84:P84)</f>
        <v>10</v>
      </c>
    </row>
    <row r="85" customFormat="false" ht="15" hidden="false" customHeight="false" outlineLevel="0" collapsed="false">
      <c r="A85" s="6" t="s">
        <v>58</v>
      </c>
      <c r="B85" s="6" t="s">
        <v>59</v>
      </c>
      <c r="C85" s="6" t="s">
        <v>44</v>
      </c>
      <c r="D85" s="6" t="s">
        <v>114</v>
      </c>
      <c r="E85" s="6" t="n">
        <v>4</v>
      </c>
      <c r="F85" s="6" t="s">
        <v>74</v>
      </c>
      <c r="G85" s="11" t="n">
        <f aca="false">Runs!P1878</f>
        <v>0</v>
      </c>
      <c r="H85" s="11" t="n">
        <f aca="false">Runs!P1889</f>
        <v>0</v>
      </c>
      <c r="I85" s="11" t="n">
        <f aca="false">Runs!P1900</f>
        <v>0</v>
      </c>
      <c r="J85" s="11" t="n">
        <f aca="false">Runs!P1911</f>
        <v>0</v>
      </c>
      <c r="K85" s="11" t="n">
        <f aca="false">Runs!P1922</f>
        <v>0</v>
      </c>
      <c r="L85" s="11" t="n">
        <f aca="false">Runs!P1933</f>
        <v>0</v>
      </c>
      <c r="M85" s="11" t="n">
        <f aca="false">Runs!P1944</f>
        <v>0</v>
      </c>
      <c r="N85" s="11" t="n">
        <f aca="false">Runs!P1955</f>
        <v>0</v>
      </c>
      <c r="O85" s="11" t="n">
        <f aca="false">Runs!P1966</f>
        <v>0.0952380952380952</v>
      </c>
      <c r="P85" s="11" t="n">
        <f aca="false">Runs!P1977</f>
        <v>0</v>
      </c>
      <c r="Q85" s="16" t="n">
        <f aca="false">IF(COUNT(G85:P85)=0,"",AVERAGE(G85:P85))</f>
        <v>0.00952380952380952</v>
      </c>
      <c r="R85" s="16" t="n">
        <f aca="false">IF(COUNT(G85:P85)&lt;2,"",STDEV(G85:P85))</f>
        <v>0.0301169300968417</v>
      </c>
      <c r="S85" s="6" t="n">
        <f aca="false">COUNT(G85:P85)</f>
        <v>10</v>
      </c>
    </row>
    <row r="86" customFormat="false" ht="15" hidden="false" customHeight="false" outlineLevel="0" collapsed="false">
      <c r="A86" s="6" t="s">
        <v>58</v>
      </c>
      <c r="B86" s="6" t="s">
        <v>59</v>
      </c>
      <c r="C86" s="6" t="s">
        <v>44</v>
      </c>
      <c r="D86" s="6" t="s">
        <v>114</v>
      </c>
      <c r="E86" s="6" t="n">
        <v>4</v>
      </c>
      <c r="F86" s="6" t="s">
        <v>75</v>
      </c>
      <c r="G86" s="11" t="n">
        <f aca="false">Runs!P1879</f>
        <v>0</v>
      </c>
      <c r="H86" s="11" t="n">
        <f aca="false">Runs!P1890</f>
        <v>0</v>
      </c>
      <c r="I86" s="11" t="n">
        <f aca="false">Runs!P1901</f>
        <v>0</v>
      </c>
      <c r="J86" s="11" t="n">
        <f aca="false">Runs!P1912</f>
        <v>0</v>
      </c>
      <c r="K86" s="11" t="n">
        <f aca="false">Runs!P1923</f>
        <v>0</v>
      </c>
      <c r="L86" s="11" t="n">
        <f aca="false">Runs!P1934</f>
        <v>0</v>
      </c>
      <c r="M86" s="11" t="n">
        <f aca="false">Runs!P1945</f>
        <v>0</v>
      </c>
      <c r="N86" s="11" t="n">
        <f aca="false">Runs!P1956</f>
        <v>0</v>
      </c>
      <c r="O86" s="11" t="n">
        <f aca="false">Runs!P1967</f>
        <v>0</v>
      </c>
      <c r="P86" s="11" t="n">
        <f aca="false">Runs!P1978</f>
        <v>0</v>
      </c>
      <c r="Q86" s="16" t="n">
        <f aca="false">IF(COUNT(G86:P86)=0,"",AVERAGE(G86:P86))</f>
        <v>0</v>
      </c>
      <c r="R86" s="16" t="n">
        <f aca="false">IF(COUNT(G86:P86)&lt;2,"",STDEV(G86:P86))</f>
        <v>0</v>
      </c>
      <c r="S86" s="6" t="n">
        <f aca="false">COUNT(G86:P86)</f>
        <v>10</v>
      </c>
    </row>
    <row r="87" customFormat="false" ht="15" hidden="false" customHeight="false" outlineLevel="0" collapsed="false">
      <c r="A87" s="6" t="s">
        <v>58</v>
      </c>
      <c r="B87" s="6" t="s">
        <v>59</v>
      </c>
      <c r="C87" s="6" t="s">
        <v>44</v>
      </c>
      <c r="D87" s="6" t="s">
        <v>114</v>
      </c>
      <c r="E87" s="6" t="n">
        <v>4</v>
      </c>
      <c r="F87" s="6" t="s">
        <v>76</v>
      </c>
      <c r="G87" s="11" t="n">
        <f aca="false">Runs!P1880</f>
        <v>0</v>
      </c>
      <c r="H87" s="11" t="n">
        <f aca="false">Runs!P1891</f>
        <v>0</v>
      </c>
      <c r="I87" s="11" t="n">
        <f aca="false">Runs!P1902</f>
        <v>0</v>
      </c>
      <c r="J87" s="11" t="n">
        <f aca="false">Runs!P1913</f>
        <v>0</v>
      </c>
      <c r="K87" s="11" t="n">
        <f aca="false">Runs!P1924</f>
        <v>0</v>
      </c>
      <c r="L87" s="11" t="n">
        <f aca="false">Runs!P1935</f>
        <v>0</v>
      </c>
      <c r="M87" s="11" t="n">
        <f aca="false">Runs!P1946</f>
        <v>0</v>
      </c>
      <c r="N87" s="11" t="n">
        <f aca="false">Runs!P1957</f>
        <v>0</v>
      </c>
      <c r="O87" s="11" t="n">
        <f aca="false">Runs!P1968</f>
        <v>0</v>
      </c>
      <c r="P87" s="11" t="n">
        <f aca="false">Runs!P1979</f>
        <v>0</v>
      </c>
      <c r="Q87" s="16" t="n">
        <f aca="false">IF(COUNT(G87:P87)=0,"",AVERAGE(G87:P87))</f>
        <v>0</v>
      </c>
      <c r="R87" s="16" t="n">
        <f aca="false">IF(COUNT(G87:P87)&lt;2,"",STDEV(G87:P87))</f>
        <v>0</v>
      </c>
      <c r="S87" s="6" t="n">
        <f aca="false">COUNT(G87:P87)</f>
        <v>10</v>
      </c>
    </row>
    <row r="88" customFormat="false" ht="15" hidden="false" customHeight="false" outlineLevel="0" collapsed="false">
      <c r="A88" s="6" t="s">
        <v>58</v>
      </c>
      <c r="B88" s="6" t="s">
        <v>59</v>
      </c>
      <c r="C88" s="6" t="s">
        <v>44</v>
      </c>
      <c r="D88" s="6" t="s">
        <v>114</v>
      </c>
      <c r="E88" s="6" t="n">
        <v>4</v>
      </c>
      <c r="F88" s="6" t="s">
        <v>77</v>
      </c>
      <c r="G88" s="11" t="n">
        <f aca="false">Runs!P1881</f>
        <v>0.0909090909090909</v>
      </c>
      <c r="H88" s="11" t="n">
        <f aca="false">Runs!P1892</f>
        <v>0.0909090909090909</v>
      </c>
      <c r="I88" s="11" t="n">
        <f aca="false">Runs!P1903</f>
        <v>0.0909090909090909</v>
      </c>
      <c r="J88" s="11" t="n">
        <f aca="false">Runs!P1914</f>
        <v>0</v>
      </c>
      <c r="K88" s="11" t="n">
        <f aca="false">Runs!P1925</f>
        <v>0.0909090909090909</v>
      </c>
      <c r="L88" s="11" t="n">
        <f aca="false">Runs!P1936</f>
        <v>0.0909090909090909</v>
      </c>
      <c r="M88" s="11" t="n">
        <f aca="false">Runs!P1947</f>
        <v>0.0909090909090909</v>
      </c>
      <c r="N88" s="11" t="n">
        <f aca="false">Runs!P1958</f>
        <v>0.0909090909090909</v>
      </c>
      <c r="O88" s="11" t="n">
        <f aca="false">Runs!P1969</f>
        <v>0</v>
      </c>
      <c r="P88" s="11" t="n">
        <f aca="false">Runs!P1980</f>
        <v>0.0909090909090909</v>
      </c>
      <c r="Q88" s="16" t="n">
        <f aca="false">IF(COUNT(G88:P88)=0,"",AVERAGE(G88:P88))</f>
        <v>0.0727272727272727</v>
      </c>
      <c r="R88" s="16" t="n">
        <f aca="false">IF(COUNT(G88:P88)&lt;2,"",STDEV(G88:P88))</f>
        <v>0.0383306383050713</v>
      </c>
      <c r="S88" s="6" t="n">
        <f aca="false">COUNT(G88:P88)</f>
        <v>10</v>
      </c>
    </row>
    <row r="89" customFormat="false" ht="15" hidden="false" customHeight="false" outlineLevel="0" collapsed="false">
      <c r="A89" s="17" t="s">
        <v>58</v>
      </c>
      <c r="B89" s="17" t="s">
        <v>59</v>
      </c>
      <c r="C89" s="17" t="s">
        <v>44</v>
      </c>
      <c r="D89" s="17" t="s">
        <v>114</v>
      </c>
      <c r="E89" s="17" t="n">
        <v>4</v>
      </c>
      <c r="F89" s="17" t="s">
        <v>78</v>
      </c>
      <c r="G89" s="18" t="n">
        <f aca="false">Runs!P1882</f>
        <v>0.0099009900990099</v>
      </c>
      <c r="H89" s="18" t="n">
        <f aca="false">Runs!P1893</f>
        <v>0.0197044334975369</v>
      </c>
      <c r="I89" s="18" t="n">
        <f aca="false">Runs!P1904</f>
        <v>0.0099009900990099</v>
      </c>
      <c r="J89" s="18" t="n">
        <f aca="false">Runs!P1915</f>
        <v>0</v>
      </c>
      <c r="K89" s="18" t="n">
        <f aca="false">Runs!P1926</f>
        <v>0.0099009900990099</v>
      </c>
      <c r="L89" s="18" t="n">
        <f aca="false">Runs!P1937</f>
        <v>0.0099009900990099</v>
      </c>
      <c r="M89" s="18" t="n">
        <f aca="false">Runs!P1948</f>
        <v>0.0099009900990099</v>
      </c>
      <c r="N89" s="18" t="n">
        <f aca="false">Runs!P1959</f>
        <v>0.0099009900990099</v>
      </c>
      <c r="O89" s="18" t="n">
        <f aca="false">Runs!P1970</f>
        <v>0.0197044334975369</v>
      </c>
      <c r="P89" s="18" t="n">
        <f aca="false">Runs!P1981</f>
        <v>0.0099009900990099</v>
      </c>
      <c r="Q89" s="19" t="n">
        <f aca="false">IF(COUNT(G89:P89)=0,"",AVERAGE(G89:P89))</f>
        <v>0.0108715797688143</v>
      </c>
      <c r="R89" s="19" t="n">
        <f aca="false">IF(COUNT(G89:P89)&lt;2,"",STDEV(G89:P89))</f>
        <v>0.00558593637634957</v>
      </c>
      <c r="S89" s="20" t="n">
        <f aca="false">COUNT(G89:P89)</f>
        <v>10</v>
      </c>
    </row>
    <row r="90" customFormat="false" ht="15" hidden="false" customHeight="false" outlineLevel="0" collapsed="false">
      <c r="A90" s="6" t="s">
        <v>60</v>
      </c>
      <c r="B90" s="6" t="s">
        <v>59</v>
      </c>
      <c r="C90" s="6" t="s">
        <v>51</v>
      </c>
      <c r="D90" s="6" t="s">
        <v>119</v>
      </c>
      <c r="E90" s="6" t="n">
        <v>16</v>
      </c>
      <c r="F90" s="6" t="s">
        <v>68</v>
      </c>
      <c r="G90" s="11" t="n">
        <f aca="false">Runs!P1982</f>
        <v>0</v>
      </c>
      <c r="H90" s="11" t="n">
        <f aca="false">Runs!P1993</f>
        <v>0</v>
      </c>
      <c r="I90" s="11" t="n">
        <f aca="false">Runs!P2004</f>
        <v>0</v>
      </c>
      <c r="J90" s="11" t="n">
        <f aca="false">Runs!P2015</f>
        <v>0</v>
      </c>
      <c r="K90" s="11" t="n">
        <f aca="false">Runs!P2026</f>
        <v>0</v>
      </c>
      <c r="L90" s="11" t="n">
        <f aca="false">Runs!P2037</f>
        <v>0</v>
      </c>
      <c r="M90" s="11" t="n">
        <f aca="false">Runs!P2048</f>
        <v>0</v>
      </c>
      <c r="N90" s="11" t="n">
        <f aca="false">Runs!P2059</f>
        <v>0</v>
      </c>
      <c r="O90" s="11" t="n">
        <f aca="false">Runs!P2070</f>
        <v>0</v>
      </c>
      <c r="P90" s="11" t="n">
        <f aca="false">Runs!P2081</f>
        <v>0</v>
      </c>
      <c r="Q90" s="16" t="n">
        <f aca="false">IF(COUNT(G90:P90)=0,"",AVERAGE(G90:P90))</f>
        <v>0</v>
      </c>
      <c r="R90" s="16" t="n">
        <f aca="false">IF(COUNT(G90:P90)&lt;2,"",STDEV(G90:P90))</f>
        <v>0</v>
      </c>
      <c r="S90" s="6" t="n">
        <f aca="false">COUNT(G90:P90)</f>
        <v>10</v>
      </c>
    </row>
    <row r="91" customFormat="false" ht="15" hidden="false" customHeight="false" outlineLevel="0" collapsed="false">
      <c r="A91" s="6" t="s">
        <v>60</v>
      </c>
      <c r="B91" s="6" t="s">
        <v>59</v>
      </c>
      <c r="C91" s="6" t="s">
        <v>51</v>
      </c>
      <c r="D91" s="6" t="s">
        <v>119</v>
      </c>
      <c r="E91" s="6" t="n">
        <v>16</v>
      </c>
      <c r="F91" s="6" t="s">
        <v>69</v>
      </c>
      <c r="G91" s="11" t="n">
        <f aca="false">Runs!P1983</f>
        <v>0</v>
      </c>
      <c r="H91" s="11" t="n">
        <f aca="false">Runs!P1994</f>
        <v>0</v>
      </c>
      <c r="I91" s="11" t="n">
        <f aca="false">Runs!P2005</f>
        <v>0</v>
      </c>
      <c r="J91" s="11" t="n">
        <f aca="false">Runs!P2016</f>
        <v>0</v>
      </c>
      <c r="K91" s="11" t="n">
        <f aca="false">Runs!P2027</f>
        <v>0</v>
      </c>
      <c r="L91" s="11" t="n">
        <f aca="false">Runs!P2038</f>
        <v>0</v>
      </c>
      <c r="M91" s="11" t="n">
        <f aca="false">Runs!P2049</f>
        <v>0</v>
      </c>
      <c r="N91" s="11" t="n">
        <f aca="false">Runs!P2060</f>
        <v>0</v>
      </c>
      <c r="O91" s="11" t="n">
        <f aca="false">Runs!P2071</f>
        <v>0</v>
      </c>
      <c r="P91" s="11" t="n">
        <f aca="false">Runs!P2082</f>
        <v>0</v>
      </c>
      <c r="Q91" s="16" t="n">
        <f aca="false">IF(COUNT(G91:P91)=0,"",AVERAGE(G91:P91))</f>
        <v>0</v>
      </c>
      <c r="R91" s="16" t="n">
        <f aca="false">IF(COUNT(G91:P91)&lt;2,"",STDEV(G91:P91))</f>
        <v>0</v>
      </c>
      <c r="S91" s="6" t="n">
        <f aca="false">COUNT(G91:P91)</f>
        <v>10</v>
      </c>
    </row>
    <row r="92" customFormat="false" ht="15" hidden="false" customHeight="false" outlineLevel="0" collapsed="false">
      <c r="A92" s="6" t="s">
        <v>60</v>
      </c>
      <c r="B92" s="6" t="s">
        <v>59</v>
      </c>
      <c r="C92" s="6" t="s">
        <v>51</v>
      </c>
      <c r="D92" s="6" t="s">
        <v>119</v>
      </c>
      <c r="E92" s="6" t="n">
        <v>16</v>
      </c>
      <c r="F92" s="6" t="s">
        <v>70</v>
      </c>
      <c r="G92" s="11" t="n">
        <f aca="false">Runs!P1984</f>
        <v>0</v>
      </c>
      <c r="H92" s="11" t="n">
        <f aca="false">Runs!P1995</f>
        <v>0</v>
      </c>
      <c r="I92" s="11" t="n">
        <f aca="false">Runs!P2006</f>
        <v>0</v>
      </c>
      <c r="J92" s="11" t="n">
        <f aca="false">Runs!P2017</f>
        <v>0</v>
      </c>
      <c r="K92" s="11" t="n">
        <f aca="false">Runs!P2028</f>
        <v>0</v>
      </c>
      <c r="L92" s="11" t="n">
        <f aca="false">Runs!P2039</f>
        <v>0</v>
      </c>
      <c r="M92" s="11" t="n">
        <f aca="false">Runs!P2050</f>
        <v>0</v>
      </c>
      <c r="N92" s="11" t="n">
        <f aca="false">Runs!P2061</f>
        <v>0</v>
      </c>
      <c r="O92" s="11" t="n">
        <f aca="false">Runs!P2072</f>
        <v>0</v>
      </c>
      <c r="P92" s="11" t="n">
        <f aca="false">Runs!P2083</f>
        <v>0</v>
      </c>
      <c r="Q92" s="16" t="n">
        <f aca="false">IF(COUNT(G92:P92)=0,"",AVERAGE(G92:P92))</f>
        <v>0</v>
      </c>
      <c r="R92" s="16" t="n">
        <f aca="false">IF(COUNT(G92:P92)&lt;2,"",STDEV(G92:P92))</f>
        <v>0</v>
      </c>
      <c r="S92" s="6" t="n">
        <f aca="false">COUNT(G92:P92)</f>
        <v>10</v>
      </c>
    </row>
    <row r="93" customFormat="false" ht="15" hidden="false" customHeight="false" outlineLevel="0" collapsed="false">
      <c r="A93" s="6" t="s">
        <v>60</v>
      </c>
      <c r="B93" s="6" t="s">
        <v>59</v>
      </c>
      <c r="C93" s="6" t="s">
        <v>51</v>
      </c>
      <c r="D93" s="6" t="s">
        <v>119</v>
      </c>
      <c r="E93" s="6" t="n">
        <v>16</v>
      </c>
      <c r="F93" s="6" t="s">
        <v>71</v>
      </c>
      <c r="G93" s="11" t="n">
        <f aca="false">Runs!P1985</f>
        <v>0.181818181818182</v>
      </c>
      <c r="H93" s="11" t="n">
        <f aca="false">Runs!P1996</f>
        <v>0</v>
      </c>
      <c r="I93" s="11" t="n">
        <f aca="false">Runs!P2007</f>
        <v>0</v>
      </c>
      <c r="J93" s="11" t="n">
        <f aca="false">Runs!P2018</f>
        <v>0</v>
      </c>
      <c r="K93" s="11" t="n">
        <f aca="false">Runs!P2029</f>
        <v>0</v>
      </c>
      <c r="L93" s="11" t="n">
        <f aca="false">Runs!P2040</f>
        <v>0</v>
      </c>
      <c r="M93" s="11" t="n">
        <f aca="false">Runs!P2051</f>
        <v>0</v>
      </c>
      <c r="N93" s="11" t="n">
        <f aca="false">Runs!P2062</f>
        <v>0</v>
      </c>
      <c r="O93" s="11" t="n">
        <f aca="false">Runs!P2073</f>
        <v>0</v>
      </c>
      <c r="P93" s="11" t="n">
        <f aca="false">Runs!P2084</f>
        <v>0</v>
      </c>
      <c r="Q93" s="16" t="n">
        <f aca="false">IF(COUNT(G93:P93)=0,"",AVERAGE(G93:P93))</f>
        <v>0.0181818181818182</v>
      </c>
      <c r="R93" s="16" t="n">
        <f aca="false">IF(COUNT(G93:P93)&lt;2,"",STDEV(G93:P93))</f>
        <v>0.0574959574576069</v>
      </c>
      <c r="S93" s="6" t="n">
        <f aca="false">COUNT(G93:P93)</f>
        <v>10</v>
      </c>
    </row>
    <row r="94" customFormat="false" ht="15" hidden="false" customHeight="false" outlineLevel="0" collapsed="false">
      <c r="A94" s="6" t="s">
        <v>60</v>
      </c>
      <c r="B94" s="6" t="s">
        <v>59</v>
      </c>
      <c r="C94" s="6" t="s">
        <v>51</v>
      </c>
      <c r="D94" s="6" t="s">
        <v>119</v>
      </c>
      <c r="E94" s="6" t="n">
        <v>16</v>
      </c>
      <c r="F94" s="6" t="s">
        <v>72</v>
      </c>
      <c r="G94" s="11" t="n">
        <f aca="false">Runs!P1986</f>
        <v>0.0952380952380952</v>
      </c>
      <c r="H94" s="11" t="n">
        <f aca="false">Runs!P1997</f>
        <v>0</v>
      </c>
      <c r="I94" s="11" t="n">
        <f aca="false">Runs!P2008</f>
        <v>0</v>
      </c>
      <c r="J94" s="11" t="n">
        <f aca="false">Runs!P2019</f>
        <v>0</v>
      </c>
      <c r="K94" s="11" t="n">
        <f aca="false">Runs!P2030</f>
        <v>0</v>
      </c>
      <c r="L94" s="11" t="n">
        <f aca="false">Runs!P2041</f>
        <v>0</v>
      </c>
      <c r="M94" s="11" t="n">
        <f aca="false">Runs!P2052</f>
        <v>0</v>
      </c>
      <c r="N94" s="11" t="n">
        <f aca="false">Runs!P2063</f>
        <v>0</v>
      </c>
      <c r="O94" s="11" t="n">
        <f aca="false">Runs!P2074</f>
        <v>0</v>
      </c>
      <c r="P94" s="11" t="n">
        <f aca="false">Runs!P2085</f>
        <v>0</v>
      </c>
      <c r="Q94" s="16" t="n">
        <f aca="false">IF(COUNT(G94:P94)=0,"",AVERAGE(G94:P94))</f>
        <v>0.00952380952380952</v>
      </c>
      <c r="R94" s="16" t="n">
        <f aca="false">IF(COUNT(G94:P94)&lt;2,"",STDEV(G94:P94))</f>
        <v>0.0301169300968417</v>
      </c>
      <c r="S94" s="6" t="n">
        <f aca="false">COUNT(G94:P94)</f>
        <v>10</v>
      </c>
    </row>
    <row r="95" customFormat="false" ht="15" hidden="false" customHeight="false" outlineLevel="0" collapsed="false">
      <c r="A95" s="6" t="s">
        <v>60</v>
      </c>
      <c r="B95" s="6" t="s">
        <v>59</v>
      </c>
      <c r="C95" s="6" t="s">
        <v>51</v>
      </c>
      <c r="D95" s="6" t="s">
        <v>119</v>
      </c>
      <c r="E95" s="6" t="n">
        <v>16</v>
      </c>
      <c r="F95" s="6" t="s">
        <v>73</v>
      </c>
      <c r="G95" s="11" t="n">
        <f aca="false">Runs!P1987</f>
        <v>0</v>
      </c>
      <c r="H95" s="11" t="n">
        <f aca="false">Runs!P1998</f>
        <v>0</v>
      </c>
      <c r="I95" s="11" t="n">
        <f aca="false">Runs!P2009</f>
        <v>0</v>
      </c>
      <c r="J95" s="11" t="n">
        <f aca="false">Runs!P2020</f>
        <v>0</v>
      </c>
      <c r="K95" s="11" t="n">
        <f aca="false">Runs!P2031</f>
        <v>0</v>
      </c>
      <c r="L95" s="11" t="n">
        <f aca="false">Runs!P2042</f>
        <v>0</v>
      </c>
      <c r="M95" s="11" t="n">
        <f aca="false">Runs!P2053</f>
        <v>0</v>
      </c>
      <c r="N95" s="11" t="n">
        <f aca="false">Runs!P2064</f>
        <v>0</v>
      </c>
      <c r="O95" s="11" t="n">
        <f aca="false">Runs!P2075</f>
        <v>0</v>
      </c>
      <c r="P95" s="11" t="n">
        <f aca="false">Runs!P2086</f>
        <v>0</v>
      </c>
      <c r="Q95" s="16" t="n">
        <f aca="false">IF(COUNT(G95:P95)=0,"",AVERAGE(G95:P95))</f>
        <v>0</v>
      </c>
      <c r="R95" s="16" t="n">
        <f aca="false">IF(COUNT(G95:P95)&lt;2,"",STDEV(G95:P95))</f>
        <v>0</v>
      </c>
      <c r="S95" s="6" t="n">
        <f aca="false">COUNT(G95:P95)</f>
        <v>10</v>
      </c>
    </row>
    <row r="96" customFormat="false" ht="15" hidden="false" customHeight="false" outlineLevel="0" collapsed="false">
      <c r="A96" s="6" t="s">
        <v>60</v>
      </c>
      <c r="B96" s="6" t="s">
        <v>59</v>
      </c>
      <c r="C96" s="6" t="s">
        <v>51</v>
      </c>
      <c r="D96" s="6" t="s">
        <v>119</v>
      </c>
      <c r="E96" s="6" t="n">
        <v>16</v>
      </c>
      <c r="F96" s="6" t="s">
        <v>74</v>
      </c>
      <c r="G96" s="11" t="n">
        <f aca="false">Runs!P1988</f>
        <v>0</v>
      </c>
      <c r="H96" s="11" t="n">
        <f aca="false">Runs!P1999</f>
        <v>0</v>
      </c>
      <c r="I96" s="11" t="n">
        <f aca="false">Runs!P2010</f>
        <v>0</v>
      </c>
      <c r="J96" s="11" t="n">
        <f aca="false">Runs!P2021</f>
        <v>0</v>
      </c>
      <c r="K96" s="11" t="n">
        <f aca="false">Runs!P2032</f>
        <v>0</v>
      </c>
      <c r="L96" s="11" t="n">
        <f aca="false">Runs!P2043</f>
        <v>0</v>
      </c>
      <c r="M96" s="11" t="n">
        <f aca="false">Runs!P2054</f>
        <v>0</v>
      </c>
      <c r="N96" s="11" t="n">
        <f aca="false">Runs!P2065</f>
        <v>0</v>
      </c>
      <c r="O96" s="11" t="n">
        <f aca="false">Runs!P2076</f>
        <v>0</v>
      </c>
      <c r="P96" s="11" t="n">
        <f aca="false">Runs!P2087</f>
        <v>0</v>
      </c>
      <c r="Q96" s="16" t="n">
        <f aca="false">IF(COUNT(G96:P96)=0,"",AVERAGE(G96:P96))</f>
        <v>0</v>
      </c>
      <c r="R96" s="16" t="n">
        <f aca="false">IF(COUNT(G96:P96)&lt;2,"",STDEV(G96:P96))</f>
        <v>0</v>
      </c>
      <c r="S96" s="6" t="n">
        <f aca="false">COUNT(G96:P96)</f>
        <v>10</v>
      </c>
    </row>
    <row r="97" customFormat="false" ht="15" hidden="false" customHeight="false" outlineLevel="0" collapsed="false">
      <c r="A97" s="6" t="s">
        <v>60</v>
      </c>
      <c r="B97" s="6" t="s">
        <v>59</v>
      </c>
      <c r="C97" s="6" t="s">
        <v>51</v>
      </c>
      <c r="D97" s="6" t="s">
        <v>119</v>
      </c>
      <c r="E97" s="6" t="n">
        <v>16</v>
      </c>
      <c r="F97" s="6" t="s">
        <v>75</v>
      </c>
      <c r="G97" s="11" t="n">
        <f aca="false">Runs!P1989</f>
        <v>0.0952380952380952</v>
      </c>
      <c r="H97" s="11" t="n">
        <f aca="false">Runs!P2000</f>
        <v>0</v>
      </c>
      <c r="I97" s="11" t="n">
        <f aca="false">Runs!P2011</f>
        <v>0</v>
      </c>
      <c r="J97" s="11" t="n">
        <f aca="false">Runs!P2022</f>
        <v>0</v>
      </c>
      <c r="K97" s="11" t="n">
        <f aca="false">Runs!P2033</f>
        <v>0</v>
      </c>
      <c r="L97" s="11" t="n">
        <f aca="false">Runs!P2044</f>
        <v>0</v>
      </c>
      <c r="M97" s="11" t="n">
        <f aca="false">Runs!P2055</f>
        <v>0</v>
      </c>
      <c r="N97" s="11" t="n">
        <f aca="false">Runs!P2066</f>
        <v>0</v>
      </c>
      <c r="O97" s="11" t="n">
        <f aca="false">Runs!P2077</f>
        <v>0</v>
      </c>
      <c r="P97" s="11" t="n">
        <f aca="false">Runs!P2088</f>
        <v>0</v>
      </c>
      <c r="Q97" s="16" t="n">
        <f aca="false">IF(COUNT(G97:P97)=0,"",AVERAGE(G97:P97))</f>
        <v>0.00952380952380952</v>
      </c>
      <c r="R97" s="16" t="n">
        <f aca="false">IF(COUNT(G97:P97)&lt;2,"",STDEV(G97:P97))</f>
        <v>0.0301169300968417</v>
      </c>
      <c r="S97" s="6" t="n">
        <f aca="false">COUNT(G97:P97)</f>
        <v>10</v>
      </c>
    </row>
    <row r="98" customFormat="false" ht="15" hidden="false" customHeight="false" outlineLevel="0" collapsed="false">
      <c r="A98" s="6" t="s">
        <v>60</v>
      </c>
      <c r="B98" s="6" t="s">
        <v>59</v>
      </c>
      <c r="C98" s="6" t="s">
        <v>51</v>
      </c>
      <c r="D98" s="6" t="s">
        <v>119</v>
      </c>
      <c r="E98" s="6" t="n">
        <v>16</v>
      </c>
      <c r="F98" s="6" t="s">
        <v>76</v>
      </c>
      <c r="G98" s="11" t="n">
        <f aca="false">Runs!P1990</f>
        <v>0</v>
      </c>
      <c r="H98" s="11" t="n">
        <f aca="false">Runs!P2001</f>
        <v>0</v>
      </c>
      <c r="I98" s="11" t="n">
        <f aca="false">Runs!P2012</f>
        <v>0</v>
      </c>
      <c r="J98" s="11" t="n">
        <f aca="false">Runs!P2023</f>
        <v>0</v>
      </c>
      <c r="K98" s="11" t="n">
        <f aca="false">Runs!P2034</f>
        <v>0</v>
      </c>
      <c r="L98" s="11" t="n">
        <f aca="false">Runs!P2045</f>
        <v>0</v>
      </c>
      <c r="M98" s="11" t="n">
        <f aca="false">Runs!P2056</f>
        <v>0</v>
      </c>
      <c r="N98" s="11" t="n">
        <f aca="false">Runs!P2067</f>
        <v>0</v>
      </c>
      <c r="O98" s="11" t="n">
        <f aca="false">Runs!P2078</f>
        <v>0</v>
      </c>
      <c r="P98" s="11" t="n">
        <f aca="false">Runs!P2089</f>
        <v>0</v>
      </c>
      <c r="Q98" s="16" t="n">
        <f aca="false">IF(COUNT(G98:P98)=0,"",AVERAGE(G98:P98))</f>
        <v>0</v>
      </c>
      <c r="R98" s="16" t="n">
        <f aca="false">IF(COUNT(G98:P98)&lt;2,"",STDEV(G98:P98))</f>
        <v>0</v>
      </c>
      <c r="S98" s="6" t="n">
        <f aca="false">COUNT(G98:P98)</f>
        <v>10</v>
      </c>
    </row>
    <row r="99" customFormat="false" ht="15" hidden="false" customHeight="false" outlineLevel="0" collapsed="false">
      <c r="A99" s="6" t="s">
        <v>60</v>
      </c>
      <c r="B99" s="6" t="s">
        <v>59</v>
      </c>
      <c r="C99" s="6" t="s">
        <v>51</v>
      </c>
      <c r="D99" s="6" t="s">
        <v>119</v>
      </c>
      <c r="E99" s="6" t="n">
        <v>16</v>
      </c>
      <c r="F99" s="6" t="s">
        <v>77</v>
      </c>
      <c r="G99" s="11" t="n">
        <f aca="false">Runs!P1991</f>
        <v>0.0909090909090909</v>
      </c>
      <c r="H99" s="11" t="n">
        <f aca="false">Runs!P2002</f>
        <v>0.0909090909090909</v>
      </c>
      <c r="I99" s="11" t="n">
        <f aca="false">Runs!P2013</f>
        <v>0.0909090909090909</v>
      </c>
      <c r="J99" s="11" t="n">
        <f aca="false">Runs!P2024</f>
        <v>0.0909090909090909</v>
      </c>
      <c r="K99" s="11" t="n">
        <f aca="false">Runs!P2035</f>
        <v>0.0909090909090909</v>
      </c>
      <c r="L99" s="11" t="n">
        <f aca="false">Runs!P2046</f>
        <v>0.0909090909090909</v>
      </c>
      <c r="M99" s="11" t="n">
        <f aca="false">Runs!P2057</f>
        <v>0.0909090909090909</v>
      </c>
      <c r="N99" s="11" t="n">
        <f aca="false">Runs!P2068</f>
        <v>0.0909090909090909</v>
      </c>
      <c r="O99" s="11" t="n">
        <f aca="false">Runs!P2079</f>
        <v>0.0909090909090909</v>
      </c>
      <c r="P99" s="11" t="n">
        <f aca="false">Runs!P2090</f>
        <v>0.0909090909090909</v>
      </c>
      <c r="Q99" s="16" t="n">
        <f aca="false">IF(COUNT(G99:P99)=0,"",AVERAGE(G99:P99))</f>
        <v>0.0909090909090909</v>
      </c>
      <c r="R99" s="16" t="n">
        <f aca="false">IF(COUNT(G99:P99)&lt;2,"",STDEV(G99:P99))</f>
        <v>0</v>
      </c>
      <c r="S99" s="6" t="n">
        <f aca="false">COUNT(G99:P99)</f>
        <v>10</v>
      </c>
    </row>
    <row r="100" customFormat="false" ht="15" hidden="false" customHeight="false" outlineLevel="0" collapsed="false">
      <c r="A100" s="17" t="s">
        <v>60</v>
      </c>
      <c r="B100" s="17" t="s">
        <v>59</v>
      </c>
      <c r="C100" s="17" t="s">
        <v>51</v>
      </c>
      <c r="D100" s="17" t="s">
        <v>119</v>
      </c>
      <c r="E100" s="17" t="n">
        <v>16</v>
      </c>
      <c r="F100" s="17" t="s">
        <v>78</v>
      </c>
      <c r="G100" s="18" t="n">
        <f aca="false">Runs!P1992</f>
        <v>0.0485436893203884</v>
      </c>
      <c r="H100" s="18" t="n">
        <f aca="false">Runs!P2003</f>
        <v>0.0099009900990099</v>
      </c>
      <c r="I100" s="18" t="n">
        <f aca="false">Runs!P2014</f>
        <v>0.0099009900990099</v>
      </c>
      <c r="J100" s="18" t="n">
        <f aca="false">Runs!P2025</f>
        <v>0.0099009900990099</v>
      </c>
      <c r="K100" s="18" t="n">
        <f aca="false">Runs!P2036</f>
        <v>0.0099009900990099</v>
      </c>
      <c r="L100" s="18" t="n">
        <f aca="false">Runs!P2047</f>
        <v>0.0099009900990099</v>
      </c>
      <c r="M100" s="18" t="n">
        <f aca="false">Runs!P2058</f>
        <v>0.0099009900990099</v>
      </c>
      <c r="N100" s="18" t="n">
        <f aca="false">Runs!P2069</f>
        <v>0.0099009900990099</v>
      </c>
      <c r="O100" s="18" t="n">
        <f aca="false">Runs!P2080</f>
        <v>0.0099009900990099</v>
      </c>
      <c r="P100" s="18" t="n">
        <f aca="false">Runs!P2091</f>
        <v>0.0099009900990099</v>
      </c>
      <c r="Q100" s="19" t="n">
        <f aca="false">IF(COUNT(G100:P100)=0,"",AVERAGE(G100:P100))</f>
        <v>0.0137652600211477</v>
      </c>
      <c r="R100" s="19" t="n">
        <f aca="false">IF(COUNT(G100:P100)&lt;2,"",STDEV(G100:P100))</f>
        <v>0.0122198944476371</v>
      </c>
      <c r="S100" s="20" t="n">
        <f aca="false">COUNT(G100:P100)</f>
        <v>10</v>
      </c>
    </row>
    <row r="101" customFormat="false" ht="15" hidden="false" customHeight="false" outlineLevel="0" collapsed="false">
      <c r="A101" s="6" t="s">
        <v>62</v>
      </c>
      <c r="B101" s="6" t="s">
        <v>63</v>
      </c>
      <c r="C101" s="6" t="s">
        <v>44</v>
      </c>
      <c r="D101" s="6" t="s">
        <v>114</v>
      </c>
      <c r="E101" s="6" t="n">
        <v>16</v>
      </c>
      <c r="F101" s="6" t="s">
        <v>68</v>
      </c>
      <c r="G101" s="11" t="n">
        <f aca="false">Runs!P2092</f>
        <v>0</v>
      </c>
      <c r="H101" s="11" t="n">
        <f aca="false">Runs!P2103</f>
        <v>0</v>
      </c>
      <c r="I101" s="11" t="n">
        <f aca="false">Runs!P2114</f>
        <v>0</v>
      </c>
      <c r="J101" s="11" t="n">
        <f aca="false">Runs!P2125</f>
        <v>0</v>
      </c>
      <c r="K101" s="11" t="n">
        <f aca="false">Runs!P2136</f>
        <v>0</v>
      </c>
      <c r="L101" s="11" t="n">
        <f aca="false">Runs!P2147</f>
        <v>0</v>
      </c>
      <c r="M101" s="11" t="n">
        <f aca="false">Runs!P2158</f>
        <v>0</v>
      </c>
      <c r="N101" s="11" t="n">
        <f aca="false">Runs!P2169</f>
        <v>0</v>
      </c>
      <c r="O101" s="11" t="n">
        <f aca="false">Runs!P2180</f>
        <v>0</v>
      </c>
      <c r="P101" s="11" t="n">
        <f aca="false">Runs!P2191</f>
        <v>0</v>
      </c>
      <c r="Q101" s="16" t="n">
        <f aca="false">IF(COUNT(G101:P101)=0,"",AVERAGE(G101:P101))</f>
        <v>0</v>
      </c>
      <c r="R101" s="16" t="n">
        <f aca="false">IF(COUNT(G101:P101)&lt;2,"",STDEV(G101:P101))</f>
        <v>0</v>
      </c>
      <c r="S101" s="6" t="n">
        <f aca="false">COUNT(G101:P101)</f>
        <v>10</v>
      </c>
    </row>
    <row r="102" customFormat="false" ht="15" hidden="false" customHeight="false" outlineLevel="0" collapsed="false">
      <c r="A102" s="6" t="s">
        <v>62</v>
      </c>
      <c r="B102" s="6" t="s">
        <v>63</v>
      </c>
      <c r="C102" s="6" t="s">
        <v>44</v>
      </c>
      <c r="D102" s="6" t="s">
        <v>114</v>
      </c>
      <c r="E102" s="6" t="n">
        <v>16</v>
      </c>
      <c r="F102" s="6" t="s">
        <v>69</v>
      </c>
      <c r="G102" s="11" t="n">
        <f aca="false">Runs!P2093</f>
        <v>0</v>
      </c>
      <c r="H102" s="11" t="n">
        <f aca="false">Runs!P2104</f>
        <v>0</v>
      </c>
      <c r="I102" s="11" t="n">
        <f aca="false">Runs!P2115</f>
        <v>0</v>
      </c>
      <c r="J102" s="11" t="n">
        <f aca="false">Runs!P2126</f>
        <v>0</v>
      </c>
      <c r="K102" s="11" t="n">
        <f aca="false">Runs!P2137</f>
        <v>0</v>
      </c>
      <c r="L102" s="11" t="n">
        <f aca="false">Runs!P2148</f>
        <v>0</v>
      </c>
      <c r="M102" s="11" t="n">
        <f aca="false">Runs!P2159</f>
        <v>0</v>
      </c>
      <c r="N102" s="11" t="n">
        <f aca="false">Runs!P2170</f>
        <v>0</v>
      </c>
      <c r="O102" s="11" t="n">
        <f aca="false">Runs!P2181</f>
        <v>0</v>
      </c>
      <c r="P102" s="11" t="n">
        <f aca="false">Runs!P2192</f>
        <v>0</v>
      </c>
      <c r="Q102" s="16" t="n">
        <f aca="false">IF(COUNT(G102:P102)=0,"",AVERAGE(G102:P102))</f>
        <v>0</v>
      </c>
      <c r="R102" s="16" t="n">
        <f aca="false">IF(COUNT(G102:P102)&lt;2,"",STDEV(G102:P102))</f>
        <v>0</v>
      </c>
      <c r="S102" s="6" t="n">
        <f aca="false">COUNT(G102:P102)</f>
        <v>10</v>
      </c>
    </row>
    <row r="103" customFormat="false" ht="15" hidden="false" customHeight="false" outlineLevel="0" collapsed="false">
      <c r="A103" s="6" t="s">
        <v>62</v>
      </c>
      <c r="B103" s="6" t="s">
        <v>63</v>
      </c>
      <c r="C103" s="6" t="s">
        <v>44</v>
      </c>
      <c r="D103" s="6" t="s">
        <v>114</v>
      </c>
      <c r="E103" s="6" t="n">
        <v>16</v>
      </c>
      <c r="F103" s="6" t="s">
        <v>70</v>
      </c>
      <c r="G103" s="11" t="n">
        <f aca="false">Runs!P2094</f>
        <v>0</v>
      </c>
      <c r="H103" s="11" t="n">
        <f aca="false">Runs!P2105</f>
        <v>0</v>
      </c>
      <c r="I103" s="11" t="n">
        <f aca="false">Runs!P2116</f>
        <v>0</v>
      </c>
      <c r="J103" s="11" t="n">
        <f aca="false">Runs!P2127</f>
        <v>0</v>
      </c>
      <c r="K103" s="11" t="n">
        <f aca="false">Runs!P2138</f>
        <v>0</v>
      </c>
      <c r="L103" s="11" t="n">
        <f aca="false">Runs!P2149</f>
        <v>0</v>
      </c>
      <c r="M103" s="11" t="n">
        <f aca="false">Runs!P2160</f>
        <v>0</v>
      </c>
      <c r="N103" s="11" t="n">
        <f aca="false">Runs!P2171</f>
        <v>0</v>
      </c>
      <c r="O103" s="11" t="n">
        <f aca="false">Runs!P2182</f>
        <v>0</v>
      </c>
      <c r="P103" s="11" t="n">
        <f aca="false">Runs!P2193</f>
        <v>0</v>
      </c>
      <c r="Q103" s="16" t="n">
        <f aca="false">IF(COUNT(G103:P103)=0,"",AVERAGE(G103:P103))</f>
        <v>0</v>
      </c>
      <c r="R103" s="16" t="n">
        <f aca="false">IF(COUNT(G103:P103)&lt;2,"",STDEV(G103:P103))</f>
        <v>0</v>
      </c>
      <c r="S103" s="6" t="n">
        <f aca="false">COUNT(G103:P103)</f>
        <v>10</v>
      </c>
    </row>
    <row r="104" customFormat="false" ht="15" hidden="false" customHeight="false" outlineLevel="0" collapsed="false">
      <c r="A104" s="6" t="s">
        <v>62</v>
      </c>
      <c r="B104" s="6" t="s">
        <v>63</v>
      </c>
      <c r="C104" s="6" t="s">
        <v>44</v>
      </c>
      <c r="D104" s="6" t="s">
        <v>114</v>
      </c>
      <c r="E104" s="6" t="n">
        <v>16</v>
      </c>
      <c r="F104" s="6" t="s">
        <v>71</v>
      </c>
      <c r="G104" s="11" t="n">
        <f aca="false">Runs!P2095</f>
        <v>0</v>
      </c>
      <c r="H104" s="11" t="n">
        <f aca="false">Runs!P2106</f>
        <v>0</v>
      </c>
      <c r="I104" s="11" t="n">
        <f aca="false">Runs!P2117</f>
        <v>0</v>
      </c>
      <c r="J104" s="11" t="n">
        <f aca="false">Runs!P2128</f>
        <v>0</v>
      </c>
      <c r="K104" s="11" t="n">
        <f aca="false">Runs!P2139</f>
        <v>0</v>
      </c>
      <c r="L104" s="11" t="n">
        <f aca="false">Runs!P2150</f>
        <v>0</v>
      </c>
      <c r="M104" s="11" t="n">
        <f aca="false">Runs!P2161</f>
        <v>0</v>
      </c>
      <c r="N104" s="11" t="n">
        <f aca="false">Runs!P2172</f>
        <v>0</v>
      </c>
      <c r="O104" s="11" t="n">
        <f aca="false">Runs!P2183</f>
        <v>0</v>
      </c>
      <c r="P104" s="11" t="n">
        <f aca="false">Runs!P2194</f>
        <v>0</v>
      </c>
      <c r="Q104" s="16" t="n">
        <f aca="false">IF(COUNT(G104:P104)=0,"",AVERAGE(G104:P104))</f>
        <v>0</v>
      </c>
      <c r="R104" s="16" t="n">
        <f aca="false">IF(COUNT(G104:P104)&lt;2,"",STDEV(G104:P104))</f>
        <v>0</v>
      </c>
      <c r="S104" s="6" t="n">
        <f aca="false">COUNT(G104:P104)</f>
        <v>10</v>
      </c>
    </row>
    <row r="105" customFormat="false" ht="15" hidden="false" customHeight="false" outlineLevel="0" collapsed="false">
      <c r="A105" s="6" t="s">
        <v>62</v>
      </c>
      <c r="B105" s="6" t="s">
        <v>63</v>
      </c>
      <c r="C105" s="6" t="s">
        <v>44</v>
      </c>
      <c r="D105" s="6" t="s">
        <v>114</v>
      </c>
      <c r="E105" s="6" t="n">
        <v>16</v>
      </c>
      <c r="F105" s="6" t="s">
        <v>72</v>
      </c>
      <c r="G105" s="11" t="n">
        <f aca="false">Runs!P2096</f>
        <v>0</v>
      </c>
      <c r="H105" s="11" t="n">
        <f aca="false">Runs!P2107</f>
        <v>0</v>
      </c>
      <c r="I105" s="11" t="n">
        <f aca="false">Runs!P2118</f>
        <v>0</v>
      </c>
      <c r="J105" s="11" t="n">
        <f aca="false">Runs!P2129</f>
        <v>0</v>
      </c>
      <c r="K105" s="11" t="n">
        <f aca="false">Runs!P2140</f>
        <v>0</v>
      </c>
      <c r="L105" s="11" t="n">
        <f aca="false">Runs!P2151</f>
        <v>0</v>
      </c>
      <c r="M105" s="11" t="n">
        <f aca="false">Runs!P2162</f>
        <v>0</v>
      </c>
      <c r="N105" s="11" t="n">
        <f aca="false">Runs!P2173</f>
        <v>0</v>
      </c>
      <c r="O105" s="11" t="n">
        <f aca="false">Runs!P2184</f>
        <v>0</v>
      </c>
      <c r="P105" s="11" t="n">
        <f aca="false">Runs!P2195</f>
        <v>0</v>
      </c>
      <c r="Q105" s="16" t="n">
        <f aca="false">IF(COUNT(G105:P105)=0,"",AVERAGE(G105:P105))</f>
        <v>0</v>
      </c>
      <c r="R105" s="16" t="n">
        <f aca="false">IF(COUNT(G105:P105)&lt;2,"",STDEV(G105:P105))</f>
        <v>0</v>
      </c>
      <c r="S105" s="6" t="n">
        <f aca="false">COUNT(G105:P105)</f>
        <v>10</v>
      </c>
    </row>
    <row r="106" customFormat="false" ht="15" hidden="false" customHeight="false" outlineLevel="0" collapsed="false">
      <c r="A106" s="6" t="s">
        <v>62</v>
      </c>
      <c r="B106" s="6" t="s">
        <v>63</v>
      </c>
      <c r="C106" s="6" t="s">
        <v>44</v>
      </c>
      <c r="D106" s="6" t="s">
        <v>114</v>
      </c>
      <c r="E106" s="6" t="n">
        <v>16</v>
      </c>
      <c r="F106" s="6" t="s">
        <v>73</v>
      </c>
      <c r="G106" s="11" t="n">
        <f aca="false">Runs!P2097</f>
        <v>0</v>
      </c>
      <c r="H106" s="11" t="n">
        <f aca="false">Runs!P2108</f>
        <v>0</v>
      </c>
      <c r="I106" s="11" t="n">
        <f aca="false">Runs!P2119</f>
        <v>0</v>
      </c>
      <c r="J106" s="11" t="n">
        <f aca="false">Runs!P2130</f>
        <v>0</v>
      </c>
      <c r="K106" s="11" t="n">
        <f aca="false">Runs!P2141</f>
        <v>0</v>
      </c>
      <c r="L106" s="11" t="n">
        <f aca="false">Runs!P2152</f>
        <v>0</v>
      </c>
      <c r="M106" s="11" t="n">
        <f aca="false">Runs!P2163</f>
        <v>0</v>
      </c>
      <c r="N106" s="11" t="n">
        <f aca="false">Runs!P2174</f>
        <v>0</v>
      </c>
      <c r="O106" s="11" t="n">
        <f aca="false">Runs!P2185</f>
        <v>0</v>
      </c>
      <c r="P106" s="11" t="n">
        <f aca="false">Runs!P2196</f>
        <v>0</v>
      </c>
      <c r="Q106" s="16" t="n">
        <f aca="false">IF(COUNT(G106:P106)=0,"",AVERAGE(G106:P106))</f>
        <v>0</v>
      </c>
      <c r="R106" s="16" t="n">
        <f aca="false">IF(COUNT(G106:P106)&lt;2,"",STDEV(G106:P106))</f>
        <v>0</v>
      </c>
      <c r="S106" s="6" t="n">
        <f aca="false">COUNT(G106:P106)</f>
        <v>10</v>
      </c>
    </row>
    <row r="107" customFormat="false" ht="15" hidden="false" customHeight="false" outlineLevel="0" collapsed="false">
      <c r="A107" s="6" t="s">
        <v>62</v>
      </c>
      <c r="B107" s="6" t="s">
        <v>63</v>
      </c>
      <c r="C107" s="6" t="s">
        <v>44</v>
      </c>
      <c r="D107" s="6" t="s">
        <v>114</v>
      </c>
      <c r="E107" s="6" t="n">
        <v>16</v>
      </c>
      <c r="F107" s="6" t="s">
        <v>74</v>
      </c>
      <c r="G107" s="11" t="n">
        <f aca="false">Runs!P2098</f>
        <v>0.0952380952380952</v>
      </c>
      <c r="H107" s="11" t="n">
        <f aca="false">Runs!P2109</f>
        <v>0</v>
      </c>
      <c r="I107" s="11" t="n">
        <f aca="false">Runs!P2120</f>
        <v>0</v>
      </c>
      <c r="J107" s="11" t="n">
        <f aca="false">Runs!P2131</f>
        <v>0</v>
      </c>
      <c r="K107" s="11" t="n">
        <f aca="false">Runs!P2142</f>
        <v>0</v>
      </c>
      <c r="L107" s="11" t="n">
        <f aca="false">Runs!P2153</f>
        <v>0</v>
      </c>
      <c r="M107" s="11" t="n">
        <f aca="false">Runs!P2164</f>
        <v>0</v>
      </c>
      <c r="N107" s="11" t="n">
        <f aca="false">Runs!P2175</f>
        <v>0.0952380952380952</v>
      </c>
      <c r="O107" s="11" t="n">
        <f aca="false">Runs!P2186</f>
        <v>0</v>
      </c>
      <c r="P107" s="11" t="n">
        <f aca="false">Runs!P2197</f>
        <v>0</v>
      </c>
      <c r="Q107" s="16" t="n">
        <f aca="false">IF(COUNT(G107:P107)=0,"",AVERAGE(G107:P107))</f>
        <v>0.019047619047619</v>
      </c>
      <c r="R107" s="16" t="n">
        <f aca="false">IF(COUNT(G107:P107)&lt;2,"",STDEV(G107:P107))</f>
        <v>0.0401559067957889</v>
      </c>
      <c r="S107" s="6" t="n">
        <f aca="false">COUNT(G107:P107)</f>
        <v>10</v>
      </c>
    </row>
    <row r="108" customFormat="false" ht="15" hidden="false" customHeight="false" outlineLevel="0" collapsed="false">
      <c r="A108" s="6" t="s">
        <v>62</v>
      </c>
      <c r="B108" s="6" t="s">
        <v>63</v>
      </c>
      <c r="C108" s="6" t="s">
        <v>44</v>
      </c>
      <c r="D108" s="6" t="s">
        <v>114</v>
      </c>
      <c r="E108" s="6" t="n">
        <v>16</v>
      </c>
      <c r="F108" s="6" t="s">
        <v>75</v>
      </c>
      <c r="G108" s="11" t="n">
        <f aca="false">Runs!P2099</f>
        <v>0</v>
      </c>
      <c r="H108" s="11" t="n">
        <f aca="false">Runs!P2110</f>
        <v>0</v>
      </c>
      <c r="I108" s="11" t="n">
        <f aca="false">Runs!P2121</f>
        <v>0</v>
      </c>
      <c r="J108" s="11" t="n">
        <f aca="false">Runs!P2132</f>
        <v>0</v>
      </c>
      <c r="K108" s="11" t="n">
        <f aca="false">Runs!P2143</f>
        <v>0</v>
      </c>
      <c r="L108" s="11" t="n">
        <f aca="false">Runs!P2154</f>
        <v>0</v>
      </c>
      <c r="M108" s="11" t="n">
        <f aca="false">Runs!P2165</f>
        <v>0</v>
      </c>
      <c r="N108" s="11" t="n">
        <f aca="false">Runs!P2176</f>
        <v>0</v>
      </c>
      <c r="O108" s="11" t="n">
        <f aca="false">Runs!P2187</f>
        <v>0</v>
      </c>
      <c r="P108" s="11" t="n">
        <f aca="false">Runs!P2198</f>
        <v>0</v>
      </c>
      <c r="Q108" s="16" t="n">
        <f aca="false">IF(COUNT(G108:P108)=0,"",AVERAGE(G108:P108))</f>
        <v>0</v>
      </c>
      <c r="R108" s="16" t="n">
        <f aca="false">IF(COUNT(G108:P108)&lt;2,"",STDEV(G108:P108))</f>
        <v>0</v>
      </c>
      <c r="S108" s="6" t="n">
        <f aca="false">COUNT(G108:P108)</f>
        <v>10</v>
      </c>
    </row>
    <row r="109" customFormat="false" ht="15" hidden="false" customHeight="false" outlineLevel="0" collapsed="false">
      <c r="A109" s="6" t="s">
        <v>62</v>
      </c>
      <c r="B109" s="6" t="s">
        <v>63</v>
      </c>
      <c r="C109" s="6" t="s">
        <v>44</v>
      </c>
      <c r="D109" s="6" t="s">
        <v>114</v>
      </c>
      <c r="E109" s="6" t="n">
        <v>16</v>
      </c>
      <c r="F109" s="6" t="s">
        <v>76</v>
      </c>
      <c r="G109" s="11" t="n">
        <f aca="false">Runs!P2100</f>
        <v>0</v>
      </c>
      <c r="H109" s="11" t="n">
        <f aca="false">Runs!P2111</f>
        <v>0</v>
      </c>
      <c r="I109" s="11" t="n">
        <f aca="false">Runs!P2122</f>
        <v>0</v>
      </c>
      <c r="J109" s="11" t="n">
        <f aca="false">Runs!P2133</f>
        <v>0</v>
      </c>
      <c r="K109" s="11" t="n">
        <f aca="false">Runs!P2144</f>
        <v>0</v>
      </c>
      <c r="L109" s="11" t="n">
        <f aca="false">Runs!P2155</f>
        <v>0</v>
      </c>
      <c r="M109" s="11" t="n">
        <f aca="false">Runs!P2166</f>
        <v>0</v>
      </c>
      <c r="N109" s="11" t="n">
        <f aca="false">Runs!P2177</f>
        <v>0</v>
      </c>
      <c r="O109" s="11" t="n">
        <f aca="false">Runs!P2188</f>
        <v>0</v>
      </c>
      <c r="P109" s="11" t="n">
        <f aca="false">Runs!P2199</f>
        <v>0</v>
      </c>
      <c r="Q109" s="16" t="n">
        <f aca="false">IF(COUNT(G109:P109)=0,"",AVERAGE(G109:P109))</f>
        <v>0</v>
      </c>
      <c r="R109" s="16" t="n">
        <f aca="false">IF(COUNT(G109:P109)&lt;2,"",STDEV(G109:P109))</f>
        <v>0</v>
      </c>
      <c r="S109" s="6" t="n">
        <f aca="false">COUNT(G109:P109)</f>
        <v>10</v>
      </c>
    </row>
    <row r="110" customFormat="false" ht="15" hidden="false" customHeight="false" outlineLevel="0" collapsed="false">
      <c r="A110" s="6" t="s">
        <v>62</v>
      </c>
      <c r="B110" s="6" t="s">
        <v>63</v>
      </c>
      <c r="C110" s="6" t="s">
        <v>44</v>
      </c>
      <c r="D110" s="6" t="s">
        <v>114</v>
      </c>
      <c r="E110" s="6" t="n">
        <v>16</v>
      </c>
      <c r="F110" s="6" t="s">
        <v>77</v>
      </c>
      <c r="G110" s="11" t="n">
        <f aca="false">Runs!P2101</f>
        <v>0.0909090909090909</v>
      </c>
      <c r="H110" s="11" t="n">
        <f aca="false">Runs!P2112</f>
        <v>0.0909090909090909</v>
      </c>
      <c r="I110" s="11" t="n">
        <f aca="false">Runs!P2123</f>
        <v>0</v>
      </c>
      <c r="J110" s="11" t="n">
        <f aca="false">Runs!P2134</f>
        <v>0.0909090909090909</v>
      </c>
      <c r="K110" s="11" t="n">
        <f aca="false">Runs!P2145</f>
        <v>0.0909090909090909</v>
      </c>
      <c r="L110" s="11" t="n">
        <f aca="false">Runs!P2156</f>
        <v>0.0909090909090909</v>
      </c>
      <c r="M110" s="11" t="n">
        <f aca="false">Runs!P2167</f>
        <v>0.0909090909090909</v>
      </c>
      <c r="N110" s="11" t="n">
        <f aca="false">Runs!P2178</f>
        <v>0.0909090909090909</v>
      </c>
      <c r="O110" s="11" t="n">
        <f aca="false">Runs!P2189</f>
        <v>0.0909090909090909</v>
      </c>
      <c r="P110" s="11" t="n">
        <f aca="false">Runs!P2200</f>
        <v>0.0909090909090909</v>
      </c>
      <c r="Q110" s="16" t="n">
        <f aca="false">IF(COUNT(G110:P110)=0,"",AVERAGE(G110:P110))</f>
        <v>0.0818181818181818</v>
      </c>
      <c r="R110" s="16" t="n">
        <f aca="false">IF(COUNT(G110:P110)&lt;2,"",STDEV(G110:P110))</f>
        <v>0.0287479787288035</v>
      </c>
      <c r="S110" s="6" t="n">
        <f aca="false">COUNT(G110:P110)</f>
        <v>10</v>
      </c>
    </row>
    <row r="111" customFormat="false" ht="15" hidden="false" customHeight="false" outlineLevel="0" collapsed="false">
      <c r="A111" s="17" t="s">
        <v>62</v>
      </c>
      <c r="B111" s="17" t="s">
        <v>63</v>
      </c>
      <c r="C111" s="17" t="s">
        <v>44</v>
      </c>
      <c r="D111" s="17" t="s">
        <v>114</v>
      </c>
      <c r="E111" s="17" t="n">
        <v>16</v>
      </c>
      <c r="F111" s="17" t="s">
        <v>78</v>
      </c>
      <c r="G111" s="18" t="n">
        <f aca="false">Runs!P2102</f>
        <v>0.0197044334975369</v>
      </c>
      <c r="H111" s="18" t="n">
        <f aca="false">Runs!P2113</f>
        <v>0.0099009900990099</v>
      </c>
      <c r="I111" s="18" t="n">
        <f aca="false">Runs!P2124</f>
        <v>0</v>
      </c>
      <c r="J111" s="18" t="n">
        <f aca="false">Runs!P2135</f>
        <v>0.0099009900990099</v>
      </c>
      <c r="K111" s="18" t="n">
        <f aca="false">Runs!P2146</f>
        <v>0.0099009900990099</v>
      </c>
      <c r="L111" s="18" t="n">
        <f aca="false">Runs!P2157</f>
        <v>0.0099009900990099</v>
      </c>
      <c r="M111" s="18" t="n">
        <f aca="false">Runs!P2168</f>
        <v>0.0099009900990099</v>
      </c>
      <c r="N111" s="18" t="n">
        <f aca="false">Runs!P2179</f>
        <v>0.0197044334975369</v>
      </c>
      <c r="O111" s="18" t="n">
        <f aca="false">Runs!P2190</f>
        <v>0.0099009900990099</v>
      </c>
      <c r="P111" s="18" t="n">
        <f aca="false">Runs!P2201</f>
        <v>0.0099009900990099</v>
      </c>
      <c r="Q111" s="19" t="n">
        <f aca="false">IF(COUNT(G111:P111)=0,"",AVERAGE(G111:P111))</f>
        <v>0.0108715797688143</v>
      </c>
      <c r="R111" s="19" t="n">
        <f aca="false">IF(COUNT(G111:P111)&lt;2,"",STDEV(G111:P111))</f>
        <v>0.00558593637634957</v>
      </c>
      <c r="S111" s="20" t="n">
        <f aca="false">COUNT(G111:P111)</f>
        <v>10</v>
      </c>
    </row>
    <row r="113" customFormat="false" ht="15" hidden="false" customHeight="false" outlineLevel="0" collapsed="false">
      <c r="A113" s="1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16" min="7" style="0" width="8"/>
    <col collapsed="false" customWidth="true" hidden="false" outlineLevel="0" max="18" min="17" style="0" width="9"/>
    <col collapsed="false" customWidth="true" hidden="false" outlineLevel="0" max="19" min="19" style="0" width="5"/>
  </cols>
  <sheetData>
    <row r="1" customFormat="false" ht="30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98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  <c r="N1" s="5" t="s">
        <v>127</v>
      </c>
      <c r="O1" s="5" t="s">
        <v>128</v>
      </c>
      <c r="P1" s="5" t="s">
        <v>129</v>
      </c>
      <c r="Q1" s="5" t="s">
        <v>130</v>
      </c>
      <c r="R1" s="5" t="s">
        <v>131</v>
      </c>
      <c r="S1" s="5" t="s">
        <v>132</v>
      </c>
    </row>
    <row r="2" customFormat="false" ht="15" hidden="false" customHeight="false" outlineLevel="0" collapsed="false">
      <c r="A2" s="6" t="s">
        <v>42</v>
      </c>
      <c r="B2" s="6" t="s">
        <v>43</v>
      </c>
      <c r="C2" s="6" t="s">
        <v>44</v>
      </c>
      <c r="D2" s="6" t="s">
        <v>114</v>
      </c>
      <c r="E2" s="6" t="n">
        <v>16</v>
      </c>
      <c r="F2" s="6" t="s">
        <v>68</v>
      </c>
      <c r="G2" s="11" t="n">
        <f aca="false">Runs!Q1102</f>
        <v>0</v>
      </c>
      <c r="H2" s="11" t="n">
        <f aca="false">Runs!Q1113</f>
        <v>0</v>
      </c>
      <c r="I2" s="11" t="n">
        <f aca="false">Runs!Q1124</f>
        <v>0</v>
      </c>
      <c r="J2" s="11" t="n">
        <f aca="false">Runs!Q1135</f>
        <v>0</v>
      </c>
      <c r="K2" s="11" t="n">
        <f aca="false">Runs!Q1146</f>
        <v>0</v>
      </c>
      <c r="L2" s="11" t="n">
        <f aca="false">Runs!Q1157</f>
        <v>0</v>
      </c>
      <c r="M2" s="11" t="n">
        <f aca="false">Runs!Q1168</f>
        <v>0</v>
      </c>
      <c r="N2" s="11" t="n">
        <f aca="false">Runs!Q1179</f>
        <v>0</v>
      </c>
      <c r="O2" s="11" t="n">
        <f aca="false">Runs!Q1190</f>
        <v>0</v>
      </c>
      <c r="P2" s="11" t="n">
        <f aca="false">Runs!Q1201</f>
        <v>0</v>
      </c>
      <c r="Q2" s="16" t="n">
        <f aca="false">IF(COUNT(G2:P2)=0,"",AVERAGE(G2:P2))</f>
        <v>0</v>
      </c>
      <c r="R2" s="16" t="n">
        <f aca="false">IF(COUNT(G2:P2)&lt;2,"",STDEV(G2:P2))</f>
        <v>0</v>
      </c>
      <c r="S2" s="6" t="n">
        <f aca="false">COUNT(G2:P2)</f>
        <v>10</v>
      </c>
    </row>
    <row r="3" customFormat="false" ht="15" hidden="false" customHeight="false" outlineLevel="0" collapsed="false">
      <c r="A3" s="6" t="s">
        <v>42</v>
      </c>
      <c r="B3" s="6" t="s">
        <v>43</v>
      </c>
      <c r="C3" s="6" t="s">
        <v>44</v>
      </c>
      <c r="D3" s="6" t="s">
        <v>114</v>
      </c>
      <c r="E3" s="6" t="n">
        <v>16</v>
      </c>
      <c r="F3" s="6" t="s">
        <v>69</v>
      </c>
      <c r="G3" s="11" t="n">
        <f aca="false">Runs!Q1103</f>
        <v>0</v>
      </c>
      <c r="H3" s="11" t="n">
        <f aca="false">Runs!Q1114</f>
        <v>0</v>
      </c>
      <c r="I3" s="11" t="n">
        <f aca="false">Runs!Q1125</f>
        <v>0</v>
      </c>
      <c r="J3" s="11" t="n">
        <f aca="false">Runs!Q1136</f>
        <v>0</v>
      </c>
      <c r="K3" s="11" t="n">
        <f aca="false">Runs!Q1147</f>
        <v>0</v>
      </c>
      <c r="L3" s="11" t="n">
        <f aca="false">Runs!Q1158</f>
        <v>0</v>
      </c>
      <c r="M3" s="11" t="n">
        <f aca="false">Runs!Q1169</f>
        <v>0</v>
      </c>
      <c r="N3" s="11" t="n">
        <f aca="false">Runs!Q1180</f>
        <v>0</v>
      </c>
      <c r="O3" s="11" t="n">
        <f aca="false">Runs!Q1191</f>
        <v>0</v>
      </c>
      <c r="P3" s="11" t="n">
        <f aca="false">Runs!Q1202</f>
        <v>0</v>
      </c>
      <c r="Q3" s="16" t="n">
        <f aca="false">IF(COUNT(G3:P3)=0,"",AVERAGE(G3:P3))</f>
        <v>0</v>
      </c>
      <c r="R3" s="16" t="n">
        <f aca="false">IF(COUNT(G3:P3)&lt;2,"",STDEV(G3:P3))</f>
        <v>0</v>
      </c>
      <c r="S3" s="6" t="n">
        <f aca="false">COUNT(G3:P3)</f>
        <v>10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114</v>
      </c>
      <c r="E4" s="6" t="n">
        <v>16</v>
      </c>
      <c r="F4" s="6" t="s">
        <v>70</v>
      </c>
      <c r="G4" s="11" t="n">
        <f aca="false">Runs!Q1104</f>
        <v>0</v>
      </c>
      <c r="H4" s="11" t="n">
        <f aca="false">Runs!Q1115</f>
        <v>0</v>
      </c>
      <c r="I4" s="11" t="n">
        <f aca="false">Runs!Q1126</f>
        <v>0</v>
      </c>
      <c r="J4" s="11" t="n">
        <f aca="false">Runs!Q1137</f>
        <v>0</v>
      </c>
      <c r="K4" s="11" t="n">
        <f aca="false">Runs!Q1148</f>
        <v>0</v>
      </c>
      <c r="L4" s="11" t="n">
        <f aca="false">Runs!Q1159</f>
        <v>0</v>
      </c>
      <c r="M4" s="11" t="n">
        <f aca="false">Runs!Q1170</f>
        <v>0</v>
      </c>
      <c r="N4" s="11" t="n">
        <f aca="false">Runs!Q1181</f>
        <v>0</v>
      </c>
      <c r="O4" s="11" t="n">
        <f aca="false">Runs!Q1192</f>
        <v>0</v>
      </c>
      <c r="P4" s="11" t="n">
        <f aca="false">Runs!Q1203</f>
        <v>0</v>
      </c>
      <c r="Q4" s="16" t="n">
        <f aca="false">IF(COUNT(G4:P4)=0,"",AVERAGE(G4:P4))</f>
        <v>0</v>
      </c>
      <c r="R4" s="16" t="n">
        <f aca="false">IF(COUNT(G4:P4)&lt;2,"",STDEV(G4:P4))</f>
        <v>0</v>
      </c>
      <c r="S4" s="6" t="n">
        <f aca="false">COUNT(G4:P4)</f>
        <v>10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44</v>
      </c>
      <c r="D5" s="6" t="s">
        <v>114</v>
      </c>
      <c r="E5" s="6" t="n">
        <v>16</v>
      </c>
      <c r="F5" s="6" t="s">
        <v>71</v>
      </c>
      <c r="G5" s="11" t="n">
        <f aca="false">Runs!Q1105</f>
        <v>0</v>
      </c>
      <c r="H5" s="11" t="n">
        <f aca="false">Runs!Q1116</f>
        <v>0</v>
      </c>
      <c r="I5" s="11" t="n">
        <f aca="false">Runs!Q1127</f>
        <v>0</v>
      </c>
      <c r="J5" s="11" t="n">
        <f aca="false">Runs!Q1138</f>
        <v>0</v>
      </c>
      <c r="K5" s="11" t="n">
        <f aca="false">Runs!Q1149</f>
        <v>0</v>
      </c>
      <c r="L5" s="11" t="n">
        <f aca="false">Runs!Q1160</f>
        <v>0</v>
      </c>
      <c r="M5" s="11" t="n">
        <f aca="false">Runs!Q1171</f>
        <v>0</v>
      </c>
      <c r="N5" s="11" t="n">
        <f aca="false">Runs!Q1182</f>
        <v>0</v>
      </c>
      <c r="O5" s="11" t="n">
        <f aca="false">Runs!Q1193</f>
        <v>0</v>
      </c>
      <c r="P5" s="11" t="n">
        <f aca="false">Runs!Q1204</f>
        <v>0</v>
      </c>
      <c r="Q5" s="16" t="n">
        <f aca="false">IF(COUNT(G5:P5)=0,"",AVERAGE(G5:P5))</f>
        <v>0</v>
      </c>
      <c r="R5" s="16" t="n">
        <f aca="false">IF(COUNT(G5:P5)&lt;2,"",STDEV(G5:P5))</f>
        <v>0</v>
      </c>
      <c r="S5" s="6" t="n">
        <f aca="false">COUNT(G5:P5)</f>
        <v>10</v>
      </c>
    </row>
    <row r="6" customFormat="false" ht="15" hidden="false" customHeight="false" outlineLevel="0" collapsed="false">
      <c r="A6" s="6" t="s">
        <v>42</v>
      </c>
      <c r="B6" s="6" t="s">
        <v>43</v>
      </c>
      <c r="C6" s="6" t="s">
        <v>44</v>
      </c>
      <c r="D6" s="6" t="s">
        <v>114</v>
      </c>
      <c r="E6" s="6" t="n">
        <v>16</v>
      </c>
      <c r="F6" s="6" t="s">
        <v>72</v>
      </c>
      <c r="G6" s="11" t="n">
        <f aca="false">Runs!Q1106</f>
        <v>0</v>
      </c>
      <c r="H6" s="11" t="n">
        <f aca="false">Runs!Q1117</f>
        <v>0</v>
      </c>
      <c r="I6" s="11" t="n">
        <f aca="false">Runs!Q1128</f>
        <v>0</v>
      </c>
      <c r="J6" s="11" t="n">
        <f aca="false">Runs!Q1139</f>
        <v>0</v>
      </c>
      <c r="K6" s="11" t="n">
        <f aca="false">Runs!Q1150</f>
        <v>0</v>
      </c>
      <c r="L6" s="11" t="n">
        <f aca="false">Runs!Q1161</f>
        <v>0</v>
      </c>
      <c r="M6" s="11" t="n">
        <f aca="false">Runs!Q1172</f>
        <v>0</v>
      </c>
      <c r="N6" s="11" t="n">
        <f aca="false">Runs!Q1183</f>
        <v>0</v>
      </c>
      <c r="O6" s="11" t="n">
        <f aca="false">Runs!Q1194</f>
        <v>0</v>
      </c>
      <c r="P6" s="11" t="n">
        <f aca="false">Runs!Q1205</f>
        <v>0</v>
      </c>
      <c r="Q6" s="16" t="n">
        <f aca="false">IF(COUNT(G6:P6)=0,"",AVERAGE(G6:P6))</f>
        <v>0</v>
      </c>
      <c r="R6" s="16" t="n">
        <f aca="false">IF(COUNT(G6:P6)&lt;2,"",STDEV(G6:P6))</f>
        <v>0</v>
      </c>
      <c r="S6" s="6" t="n">
        <f aca="false">COUNT(G6:P6)</f>
        <v>10</v>
      </c>
    </row>
    <row r="7" customFormat="false" ht="15" hidden="false" customHeight="false" outlineLevel="0" collapsed="false">
      <c r="A7" s="6" t="s">
        <v>42</v>
      </c>
      <c r="B7" s="6" t="s">
        <v>43</v>
      </c>
      <c r="C7" s="6" t="s">
        <v>44</v>
      </c>
      <c r="D7" s="6" t="s">
        <v>114</v>
      </c>
      <c r="E7" s="6" t="n">
        <v>16</v>
      </c>
      <c r="F7" s="6" t="s">
        <v>73</v>
      </c>
      <c r="G7" s="11" t="n">
        <f aca="false">Runs!Q1107</f>
        <v>0</v>
      </c>
      <c r="H7" s="11" t="n">
        <f aca="false">Runs!Q1118</f>
        <v>0</v>
      </c>
      <c r="I7" s="11" t="n">
        <f aca="false">Runs!Q1129</f>
        <v>0</v>
      </c>
      <c r="J7" s="11" t="n">
        <f aca="false">Runs!Q1140</f>
        <v>0</v>
      </c>
      <c r="K7" s="11" t="n">
        <f aca="false">Runs!Q1151</f>
        <v>0</v>
      </c>
      <c r="L7" s="11" t="n">
        <f aca="false">Runs!Q1162</f>
        <v>0</v>
      </c>
      <c r="M7" s="11" t="n">
        <f aca="false">Runs!Q1173</f>
        <v>0</v>
      </c>
      <c r="N7" s="11" t="n">
        <f aca="false">Runs!Q1184</f>
        <v>0</v>
      </c>
      <c r="O7" s="11" t="n">
        <f aca="false">Runs!Q1195</f>
        <v>0</v>
      </c>
      <c r="P7" s="11" t="n">
        <f aca="false">Runs!Q1206</f>
        <v>0</v>
      </c>
      <c r="Q7" s="16" t="n">
        <f aca="false">IF(COUNT(G7:P7)=0,"",AVERAGE(G7:P7))</f>
        <v>0</v>
      </c>
      <c r="R7" s="16" t="n">
        <f aca="false">IF(COUNT(G7:P7)&lt;2,"",STDEV(G7:P7))</f>
        <v>0</v>
      </c>
      <c r="S7" s="6" t="n">
        <f aca="false">COUNT(G7:P7)</f>
        <v>10</v>
      </c>
    </row>
    <row r="8" customFormat="false" ht="1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114</v>
      </c>
      <c r="E8" s="6" t="n">
        <v>16</v>
      </c>
      <c r="F8" s="6" t="s">
        <v>74</v>
      </c>
      <c r="G8" s="11" t="n">
        <f aca="false">Runs!Q1108</f>
        <v>0</v>
      </c>
      <c r="H8" s="11" t="n">
        <f aca="false">Runs!Q1119</f>
        <v>0</v>
      </c>
      <c r="I8" s="11" t="n">
        <f aca="false">Runs!Q1130</f>
        <v>0</v>
      </c>
      <c r="J8" s="11" t="n">
        <f aca="false">Runs!Q1141</f>
        <v>0</v>
      </c>
      <c r="K8" s="11" t="n">
        <f aca="false">Runs!Q1152</f>
        <v>0</v>
      </c>
      <c r="L8" s="11" t="n">
        <f aca="false">Runs!Q1163</f>
        <v>0</v>
      </c>
      <c r="M8" s="11" t="n">
        <f aca="false">Runs!Q1174</f>
        <v>0</v>
      </c>
      <c r="N8" s="11" t="n">
        <f aca="false">Runs!Q1185</f>
        <v>0</v>
      </c>
      <c r="O8" s="11" t="n">
        <f aca="false">Runs!Q1196</f>
        <v>0</v>
      </c>
      <c r="P8" s="11" t="n">
        <f aca="false">Runs!Q1207</f>
        <v>0</v>
      </c>
      <c r="Q8" s="16" t="n">
        <f aca="false">IF(COUNT(G8:P8)=0,"",AVERAGE(G8:P8))</f>
        <v>0</v>
      </c>
      <c r="R8" s="16" t="n">
        <f aca="false">IF(COUNT(G8:P8)&lt;2,"",STDEV(G8:P8))</f>
        <v>0</v>
      </c>
      <c r="S8" s="6" t="n">
        <f aca="false">COUNT(G8:P8)</f>
        <v>10</v>
      </c>
    </row>
    <row r="9" customFormat="false" ht="15" hidden="false" customHeight="false" outlineLevel="0" collapsed="false">
      <c r="A9" s="6" t="s">
        <v>42</v>
      </c>
      <c r="B9" s="6" t="s">
        <v>43</v>
      </c>
      <c r="C9" s="6" t="s">
        <v>44</v>
      </c>
      <c r="D9" s="6" t="s">
        <v>114</v>
      </c>
      <c r="E9" s="6" t="n">
        <v>16</v>
      </c>
      <c r="F9" s="6" t="s">
        <v>75</v>
      </c>
      <c r="G9" s="11" t="n">
        <f aca="false">Runs!Q1109</f>
        <v>0</v>
      </c>
      <c r="H9" s="11" t="n">
        <f aca="false">Runs!Q1120</f>
        <v>0</v>
      </c>
      <c r="I9" s="11" t="n">
        <f aca="false">Runs!Q1131</f>
        <v>0</v>
      </c>
      <c r="J9" s="11" t="n">
        <f aca="false">Runs!Q1142</f>
        <v>0</v>
      </c>
      <c r="K9" s="11" t="n">
        <f aca="false">Runs!Q1153</f>
        <v>0</v>
      </c>
      <c r="L9" s="11" t="n">
        <f aca="false">Runs!Q1164</f>
        <v>0</v>
      </c>
      <c r="M9" s="11" t="n">
        <f aca="false">Runs!Q1175</f>
        <v>0</v>
      </c>
      <c r="N9" s="11" t="n">
        <f aca="false">Runs!Q1186</f>
        <v>0</v>
      </c>
      <c r="O9" s="11" t="n">
        <f aca="false">Runs!Q1197</f>
        <v>0</v>
      </c>
      <c r="P9" s="11" t="n">
        <f aca="false">Runs!Q1208</f>
        <v>0</v>
      </c>
      <c r="Q9" s="16" t="n">
        <f aca="false">IF(COUNT(G9:P9)=0,"",AVERAGE(G9:P9))</f>
        <v>0</v>
      </c>
      <c r="R9" s="16" t="n">
        <f aca="false">IF(COUNT(G9:P9)&lt;2,"",STDEV(G9:P9))</f>
        <v>0</v>
      </c>
      <c r="S9" s="6" t="n">
        <f aca="false">COUNT(G9:P9)</f>
        <v>10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s">
        <v>44</v>
      </c>
      <c r="D10" s="6" t="s">
        <v>114</v>
      </c>
      <c r="E10" s="6" t="n">
        <v>16</v>
      </c>
      <c r="F10" s="6" t="s">
        <v>76</v>
      </c>
      <c r="G10" s="11" t="n">
        <f aca="false">Runs!Q1110</f>
        <v>0</v>
      </c>
      <c r="H10" s="11" t="n">
        <f aca="false">Runs!Q1121</f>
        <v>0</v>
      </c>
      <c r="I10" s="11" t="n">
        <f aca="false">Runs!Q1132</f>
        <v>0</v>
      </c>
      <c r="J10" s="11" t="n">
        <f aca="false">Runs!Q1143</f>
        <v>0</v>
      </c>
      <c r="K10" s="11" t="n">
        <f aca="false">Runs!Q1154</f>
        <v>0</v>
      </c>
      <c r="L10" s="11" t="n">
        <f aca="false">Runs!Q1165</f>
        <v>0</v>
      </c>
      <c r="M10" s="11" t="n">
        <f aca="false">Runs!Q1176</f>
        <v>0</v>
      </c>
      <c r="N10" s="11" t="n">
        <f aca="false">Runs!Q1187</f>
        <v>0</v>
      </c>
      <c r="O10" s="11" t="n">
        <f aca="false">Runs!Q1198</f>
        <v>0</v>
      </c>
      <c r="P10" s="11" t="n">
        <f aca="false">Runs!Q1209</f>
        <v>0</v>
      </c>
      <c r="Q10" s="16" t="n">
        <f aca="false">IF(COUNT(G10:P10)=0,"",AVERAGE(G10:P10))</f>
        <v>0</v>
      </c>
      <c r="R10" s="16" t="n">
        <f aca="false">IF(COUNT(G10:P10)&lt;2,"",STDEV(G10:P10))</f>
        <v>0</v>
      </c>
      <c r="S10" s="6" t="n">
        <f aca="false">COUNT(G10:P10)</f>
        <v>10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44</v>
      </c>
      <c r="D11" s="6" t="s">
        <v>114</v>
      </c>
      <c r="E11" s="6" t="n">
        <v>16</v>
      </c>
      <c r="F11" s="6" t="s">
        <v>77</v>
      </c>
      <c r="G11" s="11" t="n">
        <f aca="false">Runs!Q1111</f>
        <v>0.05</v>
      </c>
      <c r="H11" s="11" t="n">
        <f aca="false">Runs!Q1122</f>
        <v>0.05</v>
      </c>
      <c r="I11" s="11" t="n">
        <f aca="false">Runs!Q1133</f>
        <v>0.05</v>
      </c>
      <c r="J11" s="11" t="n">
        <f aca="false">Runs!Q1144</f>
        <v>0.05</v>
      </c>
      <c r="K11" s="11" t="n">
        <f aca="false">Runs!Q1155</f>
        <v>0.05</v>
      </c>
      <c r="L11" s="11" t="n">
        <f aca="false">Runs!Q1166</f>
        <v>0.05</v>
      </c>
      <c r="M11" s="11" t="n">
        <f aca="false">Runs!Q1177</f>
        <v>0.05</v>
      </c>
      <c r="N11" s="11" t="n">
        <f aca="false">Runs!Q1188</f>
        <v>0.05</v>
      </c>
      <c r="O11" s="11" t="n">
        <f aca="false">Runs!Q1199</f>
        <v>0.05</v>
      </c>
      <c r="P11" s="11" t="n">
        <f aca="false">Runs!Q1210</f>
        <v>0.05</v>
      </c>
      <c r="Q11" s="16" t="n">
        <f aca="false">IF(COUNT(G11:P11)=0,"",AVERAGE(G11:P11))</f>
        <v>0.05</v>
      </c>
      <c r="R11" s="16" t="n">
        <f aca="false">IF(COUNT(G11:P11)&lt;2,"",STDEV(G11:P11))</f>
        <v>0</v>
      </c>
      <c r="S11" s="6" t="n">
        <f aca="false">COUNT(G11:P11)</f>
        <v>10</v>
      </c>
    </row>
    <row r="12" customFormat="false" ht="15" hidden="false" customHeight="false" outlineLevel="0" collapsed="false">
      <c r="A12" s="17" t="s">
        <v>42</v>
      </c>
      <c r="B12" s="17" t="s">
        <v>43</v>
      </c>
      <c r="C12" s="17" t="s">
        <v>44</v>
      </c>
      <c r="D12" s="17" t="s">
        <v>114</v>
      </c>
      <c r="E12" s="17" t="n">
        <v>16</v>
      </c>
      <c r="F12" s="17" t="s">
        <v>78</v>
      </c>
      <c r="G12" s="18" t="n">
        <f aca="false">Runs!Q1112</f>
        <v>0.005</v>
      </c>
      <c r="H12" s="18" t="n">
        <f aca="false">Runs!Q1123</f>
        <v>0.005</v>
      </c>
      <c r="I12" s="18" t="n">
        <f aca="false">Runs!Q1134</f>
        <v>0.005</v>
      </c>
      <c r="J12" s="18" t="n">
        <f aca="false">Runs!Q1145</f>
        <v>0.005</v>
      </c>
      <c r="K12" s="18" t="n">
        <f aca="false">Runs!Q1156</f>
        <v>0.005</v>
      </c>
      <c r="L12" s="18" t="n">
        <f aca="false">Runs!Q1167</f>
        <v>0.005</v>
      </c>
      <c r="M12" s="18" t="n">
        <f aca="false">Runs!Q1178</f>
        <v>0.005</v>
      </c>
      <c r="N12" s="18" t="n">
        <f aca="false">Runs!Q1189</f>
        <v>0.005</v>
      </c>
      <c r="O12" s="18" t="n">
        <f aca="false">Runs!Q1200</f>
        <v>0.005</v>
      </c>
      <c r="P12" s="18" t="n">
        <f aca="false">Runs!Q1211</f>
        <v>0.005</v>
      </c>
      <c r="Q12" s="19" t="n">
        <f aca="false">IF(COUNT(G12:P12)=0,"",AVERAGE(G12:P12))</f>
        <v>0.005</v>
      </c>
      <c r="R12" s="19" t="n">
        <f aca="false">IF(COUNT(G12:P12)&lt;2,"",STDEV(G12:P12))</f>
        <v>0</v>
      </c>
      <c r="S12" s="20" t="n">
        <f aca="false">COUNT(G12:P12)</f>
        <v>10</v>
      </c>
    </row>
    <row r="13" customFormat="false" ht="15" hidden="false" customHeight="false" outlineLevel="0" collapsed="false">
      <c r="A13" s="6" t="s">
        <v>46</v>
      </c>
      <c r="B13" s="6" t="s">
        <v>43</v>
      </c>
      <c r="C13" s="6" t="s">
        <v>44</v>
      </c>
      <c r="D13" s="6" t="s">
        <v>115</v>
      </c>
      <c r="E13" s="6" t="n">
        <v>1</v>
      </c>
      <c r="F13" s="6" t="s">
        <v>68</v>
      </c>
      <c r="G13" s="11" t="n">
        <f aca="false">Runs!Q1212</f>
        <v>0</v>
      </c>
      <c r="H13" s="11" t="n">
        <f aca="false">Runs!Q1223</f>
        <v>0</v>
      </c>
      <c r="I13" s="11" t="n">
        <f aca="false">Runs!Q1234</f>
        <v>0</v>
      </c>
      <c r="J13" s="11" t="n">
        <f aca="false">Runs!Q1245</f>
        <v>0</v>
      </c>
      <c r="K13" s="11" t="n">
        <f aca="false">Runs!Q1256</f>
        <v>0</v>
      </c>
      <c r="L13" s="11" t="n">
        <f aca="false">Runs!Q1267</f>
        <v>0</v>
      </c>
      <c r="M13" s="11" t="n">
        <f aca="false">Runs!Q1278</f>
        <v>0</v>
      </c>
      <c r="N13" s="11" t="n">
        <f aca="false">Runs!Q1289</f>
        <v>0</v>
      </c>
      <c r="O13" s="11" t="n">
        <f aca="false">Runs!Q1300</f>
        <v>0</v>
      </c>
      <c r="P13" s="11" t="n">
        <f aca="false">Runs!Q1311</f>
        <v>0</v>
      </c>
      <c r="Q13" s="16" t="n">
        <f aca="false">IF(COUNT(G13:P13)=0,"",AVERAGE(G13:P13))</f>
        <v>0</v>
      </c>
      <c r="R13" s="16" t="n">
        <f aca="false">IF(COUNT(G13:P13)&lt;2,"",STDEV(G13:P13))</f>
        <v>0</v>
      </c>
      <c r="S13" s="6" t="n">
        <f aca="false">COUNT(G13:P13)</f>
        <v>10</v>
      </c>
    </row>
    <row r="14" customFormat="false" ht="15" hidden="false" customHeight="false" outlineLevel="0" collapsed="false">
      <c r="A14" s="6" t="s">
        <v>46</v>
      </c>
      <c r="B14" s="6" t="s">
        <v>43</v>
      </c>
      <c r="C14" s="6" t="s">
        <v>44</v>
      </c>
      <c r="D14" s="6" t="s">
        <v>115</v>
      </c>
      <c r="E14" s="6" t="n">
        <v>1</v>
      </c>
      <c r="F14" s="6" t="s">
        <v>69</v>
      </c>
      <c r="G14" s="11" t="n">
        <f aca="false">Runs!Q1213</f>
        <v>0</v>
      </c>
      <c r="H14" s="11" t="n">
        <f aca="false">Runs!Q1224</f>
        <v>0</v>
      </c>
      <c r="I14" s="11" t="n">
        <f aca="false">Runs!Q1235</f>
        <v>0</v>
      </c>
      <c r="J14" s="11" t="n">
        <f aca="false">Runs!Q1246</f>
        <v>0</v>
      </c>
      <c r="K14" s="11" t="n">
        <f aca="false">Runs!Q1257</f>
        <v>0</v>
      </c>
      <c r="L14" s="11" t="n">
        <f aca="false">Runs!Q1268</f>
        <v>0</v>
      </c>
      <c r="M14" s="11" t="n">
        <f aca="false">Runs!Q1279</f>
        <v>0</v>
      </c>
      <c r="N14" s="11" t="n">
        <f aca="false">Runs!Q1290</f>
        <v>0</v>
      </c>
      <c r="O14" s="11" t="n">
        <f aca="false">Runs!Q1301</f>
        <v>0</v>
      </c>
      <c r="P14" s="11" t="n">
        <f aca="false">Runs!Q1312</f>
        <v>0</v>
      </c>
      <c r="Q14" s="16" t="n">
        <f aca="false">IF(COUNT(G14:P14)=0,"",AVERAGE(G14:P14))</f>
        <v>0</v>
      </c>
      <c r="R14" s="16" t="n">
        <f aca="false">IF(COUNT(G14:P14)&lt;2,"",STDEV(G14:P14))</f>
        <v>0</v>
      </c>
      <c r="S14" s="6" t="n">
        <f aca="false">COUNT(G14:P14)</f>
        <v>10</v>
      </c>
    </row>
    <row r="15" customFormat="false" ht="15" hidden="false" customHeight="false" outlineLevel="0" collapsed="false">
      <c r="A15" s="6" t="s">
        <v>46</v>
      </c>
      <c r="B15" s="6" t="s">
        <v>43</v>
      </c>
      <c r="C15" s="6" t="s">
        <v>44</v>
      </c>
      <c r="D15" s="6" t="s">
        <v>115</v>
      </c>
      <c r="E15" s="6" t="n">
        <v>1</v>
      </c>
      <c r="F15" s="6" t="s">
        <v>70</v>
      </c>
      <c r="G15" s="11" t="n">
        <f aca="false">Runs!Q1214</f>
        <v>0</v>
      </c>
      <c r="H15" s="11" t="n">
        <f aca="false">Runs!Q1225</f>
        <v>0</v>
      </c>
      <c r="I15" s="11" t="n">
        <f aca="false">Runs!Q1236</f>
        <v>0</v>
      </c>
      <c r="J15" s="11" t="n">
        <f aca="false">Runs!Q1247</f>
        <v>0</v>
      </c>
      <c r="K15" s="11" t="n">
        <f aca="false">Runs!Q1258</f>
        <v>0</v>
      </c>
      <c r="L15" s="11" t="n">
        <f aca="false">Runs!Q1269</f>
        <v>0</v>
      </c>
      <c r="M15" s="11" t="n">
        <f aca="false">Runs!Q1280</f>
        <v>0</v>
      </c>
      <c r="N15" s="11" t="n">
        <f aca="false">Runs!Q1291</f>
        <v>0</v>
      </c>
      <c r="O15" s="11" t="n">
        <f aca="false">Runs!Q1302</f>
        <v>0</v>
      </c>
      <c r="P15" s="11" t="n">
        <f aca="false">Runs!Q1313</f>
        <v>0</v>
      </c>
      <c r="Q15" s="16" t="n">
        <f aca="false">IF(COUNT(G15:P15)=0,"",AVERAGE(G15:P15))</f>
        <v>0</v>
      </c>
      <c r="R15" s="16" t="n">
        <f aca="false">IF(COUNT(G15:P15)&lt;2,"",STDEV(G15:P15))</f>
        <v>0</v>
      </c>
      <c r="S15" s="6" t="n">
        <f aca="false">COUNT(G15:P15)</f>
        <v>10</v>
      </c>
    </row>
    <row r="16" customFormat="false" ht="15" hidden="false" customHeight="false" outlineLevel="0" collapsed="false">
      <c r="A16" s="6" t="s">
        <v>46</v>
      </c>
      <c r="B16" s="6" t="s">
        <v>43</v>
      </c>
      <c r="C16" s="6" t="s">
        <v>44</v>
      </c>
      <c r="D16" s="6" t="s">
        <v>115</v>
      </c>
      <c r="E16" s="6" t="n">
        <v>1</v>
      </c>
      <c r="F16" s="6" t="s">
        <v>71</v>
      </c>
      <c r="G16" s="11" t="n">
        <f aca="false">Runs!Q1215</f>
        <v>0</v>
      </c>
      <c r="H16" s="11" t="n">
        <f aca="false">Runs!Q1226</f>
        <v>0</v>
      </c>
      <c r="I16" s="11" t="n">
        <f aca="false">Runs!Q1237</f>
        <v>0</v>
      </c>
      <c r="J16" s="11" t="n">
        <f aca="false">Runs!Q1248</f>
        <v>0</v>
      </c>
      <c r="K16" s="11" t="n">
        <f aca="false">Runs!Q1259</f>
        <v>0</v>
      </c>
      <c r="L16" s="11" t="n">
        <f aca="false">Runs!Q1270</f>
        <v>0</v>
      </c>
      <c r="M16" s="11" t="n">
        <f aca="false">Runs!Q1281</f>
        <v>0</v>
      </c>
      <c r="N16" s="11" t="n">
        <f aca="false">Runs!Q1292</f>
        <v>0</v>
      </c>
      <c r="O16" s="11" t="n">
        <f aca="false">Runs!Q1303</f>
        <v>0</v>
      </c>
      <c r="P16" s="11" t="n">
        <f aca="false">Runs!Q1314</f>
        <v>0</v>
      </c>
      <c r="Q16" s="16" t="n">
        <f aca="false">IF(COUNT(G16:P16)=0,"",AVERAGE(G16:P16))</f>
        <v>0</v>
      </c>
      <c r="R16" s="16" t="n">
        <f aca="false">IF(COUNT(G16:P16)&lt;2,"",STDEV(G16:P16))</f>
        <v>0</v>
      </c>
      <c r="S16" s="6" t="n">
        <f aca="false">COUNT(G16:P16)</f>
        <v>10</v>
      </c>
    </row>
    <row r="17" customFormat="false" ht="15" hidden="false" customHeight="false" outlineLevel="0" collapsed="false">
      <c r="A17" s="6" t="s">
        <v>46</v>
      </c>
      <c r="B17" s="6" t="s">
        <v>43</v>
      </c>
      <c r="C17" s="6" t="s">
        <v>44</v>
      </c>
      <c r="D17" s="6" t="s">
        <v>115</v>
      </c>
      <c r="E17" s="6" t="n">
        <v>1</v>
      </c>
      <c r="F17" s="6" t="s">
        <v>72</v>
      </c>
      <c r="G17" s="11" t="n">
        <f aca="false">Runs!Q1216</f>
        <v>0</v>
      </c>
      <c r="H17" s="11" t="n">
        <f aca="false">Runs!Q1227</f>
        <v>0</v>
      </c>
      <c r="I17" s="11" t="n">
        <f aca="false">Runs!Q1238</f>
        <v>0</v>
      </c>
      <c r="J17" s="11" t="n">
        <f aca="false">Runs!Q1249</f>
        <v>0</v>
      </c>
      <c r="K17" s="11" t="n">
        <f aca="false">Runs!Q1260</f>
        <v>0</v>
      </c>
      <c r="L17" s="11" t="n">
        <f aca="false">Runs!Q1271</f>
        <v>0</v>
      </c>
      <c r="M17" s="11" t="n">
        <f aca="false">Runs!Q1282</f>
        <v>0</v>
      </c>
      <c r="N17" s="11" t="n">
        <f aca="false">Runs!Q1293</f>
        <v>0</v>
      </c>
      <c r="O17" s="11" t="n">
        <f aca="false">Runs!Q1304</f>
        <v>0</v>
      </c>
      <c r="P17" s="11" t="n">
        <f aca="false">Runs!Q1315</f>
        <v>0</v>
      </c>
      <c r="Q17" s="16" t="n">
        <f aca="false">IF(COUNT(G17:P17)=0,"",AVERAGE(G17:P17))</f>
        <v>0</v>
      </c>
      <c r="R17" s="16" t="n">
        <f aca="false">IF(COUNT(G17:P17)&lt;2,"",STDEV(G17:P17))</f>
        <v>0</v>
      </c>
      <c r="S17" s="6" t="n">
        <f aca="false">COUNT(G17:P17)</f>
        <v>10</v>
      </c>
    </row>
    <row r="18" customFormat="false" ht="15" hidden="false" customHeight="false" outlineLevel="0" collapsed="false">
      <c r="A18" s="6" t="s">
        <v>46</v>
      </c>
      <c r="B18" s="6" t="s">
        <v>43</v>
      </c>
      <c r="C18" s="6" t="s">
        <v>44</v>
      </c>
      <c r="D18" s="6" t="s">
        <v>115</v>
      </c>
      <c r="E18" s="6" t="n">
        <v>1</v>
      </c>
      <c r="F18" s="6" t="s">
        <v>73</v>
      </c>
      <c r="G18" s="11" t="n">
        <f aca="false">Runs!Q1217</f>
        <v>0</v>
      </c>
      <c r="H18" s="11" t="n">
        <f aca="false">Runs!Q1228</f>
        <v>0</v>
      </c>
      <c r="I18" s="11" t="n">
        <f aca="false">Runs!Q1239</f>
        <v>0</v>
      </c>
      <c r="J18" s="11" t="n">
        <f aca="false">Runs!Q1250</f>
        <v>0</v>
      </c>
      <c r="K18" s="11" t="n">
        <f aca="false">Runs!Q1261</f>
        <v>0</v>
      </c>
      <c r="L18" s="11" t="n">
        <f aca="false">Runs!Q1272</f>
        <v>0</v>
      </c>
      <c r="M18" s="11" t="n">
        <f aca="false">Runs!Q1283</f>
        <v>0</v>
      </c>
      <c r="N18" s="11" t="n">
        <f aca="false">Runs!Q1294</f>
        <v>0</v>
      </c>
      <c r="O18" s="11" t="n">
        <f aca="false">Runs!Q1305</f>
        <v>0</v>
      </c>
      <c r="P18" s="11" t="n">
        <f aca="false">Runs!Q1316</f>
        <v>0</v>
      </c>
      <c r="Q18" s="16" t="n">
        <f aca="false">IF(COUNT(G18:P18)=0,"",AVERAGE(G18:P18))</f>
        <v>0</v>
      </c>
      <c r="R18" s="16" t="n">
        <f aca="false">IF(COUNT(G18:P18)&lt;2,"",STDEV(G18:P18))</f>
        <v>0</v>
      </c>
      <c r="S18" s="6" t="n">
        <f aca="false">COUNT(G18:P18)</f>
        <v>10</v>
      </c>
    </row>
    <row r="19" customFormat="false" ht="15" hidden="false" customHeight="false" outlineLevel="0" collapsed="false">
      <c r="A19" s="6" t="s">
        <v>46</v>
      </c>
      <c r="B19" s="6" t="s">
        <v>43</v>
      </c>
      <c r="C19" s="6" t="s">
        <v>44</v>
      </c>
      <c r="D19" s="6" t="s">
        <v>115</v>
      </c>
      <c r="E19" s="6" t="n">
        <v>1</v>
      </c>
      <c r="F19" s="6" t="s">
        <v>74</v>
      </c>
      <c r="G19" s="11" t="n">
        <f aca="false">Runs!Q1218</f>
        <v>0</v>
      </c>
      <c r="H19" s="11" t="n">
        <f aca="false">Runs!Q1229</f>
        <v>0</v>
      </c>
      <c r="I19" s="11" t="n">
        <f aca="false">Runs!Q1240</f>
        <v>0</v>
      </c>
      <c r="J19" s="11" t="n">
        <f aca="false">Runs!Q1251</f>
        <v>0</v>
      </c>
      <c r="K19" s="11" t="n">
        <f aca="false">Runs!Q1262</f>
        <v>0</v>
      </c>
      <c r="L19" s="11" t="n">
        <f aca="false">Runs!Q1273</f>
        <v>0</v>
      </c>
      <c r="M19" s="11" t="n">
        <f aca="false">Runs!Q1284</f>
        <v>0</v>
      </c>
      <c r="N19" s="11" t="n">
        <f aca="false">Runs!Q1295</f>
        <v>0</v>
      </c>
      <c r="O19" s="11" t="n">
        <f aca="false">Runs!Q1306</f>
        <v>0</v>
      </c>
      <c r="P19" s="11" t="n">
        <f aca="false">Runs!Q1317</f>
        <v>0</v>
      </c>
      <c r="Q19" s="16" t="n">
        <f aca="false">IF(COUNT(G19:P19)=0,"",AVERAGE(G19:P19))</f>
        <v>0</v>
      </c>
      <c r="R19" s="16" t="n">
        <f aca="false">IF(COUNT(G19:P19)&lt;2,"",STDEV(G19:P19))</f>
        <v>0</v>
      </c>
      <c r="S19" s="6" t="n">
        <f aca="false">COUNT(G19:P19)</f>
        <v>10</v>
      </c>
    </row>
    <row r="20" customFormat="false" ht="15" hidden="false" customHeight="false" outlineLevel="0" collapsed="false">
      <c r="A20" s="6" t="s">
        <v>46</v>
      </c>
      <c r="B20" s="6" t="s">
        <v>43</v>
      </c>
      <c r="C20" s="6" t="s">
        <v>44</v>
      </c>
      <c r="D20" s="6" t="s">
        <v>115</v>
      </c>
      <c r="E20" s="6" t="n">
        <v>1</v>
      </c>
      <c r="F20" s="6" t="s">
        <v>75</v>
      </c>
      <c r="G20" s="11" t="n">
        <f aca="false">Runs!Q1219</f>
        <v>0</v>
      </c>
      <c r="H20" s="11" t="n">
        <f aca="false">Runs!Q1230</f>
        <v>0</v>
      </c>
      <c r="I20" s="11" t="n">
        <f aca="false">Runs!Q1241</f>
        <v>0</v>
      </c>
      <c r="J20" s="11" t="n">
        <f aca="false">Runs!Q1252</f>
        <v>0</v>
      </c>
      <c r="K20" s="11" t="n">
        <f aca="false">Runs!Q1263</f>
        <v>0</v>
      </c>
      <c r="L20" s="11" t="n">
        <f aca="false">Runs!Q1274</f>
        <v>0</v>
      </c>
      <c r="M20" s="11" t="n">
        <f aca="false">Runs!Q1285</f>
        <v>0</v>
      </c>
      <c r="N20" s="11" t="n">
        <f aca="false">Runs!Q1296</f>
        <v>0</v>
      </c>
      <c r="O20" s="11" t="n">
        <f aca="false">Runs!Q1307</f>
        <v>0</v>
      </c>
      <c r="P20" s="11" t="n">
        <f aca="false">Runs!Q1318</f>
        <v>0</v>
      </c>
      <c r="Q20" s="16" t="n">
        <f aca="false">IF(COUNT(G20:P20)=0,"",AVERAGE(G20:P20))</f>
        <v>0</v>
      </c>
      <c r="R20" s="16" t="n">
        <f aca="false">IF(COUNT(G20:P20)&lt;2,"",STDEV(G20:P20))</f>
        <v>0</v>
      </c>
      <c r="S20" s="6" t="n">
        <f aca="false">COUNT(G20:P20)</f>
        <v>10</v>
      </c>
    </row>
    <row r="21" customFormat="false" ht="15" hidden="false" customHeight="false" outlineLevel="0" collapsed="false">
      <c r="A21" s="6" t="s">
        <v>46</v>
      </c>
      <c r="B21" s="6" t="s">
        <v>43</v>
      </c>
      <c r="C21" s="6" t="s">
        <v>44</v>
      </c>
      <c r="D21" s="6" t="s">
        <v>115</v>
      </c>
      <c r="E21" s="6" t="n">
        <v>1</v>
      </c>
      <c r="F21" s="6" t="s">
        <v>76</v>
      </c>
      <c r="G21" s="11" t="n">
        <f aca="false">Runs!Q1220</f>
        <v>0</v>
      </c>
      <c r="H21" s="11" t="n">
        <f aca="false">Runs!Q1231</f>
        <v>0</v>
      </c>
      <c r="I21" s="11" t="n">
        <f aca="false">Runs!Q1242</f>
        <v>0</v>
      </c>
      <c r="J21" s="11" t="n">
        <f aca="false">Runs!Q1253</f>
        <v>0</v>
      </c>
      <c r="K21" s="11" t="n">
        <f aca="false">Runs!Q1264</f>
        <v>0</v>
      </c>
      <c r="L21" s="11" t="n">
        <f aca="false">Runs!Q1275</f>
        <v>0</v>
      </c>
      <c r="M21" s="11" t="n">
        <f aca="false">Runs!Q1286</f>
        <v>0</v>
      </c>
      <c r="N21" s="11" t="n">
        <f aca="false">Runs!Q1297</f>
        <v>0</v>
      </c>
      <c r="O21" s="11" t="n">
        <f aca="false">Runs!Q1308</f>
        <v>0</v>
      </c>
      <c r="P21" s="11" t="n">
        <f aca="false">Runs!Q1319</f>
        <v>0</v>
      </c>
      <c r="Q21" s="16" t="n">
        <f aca="false">IF(COUNT(G21:P21)=0,"",AVERAGE(G21:P21))</f>
        <v>0</v>
      </c>
      <c r="R21" s="16" t="n">
        <f aca="false">IF(COUNT(G21:P21)&lt;2,"",STDEV(G21:P21))</f>
        <v>0</v>
      </c>
      <c r="S21" s="6" t="n">
        <f aca="false">COUNT(G21:P21)</f>
        <v>10</v>
      </c>
    </row>
    <row r="22" customFormat="false" ht="15" hidden="false" customHeight="false" outlineLevel="0" collapsed="false">
      <c r="A22" s="6" t="s">
        <v>46</v>
      </c>
      <c r="B22" s="6" t="s">
        <v>43</v>
      </c>
      <c r="C22" s="6" t="s">
        <v>44</v>
      </c>
      <c r="D22" s="6" t="s">
        <v>115</v>
      </c>
      <c r="E22" s="6" t="n">
        <v>1</v>
      </c>
      <c r="F22" s="6" t="s">
        <v>77</v>
      </c>
      <c r="G22" s="11" t="n">
        <f aca="false">Runs!Q1221</f>
        <v>0.05</v>
      </c>
      <c r="H22" s="11" t="n">
        <f aca="false">Runs!Q1232</f>
        <v>0.05</v>
      </c>
      <c r="I22" s="11" t="n">
        <f aca="false">Runs!Q1243</f>
        <v>0.05</v>
      </c>
      <c r="J22" s="11" t="n">
        <f aca="false">Runs!Q1254</f>
        <v>0.05</v>
      </c>
      <c r="K22" s="11" t="n">
        <f aca="false">Runs!Q1265</f>
        <v>0.05</v>
      </c>
      <c r="L22" s="11" t="n">
        <f aca="false">Runs!Q1276</f>
        <v>0.05</v>
      </c>
      <c r="M22" s="11" t="n">
        <f aca="false">Runs!Q1287</f>
        <v>0.05</v>
      </c>
      <c r="N22" s="11" t="n">
        <f aca="false">Runs!Q1298</f>
        <v>0.05</v>
      </c>
      <c r="O22" s="11" t="n">
        <f aca="false">Runs!Q1309</f>
        <v>0.05</v>
      </c>
      <c r="P22" s="11" t="n">
        <f aca="false">Runs!Q1320</f>
        <v>0.05</v>
      </c>
      <c r="Q22" s="16" t="n">
        <f aca="false">IF(COUNT(G22:P22)=0,"",AVERAGE(G22:P22))</f>
        <v>0.05</v>
      </c>
      <c r="R22" s="16" t="n">
        <f aca="false">IF(COUNT(G22:P22)&lt;2,"",STDEV(G22:P22))</f>
        <v>0</v>
      </c>
      <c r="S22" s="6" t="n">
        <f aca="false">COUNT(G22:P22)</f>
        <v>10</v>
      </c>
    </row>
    <row r="23" customFormat="false" ht="15" hidden="false" customHeight="false" outlineLevel="0" collapsed="false">
      <c r="A23" s="17" t="s">
        <v>46</v>
      </c>
      <c r="B23" s="17" t="s">
        <v>43</v>
      </c>
      <c r="C23" s="17" t="s">
        <v>44</v>
      </c>
      <c r="D23" s="17" t="s">
        <v>115</v>
      </c>
      <c r="E23" s="17" t="n">
        <v>1</v>
      </c>
      <c r="F23" s="17" t="s">
        <v>78</v>
      </c>
      <c r="G23" s="18" t="n">
        <f aca="false">Runs!Q1222</f>
        <v>0.005</v>
      </c>
      <c r="H23" s="18" t="n">
        <f aca="false">Runs!Q1233</f>
        <v>0.005</v>
      </c>
      <c r="I23" s="18" t="n">
        <f aca="false">Runs!Q1244</f>
        <v>0.005</v>
      </c>
      <c r="J23" s="18" t="n">
        <f aca="false">Runs!Q1255</f>
        <v>0.005</v>
      </c>
      <c r="K23" s="18" t="n">
        <f aca="false">Runs!Q1266</f>
        <v>0.005</v>
      </c>
      <c r="L23" s="18" t="n">
        <f aca="false">Runs!Q1277</f>
        <v>0.005</v>
      </c>
      <c r="M23" s="18" t="n">
        <f aca="false">Runs!Q1288</f>
        <v>0.005</v>
      </c>
      <c r="N23" s="18" t="n">
        <f aca="false">Runs!Q1299</f>
        <v>0.005</v>
      </c>
      <c r="O23" s="18" t="n">
        <f aca="false">Runs!Q1310</f>
        <v>0.005</v>
      </c>
      <c r="P23" s="18" t="n">
        <f aca="false">Runs!Q1321</f>
        <v>0.005</v>
      </c>
      <c r="Q23" s="19" t="n">
        <f aca="false">IF(COUNT(G23:P23)=0,"",AVERAGE(G23:P23))</f>
        <v>0.005</v>
      </c>
      <c r="R23" s="19" t="n">
        <f aca="false">IF(COUNT(G23:P23)&lt;2,"",STDEV(G23:P23))</f>
        <v>0</v>
      </c>
      <c r="S23" s="20" t="n">
        <f aca="false">COUNT(G23:P23)</f>
        <v>10</v>
      </c>
    </row>
    <row r="24" customFormat="false" ht="15" hidden="false" customHeight="false" outlineLevel="0" collapsed="false">
      <c r="A24" s="6" t="s">
        <v>48</v>
      </c>
      <c r="B24" s="6" t="s">
        <v>43</v>
      </c>
      <c r="C24" s="6" t="s">
        <v>49</v>
      </c>
      <c r="D24" s="6" t="s">
        <v>115</v>
      </c>
      <c r="E24" s="6" t="n">
        <v>4</v>
      </c>
      <c r="F24" s="6" t="s">
        <v>68</v>
      </c>
      <c r="G24" s="11" t="n">
        <f aca="false">Runs!Q1322</f>
        <v>0</v>
      </c>
      <c r="H24" s="11" t="n">
        <f aca="false">Runs!Q1333</f>
        <v>0</v>
      </c>
      <c r="I24" s="11" t="n">
        <f aca="false">Runs!Q1344</f>
        <v>0</v>
      </c>
      <c r="J24" s="11" t="n">
        <f aca="false">Runs!Q1355</f>
        <v>0</v>
      </c>
      <c r="K24" s="11" t="n">
        <f aca="false">Runs!Q1366</f>
        <v>0</v>
      </c>
      <c r="L24" s="11" t="n">
        <f aca="false">Runs!Q1377</f>
        <v>0</v>
      </c>
      <c r="M24" s="11" t="n">
        <f aca="false">Runs!Q1388</f>
        <v>0</v>
      </c>
      <c r="N24" s="11" t="n">
        <f aca="false">Runs!Q1399</f>
        <v>0</v>
      </c>
      <c r="O24" s="11" t="n">
        <f aca="false">Runs!Q1410</f>
        <v>0</v>
      </c>
      <c r="P24" s="11" t="n">
        <f aca="false">Runs!Q1421</f>
        <v>0</v>
      </c>
      <c r="Q24" s="16" t="n">
        <f aca="false">IF(COUNT(G24:P24)=0,"",AVERAGE(G24:P24))</f>
        <v>0</v>
      </c>
      <c r="R24" s="16" t="n">
        <f aca="false">IF(COUNT(G24:P24)&lt;2,"",STDEV(G24:P24))</f>
        <v>0</v>
      </c>
      <c r="S24" s="6" t="n">
        <f aca="false">COUNT(G24:P24)</f>
        <v>10</v>
      </c>
    </row>
    <row r="25" customFormat="false" ht="15" hidden="false" customHeight="false" outlineLevel="0" collapsed="false">
      <c r="A25" s="6" t="s">
        <v>48</v>
      </c>
      <c r="B25" s="6" t="s">
        <v>43</v>
      </c>
      <c r="C25" s="6" t="s">
        <v>49</v>
      </c>
      <c r="D25" s="6" t="s">
        <v>115</v>
      </c>
      <c r="E25" s="6" t="n">
        <v>4</v>
      </c>
      <c r="F25" s="6" t="s">
        <v>69</v>
      </c>
      <c r="G25" s="11" t="n">
        <f aca="false">Runs!Q1323</f>
        <v>0</v>
      </c>
      <c r="H25" s="11" t="n">
        <f aca="false">Runs!Q1334</f>
        <v>0</v>
      </c>
      <c r="I25" s="11" t="n">
        <f aca="false">Runs!Q1345</f>
        <v>0</v>
      </c>
      <c r="J25" s="11" t="n">
        <f aca="false">Runs!Q1356</f>
        <v>0</v>
      </c>
      <c r="K25" s="11" t="n">
        <f aca="false">Runs!Q1367</f>
        <v>0</v>
      </c>
      <c r="L25" s="11" t="n">
        <f aca="false">Runs!Q1378</f>
        <v>0</v>
      </c>
      <c r="M25" s="11" t="n">
        <f aca="false">Runs!Q1389</f>
        <v>0</v>
      </c>
      <c r="N25" s="11" t="n">
        <f aca="false">Runs!Q1400</f>
        <v>0</v>
      </c>
      <c r="O25" s="11" t="n">
        <f aca="false">Runs!Q1411</f>
        <v>0</v>
      </c>
      <c r="P25" s="11" t="n">
        <f aca="false">Runs!Q1422</f>
        <v>0</v>
      </c>
      <c r="Q25" s="16" t="n">
        <f aca="false">IF(COUNT(G25:P25)=0,"",AVERAGE(G25:P25))</f>
        <v>0</v>
      </c>
      <c r="R25" s="16" t="n">
        <f aca="false">IF(COUNT(G25:P25)&lt;2,"",STDEV(G25:P25))</f>
        <v>0</v>
      </c>
      <c r="S25" s="6" t="n">
        <f aca="false">COUNT(G25:P25)</f>
        <v>10</v>
      </c>
    </row>
    <row r="26" customFormat="false" ht="15" hidden="false" customHeight="false" outlineLevel="0" collapsed="false">
      <c r="A26" s="6" t="s">
        <v>48</v>
      </c>
      <c r="B26" s="6" t="s">
        <v>43</v>
      </c>
      <c r="C26" s="6" t="s">
        <v>49</v>
      </c>
      <c r="D26" s="6" t="s">
        <v>115</v>
      </c>
      <c r="E26" s="6" t="n">
        <v>4</v>
      </c>
      <c r="F26" s="6" t="s">
        <v>70</v>
      </c>
      <c r="G26" s="11" t="n">
        <f aca="false">Runs!Q1324</f>
        <v>0</v>
      </c>
      <c r="H26" s="11" t="n">
        <f aca="false">Runs!Q1335</f>
        <v>0</v>
      </c>
      <c r="I26" s="11" t="n">
        <f aca="false">Runs!Q1346</f>
        <v>0</v>
      </c>
      <c r="J26" s="11" t="n">
        <f aca="false">Runs!Q1357</f>
        <v>0</v>
      </c>
      <c r="K26" s="11" t="n">
        <f aca="false">Runs!Q1368</f>
        <v>0</v>
      </c>
      <c r="L26" s="11" t="n">
        <f aca="false">Runs!Q1379</f>
        <v>0</v>
      </c>
      <c r="M26" s="11" t="n">
        <f aca="false">Runs!Q1390</f>
        <v>0</v>
      </c>
      <c r="N26" s="11" t="n">
        <f aca="false">Runs!Q1401</f>
        <v>0</v>
      </c>
      <c r="O26" s="11" t="n">
        <f aca="false">Runs!Q1412</f>
        <v>0</v>
      </c>
      <c r="P26" s="11" t="n">
        <f aca="false">Runs!Q1423</f>
        <v>0</v>
      </c>
      <c r="Q26" s="16" t="n">
        <f aca="false">IF(COUNT(G26:P26)=0,"",AVERAGE(G26:P26))</f>
        <v>0</v>
      </c>
      <c r="R26" s="16" t="n">
        <f aca="false">IF(COUNT(G26:P26)&lt;2,"",STDEV(G26:P26))</f>
        <v>0</v>
      </c>
      <c r="S26" s="6" t="n">
        <f aca="false">COUNT(G26:P26)</f>
        <v>10</v>
      </c>
    </row>
    <row r="27" customFormat="false" ht="15" hidden="false" customHeight="false" outlineLevel="0" collapsed="false">
      <c r="A27" s="6" t="s">
        <v>48</v>
      </c>
      <c r="B27" s="6" t="s">
        <v>43</v>
      </c>
      <c r="C27" s="6" t="s">
        <v>49</v>
      </c>
      <c r="D27" s="6" t="s">
        <v>115</v>
      </c>
      <c r="E27" s="6" t="n">
        <v>4</v>
      </c>
      <c r="F27" s="6" t="s">
        <v>71</v>
      </c>
      <c r="G27" s="11" t="n">
        <f aca="false">Runs!Q1325</f>
        <v>0</v>
      </c>
      <c r="H27" s="11" t="n">
        <f aca="false">Runs!Q1336</f>
        <v>0</v>
      </c>
      <c r="I27" s="11" t="n">
        <f aca="false">Runs!Q1347</f>
        <v>0</v>
      </c>
      <c r="J27" s="11" t="n">
        <f aca="false">Runs!Q1358</f>
        <v>0</v>
      </c>
      <c r="K27" s="11" t="n">
        <f aca="false">Runs!Q1369</f>
        <v>0</v>
      </c>
      <c r="L27" s="11" t="n">
        <f aca="false">Runs!Q1380</f>
        <v>0</v>
      </c>
      <c r="M27" s="11" t="n">
        <f aca="false">Runs!Q1391</f>
        <v>0</v>
      </c>
      <c r="N27" s="11" t="n">
        <f aca="false">Runs!Q1402</f>
        <v>0</v>
      </c>
      <c r="O27" s="11" t="n">
        <f aca="false">Runs!Q1413</f>
        <v>0</v>
      </c>
      <c r="P27" s="11" t="n">
        <f aca="false">Runs!Q1424</f>
        <v>0</v>
      </c>
      <c r="Q27" s="16" t="n">
        <f aca="false">IF(COUNT(G27:P27)=0,"",AVERAGE(G27:P27))</f>
        <v>0</v>
      </c>
      <c r="R27" s="16" t="n">
        <f aca="false">IF(COUNT(G27:P27)&lt;2,"",STDEV(G27:P27))</f>
        <v>0</v>
      </c>
      <c r="S27" s="6" t="n">
        <f aca="false">COUNT(G27:P27)</f>
        <v>10</v>
      </c>
    </row>
    <row r="28" customFormat="false" ht="15" hidden="false" customHeight="false" outlineLevel="0" collapsed="false">
      <c r="A28" s="6" t="s">
        <v>48</v>
      </c>
      <c r="B28" s="6" t="s">
        <v>43</v>
      </c>
      <c r="C28" s="6" t="s">
        <v>49</v>
      </c>
      <c r="D28" s="6" t="s">
        <v>115</v>
      </c>
      <c r="E28" s="6" t="n">
        <v>4</v>
      </c>
      <c r="F28" s="6" t="s">
        <v>72</v>
      </c>
      <c r="G28" s="11" t="n">
        <f aca="false">Runs!Q1326</f>
        <v>0</v>
      </c>
      <c r="H28" s="11" t="n">
        <f aca="false">Runs!Q1337</f>
        <v>0</v>
      </c>
      <c r="I28" s="11" t="n">
        <f aca="false">Runs!Q1348</f>
        <v>0</v>
      </c>
      <c r="J28" s="11" t="n">
        <f aca="false">Runs!Q1359</f>
        <v>0</v>
      </c>
      <c r="K28" s="11" t="n">
        <f aca="false">Runs!Q1370</f>
        <v>0</v>
      </c>
      <c r="L28" s="11" t="n">
        <f aca="false">Runs!Q1381</f>
        <v>0</v>
      </c>
      <c r="M28" s="11" t="n">
        <f aca="false">Runs!Q1392</f>
        <v>0</v>
      </c>
      <c r="N28" s="11" t="n">
        <f aca="false">Runs!Q1403</f>
        <v>0</v>
      </c>
      <c r="O28" s="11" t="n">
        <f aca="false">Runs!Q1414</f>
        <v>0</v>
      </c>
      <c r="P28" s="11" t="n">
        <f aca="false">Runs!Q1425</f>
        <v>0</v>
      </c>
      <c r="Q28" s="16" t="n">
        <f aca="false">IF(COUNT(G28:P28)=0,"",AVERAGE(G28:P28))</f>
        <v>0</v>
      </c>
      <c r="R28" s="16" t="n">
        <f aca="false">IF(COUNT(G28:P28)&lt;2,"",STDEV(G28:P28))</f>
        <v>0</v>
      </c>
      <c r="S28" s="6" t="n">
        <f aca="false">COUNT(G28:P28)</f>
        <v>10</v>
      </c>
    </row>
    <row r="29" customFormat="false" ht="15" hidden="false" customHeight="false" outlineLevel="0" collapsed="false">
      <c r="A29" s="6" t="s">
        <v>48</v>
      </c>
      <c r="B29" s="6" t="s">
        <v>43</v>
      </c>
      <c r="C29" s="6" t="s">
        <v>49</v>
      </c>
      <c r="D29" s="6" t="s">
        <v>115</v>
      </c>
      <c r="E29" s="6" t="n">
        <v>4</v>
      </c>
      <c r="F29" s="6" t="s">
        <v>73</v>
      </c>
      <c r="G29" s="11" t="n">
        <f aca="false">Runs!Q1327</f>
        <v>0</v>
      </c>
      <c r="H29" s="11" t="n">
        <f aca="false">Runs!Q1338</f>
        <v>0</v>
      </c>
      <c r="I29" s="11" t="n">
        <f aca="false">Runs!Q1349</f>
        <v>0</v>
      </c>
      <c r="J29" s="11" t="n">
        <f aca="false">Runs!Q1360</f>
        <v>0</v>
      </c>
      <c r="K29" s="11" t="n">
        <f aca="false">Runs!Q1371</f>
        <v>0</v>
      </c>
      <c r="L29" s="11" t="n">
        <f aca="false">Runs!Q1382</f>
        <v>0</v>
      </c>
      <c r="M29" s="11" t="n">
        <f aca="false">Runs!Q1393</f>
        <v>0</v>
      </c>
      <c r="N29" s="11" t="n">
        <f aca="false">Runs!Q1404</f>
        <v>0</v>
      </c>
      <c r="O29" s="11" t="n">
        <f aca="false">Runs!Q1415</f>
        <v>0</v>
      </c>
      <c r="P29" s="11" t="n">
        <f aca="false">Runs!Q1426</f>
        <v>0</v>
      </c>
      <c r="Q29" s="16" t="n">
        <f aca="false">IF(COUNT(G29:P29)=0,"",AVERAGE(G29:P29))</f>
        <v>0</v>
      </c>
      <c r="R29" s="16" t="n">
        <f aca="false">IF(COUNT(G29:P29)&lt;2,"",STDEV(G29:P29))</f>
        <v>0</v>
      </c>
      <c r="S29" s="6" t="n">
        <f aca="false">COUNT(G29:P29)</f>
        <v>10</v>
      </c>
    </row>
    <row r="30" customFormat="false" ht="15" hidden="false" customHeight="false" outlineLevel="0" collapsed="false">
      <c r="A30" s="6" t="s">
        <v>48</v>
      </c>
      <c r="B30" s="6" t="s">
        <v>43</v>
      </c>
      <c r="C30" s="6" t="s">
        <v>49</v>
      </c>
      <c r="D30" s="6" t="s">
        <v>115</v>
      </c>
      <c r="E30" s="6" t="n">
        <v>4</v>
      </c>
      <c r="F30" s="6" t="s">
        <v>74</v>
      </c>
      <c r="G30" s="11" t="n">
        <f aca="false">Runs!Q1328</f>
        <v>0</v>
      </c>
      <c r="H30" s="11" t="n">
        <f aca="false">Runs!Q1339</f>
        <v>0</v>
      </c>
      <c r="I30" s="11" t="n">
        <f aca="false">Runs!Q1350</f>
        <v>0</v>
      </c>
      <c r="J30" s="11" t="n">
        <f aca="false">Runs!Q1361</f>
        <v>0</v>
      </c>
      <c r="K30" s="11" t="n">
        <f aca="false">Runs!Q1372</f>
        <v>0</v>
      </c>
      <c r="L30" s="11" t="n">
        <f aca="false">Runs!Q1383</f>
        <v>0</v>
      </c>
      <c r="M30" s="11" t="n">
        <f aca="false">Runs!Q1394</f>
        <v>0</v>
      </c>
      <c r="N30" s="11" t="n">
        <f aca="false">Runs!Q1405</f>
        <v>0</v>
      </c>
      <c r="O30" s="11" t="n">
        <f aca="false">Runs!Q1416</f>
        <v>0</v>
      </c>
      <c r="P30" s="11" t="n">
        <f aca="false">Runs!Q1427</f>
        <v>0</v>
      </c>
      <c r="Q30" s="16" t="n">
        <f aca="false">IF(COUNT(G30:P30)=0,"",AVERAGE(G30:P30))</f>
        <v>0</v>
      </c>
      <c r="R30" s="16" t="n">
        <f aca="false">IF(COUNT(G30:P30)&lt;2,"",STDEV(G30:P30))</f>
        <v>0</v>
      </c>
      <c r="S30" s="6" t="n">
        <f aca="false">COUNT(G30:P30)</f>
        <v>10</v>
      </c>
    </row>
    <row r="31" customFormat="false" ht="15" hidden="false" customHeight="false" outlineLevel="0" collapsed="false">
      <c r="A31" s="6" t="s">
        <v>48</v>
      </c>
      <c r="B31" s="6" t="s">
        <v>43</v>
      </c>
      <c r="C31" s="6" t="s">
        <v>49</v>
      </c>
      <c r="D31" s="6" t="s">
        <v>115</v>
      </c>
      <c r="E31" s="6" t="n">
        <v>4</v>
      </c>
      <c r="F31" s="6" t="s">
        <v>75</v>
      </c>
      <c r="G31" s="11" t="n">
        <f aca="false">Runs!Q1329</f>
        <v>0</v>
      </c>
      <c r="H31" s="11" t="n">
        <f aca="false">Runs!Q1340</f>
        <v>0</v>
      </c>
      <c r="I31" s="11" t="n">
        <f aca="false">Runs!Q1351</f>
        <v>0</v>
      </c>
      <c r="J31" s="11" t="n">
        <f aca="false">Runs!Q1362</f>
        <v>0</v>
      </c>
      <c r="K31" s="11" t="n">
        <f aca="false">Runs!Q1373</f>
        <v>0</v>
      </c>
      <c r="L31" s="11" t="n">
        <f aca="false">Runs!Q1384</f>
        <v>0</v>
      </c>
      <c r="M31" s="11" t="n">
        <f aca="false">Runs!Q1395</f>
        <v>0</v>
      </c>
      <c r="N31" s="11" t="n">
        <f aca="false">Runs!Q1406</f>
        <v>0</v>
      </c>
      <c r="O31" s="11" t="n">
        <f aca="false">Runs!Q1417</f>
        <v>0</v>
      </c>
      <c r="P31" s="11" t="n">
        <f aca="false">Runs!Q1428</f>
        <v>0</v>
      </c>
      <c r="Q31" s="16" t="n">
        <f aca="false">IF(COUNT(G31:P31)=0,"",AVERAGE(G31:P31))</f>
        <v>0</v>
      </c>
      <c r="R31" s="16" t="n">
        <f aca="false">IF(COUNT(G31:P31)&lt;2,"",STDEV(G31:P31))</f>
        <v>0</v>
      </c>
      <c r="S31" s="6" t="n">
        <f aca="false">COUNT(G31:P31)</f>
        <v>10</v>
      </c>
    </row>
    <row r="32" customFormat="false" ht="15" hidden="false" customHeight="false" outlineLevel="0" collapsed="false">
      <c r="A32" s="6" t="s">
        <v>48</v>
      </c>
      <c r="B32" s="6" t="s">
        <v>43</v>
      </c>
      <c r="C32" s="6" t="s">
        <v>49</v>
      </c>
      <c r="D32" s="6" t="s">
        <v>115</v>
      </c>
      <c r="E32" s="6" t="n">
        <v>4</v>
      </c>
      <c r="F32" s="6" t="s">
        <v>76</v>
      </c>
      <c r="G32" s="11" t="n">
        <f aca="false">Runs!Q1330</f>
        <v>0</v>
      </c>
      <c r="H32" s="11" t="n">
        <f aca="false">Runs!Q1341</f>
        <v>0</v>
      </c>
      <c r="I32" s="11" t="n">
        <f aca="false">Runs!Q1352</f>
        <v>0</v>
      </c>
      <c r="J32" s="11" t="n">
        <f aca="false">Runs!Q1363</f>
        <v>0</v>
      </c>
      <c r="K32" s="11" t="n">
        <f aca="false">Runs!Q1374</f>
        <v>0</v>
      </c>
      <c r="L32" s="11" t="n">
        <f aca="false">Runs!Q1385</f>
        <v>0</v>
      </c>
      <c r="M32" s="11" t="n">
        <f aca="false">Runs!Q1396</f>
        <v>0</v>
      </c>
      <c r="N32" s="11" t="n">
        <f aca="false">Runs!Q1407</f>
        <v>0</v>
      </c>
      <c r="O32" s="11" t="n">
        <f aca="false">Runs!Q1418</f>
        <v>0</v>
      </c>
      <c r="P32" s="11" t="n">
        <f aca="false">Runs!Q1429</f>
        <v>0</v>
      </c>
      <c r="Q32" s="16" t="n">
        <f aca="false">IF(COUNT(G32:P32)=0,"",AVERAGE(G32:P32))</f>
        <v>0</v>
      </c>
      <c r="R32" s="16" t="n">
        <f aca="false">IF(COUNT(G32:P32)&lt;2,"",STDEV(G32:P32))</f>
        <v>0</v>
      </c>
      <c r="S32" s="6" t="n">
        <f aca="false">COUNT(G32:P32)</f>
        <v>10</v>
      </c>
    </row>
    <row r="33" customFormat="false" ht="15" hidden="false" customHeight="false" outlineLevel="0" collapsed="false">
      <c r="A33" s="6" t="s">
        <v>48</v>
      </c>
      <c r="B33" s="6" t="s">
        <v>43</v>
      </c>
      <c r="C33" s="6" t="s">
        <v>49</v>
      </c>
      <c r="D33" s="6" t="s">
        <v>115</v>
      </c>
      <c r="E33" s="6" t="n">
        <v>4</v>
      </c>
      <c r="F33" s="6" t="s">
        <v>77</v>
      </c>
      <c r="G33" s="11" t="n">
        <f aca="false">Runs!Q1331</f>
        <v>0.05</v>
      </c>
      <c r="H33" s="11" t="n">
        <f aca="false">Runs!Q1342</f>
        <v>0.05</v>
      </c>
      <c r="I33" s="11" t="n">
        <f aca="false">Runs!Q1353</f>
        <v>0.05</v>
      </c>
      <c r="J33" s="11" t="n">
        <f aca="false">Runs!Q1364</f>
        <v>0.05</v>
      </c>
      <c r="K33" s="11" t="n">
        <f aca="false">Runs!Q1375</f>
        <v>0.05</v>
      </c>
      <c r="L33" s="11" t="n">
        <f aca="false">Runs!Q1386</f>
        <v>0.05</v>
      </c>
      <c r="M33" s="11" t="n">
        <f aca="false">Runs!Q1397</f>
        <v>0.05</v>
      </c>
      <c r="N33" s="11" t="n">
        <f aca="false">Runs!Q1408</f>
        <v>0.05</v>
      </c>
      <c r="O33" s="11" t="n">
        <f aca="false">Runs!Q1419</f>
        <v>0.05</v>
      </c>
      <c r="P33" s="11" t="n">
        <f aca="false">Runs!Q1430</f>
        <v>0.05</v>
      </c>
      <c r="Q33" s="16" t="n">
        <f aca="false">IF(COUNT(G33:P33)=0,"",AVERAGE(G33:P33))</f>
        <v>0.05</v>
      </c>
      <c r="R33" s="16" t="n">
        <f aca="false">IF(COUNT(G33:P33)&lt;2,"",STDEV(G33:P33))</f>
        <v>0</v>
      </c>
      <c r="S33" s="6" t="n">
        <f aca="false">COUNT(G33:P33)</f>
        <v>10</v>
      </c>
    </row>
    <row r="34" customFormat="false" ht="15" hidden="false" customHeight="false" outlineLevel="0" collapsed="false">
      <c r="A34" s="17" t="s">
        <v>48</v>
      </c>
      <c r="B34" s="17" t="s">
        <v>43</v>
      </c>
      <c r="C34" s="17" t="s">
        <v>49</v>
      </c>
      <c r="D34" s="17" t="s">
        <v>115</v>
      </c>
      <c r="E34" s="17" t="n">
        <v>4</v>
      </c>
      <c r="F34" s="17" t="s">
        <v>78</v>
      </c>
      <c r="G34" s="18" t="n">
        <f aca="false">Runs!Q1332</f>
        <v>0.005</v>
      </c>
      <c r="H34" s="18" t="n">
        <f aca="false">Runs!Q1343</f>
        <v>0.005</v>
      </c>
      <c r="I34" s="18" t="n">
        <f aca="false">Runs!Q1354</f>
        <v>0.005</v>
      </c>
      <c r="J34" s="18" t="n">
        <f aca="false">Runs!Q1365</f>
        <v>0.005</v>
      </c>
      <c r="K34" s="18" t="n">
        <f aca="false">Runs!Q1376</f>
        <v>0.005</v>
      </c>
      <c r="L34" s="18" t="n">
        <f aca="false">Runs!Q1387</f>
        <v>0.005</v>
      </c>
      <c r="M34" s="18" t="n">
        <f aca="false">Runs!Q1398</f>
        <v>0.005</v>
      </c>
      <c r="N34" s="18" t="n">
        <f aca="false">Runs!Q1409</f>
        <v>0.005</v>
      </c>
      <c r="O34" s="18" t="n">
        <f aca="false">Runs!Q1420</f>
        <v>0.005</v>
      </c>
      <c r="P34" s="18" t="n">
        <f aca="false">Runs!Q1431</f>
        <v>0.005</v>
      </c>
      <c r="Q34" s="19" t="n">
        <f aca="false">IF(COUNT(G34:P34)=0,"",AVERAGE(G34:P34))</f>
        <v>0.005</v>
      </c>
      <c r="R34" s="19" t="n">
        <f aca="false">IF(COUNT(G34:P34)&lt;2,"",STDEV(G34:P34))</f>
        <v>0</v>
      </c>
      <c r="S34" s="20" t="n">
        <f aca="false">COUNT(G34:P34)</f>
        <v>10</v>
      </c>
    </row>
    <row r="35" customFormat="false" ht="15" hidden="false" customHeight="false" outlineLevel="0" collapsed="false">
      <c r="A35" s="6" t="s">
        <v>50</v>
      </c>
      <c r="B35" s="6" t="s">
        <v>43</v>
      </c>
      <c r="C35" s="6" t="s">
        <v>51</v>
      </c>
      <c r="D35" s="6" t="s">
        <v>115</v>
      </c>
      <c r="E35" s="6" t="n">
        <v>1</v>
      </c>
      <c r="F35" s="6" t="s">
        <v>68</v>
      </c>
      <c r="G35" s="11" t="n">
        <f aca="false">Runs!Q1432</f>
        <v>0</v>
      </c>
      <c r="H35" s="11" t="n">
        <f aca="false">Runs!Q1443</f>
        <v>0</v>
      </c>
      <c r="I35" s="11" t="n">
        <f aca="false">Runs!Q1454</f>
        <v>0</v>
      </c>
      <c r="J35" s="11" t="n">
        <f aca="false">Runs!Q1465</f>
        <v>0</v>
      </c>
      <c r="K35" s="11" t="n">
        <f aca="false">Runs!Q1476</f>
        <v>0</v>
      </c>
      <c r="L35" s="11" t="n">
        <f aca="false">Runs!Q1487</f>
        <v>0</v>
      </c>
      <c r="M35" s="11" t="n">
        <f aca="false">Runs!Q1498</f>
        <v>0</v>
      </c>
      <c r="N35" s="11" t="n">
        <f aca="false">Runs!Q1509</f>
        <v>0</v>
      </c>
      <c r="O35" s="11" t="n">
        <f aca="false">Runs!Q1520</f>
        <v>0</v>
      </c>
      <c r="P35" s="11" t="n">
        <f aca="false">Runs!Q1531</f>
        <v>0</v>
      </c>
      <c r="Q35" s="16" t="n">
        <f aca="false">IF(COUNT(G35:P35)=0,"",AVERAGE(G35:P35))</f>
        <v>0</v>
      </c>
      <c r="R35" s="16" t="n">
        <f aca="false">IF(COUNT(G35:P35)&lt;2,"",STDEV(G35:P35))</f>
        <v>0</v>
      </c>
      <c r="S35" s="6" t="n">
        <f aca="false">COUNT(G35:P35)</f>
        <v>10</v>
      </c>
    </row>
    <row r="36" customFormat="false" ht="15" hidden="false" customHeight="false" outlineLevel="0" collapsed="false">
      <c r="A36" s="6" t="s">
        <v>50</v>
      </c>
      <c r="B36" s="6" t="s">
        <v>43</v>
      </c>
      <c r="C36" s="6" t="s">
        <v>51</v>
      </c>
      <c r="D36" s="6" t="s">
        <v>115</v>
      </c>
      <c r="E36" s="6" t="n">
        <v>1</v>
      </c>
      <c r="F36" s="6" t="s">
        <v>69</v>
      </c>
      <c r="G36" s="11" t="n">
        <f aca="false">Runs!Q1433</f>
        <v>0</v>
      </c>
      <c r="H36" s="11" t="n">
        <f aca="false">Runs!Q1444</f>
        <v>0</v>
      </c>
      <c r="I36" s="11" t="n">
        <f aca="false">Runs!Q1455</f>
        <v>0</v>
      </c>
      <c r="J36" s="11" t="n">
        <f aca="false">Runs!Q1466</f>
        <v>0</v>
      </c>
      <c r="K36" s="11" t="n">
        <f aca="false">Runs!Q1477</f>
        <v>0</v>
      </c>
      <c r="L36" s="11" t="n">
        <f aca="false">Runs!Q1488</f>
        <v>0</v>
      </c>
      <c r="M36" s="11" t="n">
        <f aca="false">Runs!Q1499</f>
        <v>0</v>
      </c>
      <c r="N36" s="11" t="n">
        <f aca="false">Runs!Q1510</f>
        <v>0</v>
      </c>
      <c r="O36" s="11" t="n">
        <f aca="false">Runs!Q1521</f>
        <v>0</v>
      </c>
      <c r="P36" s="11" t="n">
        <f aca="false">Runs!Q1532</f>
        <v>0</v>
      </c>
      <c r="Q36" s="16" t="n">
        <f aca="false">IF(COUNT(G36:P36)=0,"",AVERAGE(G36:P36))</f>
        <v>0</v>
      </c>
      <c r="R36" s="16" t="n">
        <f aca="false">IF(COUNT(G36:P36)&lt;2,"",STDEV(G36:P36))</f>
        <v>0</v>
      </c>
      <c r="S36" s="6" t="n">
        <f aca="false">COUNT(G36:P36)</f>
        <v>10</v>
      </c>
    </row>
    <row r="37" customFormat="false" ht="15" hidden="false" customHeight="false" outlineLevel="0" collapsed="false">
      <c r="A37" s="6" t="s">
        <v>50</v>
      </c>
      <c r="B37" s="6" t="s">
        <v>43</v>
      </c>
      <c r="C37" s="6" t="s">
        <v>51</v>
      </c>
      <c r="D37" s="6" t="s">
        <v>115</v>
      </c>
      <c r="E37" s="6" t="n">
        <v>1</v>
      </c>
      <c r="F37" s="6" t="s">
        <v>70</v>
      </c>
      <c r="G37" s="11" t="n">
        <f aca="false">Runs!Q1434</f>
        <v>0</v>
      </c>
      <c r="H37" s="11" t="n">
        <f aca="false">Runs!Q1445</f>
        <v>0</v>
      </c>
      <c r="I37" s="11" t="n">
        <f aca="false">Runs!Q1456</f>
        <v>0</v>
      </c>
      <c r="J37" s="11" t="n">
        <f aca="false">Runs!Q1467</f>
        <v>0</v>
      </c>
      <c r="K37" s="11" t="n">
        <f aca="false">Runs!Q1478</f>
        <v>0</v>
      </c>
      <c r="L37" s="11" t="n">
        <f aca="false">Runs!Q1489</f>
        <v>0</v>
      </c>
      <c r="M37" s="11" t="n">
        <f aca="false">Runs!Q1500</f>
        <v>0</v>
      </c>
      <c r="N37" s="11" t="n">
        <f aca="false">Runs!Q1511</f>
        <v>0</v>
      </c>
      <c r="O37" s="11" t="n">
        <f aca="false">Runs!Q1522</f>
        <v>0</v>
      </c>
      <c r="P37" s="11" t="n">
        <f aca="false">Runs!Q1533</f>
        <v>0</v>
      </c>
      <c r="Q37" s="16" t="n">
        <f aca="false">IF(COUNT(G37:P37)=0,"",AVERAGE(G37:P37))</f>
        <v>0</v>
      </c>
      <c r="R37" s="16" t="n">
        <f aca="false">IF(COUNT(G37:P37)&lt;2,"",STDEV(G37:P37))</f>
        <v>0</v>
      </c>
      <c r="S37" s="6" t="n">
        <f aca="false">COUNT(G37:P37)</f>
        <v>10</v>
      </c>
    </row>
    <row r="38" customFormat="false" ht="15" hidden="false" customHeight="false" outlineLevel="0" collapsed="false">
      <c r="A38" s="6" t="s">
        <v>50</v>
      </c>
      <c r="B38" s="6" t="s">
        <v>43</v>
      </c>
      <c r="C38" s="6" t="s">
        <v>51</v>
      </c>
      <c r="D38" s="6" t="s">
        <v>115</v>
      </c>
      <c r="E38" s="6" t="n">
        <v>1</v>
      </c>
      <c r="F38" s="6" t="s">
        <v>71</v>
      </c>
      <c r="G38" s="11" t="n">
        <f aca="false">Runs!Q1435</f>
        <v>0</v>
      </c>
      <c r="H38" s="11" t="n">
        <f aca="false">Runs!Q1446</f>
        <v>0</v>
      </c>
      <c r="I38" s="11" t="n">
        <f aca="false">Runs!Q1457</f>
        <v>0</v>
      </c>
      <c r="J38" s="11" t="n">
        <f aca="false">Runs!Q1468</f>
        <v>0</v>
      </c>
      <c r="K38" s="11" t="n">
        <f aca="false">Runs!Q1479</f>
        <v>0</v>
      </c>
      <c r="L38" s="11" t="n">
        <f aca="false">Runs!Q1490</f>
        <v>0</v>
      </c>
      <c r="M38" s="11" t="n">
        <f aca="false">Runs!Q1501</f>
        <v>0</v>
      </c>
      <c r="N38" s="11" t="n">
        <f aca="false">Runs!Q1512</f>
        <v>0</v>
      </c>
      <c r="O38" s="11" t="n">
        <f aca="false">Runs!Q1523</f>
        <v>0</v>
      </c>
      <c r="P38" s="11" t="n">
        <f aca="false">Runs!Q1534</f>
        <v>0</v>
      </c>
      <c r="Q38" s="16" t="n">
        <f aca="false">IF(COUNT(G38:P38)=0,"",AVERAGE(G38:P38))</f>
        <v>0</v>
      </c>
      <c r="R38" s="16" t="n">
        <f aca="false">IF(COUNT(G38:P38)&lt;2,"",STDEV(G38:P38))</f>
        <v>0</v>
      </c>
      <c r="S38" s="6" t="n">
        <f aca="false">COUNT(G38:P38)</f>
        <v>10</v>
      </c>
    </row>
    <row r="39" customFormat="false" ht="15" hidden="false" customHeight="false" outlineLevel="0" collapsed="false">
      <c r="A39" s="6" t="s">
        <v>50</v>
      </c>
      <c r="B39" s="6" t="s">
        <v>43</v>
      </c>
      <c r="C39" s="6" t="s">
        <v>51</v>
      </c>
      <c r="D39" s="6" t="s">
        <v>115</v>
      </c>
      <c r="E39" s="6" t="n">
        <v>1</v>
      </c>
      <c r="F39" s="6" t="s">
        <v>72</v>
      </c>
      <c r="G39" s="11" t="n">
        <f aca="false">Runs!Q1436</f>
        <v>0</v>
      </c>
      <c r="H39" s="11" t="n">
        <f aca="false">Runs!Q1447</f>
        <v>0</v>
      </c>
      <c r="I39" s="11" t="n">
        <f aca="false">Runs!Q1458</f>
        <v>0</v>
      </c>
      <c r="J39" s="11" t="n">
        <f aca="false">Runs!Q1469</f>
        <v>0</v>
      </c>
      <c r="K39" s="11" t="n">
        <f aca="false">Runs!Q1480</f>
        <v>0</v>
      </c>
      <c r="L39" s="11" t="n">
        <f aca="false">Runs!Q1491</f>
        <v>0</v>
      </c>
      <c r="M39" s="11" t="n">
        <f aca="false">Runs!Q1502</f>
        <v>0</v>
      </c>
      <c r="N39" s="11" t="n">
        <f aca="false">Runs!Q1513</f>
        <v>0</v>
      </c>
      <c r="O39" s="11" t="n">
        <f aca="false">Runs!Q1524</f>
        <v>0</v>
      </c>
      <c r="P39" s="11" t="n">
        <f aca="false">Runs!Q1535</f>
        <v>0</v>
      </c>
      <c r="Q39" s="16" t="n">
        <f aca="false">IF(COUNT(G39:P39)=0,"",AVERAGE(G39:P39))</f>
        <v>0</v>
      </c>
      <c r="R39" s="16" t="n">
        <f aca="false">IF(COUNT(G39:P39)&lt;2,"",STDEV(G39:P39))</f>
        <v>0</v>
      </c>
      <c r="S39" s="6" t="n">
        <f aca="false">COUNT(G39:P39)</f>
        <v>10</v>
      </c>
    </row>
    <row r="40" customFormat="false" ht="15" hidden="false" customHeight="false" outlineLevel="0" collapsed="false">
      <c r="A40" s="6" t="s">
        <v>50</v>
      </c>
      <c r="B40" s="6" t="s">
        <v>43</v>
      </c>
      <c r="C40" s="6" t="s">
        <v>51</v>
      </c>
      <c r="D40" s="6" t="s">
        <v>115</v>
      </c>
      <c r="E40" s="6" t="n">
        <v>1</v>
      </c>
      <c r="F40" s="6" t="s">
        <v>73</v>
      </c>
      <c r="G40" s="11" t="n">
        <f aca="false">Runs!Q1437</f>
        <v>0</v>
      </c>
      <c r="H40" s="11" t="n">
        <f aca="false">Runs!Q1448</f>
        <v>0</v>
      </c>
      <c r="I40" s="11" t="n">
        <f aca="false">Runs!Q1459</f>
        <v>0</v>
      </c>
      <c r="J40" s="11" t="n">
        <f aca="false">Runs!Q1470</f>
        <v>0</v>
      </c>
      <c r="K40" s="11" t="n">
        <f aca="false">Runs!Q1481</f>
        <v>0</v>
      </c>
      <c r="L40" s="11" t="n">
        <f aca="false">Runs!Q1492</f>
        <v>0</v>
      </c>
      <c r="M40" s="11" t="n">
        <f aca="false">Runs!Q1503</f>
        <v>0</v>
      </c>
      <c r="N40" s="11" t="n">
        <f aca="false">Runs!Q1514</f>
        <v>0</v>
      </c>
      <c r="O40" s="11" t="n">
        <f aca="false">Runs!Q1525</f>
        <v>0</v>
      </c>
      <c r="P40" s="11" t="n">
        <f aca="false">Runs!Q1536</f>
        <v>0</v>
      </c>
      <c r="Q40" s="16" t="n">
        <f aca="false">IF(COUNT(G40:P40)=0,"",AVERAGE(G40:P40))</f>
        <v>0</v>
      </c>
      <c r="R40" s="16" t="n">
        <f aca="false">IF(COUNT(G40:P40)&lt;2,"",STDEV(G40:P40))</f>
        <v>0</v>
      </c>
      <c r="S40" s="6" t="n">
        <f aca="false">COUNT(G40:P40)</f>
        <v>10</v>
      </c>
    </row>
    <row r="41" customFormat="false" ht="15" hidden="false" customHeight="false" outlineLevel="0" collapsed="false">
      <c r="A41" s="6" t="s">
        <v>50</v>
      </c>
      <c r="B41" s="6" t="s">
        <v>43</v>
      </c>
      <c r="C41" s="6" t="s">
        <v>51</v>
      </c>
      <c r="D41" s="6" t="s">
        <v>115</v>
      </c>
      <c r="E41" s="6" t="n">
        <v>1</v>
      </c>
      <c r="F41" s="6" t="s">
        <v>74</v>
      </c>
      <c r="G41" s="11" t="n">
        <f aca="false">Runs!Q1438</f>
        <v>0</v>
      </c>
      <c r="H41" s="11" t="n">
        <f aca="false">Runs!Q1449</f>
        <v>0</v>
      </c>
      <c r="I41" s="11" t="n">
        <f aca="false">Runs!Q1460</f>
        <v>0</v>
      </c>
      <c r="J41" s="11" t="n">
        <f aca="false">Runs!Q1471</f>
        <v>0</v>
      </c>
      <c r="K41" s="11" t="n">
        <f aca="false">Runs!Q1482</f>
        <v>0</v>
      </c>
      <c r="L41" s="11" t="n">
        <f aca="false">Runs!Q1493</f>
        <v>0</v>
      </c>
      <c r="M41" s="11" t="n">
        <f aca="false">Runs!Q1504</f>
        <v>0</v>
      </c>
      <c r="N41" s="11" t="n">
        <f aca="false">Runs!Q1515</f>
        <v>0</v>
      </c>
      <c r="O41" s="11" t="n">
        <f aca="false">Runs!Q1526</f>
        <v>0</v>
      </c>
      <c r="P41" s="11" t="n">
        <f aca="false">Runs!Q1537</f>
        <v>0</v>
      </c>
      <c r="Q41" s="16" t="n">
        <f aca="false">IF(COUNT(G41:P41)=0,"",AVERAGE(G41:P41))</f>
        <v>0</v>
      </c>
      <c r="R41" s="16" t="n">
        <f aca="false">IF(COUNT(G41:P41)&lt;2,"",STDEV(G41:P41))</f>
        <v>0</v>
      </c>
      <c r="S41" s="6" t="n">
        <f aca="false">COUNT(G41:P41)</f>
        <v>10</v>
      </c>
    </row>
    <row r="42" customFormat="false" ht="15" hidden="false" customHeight="false" outlineLevel="0" collapsed="false">
      <c r="A42" s="6" t="s">
        <v>50</v>
      </c>
      <c r="B42" s="6" t="s">
        <v>43</v>
      </c>
      <c r="C42" s="6" t="s">
        <v>51</v>
      </c>
      <c r="D42" s="6" t="s">
        <v>115</v>
      </c>
      <c r="E42" s="6" t="n">
        <v>1</v>
      </c>
      <c r="F42" s="6" t="s">
        <v>75</v>
      </c>
      <c r="G42" s="11" t="n">
        <f aca="false">Runs!Q1439</f>
        <v>0</v>
      </c>
      <c r="H42" s="11" t="n">
        <f aca="false">Runs!Q1450</f>
        <v>0</v>
      </c>
      <c r="I42" s="11" t="n">
        <f aca="false">Runs!Q1461</f>
        <v>0</v>
      </c>
      <c r="J42" s="11" t="n">
        <f aca="false">Runs!Q1472</f>
        <v>0</v>
      </c>
      <c r="K42" s="11" t="n">
        <f aca="false">Runs!Q1483</f>
        <v>0</v>
      </c>
      <c r="L42" s="11" t="n">
        <f aca="false">Runs!Q1494</f>
        <v>0</v>
      </c>
      <c r="M42" s="11" t="n">
        <f aca="false">Runs!Q1505</f>
        <v>0</v>
      </c>
      <c r="N42" s="11" t="n">
        <f aca="false">Runs!Q1516</f>
        <v>0</v>
      </c>
      <c r="O42" s="11" t="n">
        <f aca="false">Runs!Q1527</f>
        <v>0</v>
      </c>
      <c r="P42" s="11" t="n">
        <f aca="false">Runs!Q1538</f>
        <v>0</v>
      </c>
      <c r="Q42" s="16" t="n">
        <f aca="false">IF(COUNT(G42:P42)=0,"",AVERAGE(G42:P42))</f>
        <v>0</v>
      </c>
      <c r="R42" s="16" t="n">
        <f aca="false">IF(COUNT(G42:P42)&lt;2,"",STDEV(G42:P42))</f>
        <v>0</v>
      </c>
      <c r="S42" s="6" t="n">
        <f aca="false">COUNT(G42:P42)</f>
        <v>10</v>
      </c>
    </row>
    <row r="43" customFormat="false" ht="15" hidden="false" customHeight="false" outlineLevel="0" collapsed="false">
      <c r="A43" s="6" t="s">
        <v>50</v>
      </c>
      <c r="B43" s="6" t="s">
        <v>43</v>
      </c>
      <c r="C43" s="6" t="s">
        <v>51</v>
      </c>
      <c r="D43" s="6" t="s">
        <v>115</v>
      </c>
      <c r="E43" s="6" t="n">
        <v>1</v>
      </c>
      <c r="F43" s="6" t="s">
        <v>76</v>
      </c>
      <c r="G43" s="11" t="n">
        <f aca="false">Runs!Q1440</f>
        <v>0</v>
      </c>
      <c r="H43" s="11" t="n">
        <f aca="false">Runs!Q1451</f>
        <v>0</v>
      </c>
      <c r="I43" s="11" t="n">
        <f aca="false">Runs!Q1462</f>
        <v>0</v>
      </c>
      <c r="J43" s="11" t="n">
        <f aca="false">Runs!Q1473</f>
        <v>0</v>
      </c>
      <c r="K43" s="11" t="n">
        <f aca="false">Runs!Q1484</f>
        <v>0</v>
      </c>
      <c r="L43" s="11" t="n">
        <f aca="false">Runs!Q1495</f>
        <v>0</v>
      </c>
      <c r="M43" s="11" t="n">
        <f aca="false">Runs!Q1506</f>
        <v>0</v>
      </c>
      <c r="N43" s="11" t="n">
        <f aca="false">Runs!Q1517</f>
        <v>0</v>
      </c>
      <c r="O43" s="11" t="n">
        <f aca="false">Runs!Q1528</f>
        <v>0</v>
      </c>
      <c r="P43" s="11" t="n">
        <f aca="false">Runs!Q1539</f>
        <v>0</v>
      </c>
      <c r="Q43" s="16" t="n">
        <f aca="false">IF(COUNT(G43:P43)=0,"",AVERAGE(G43:P43))</f>
        <v>0</v>
      </c>
      <c r="R43" s="16" t="n">
        <f aca="false">IF(COUNT(G43:P43)&lt;2,"",STDEV(G43:P43))</f>
        <v>0</v>
      </c>
      <c r="S43" s="6" t="n">
        <f aca="false">COUNT(G43:P43)</f>
        <v>10</v>
      </c>
    </row>
    <row r="44" customFormat="false" ht="15" hidden="false" customHeight="false" outlineLevel="0" collapsed="false">
      <c r="A44" s="6" t="s">
        <v>50</v>
      </c>
      <c r="B44" s="6" t="s">
        <v>43</v>
      </c>
      <c r="C44" s="6" t="s">
        <v>51</v>
      </c>
      <c r="D44" s="6" t="s">
        <v>115</v>
      </c>
      <c r="E44" s="6" t="n">
        <v>1</v>
      </c>
      <c r="F44" s="6" t="s">
        <v>77</v>
      </c>
      <c r="G44" s="11" t="n">
        <f aca="false">Runs!Q1441</f>
        <v>0.05</v>
      </c>
      <c r="H44" s="11" t="n">
        <f aca="false">Runs!Q1452</f>
        <v>0.05</v>
      </c>
      <c r="I44" s="11" t="n">
        <f aca="false">Runs!Q1463</f>
        <v>0.05</v>
      </c>
      <c r="J44" s="11" t="n">
        <f aca="false">Runs!Q1474</f>
        <v>0.05</v>
      </c>
      <c r="K44" s="11" t="n">
        <f aca="false">Runs!Q1485</f>
        <v>0.05</v>
      </c>
      <c r="L44" s="11" t="n">
        <f aca="false">Runs!Q1496</f>
        <v>0.05</v>
      </c>
      <c r="M44" s="11" t="n">
        <f aca="false">Runs!Q1507</f>
        <v>0.05</v>
      </c>
      <c r="N44" s="11" t="n">
        <f aca="false">Runs!Q1518</f>
        <v>0.05</v>
      </c>
      <c r="O44" s="11" t="n">
        <f aca="false">Runs!Q1529</f>
        <v>0.05</v>
      </c>
      <c r="P44" s="11" t="n">
        <f aca="false">Runs!Q1540</f>
        <v>0.05</v>
      </c>
      <c r="Q44" s="16" t="n">
        <f aca="false">IF(COUNT(G44:P44)=0,"",AVERAGE(G44:P44))</f>
        <v>0.05</v>
      </c>
      <c r="R44" s="16" t="n">
        <f aca="false">IF(COUNT(G44:P44)&lt;2,"",STDEV(G44:P44))</f>
        <v>0</v>
      </c>
      <c r="S44" s="6" t="n">
        <f aca="false">COUNT(G44:P44)</f>
        <v>10</v>
      </c>
    </row>
    <row r="45" customFormat="false" ht="15" hidden="false" customHeight="false" outlineLevel="0" collapsed="false">
      <c r="A45" s="17" t="s">
        <v>50</v>
      </c>
      <c r="B45" s="17" t="s">
        <v>43</v>
      </c>
      <c r="C45" s="17" t="s">
        <v>51</v>
      </c>
      <c r="D45" s="17" t="s">
        <v>115</v>
      </c>
      <c r="E45" s="17" t="n">
        <v>1</v>
      </c>
      <c r="F45" s="17" t="s">
        <v>78</v>
      </c>
      <c r="G45" s="18" t="n">
        <f aca="false">Runs!Q1442</f>
        <v>0.005</v>
      </c>
      <c r="H45" s="18" t="n">
        <f aca="false">Runs!Q1453</f>
        <v>0.005</v>
      </c>
      <c r="I45" s="18" t="n">
        <f aca="false">Runs!Q1464</f>
        <v>0.005</v>
      </c>
      <c r="J45" s="18" t="n">
        <f aca="false">Runs!Q1475</f>
        <v>0.005</v>
      </c>
      <c r="K45" s="18" t="n">
        <f aca="false">Runs!Q1486</f>
        <v>0.005</v>
      </c>
      <c r="L45" s="18" t="n">
        <f aca="false">Runs!Q1497</f>
        <v>0.005</v>
      </c>
      <c r="M45" s="18" t="n">
        <f aca="false">Runs!Q1508</f>
        <v>0.005</v>
      </c>
      <c r="N45" s="18" t="n">
        <f aca="false">Runs!Q1519</f>
        <v>0.005</v>
      </c>
      <c r="O45" s="18" t="n">
        <f aca="false">Runs!Q1530</f>
        <v>0.005</v>
      </c>
      <c r="P45" s="18" t="n">
        <f aca="false">Runs!Q1541</f>
        <v>0.005</v>
      </c>
      <c r="Q45" s="19" t="n">
        <f aca="false">IF(COUNT(G45:P45)=0,"",AVERAGE(G45:P45))</f>
        <v>0.005</v>
      </c>
      <c r="R45" s="19" t="n">
        <f aca="false">IF(COUNT(G45:P45)&lt;2,"",STDEV(G45:P45))</f>
        <v>0</v>
      </c>
      <c r="S45" s="20" t="n">
        <f aca="false">COUNT(G45:P45)</f>
        <v>10</v>
      </c>
    </row>
    <row r="46" customFormat="false" ht="15" hidden="false" customHeight="false" outlineLevel="0" collapsed="false">
      <c r="A46" s="6" t="s">
        <v>52</v>
      </c>
      <c r="B46" s="6" t="s">
        <v>43</v>
      </c>
      <c r="C46" s="6" t="s">
        <v>51</v>
      </c>
      <c r="D46" s="6" t="s">
        <v>116</v>
      </c>
      <c r="E46" s="6" t="n">
        <v>16</v>
      </c>
      <c r="F46" s="6" t="s">
        <v>68</v>
      </c>
      <c r="G46" s="11" t="n">
        <f aca="false">Runs!Q1542</f>
        <v>0</v>
      </c>
      <c r="H46" s="11" t="n">
        <f aca="false">Runs!Q1553</f>
        <v>0</v>
      </c>
      <c r="I46" s="11" t="n">
        <f aca="false">Runs!Q1564</f>
        <v>0</v>
      </c>
      <c r="J46" s="11" t="n">
        <f aca="false">Runs!Q1575</f>
        <v>0</v>
      </c>
      <c r="K46" s="11" t="n">
        <f aca="false">Runs!Q1586</f>
        <v>0</v>
      </c>
      <c r="L46" s="11" t="n">
        <f aca="false">Runs!Q1597</f>
        <v>0</v>
      </c>
      <c r="M46" s="11" t="n">
        <f aca="false">Runs!Q1608</f>
        <v>0</v>
      </c>
      <c r="N46" s="11" t="n">
        <f aca="false">Runs!Q1619</f>
        <v>0</v>
      </c>
      <c r="O46" s="11" t="n">
        <f aca="false">Runs!Q1630</f>
        <v>0</v>
      </c>
      <c r="P46" s="11" t="n">
        <f aca="false">Runs!Q1641</f>
        <v>0</v>
      </c>
      <c r="Q46" s="16" t="n">
        <f aca="false">IF(COUNT(G46:P46)=0,"",AVERAGE(G46:P46))</f>
        <v>0</v>
      </c>
      <c r="R46" s="16" t="n">
        <f aca="false">IF(COUNT(G46:P46)&lt;2,"",STDEV(G46:P46))</f>
        <v>0</v>
      </c>
      <c r="S46" s="6" t="n">
        <f aca="false">COUNT(G46:P46)</f>
        <v>10</v>
      </c>
    </row>
    <row r="47" customFormat="false" ht="15" hidden="false" customHeight="false" outlineLevel="0" collapsed="false">
      <c r="A47" s="6" t="s">
        <v>52</v>
      </c>
      <c r="B47" s="6" t="s">
        <v>43</v>
      </c>
      <c r="C47" s="6" t="s">
        <v>51</v>
      </c>
      <c r="D47" s="6" t="s">
        <v>116</v>
      </c>
      <c r="E47" s="6" t="n">
        <v>16</v>
      </c>
      <c r="F47" s="6" t="s">
        <v>69</v>
      </c>
      <c r="G47" s="11" t="n">
        <f aca="false">Runs!Q1543</f>
        <v>0</v>
      </c>
      <c r="H47" s="11" t="n">
        <f aca="false">Runs!Q1554</f>
        <v>0</v>
      </c>
      <c r="I47" s="11" t="n">
        <f aca="false">Runs!Q1565</f>
        <v>0</v>
      </c>
      <c r="J47" s="11" t="n">
        <f aca="false">Runs!Q1576</f>
        <v>0</v>
      </c>
      <c r="K47" s="11" t="n">
        <f aca="false">Runs!Q1587</f>
        <v>0</v>
      </c>
      <c r="L47" s="11" t="n">
        <f aca="false">Runs!Q1598</f>
        <v>0</v>
      </c>
      <c r="M47" s="11" t="n">
        <f aca="false">Runs!Q1609</f>
        <v>0</v>
      </c>
      <c r="N47" s="11" t="n">
        <f aca="false">Runs!Q1620</f>
        <v>0</v>
      </c>
      <c r="O47" s="11" t="n">
        <f aca="false">Runs!Q1631</f>
        <v>0</v>
      </c>
      <c r="P47" s="11" t="n">
        <f aca="false">Runs!Q1642</f>
        <v>0</v>
      </c>
      <c r="Q47" s="16" t="n">
        <f aca="false">IF(COUNT(G47:P47)=0,"",AVERAGE(G47:P47))</f>
        <v>0</v>
      </c>
      <c r="R47" s="16" t="n">
        <f aca="false">IF(COUNT(G47:P47)&lt;2,"",STDEV(G47:P47))</f>
        <v>0</v>
      </c>
      <c r="S47" s="6" t="n">
        <f aca="false">COUNT(G47:P47)</f>
        <v>10</v>
      </c>
    </row>
    <row r="48" customFormat="false" ht="15" hidden="false" customHeight="false" outlineLevel="0" collapsed="false">
      <c r="A48" s="6" t="s">
        <v>52</v>
      </c>
      <c r="B48" s="6" t="s">
        <v>43</v>
      </c>
      <c r="C48" s="6" t="s">
        <v>51</v>
      </c>
      <c r="D48" s="6" t="s">
        <v>116</v>
      </c>
      <c r="E48" s="6" t="n">
        <v>16</v>
      </c>
      <c r="F48" s="6" t="s">
        <v>70</v>
      </c>
      <c r="G48" s="11" t="n">
        <f aca="false">Runs!Q1544</f>
        <v>0</v>
      </c>
      <c r="H48" s="11" t="n">
        <f aca="false">Runs!Q1555</f>
        <v>0</v>
      </c>
      <c r="I48" s="11" t="n">
        <f aca="false">Runs!Q1566</f>
        <v>0</v>
      </c>
      <c r="J48" s="11" t="n">
        <f aca="false">Runs!Q1577</f>
        <v>0</v>
      </c>
      <c r="K48" s="11" t="n">
        <f aca="false">Runs!Q1588</f>
        <v>0</v>
      </c>
      <c r="L48" s="11" t="n">
        <f aca="false">Runs!Q1599</f>
        <v>0</v>
      </c>
      <c r="M48" s="11" t="n">
        <f aca="false">Runs!Q1610</f>
        <v>0</v>
      </c>
      <c r="N48" s="11" t="n">
        <f aca="false">Runs!Q1621</f>
        <v>0</v>
      </c>
      <c r="O48" s="11" t="n">
        <f aca="false">Runs!Q1632</f>
        <v>0</v>
      </c>
      <c r="P48" s="11" t="n">
        <f aca="false">Runs!Q1643</f>
        <v>0</v>
      </c>
      <c r="Q48" s="16" t="n">
        <f aca="false">IF(COUNT(G48:P48)=0,"",AVERAGE(G48:P48))</f>
        <v>0</v>
      </c>
      <c r="R48" s="16" t="n">
        <f aca="false">IF(COUNT(G48:P48)&lt;2,"",STDEV(G48:P48))</f>
        <v>0</v>
      </c>
      <c r="S48" s="6" t="n">
        <f aca="false">COUNT(G48:P48)</f>
        <v>10</v>
      </c>
    </row>
    <row r="49" customFormat="false" ht="15" hidden="false" customHeight="false" outlineLevel="0" collapsed="false">
      <c r="A49" s="6" t="s">
        <v>52</v>
      </c>
      <c r="B49" s="6" t="s">
        <v>43</v>
      </c>
      <c r="C49" s="6" t="s">
        <v>51</v>
      </c>
      <c r="D49" s="6" t="s">
        <v>116</v>
      </c>
      <c r="E49" s="6" t="n">
        <v>16</v>
      </c>
      <c r="F49" s="6" t="s">
        <v>71</v>
      </c>
      <c r="G49" s="11" t="n">
        <f aca="false">Runs!Q1545</f>
        <v>0</v>
      </c>
      <c r="H49" s="11" t="n">
        <f aca="false">Runs!Q1556</f>
        <v>0</v>
      </c>
      <c r="I49" s="11" t="n">
        <f aca="false">Runs!Q1567</f>
        <v>0</v>
      </c>
      <c r="J49" s="11" t="n">
        <f aca="false">Runs!Q1578</f>
        <v>0</v>
      </c>
      <c r="K49" s="11" t="n">
        <f aca="false">Runs!Q1589</f>
        <v>0</v>
      </c>
      <c r="L49" s="11" t="n">
        <f aca="false">Runs!Q1600</f>
        <v>0</v>
      </c>
      <c r="M49" s="11" t="n">
        <f aca="false">Runs!Q1611</f>
        <v>0</v>
      </c>
      <c r="N49" s="11" t="n">
        <f aca="false">Runs!Q1622</f>
        <v>0</v>
      </c>
      <c r="O49" s="11" t="n">
        <f aca="false">Runs!Q1633</f>
        <v>0</v>
      </c>
      <c r="P49" s="11" t="n">
        <f aca="false">Runs!Q1644</f>
        <v>0</v>
      </c>
      <c r="Q49" s="16" t="n">
        <f aca="false">IF(COUNT(G49:P49)=0,"",AVERAGE(G49:P49))</f>
        <v>0</v>
      </c>
      <c r="R49" s="16" t="n">
        <f aca="false">IF(COUNT(G49:P49)&lt;2,"",STDEV(G49:P49))</f>
        <v>0</v>
      </c>
      <c r="S49" s="6" t="n">
        <f aca="false">COUNT(G49:P49)</f>
        <v>10</v>
      </c>
    </row>
    <row r="50" customFormat="false" ht="15" hidden="false" customHeight="false" outlineLevel="0" collapsed="false">
      <c r="A50" s="6" t="s">
        <v>52</v>
      </c>
      <c r="B50" s="6" t="s">
        <v>43</v>
      </c>
      <c r="C50" s="6" t="s">
        <v>51</v>
      </c>
      <c r="D50" s="6" t="s">
        <v>116</v>
      </c>
      <c r="E50" s="6" t="n">
        <v>16</v>
      </c>
      <c r="F50" s="6" t="s">
        <v>72</v>
      </c>
      <c r="G50" s="11" t="n">
        <f aca="false">Runs!Q1546</f>
        <v>0</v>
      </c>
      <c r="H50" s="11" t="n">
        <f aca="false">Runs!Q1557</f>
        <v>0</v>
      </c>
      <c r="I50" s="11" t="n">
        <f aca="false">Runs!Q1568</f>
        <v>0</v>
      </c>
      <c r="J50" s="11" t="n">
        <f aca="false">Runs!Q1579</f>
        <v>0</v>
      </c>
      <c r="K50" s="11" t="n">
        <f aca="false">Runs!Q1590</f>
        <v>0</v>
      </c>
      <c r="L50" s="11" t="n">
        <f aca="false">Runs!Q1601</f>
        <v>0</v>
      </c>
      <c r="M50" s="11" t="n">
        <f aca="false">Runs!Q1612</f>
        <v>0</v>
      </c>
      <c r="N50" s="11" t="n">
        <f aca="false">Runs!Q1623</f>
        <v>0</v>
      </c>
      <c r="O50" s="11" t="n">
        <f aca="false">Runs!Q1634</f>
        <v>0</v>
      </c>
      <c r="P50" s="11" t="n">
        <f aca="false">Runs!Q1645</f>
        <v>0</v>
      </c>
      <c r="Q50" s="16" t="n">
        <f aca="false">IF(COUNT(G50:P50)=0,"",AVERAGE(G50:P50))</f>
        <v>0</v>
      </c>
      <c r="R50" s="16" t="n">
        <f aca="false">IF(COUNT(G50:P50)&lt;2,"",STDEV(G50:P50))</f>
        <v>0</v>
      </c>
      <c r="S50" s="6" t="n">
        <f aca="false">COUNT(G50:P50)</f>
        <v>10</v>
      </c>
    </row>
    <row r="51" customFormat="false" ht="15" hidden="false" customHeight="false" outlineLevel="0" collapsed="false">
      <c r="A51" s="6" t="s">
        <v>52</v>
      </c>
      <c r="B51" s="6" t="s">
        <v>43</v>
      </c>
      <c r="C51" s="6" t="s">
        <v>51</v>
      </c>
      <c r="D51" s="6" t="s">
        <v>116</v>
      </c>
      <c r="E51" s="6" t="n">
        <v>16</v>
      </c>
      <c r="F51" s="6" t="s">
        <v>73</v>
      </c>
      <c r="G51" s="11" t="n">
        <f aca="false">Runs!Q1547</f>
        <v>0</v>
      </c>
      <c r="H51" s="11" t="n">
        <f aca="false">Runs!Q1558</f>
        <v>0</v>
      </c>
      <c r="I51" s="11" t="n">
        <f aca="false">Runs!Q1569</f>
        <v>0</v>
      </c>
      <c r="J51" s="11" t="n">
        <f aca="false">Runs!Q1580</f>
        <v>0</v>
      </c>
      <c r="K51" s="11" t="n">
        <f aca="false">Runs!Q1591</f>
        <v>0</v>
      </c>
      <c r="L51" s="11" t="n">
        <f aca="false">Runs!Q1602</f>
        <v>0</v>
      </c>
      <c r="M51" s="11" t="n">
        <f aca="false">Runs!Q1613</f>
        <v>0</v>
      </c>
      <c r="N51" s="11" t="n">
        <f aca="false">Runs!Q1624</f>
        <v>0</v>
      </c>
      <c r="O51" s="11" t="n">
        <f aca="false">Runs!Q1635</f>
        <v>0</v>
      </c>
      <c r="P51" s="11" t="n">
        <f aca="false">Runs!Q1646</f>
        <v>0</v>
      </c>
      <c r="Q51" s="16" t="n">
        <f aca="false">IF(COUNT(G51:P51)=0,"",AVERAGE(G51:P51))</f>
        <v>0</v>
      </c>
      <c r="R51" s="16" t="n">
        <f aca="false">IF(COUNT(G51:P51)&lt;2,"",STDEV(G51:P51))</f>
        <v>0</v>
      </c>
      <c r="S51" s="6" t="n">
        <f aca="false">COUNT(G51:P51)</f>
        <v>10</v>
      </c>
    </row>
    <row r="52" customFormat="false" ht="15" hidden="false" customHeight="false" outlineLevel="0" collapsed="false">
      <c r="A52" s="6" t="s">
        <v>52</v>
      </c>
      <c r="B52" s="6" t="s">
        <v>43</v>
      </c>
      <c r="C52" s="6" t="s">
        <v>51</v>
      </c>
      <c r="D52" s="6" t="s">
        <v>116</v>
      </c>
      <c r="E52" s="6" t="n">
        <v>16</v>
      </c>
      <c r="F52" s="6" t="s">
        <v>74</v>
      </c>
      <c r="G52" s="11" t="n">
        <f aca="false">Runs!Q1548</f>
        <v>0</v>
      </c>
      <c r="H52" s="11" t="n">
        <f aca="false">Runs!Q1559</f>
        <v>0</v>
      </c>
      <c r="I52" s="11" t="n">
        <f aca="false">Runs!Q1570</f>
        <v>0</v>
      </c>
      <c r="J52" s="11" t="n">
        <f aca="false">Runs!Q1581</f>
        <v>0</v>
      </c>
      <c r="K52" s="11" t="n">
        <f aca="false">Runs!Q1592</f>
        <v>0</v>
      </c>
      <c r="L52" s="11" t="n">
        <f aca="false">Runs!Q1603</f>
        <v>0</v>
      </c>
      <c r="M52" s="11" t="n">
        <f aca="false">Runs!Q1614</f>
        <v>0</v>
      </c>
      <c r="N52" s="11" t="n">
        <f aca="false">Runs!Q1625</f>
        <v>0</v>
      </c>
      <c r="O52" s="11" t="n">
        <f aca="false">Runs!Q1636</f>
        <v>0</v>
      </c>
      <c r="P52" s="11" t="n">
        <f aca="false">Runs!Q1647</f>
        <v>0</v>
      </c>
      <c r="Q52" s="16" t="n">
        <f aca="false">IF(COUNT(G52:P52)=0,"",AVERAGE(G52:P52))</f>
        <v>0</v>
      </c>
      <c r="R52" s="16" t="n">
        <f aca="false">IF(COUNT(G52:P52)&lt;2,"",STDEV(G52:P52))</f>
        <v>0</v>
      </c>
      <c r="S52" s="6" t="n">
        <f aca="false">COUNT(G52:P52)</f>
        <v>10</v>
      </c>
    </row>
    <row r="53" customFormat="false" ht="15" hidden="false" customHeight="false" outlineLevel="0" collapsed="false">
      <c r="A53" s="6" t="s">
        <v>52</v>
      </c>
      <c r="B53" s="6" t="s">
        <v>43</v>
      </c>
      <c r="C53" s="6" t="s">
        <v>51</v>
      </c>
      <c r="D53" s="6" t="s">
        <v>116</v>
      </c>
      <c r="E53" s="6" t="n">
        <v>16</v>
      </c>
      <c r="F53" s="6" t="s">
        <v>75</v>
      </c>
      <c r="G53" s="11" t="n">
        <f aca="false">Runs!Q1549</f>
        <v>0</v>
      </c>
      <c r="H53" s="11" t="n">
        <f aca="false">Runs!Q1560</f>
        <v>0</v>
      </c>
      <c r="I53" s="11" t="n">
        <f aca="false">Runs!Q1571</f>
        <v>0</v>
      </c>
      <c r="J53" s="11" t="n">
        <f aca="false">Runs!Q1582</f>
        <v>0</v>
      </c>
      <c r="K53" s="11" t="n">
        <f aca="false">Runs!Q1593</f>
        <v>0</v>
      </c>
      <c r="L53" s="11" t="n">
        <f aca="false">Runs!Q1604</f>
        <v>0</v>
      </c>
      <c r="M53" s="11" t="n">
        <f aca="false">Runs!Q1615</f>
        <v>0</v>
      </c>
      <c r="N53" s="11" t="n">
        <f aca="false">Runs!Q1626</f>
        <v>0</v>
      </c>
      <c r="O53" s="11" t="n">
        <f aca="false">Runs!Q1637</f>
        <v>0</v>
      </c>
      <c r="P53" s="11" t="n">
        <f aca="false">Runs!Q1648</f>
        <v>0</v>
      </c>
      <c r="Q53" s="16" t="n">
        <f aca="false">IF(COUNT(G53:P53)=0,"",AVERAGE(G53:P53))</f>
        <v>0</v>
      </c>
      <c r="R53" s="16" t="n">
        <f aca="false">IF(COUNT(G53:P53)&lt;2,"",STDEV(G53:P53))</f>
        <v>0</v>
      </c>
      <c r="S53" s="6" t="n">
        <f aca="false">COUNT(G53:P53)</f>
        <v>10</v>
      </c>
    </row>
    <row r="54" customFormat="false" ht="15" hidden="false" customHeight="false" outlineLevel="0" collapsed="false">
      <c r="A54" s="6" t="s">
        <v>52</v>
      </c>
      <c r="B54" s="6" t="s">
        <v>43</v>
      </c>
      <c r="C54" s="6" t="s">
        <v>51</v>
      </c>
      <c r="D54" s="6" t="s">
        <v>116</v>
      </c>
      <c r="E54" s="6" t="n">
        <v>16</v>
      </c>
      <c r="F54" s="6" t="s">
        <v>76</v>
      </c>
      <c r="G54" s="11" t="n">
        <f aca="false">Runs!Q1550</f>
        <v>0</v>
      </c>
      <c r="H54" s="11" t="n">
        <f aca="false">Runs!Q1561</f>
        <v>0</v>
      </c>
      <c r="I54" s="11" t="n">
        <f aca="false">Runs!Q1572</f>
        <v>0</v>
      </c>
      <c r="J54" s="11" t="n">
        <f aca="false">Runs!Q1583</f>
        <v>0</v>
      </c>
      <c r="K54" s="11" t="n">
        <f aca="false">Runs!Q1594</f>
        <v>0</v>
      </c>
      <c r="L54" s="11" t="n">
        <f aca="false">Runs!Q1605</f>
        <v>0</v>
      </c>
      <c r="M54" s="11" t="n">
        <f aca="false">Runs!Q1616</f>
        <v>0</v>
      </c>
      <c r="N54" s="11" t="n">
        <f aca="false">Runs!Q1627</f>
        <v>0</v>
      </c>
      <c r="O54" s="11" t="n">
        <f aca="false">Runs!Q1638</f>
        <v>0</v>
      </c>
      <c r="P54" s="11" t="n">
        <f aca="false">Runs!Q1649</f>
        <v>0</v>
      </c>
      <c r="Q54" s="16" t="n">
        <f aca="false">IF(COUNT(G54:P54)=0,"",AVERAGE(G54:P54))</f>
        <v>0</v>
      </c>
      <c r="R54" s="16" t="n">
        <f aca="false">IF(COUNT(G54:P54)&lt;2,"",STDEV(G54:P54))</f>
        <v>0</v>
      </c>
      <c r="S54" s="6" t="n">
        <f aca="false">COUNT(G54:P54)</f>
        <v>10</v>
      </c>
    </row>
    <row r="55" customFormat="false" ht="15" hidden="false" customHeight="false" outlineLevel="0" collapsed="false">
      <c r="A55" s="6" t="s">
        <v>52</v>
      </c>
      <c r="B55" s="6" t="s">
        <v>43</v>
      </c>
      <c r="C55" s="6" t="s">
        <v>51</v>
      </c>
      <c r="D55" s="6" t="s">
        <v>116</v>
      </c>
      <c r="E55" s="6" t="n">
        <v>16</v>
      </c>
      <c r="F55" s="6" t="s">
        <v>77</v>
      </c>
      <c r="G55" s="11" t="n">
        <f aca="false">Runs!Q1551</f>
        <v>0.05</v>
      </c>
      <c r="H55" s="11" t="n">
        <f aca="false">Runs!Q1562</f>
        <v>0.05</v>
      </c>
      <c r="I55" s="11" t="n">
        <f aca="false">Runs!Q1573</f>
        <v>0.05</v>
      </c>
      <c r="J55" s="11" t="n">
        <f aca="false">Runs!Q1584</f>
        <v>0.05</v>
      </c>
      <c r="K55" s="11" t="n">
        <f aca="false">Runs!Q1595</f>
        <v>0.05</v>
      </c>
      <c r="L55" s="11" t="n">
        <f aca="false">Runs!Q1606</f>
        <v>0.05</v>
      </c>
      <c r="M55" s="11" t="n">
        <f aca="false">Runs!Q1617</f>
        <v>0.05</v>
      </c>
      <c r="N55" s="11" t="n">
        <f aca="false">Runs!Q1628</f>
        <v>0.05</v>
      </c>
      <c r="O55" s="11" t="n">
        <f aca="false">Runs!Q1639</f>
        <v>0.05</v>
      </c>
      <c r="P55" s="11" t="n">
        <f aca="false">Runs!Q1650</f>
        <v>0.05</v>
      </c>
      <c r="Q55" s="16" t="n">
        <f aca="false">IF(COUNT(G55:P55)=0,"",AVERAGE(G55:P55))</f>
        <v>0.05</v>
      </c>
      <c r="R55" s="16" t="n">
        <f aca="false">IF(COUNT(G55:P55)&lt;2,"",STDEV(G55:P55))</f>
        <v>0</v>
      </c>
      <c r="S55" s="6" t="n">
        <f aca="false">COUNT(G55:P55)</f>
        <v>10</v>
      </c>
    </row>
    <row r="56" customFormat="false" ht="15" hidden="false" customHeight="false" outlineLevel="0" collapsed="false">
      <c r="A56" s="17" t="s">
        <v>52</v>
      </c>
      <c r="B56" s="17" t="s">
        <v>43</v>
      </c>
      <c r="C56" s="17" t="s">
        <v>51</v>
      </c>
      <c r="D56" s="17" t="s">
        <v>116</v>
      </c>
      <c r="E56" s="17" t="n">
        <v>16</v>
      </c>
      <c r="F56" s="17" t="s">
        <v>78</v>
      </c>
      <c r="G56" s="18" t="n">
        <f aca="false">Runs!Q1552</f>
        <v>0.005</v>
      </c>
      <c r="H56" s="18" t="n">
        <f aca="false">Runs!Q1563</f>
        <v>0.005</v>
      </c>
      <c r="I56" s="18" t="n">
        <f aca="false">Runs!Q1574</f>
        <v>0.005</v>
      </c>
      <c r="J56" s="18" t="n">
        <f aca="false">Runs!Q1585</f>
        <v>0.005</v>
      </c>
      <c r="K56" s="18" t="n">
        <f aca="false">Runs!Q1596</f>
        <v>0.005</v>
      </c>
      <c r="L56" s="18" t="n">
        <f aca="false">Runs!Q1607</f>
        <v>0.005</v>
      </c>
      <c r="M56" s="18" t="n">
        <f aca="false">Runs!Q1618</f>
        <v>0.005</v>
      </c>
      <c r="N56" s="18" t="n">
        <f aca="false">Runs!Q1629</f>
        <v>0.005</v>
      </c>
      <c r="O56" s="18" t="n">
        <f aca="false">Runs!Q1640</f>
        <v>0.005</v>
      </c>
      <c r="P56" s="18" t="n">
        <f aca="false">Runs!Q1651</f>
        <v>0.005</v>
      </c>
      <c r="Q56" s="19" t="n">
        <f aca="false">IF(COUNT(G56:P56)=0,"",AVERAGE(G56:P56))</f>
        <v>0.005</v>
      </c>
      <c r="R56" s="19" t="n">
        <f aca="false">IF(COUNT(G56:P56)&lt;2,"",STDEV(G56:P56))</f>
        <v>0</v>
      </c>
      <c r="S56" s="20" t="n">
        <f aca="false">COUNT(G56:P56)</f>
        <v>10</v>
      </c>
    </row>
    <row r="57" customFormat="false" ht="15" hidden="false" customHeight="false" outlineLevel="0" collapsed="false">
      <c r="A57" s="6" t="s">
        <v>54</v>
      </c>
      <c r="B57" s="6" t="s">
        <v>43</v>
      </c>
      <c r="C57" s="6" t="s">
        <v>49</v>
      </c>
      <c r="D57" s="6" t="s">
        <v>117</v>
      </c>
      <c r="E57" s="6" t="n">
        <v>16</v>
      </c>
      <c r="F57" s="6" t="s">
        <v>68</v>
      </c>
      <c r="G57" s="11" t="n">
        <f aca="false">Runs!Q1652</f>
        <v>0</v>
      </c>
      <c r="H57" s="11" t="n">
        <f aca="false">Runs!Q1663</f>
        <v>0</v>
      </c>
      <c r="I57" s="11" t="n">
        <f aca="false">Runs!Q1674</f>
        <v>0</v>
      </c>
      <c r="J57" s="11" t="n">
        <f aca="false">Runs!Q1685</f>
        <v>0</v>
      </c>
      <c r="K57" s="11" t="n">
        <f aca="false">Runs!Q1696</f>
        <v>0</v>
      </c>
      <c r="L57" s="11" t="n">
        <f aca="false">Runs!Q1707</f>
        <v>0</v>
      </c>
      <c r="M57" s="11" t="n">
        <f aca="false">Runs!Q1718</f>
        <v>0</v>
      </c>
      <c r="N57" s="11" t="n">
        <f aca="false">Runs!Q1729</f>
        <v>0</v>
      </c>
      <c r="O57" s="11" t="n">
        <f aca="false">Runs!Q1740</f>
        <v>0</v>
      </c>
      <c r="P57" s="11" t="n">
        <f aca="false">Runs!Q1751</f>
        <v>0</v>
      </c>
      <c r="Q57" s="16" t="n">
        <f aca="false">IF(COUNT(G57:P57)=0,"",AVERAGE(G57:P57))</f>
        <v>0</v>
      </c>
      <c r="R57" s="16" t="n">
        <f aca="false">IF(COUNT(G57:P57)&lt;2,"",STDEV(G57:P57))</f>
        <v>0</v>
      </c>
      <c r="S57" s="6" t="n">
        <f aca="false">COUNT(G57:P57)</f>
        <v>10</v>
      </c>
    </row>
    <row r="58" customFormat="false" ht="15" hidden="false" customHeight="false" outlineLevel="0" collapsed="false">
      <c r="A58" s="6" t="s">
        <v>54</v>
      </c>
      <c r="B58" s="6" t="s">
        <v>43</v>
      </c>
      <c r="C58" s="6" t="s">
        <v>49</v>
      </c>
      <c r="D58" s="6" t="s">
        <v>117</v>
      </c>
      <c r="E58" s="6" t="n">
        <v>16</v>
      </c>
      <c r="F58" s="6" t="s">
        <v>69</v>
      </c>
      <c r="G58" s="11" t="n">
        <f aca="false">Runs!Q1653</f>
        <v>0</v>
      </c>
      <c r="H58" s="11" t="n">
        <f aca="false">Runs!Q1664</f>
        <v>0</v>
      </c>
      <c r="I58" s="11" t="n">
        <f aca="false">Runs!Q1675</f>
        <v>0</v>
      </c>
      <c r="J58" s="11" t="n">
        <f aca="false">Runs!Q1686</f>
        <v>0</v>
      </c>
      <c r="K58" s="11" t="n">
        <f aca="false">Runs!Q1697</f>
        <v>0</v>
      </c>
      <c r="L58" s="11" t="n">
        <f aca="false">Runs!Q1708</f>
        <v>0</v>
      </c>
      <c r="M58" s="11" t="n">
        <f aca="false">Runs!Q1719</f>
        <v>0</v>
      </c>
      <c r="N58" s="11" t="n">
        <f aca="false">Runs!Q1730</f>
        <v>0</v>
      </c>
      <c r="O58" s="11" t="n">
        <f aca="false">Runs!Q1741</f>
        <v>0</v>
      </c>
      <c r="P58" s="11" t="n">
        <f aca="false">Runs!Q1752</f>
        <v>0</v>
      </c>
      <c r="Q58" s="16" t="n">
        <f aca="false">IF(COUNT(G58:P58)=0,"",AVERAGE(G58:P58))</f>
        <v>0</v>
      </c>
      <c r="R58" s="16" t="n">
        <f aca="false">IF(COUNT(G58:P58)&lt;2,"",STDEV(G58:P58))</f>
        <v>0</v>
      </c>
      <c r="S58" s="6" t="n">
        <f aca="false">COUNT(G58:P58)</f>
        <v>10</v>
      </c>
    </row>
    <row r="59" customFormat="false" ht="15" hidden="false" customHeight="false" outlineLevel="0" collapsed="false">
      <c r="A59" s="6" t="s">
        <v>54</v>
      </c>
      <c r="B59" s="6" t="s">
        <v>43</v>
      </c>
      <c r="C59" s="6" t="s">
        <v>49</v>
      </c>
      <c r="D59" s="6" t="s">
        <v>117</v>
      </c>
      <c r="E59" s="6" t="n">
        <v>16</v>
      </c>
      <c r="F59" s="6" t="s">
        <v>70</v>
      </c>
      <c r="G59" s="11" t="n">
        <f aca="false">Runs!Q1654</f>
        <v>0</v>
      </c>
      <c r="H59" s="11" t="n">
        <f aca="false">Runs!Q1665</f>
        <v>0</v>
      </c>
      <c r="I59" s="11" t="n">
        <f aca="false">Runs!Q1676</f>
        <v>0</v>
      </c>
      <c r="J59" s="11" t="n">
        <f aca="false">Runs!Q1687</f>
        <v>0</v>
      </c>
      <c r="K59" s="11" t="n">
        <f aca="false">Runs!Q1698</f>
        <v>0</v>
      </c>
      <c r="L59" s="11" t="n">
        <f aca="false">Runs!Q1709</f>
        <v>0</v>
      </c>
      <c r="M59" s="11" t="n">
        <f aca="false">Runs!Q1720</f>
        <v>0</v>
      </c>
      <c r="N59" s="11" t="n">
        <f aca="false">Runs!Q1731</f>
        <v>0</v>
      </c>
      <c r="O59" s="11" t="n">
        <f aca="false">Runs!Q1742</f>
        <v>0</v>
      </c>
      <c r="P59" s="11" t="n">
        <f aca="false">Runs!Q1753</f>
        <v>0</v>
      </c>
      <c r="Q59" s="16" t="n">
        <f aca="false">IF(COUNT(G59:P59)=0,"",AVERAGE(G59:P59))</f>
        <v>0</v>
      </c>
      <c r="R59" s="16" t="n">
        <f aca="false">IF(COUNT(G59:P59)&lt;2,"",STDEV(G59:P59))</f>
        <v>0</v>
      </c>
      <c r="S59" s="6" t="n">
        <f aca="false">COUNT(G59:P59)</f>
        <v>10</v>
      </c>
    </row>
    <row r="60" customFormat="false" ht="15" hidden="false" customHeight="false" outlineLevel="0" collapsed="false">
      <c r="A60" s="6" t="s">
        <v>54</v>
      </c>
      <c r="B60" s="6" t="s">
        <v>43</v>
      </c>
      <c r="C60" s="6" t="s">
        <v>49</v>
      </c>
      <c r="D60" s="6" t="s">
        <v>117</v>
      </c>
      <c r="E60" s="6" t="n">
        <v>16</v>
      </c>
      <c r="F60" s="6" t="s">
        <v>71</v>
      </c>
      <c r="G60" s="11" t="n">
        <f aca="false">Runs!Q1655</f>
        <v>0</v>
      </c>
      <c r="H60" s="11" t="n">
        <f aca="false">Runs!Q1666</f>
        <v>0</v>
      </c>
      <c r="I60" s="11" t="n">
        <f aca="false">Runs!Q1677</f>
        <v>0</v>
      </c>
      <c r="J60" s="11" t="n">
        <f aca="false">Runs!Q1688</f>
        <v>0</v>
      </c>
      <c r="K60" s="11" t="n">
        <f aca="false">Runs!Q1699</f>
        <v>0</v>
      </c>
      <c r="L60" s="11" t="n">
        <f aca="false">Runs!Q1710</f>
        <v>0</v>
      </c>
      <c r="M60" s="11" t="n">
        <f aca="false">Runs!Q1721</f>
        <v>0</v>
      </c>
      <c r="N60" s="11" t="n">
        <f aca="false">Runs!Q1732</f>
        <v>0</v>
      </c>
      <c r="O60" s="11" t="n">
        <f aca="false">Runs!Q1743</f>
        <v>0</v>
      </c>
      <c r="P60" s="11" t="n">
        <f aca="false">Runs!Q1754</f>
        <v>0</v>
      </c>
      <c r="Q60" s="16" t="n">
        <f aca="false">IF(COUNT(G60:P60)=0,"",AVERAGE(G60:P60))</f>
        <v>0</v>
      </c>
      <c r="R60" s="16" t="n">
        <f aca="false">IF(COUNT(G60:P60)&lt;2,"",STDEV(G60:P60))</f>
        <v>0</v>
      </c>
      <c r="S60" s="6" t="n">
        <f aca="false">COUNT(G60:P60)</f>
        <v>10</v>
      </c>
    </row>
    <row r="61" customFormat="false" ht="15" hidden="false" customHeight="false" outlineLevel="0" collapsed="false">
      <c r="A61" s="6" t="s">
        <v>54</v>
      </c>
      <c r="B61" s="6" t="s">
        <v>43</v>
      </c>
      <c r="C61" s="6" t="s">
        <v>49</v>
      </c>
      <c r="D61" s="6" t="s">
        <v>117</v>
      </c>
      <c r="E61" s="6" t="n">
        <v>16</v>
      </c>
      <c r="F61" s="6" t="s">
        <v>72</v>
      </c>
      <c r="G61" s="11" t="n">
        <f aca="false">Runs!Q1656</f>
        <v>0</v>
      </c>
      <c r="H61" s="11" t="n">
        <f aca="false">Runs!Q1667</f>
        <v>0</v>
      </c>
      <c r="I61" s="11" t="n">
        <f aca="false">Runs!Q1678</f>
        <v>0</v>
      </c>
      <c r="J61" s="11" t="n">
        <f aca="false">Runs!Q1689</f>
        <v>0</v>
      </c>
      <c r="K61" s="11" t="n">
        <f aca="false">Runs!Q1700</f>
        <v>0</v>
      </c>
      <c r="L61" s="11" t="n">
        <f aca="false">Runs!Q1711</f>
        <v>0</v>
      </c>
      <c r="M61" s="11" t="n">
        <f aca="false">Runs!Q1722</f>
        <v>0</v>
      </c>
      <c r="N61" s="11" t="n">
        <f aca="false">Runs!Q1733</f>
        <v>0</v>
      </c>
      <c r="O61" s="11" t="n">
        <f aca="false">Runs!Q1744</f>
        <v>0</v>
      </c>
      <c r="P61" s="11" t="n">
        <f aca="false">Runs!Q1755</f>
        <v>0</v>
      </c>
      <c r="Q61" s="16" t="n">
        <f aca="false">IF(COUNT(G61:P61)=0,"",AVERAGE(G61:P61))</f>
        <v>0</v>
      </c>
      <c r="R61" s="16" t="n">
        <f aca="false">IF(COUNT(G61:P61)&lt;2,"",STDEV(G61:P61))</f>
        <v>0</v>
      </c>
      <c r="S61" s="6" t="n">
        <f aca="false">COUNT(G61:P61)</f>
        <v>10</v>
      </c>
    </row>
    <row r="62" customFormat="false" ht="15" hidden="false" customHeight="false" outlineLevel="0" collapsed="false">
      <c r="A62" s="6" t="s">
        <v>54</v>
      </c>
      <c r="B62" s="6" t="s">
        <v>43</v>
      </c>
      <c r="C62" s="6" t="s">
        <v>49</v>
      </c>
      <c r="D62" s="6" t="s">
        <v>117</v>
      </c>
      <c r="E62" s="6" t="n">
        <v>16</v>
      </c>
      <c r="F62" s="6" t="s">
        <v>73</v>
      </c>
      <c r="G62" s="11" t="n">
        <f aca="false">Runs!Q1657</f>
        <v>0</v>
      </c>
      <c r="H62" s="11" t="n">
        <f aca="false">Runs!Q1668</f>
        <v>0</v>
      </c>
      <c r="I62" s="11" t="n">
        <f aca="false">Runs!Q1679</f>
        <v>0</v>
      </c>
      <c r="J62" s="11" t="n">
        <f aca="false">Runs!Q1690</f>
        <v>0</v>
      </c>
      <c r="K62" s="11" t="n">
        <f aca="false">Runs!Q1701</f>
        <v>0</v>
      </c>
      <c r="L62" s="11" t="n">
        <f aca="false">Runs!Q1712</f>
        <v>0</v>
      </c>
      <c r="M62" s="11" t="n">
        <f aca="false">Runs!Q1723</f>
        <v>0</v>
      </c>
      <c r="N62" s="11" t="n">
        <f aca="false">Runs!Q1734</f>
        <v>0</v>
      </c>
      <c r="O62" s="11" t="n">
        <f aca="false">Runs!Q1745</f>
        <v>0</v>
      </c>
      <c r="P62" s="11" t="n">
        <f aca="false">Runs!Q1756</f>
        <v>0</v>
      </c>
      <c r="Q62" s="16" t="n">
        <f aca="false">IF(COUNT(G62:P62)=0,"",AVERAGE(G62:P62))</f>
        <v>0</v>
      </c>
      <c r="R62" s="16" t="n">
        <f aca="false">IF(COUNT(G62:P62)&lt;2,"",STDEV(G62:P62))</f>
        <v>0</v>
      </c>
      <c r="S62" s="6" t="n">
        <f aca="false">COUNT(G62:P62)</f>
        <v>10</v>
      </c>
    </row>
    <row r="63" customFormat="false" ht="15" hidden="false" customHeight="false" outlineLevel="0" collapsed="false">
      <c r="A63" s="6" t="s">
        <v>54</v>
      </c>
      <c r="B63" s="6" t="s">
        <v>43</v>
      </c>
      <c r="C63" s="6" t="s">
        <v>49</v>
      </c>
      <c r="D63" s="6" t="s">
        <v>117</v>
      </c>
      <c r="E63" s="6" t="n">
        <v>16</v>
      </c>
      <c r="F63" s="6" t="s">
        <v>74</v>
      </c>
      <c r="G63" s="11" t="n">
        <f aca="false">Runs!Q1658</f>
        <v>0</v>
      </c>
      <c r="H63" s="11" t="n">
        <f aca="false">Runs!Q1669</f>
        <v>0</v>
      </c>
      <c r="I63" s="11" t="n">
        <f aca="false">Runs!Q1680</f>
        <v>0</v>
      </c>
      <c r="J63" s="11" t="n">
        <f aca="false">Runs!Q1691</f>
        <v>0</v>
      </c>
      <c r="K63" s="11" t="n">
        <f aca="false">Runs!Q1702</f>
        <v>0</v>
      </c>
      <c r="L63" s="11" t="n">
        <f aca="false">Runs!Q1713</f>
        <v>0</v>
      </c>
      <c r="M63" s="11" t="n">
        <f aca="false">Runs!Q1724</f>
        <v>0</v>
      </c>
      <c r="N63" s="11" t="n">
        <f aca="false">Runs!Q1735</f>
        <v>0</v>
      </c>
      <c r="O63" s="11" t="n">
        <f aca="false">Runs!Q1746</f>
        <v>0</v>
      </c>
      <c r="P63" s="11" t="n">
        <f aca="false">Runs!Q1757</f>
        <v>0</v>
      </c>
      <c r="Q63" s="16" t="n">
        <f aca="false">IF(COUNT(G63:P63)=0,"",AVERAGE(G63:P63))</f>
        <v>0</v>
      </c>
      <c r="R63" s="16" t="n">
        <f aca="false">IF(COUNT(G63:P63)&lt;2,"",STDEV(G63:P63))</f>
        <v>0</v>
      </c>
      <c r="S63" s="6" t="n">
        <f aca="false">COUNT(G63:P63)</f>
        <v>10</v>
      </c>
    </row>
    <row r="64" customFormat="false" ht="15" hidden="false" customHeight="false" outlineLevel="0" collapsed="false">
      <c r="A64" s="6" t="s">
        <v>54</v>
      </c>
      <c r="B64" s="6" t="s">
        <v>43</v>
      </c>
      <c r="C64" s="6" t="s">
        <v>49</v>
      </c>
      <c r="D64" s="6" t="s">
        <v>117</v>
      </c>
      <c r="E64" s="6" t="n">
        <v>16</v>
      </c>
      <c r="F64" s="6" t="s">
        <v>75</v>
      </c>
      <c r="G64" s="11" t="n">
        <f aca="false">Runs!Q1659</f>
        <v>0</v>
      </c>
      <c r="H64" s="11" t="n">
        <f aca="false">Runs!Q1670</f>
        <v>0</v>
      </c>
      <c r="I64" s="11" t="n">
        <f aca="false">Runs!Q1681</f>
        <v>0</v>
      </c>
      <c r="J64" s="11" t="n">
        <f aca="false">Runs!Q1692</f>
        <v>0</v>
      </c>
      <c r="K64" s="11" t="n">
        <f aca="false">Runs!Q1703</f>
        <v>0</v>
      </c>
      <c r="L64" s="11" t="n">
        <f aca="false">Runs!Q1714</f>
        <v>0</v>
      </c>
      <c r="M64" s="11" t="n">
        <f aca="false">Runs!Q1725</f>
        <v>0</v>
      </c>
      <c r="N64" s="11" t="n">
        <f aca="false">Runs!Q1736</f>
        <v>0</v>
      </c>
      <c r="O64" s="11" t="n">
        <f aca="false">Runs!Q1747</f>
        <v>0</v>
      </c>
      <c r="P64" s="11" t="n">
        <f aca="false">Runs!Q1758</f>
        <v>0</v>
      </c>
      <c r="Q64" s="16" t="n">
        <f aca="false">IF(COUNT(G64:P64)=0,"",AVERAGE(G64:P64))</f>
        <v>0</v>
      </c>
      <c r="R64" s="16" t="n">
        <f aca="false">IF(COUNT(G64:P64)&lt;2,"",STDEV(G64:P64))</f>
        <v>0</v>
      </c>
      <c r="S64" s="6" t="n">
        <f aca="false">COUNT(G64:P64)</f>
        <v>10</v>
      </c>
    </row>
    <row r="65" customFormat="false" ht="15" hidden="false" customHeight="false" outlineLevel="0" collapsed="false">
      <c r="A65" s="6" t="s">
        <v>54</v>
      </c>
      <c r="B65" s="6" t="s">
        <v>43</v>
      </c>
      <c r="C65" s="6" t="s">
        <v>49</v>
      </c>
      <c r="D65" s="6" t="s">
        <v>117</v>
      </c>
      <c r="E65" s="6" t="n">
        <v>16</v>
      </c>
      <c r="F65" s="6" t="s">
        <v>76</v>
      </c>
      <c r="G65" s="11" t="n">
        <f aca="false">Runs!Q1660</f>
        <v>0</v>
      </c>
      <c r="H65" s="11" t="n">
        <f aca="false">Runs!Q1671</f>
        <v>0</v>
      </c>
      <c r="I65" s="11" t="n">
        <f aca="false">Runs!Q1682</f>
        <v>0</v>
      </c>
      <c r="J65" s="11" t="n">
        <f aca="false">Runs!Q1693</f>
        <v>0</v>
      </c>
      <c r="K65" s="11" t="n">
        <f aca="false">Runs!Q1704</f>
        <v>0</v>
      </c>
      <c r="L65" s="11" t="n">
        <f aca="false">Runs!Q1715</f>
        <v>0</v>
      </c>
      <c r="M65" s="11" t="n">
        <f aca="false">Runs!Q1726</f>
        <v>0</v>
      </c>
      <c r="N65" s="11" t="n">
        <f aca="false">Runs!Q1737</f>
        <v>0</v>
      </c>
      <c r="O65" s="11" t="n">
        <f aca="false">Runs!Q1748</f>
        <v>0</v>
      </c>
      <c r="P65" s="11" t="n">
        <f aca="false">Runs!Q1759</f>
        <v>0</v>
      </c>
      <c r="Q65" s="16" t="n">
        <f aca="false">IF(COUNT(G65:P65)=0,"",AVERAGE(G65:P65))</f>
        <v>0</v>
      </c>
      <c r="R65" s="16" t="n">
        <f aca="false">IF(COUNT(G65:P65)&lt;2,"",STDEV(G65:P65))</f>
        <v>0</v>
      </c>
      <c r="S65" s="6" t="n">
        <f aca="false">COUNT(G65:P65)</f>
        <v>10</v>
      </c>
    </row>
    <row r="66" customFormat="false" ht="15" hidden="false" customHeight="false" outlineLevel="0" collapsed="false">
      <c r="A66" s="6" t="s">
        <v>54</v>
      </c>
      <c r="B66" s="6" t="s">
        <v>43</v>
      </c>
      <c r="C66" s="6" t="s">
        <v>49</v>
      </c>
      <c r="D66" s="6" t="s">
        <v>117</v>
      </c>
      <c r="E66" s="6" t="n">
        <v>16</v>
      </c>
      <c r="F66" s="6" t="s">
        <v>77</v>
      </c>
      <c r="G66" s="11" t="n">
        <f aca="false">Runs!Q1661</f>
        <v>0.05</v>
      </c>
      <c r="H66" s="11" t="n">
        <f aca="false">Runs!Q1672</f>
        <v>0.05</v>
      </c>
      <c r="I66" s="11" t="n">
        <f aca="false">Runs!Q1683</f>
        <v>0.05</v>
      </c>
      <c r="J66" s="11" t="n">
        <f aca="false">Runs!Q1694</f>
        <v>0.05</v>
      </c>
      <c r="K66" s="11" t="n">
        <f aca="false">Runs!Q1705</f>
        <v>0.05</v>
      </c>
      <c r="L66" s="11" t="n">
        <f aca="false">Runs!Q1716</f>
        <v>0.05</v>
      </c>
      <c r="M66" s="11" t="n">
        <f aca="false">Runs!Q1727</f>
        <v>0.05</v>
      </c>
      <c r="N66" s="11" t="n">
        <f aca="false">Runs!Q1738</f>
        <v>0.05</v>
      </c>
      <c r="O66" s="11" t="n">
        <f aca="false">Runs!Q1749</f>
        <v>0.05</v>
      </c>
      <c r="P66" s="11" t="n">
        <f aca="false">Runs!Q1760</f>
        <v>0.05</v>
      </c>
      <c r="Q66" s="16" t="n">
        <f aca="false">IF(COUNT(G66:P66)=0,"",AVERAGE(G66:P66))</f>
        <v>0.05</v>
      </c>
      <c r="R66" s="16" t="n">
        <f aca="false">IF(COUNT(G66:P66)&lt;2,"",STDEV(G66:P66))</f>
        <v>0</v>
      </c>
      <c r="S66" s="6" t="n">
        <f aca="false">COUNT(G66:P66)</f>
        <v>10</v>
      </c>
    </row>
    <row r="67" customFormat="false" ht="15" hidden="false" customHeight="false" outlineLevel="0" collapsed="false">
      <c r="A67" s="17" t="s">
        <v>54</v>
      </c>
      <c r="B67" s="17" t="s">
        <v>43</v>
      </c>
      <c r="C67" s="17" t="s">
        <v>49</v>
      </c>
      <c r="D67" s="17" t="s">
        <v>117</v>
      </c>
      <c r="E67" s="17" t="n">
        <v>16</v>
      </c>
      <c r="F67" s="17" t="s">
        <v>78</v>
      </c>
      <c r="G67" s="18" t="n">
        <f aca="false">Runs!Q1662</f>
        <v>0.005</v>
      </c>
      <c r="H67" s="18" t="n">
        <f aca="false">Runs!Q1673</f>
        <v>0.005</v>
      </c>
      <c r="I67" s="18" t="n">
        <f aca="false">Runs!Q1684</f>
        <v>0.005</v>
      </c>
      <c r="J67" s="18" t="n">
        <f aca="false">Runs!Q1695</f>
        <v>0.005</v>
      </c>
      <c r="K67" s="18" t="n">
        <f aca="false">Runs!Q1706</f>
        <v>0.005</v>
      </c>
      <c r="L67" s="18" t="n">
        <f aca="false">Runs!Q1717</f>
        <v>0.005</v>
      </c>
      <c r="M67" s="18" t="n">
        <f aca="false">Runs!Q1728</f>
        <v>0.005</v>
      </c>
      <c r="N67" s="18" t="n">
        <f aca="false">Runs!Q1739</f>
        <v>0.005</v>
      </c>
      <c r="O67" s="18" t="n">
        <f aca="false">Runs!Q1750</f>
        <v>0.005</v>
      </c>
      <c r="P67" s="18" t="n">
        <f aca="false">Runs!Q1761</f>
        <v>0.005</v>
      </c>
      <c r="Q67" s="19" t="n">
        <f aca="false">IF(COUNT(G67:P67)=0,"",AVERAGE(G67:P67))</f>
        <v>0.005</v>
      </c>
      <c r="R67" s="19" t="n">
        <f aca="false">IF(COUNT(G67:P67)&lt;2,"",STDEV(G67:P67))</f>
        <v>0</v>
      </c>
      <c r="S67" s="20" t="n">
        <f aca="false">COUNT(G67:P67)</f>
        <v>10</v>
      </c>
    </row>
    <row r="68" customFormat="false" ht="15" hidden="false" customHeight="false" outlineLevel="0" collapsed="false">
      <c r="A68" s="6" t="s">
        <v>56</v>
      </c>
      <c r="B68" s="6" t="s">
        <v>43</v>
      </c>
      <c r="C68" s="6" t="s">
        <v>51</v>
      </c>
      <c r="D68" s="6" t="s">
        <v>118</v>
      </c>
      <c r="E68" s="6" t="n">
        <v>16</v>
      </c>
      <c r="F68" s="6" t="s">
        <v>68</v>
      </c>
      <c r="G68" s="11" t="n">
        <f aca="false">Runs!Q1762</f>
        <v>0</v>
      </c>
      <c r="H68" s="11" t="n">
        <f aca="false">Runs!Q1773</f>
        <v>0</v>
      </c>
      <c r="I68" s="11" t="n">
        <f aca="false">Runs!Q1784</f>
        <v>0</v>
      </c>
      <c r="J68" s="11" t="n">
        <f aca="false">Runs!Q1795</f>
        <v>0</v>
      </c>
      <c r="K68" s="11" t="n">
        <f aca="false">Runs!Q1806</f>
        <v>0</v>
      </c>
      <c r="L68" s="11" t="n">
        <f aca="false">Runs!Q1817</f>
        <v>0</v>
      </c>
      <c r="M68" s="11" t="n">
        <f aca="false">Runs!Q1828</f>
        <v>0</v>
      </c>
      <c r="N68" s="11" t="n">
        <f aca="false">Runs!Q1839</f>
        <v>0</v>
      </c>
      <c r="O68" s="11" t="n">
        <f aca="false">Runs!Q1850</f>
        <v>0</v>
      </c>
      <c r="P68" s="11" t="n">
        <f aca="false">Runs!Q1861</f>
        <v>0</v>
      </c>
      <c r="Q68" s="16" t="n">
        <f aca="false">IF(COUNT(G68:P68)=0,"",AVERAGE(G68:P68))</f>
        <v>0</v>
      </c>
      <c r="R68" s="16" t="n">
        <f aca="false">IF(COUNT(G68:P68)&lt;2,"",STDEV(G68:P68))</f>
        <v>0</v>
      </c>
      <c r="S68" s="6" t="n">
        <f aca="false">COUNT(G68:P68)</f>
        <v>10</v>
      </c>
    </row>
    <row r="69" customFormat="false" ht="15" hidden="false" customHeight="false" outlineLevel="0" collapsed="false">
      <c r="A69" s="6" t="s">
        <v>56</v>
      </c>
      <c r="B69" s="6" t="s">
        <v>43</v>
      </c>
      <c r="C69" s="6" t="s">
        <v>51</v>
      </c>
      <c r="D69" s="6" t="s">
        <v>118</v>
      </c>
      <c r="E69" s="6" t="n">
        <v>16</v>
      </c>
      <c r="F69" s="6" t="s">
        <v>69</v>
      </c>
      <c r="G69" s="11" t="n">
        <f aca="false">Runs!Q1763</f>
        <v>0</v>
      </c>
      <c r="H69" s="11" t="n">
        <f aca="false">Runs!Q1774</f>
        <v>0</v>
      </c>
      <c r="I69" s="11" t="n">
        <f aca="false">Runs!Q1785</f>
        <v>0</v>
      </c>
      <c r="J69" s="11" t="n">
        <f aca="false">Runs!Q1796</f>
        <v>0</v>
      </c>
      <c r="K69" s="11" t="n">
        <f aca="false">Runs!Q1807</f>
        <v>0</v>
      </c>
      <c r="L69" s="11" t="n">
        <f aca="false">Runs!Q1818</f>
        <v>0</v>
      </c>
      <c r="M69" s="11" t="n">
        <f aca="false">Runs!Q1829</f>
        <v>0</v>
      </c>
      <c r="N69" s="11" t="n">
        <f aca="false">Runs!Q1840</f>
        <v>0</v>
      </c>
      <c r="O69" s="11" t="n">
        <f aca="false">Runs!Q1851</f>
        <v>0</v>
      </c>
      <c r="P69" s="11" t="n">
        <f aca="false">Runs!Q1862</f>
        <v>0</v>
      </c>
      <c r="Q69" s="16" t="n">
        <f aca="false">IF(COUNT(G69:P69)=0,"",AVERAGE(G69:P69))</f>
        <v>0</v>
      </c>
      <c r="R69" s="16" t="n">
        <f aca="false">IF(COUNT(G69:P69)&lt;2,"",STDEV(G69:P69))</f>
        <v>0</v>
      </c>
      <c r="S69" s="6" t="n">
        <f aca="false">COUNT(G69:P69)</f>
        <v>10</v>
      </c>
    </row>
    <row r="70" customFormat="false" ht="15" hidden="false" customHeight="false" outlineLevel="0" collapsed="false">
      <c r="A70" s="6" t="s">
        <v>56</v>
      </c>
      <c r="B70" s="6" t="s">
        <v>43</v>
      </c>
      <c r="C70" s="6" t="s">
        <v>51</v>
      </c>
      <c r="D70" s="6" t="s">
        <v>118</v>
      </c>
      <c r="E70" s="6" t="n">
        <v>16</v>
      </c>
      <c r="F70" s="6" t="s">
        <v>70</v>
      </c>
      <c r="G70" s="11" t="n">
        <f aca="false">Runs!Q1764</f>
        <v>0</v>
      </c>
      <c r="H70" s="11" t="n">
        <f aca="false">Runs!Q1775</f>
        <v>0</v>
      </c>
      <c r="I70" s="11" t="n">
        <f aca="false">Runs!Q1786</f>
        <v>0</v>
      </c>
      <c r="J70" s="11" t="n">
        <f aca="false">Runs!Q1797</f>
        <v>0</v>
      </c>
      <c r="K70" s="11" t="n">
        <f aca="false">Runs!Q1808</f>
        <v>0</v>
      </c>
      <c r="L70" s="11" t="n">
        <f aca="false">Runs!Q1819</f>
        <v>0</v>
      </c>
      <c r="M70" s="11" t="n">
        <f aca="false">Runs!Q1830</f>
        <v>0</v>
      </c>
      <c r="N70" s="11" t="n">
        <f aca="false">Runs!Q1841</f>
        <v>0</v>
      </c>
      <c r="O70" s="11" t="n">
        <f aca="false">Runs!Q1852</f>
        <v>0</v>
      </c>
      <c r="P70" s="11" t="n">
        <f aca="false">Runs!Q1863</f>
        <v>0</v>
      </c>
      <c r="Q70" s="16" t="n">
        <f aca="false">IF(COUNT(G70:P70)=0,"",AVERAGE(G70:P70))</f>
        <v>0</v>
      </c>
      <c r="R70" s="16" t="n">
        <f aca="false">IF(COUNT(G70:P70)&lt;2,"",STDEV(G70:P70))</f>
        <v>0</v>
      </c>
      <c r="S70" s="6" t="n">
        <f aca="false">COUNT(G70:P70)</f>
        <v>10</v>
      </c>
    </row>
    <row r="71" customFormat="false" ht="15" hidden="false" customHeight="false" outlineLevel="0" collapsed="false">
      <c r="A71" s="6" t="s">
        <v>56</v>
      </c>
      <c r="B71" s="6" t="s">
        <v>43</v>
      </c>
      <c r="C71" s="6" t="s">
        <v>51</v>
      </c>
      <c r="D71" s="6" t="s">
        <v>118</v>
      </c>
      <c r="E71" s="6" t="n">
        <v>16</v>
      </c>
      <c r="F71" s="6" t="s">
        <v>71</v>
      </c>
      <c r="G71" s="11" t="n">
        <f aca="false">Runs!Q1765</f>
        <v>0</v>
      </c>
      <c r="H71" s="11" t="n">
        <f aca="false">Runs!Q1776</f>
        <v>0</v>
      </c>
      <c r="I71" s="11" t="n">
        <f aca="false">Runs!Q1787</f>
        <v>0</v>
      </c>
      <c r="J71" s="11" t="n">
        <f aca="false">Runs!Q1798</f>
        <v>0</v>
      </c>
      <c r="K71" s="11" t="n">
        <f aca="false">Runs!Q1809</f>
        <v>0</v>
      </c>
      <c r="L71" s="11" t="n">
        <f aca="false">Runs!Q1820</f>
        <v>0</v>
      </c>
      <c r="M71" s="11" t="n">
        <f aca="false">Runs!Q1831</f>
        <v>0</v>
      </c>
      <c r="N71" s="11" t="n">
        <f aca="false">Runs!Q1842</f>
        <v>0</v>
      </c>
      <c r="O71" s="11" t="n">
        <f aca="false">Runs!Q1853</f>
        <v>0</v>
      </c>
      <c r="P71" s="11" t="n">
        <f aca="false">Runs!Q1864</f>
        <v>0</v>
      </c>
      <c r="Q71" s="16" t="n">
        <f aca="false">IF(COUNT(G71:P71)=0,"",AVERAGE(G71:P71))</f>
        <v>0</v>
      </c>
      <c r="R71" s="16" t="n">
        <f aca="false">IF(COUNT(G71:P71)&lt;2,"",STDEV(G71:P71))</f>
        <v>0</v>
      </c>
      <c r="S71" s="6" t="n">
        <f aca="false">COUNT(G71:P71)</f>
        <v>10</v>
      </c>
    </row>
    <row r="72" customFormat="false" ht="15" hidden="false" customHeight="false" outlineLevel="0" collapsed="false">
      <c r="A72" s="6" t="s">
        <v>56</v>
      </c>
      <c r="B72" s="6" t="s">
        <v>43</v>
      </c>
      <c r="C72" s="6" t="s">
        <v>51</v>
      </c>
      <c r="D72" s="6" t="s">
        <v>118</v>
      </c>
      <c r="E72" s="6" t="n">
        <v>16</v>
      </c>
      <c r="F72" s="6" t="s">
        <v>72</v>
      </c>
      <c r="G72" s="11" t="n">
        <f aca="false">Runs!Q1766</f>
        <v>0</v>
      </c>
      <c r="H72" s="11" t="n">
        <f aca="false">Runs!Q1777</f>
        <v>0</v>
      </c>
      <c r="I72" s="11" t="n">
        <f aca="false">Runs!Q1788</f>
        <v>0</v>
      </c>
      <c r="J72" s="11" t="n">
        <f aca="false">Runs!Q1799</f>
        <v>0</v>
      </c>
      <c r="K72" s="11" t="n">
        <f aca="false">Runs!Q1810</f>
        <v>0</v>
      </c>
      <c r="L72" s="11" t="n">
        <f aca="false">Runs!Q1821</f>
        <v>0</v>
      </c>
      <c r="M72" s="11" t="n">
        <f aca="false">Runs!Q1832</f>
        <v>0</v>
      </c>
      <c r="N72" s="11" t="n">
        <f aca="false">Runs!Q1843</f>
        <v>0</v>
      </c>
      <c r="O72" s="11" t="n">
        <f aca="false">Runs!Q1854</f>
        <v>0</v>
      </c>
      <c r="P72" s="11" t="n">
        <f aca="false">Runs!Q1865</f>
        <v>0</v>
      </c>
      <c r="Q72" s="16" t="n">
        <f aca="false">IF(COUNT(G72:P72)=0,"",AVERAGE(G72:P72))</f>
        <v>0</v>
      </c>
      <c r="R72" s="16" t="n">
        <f aca="false">IF(COUNT(G72:P72)&lt;2,"",STDEV(G72:P72))</f>
        <v>0</v>
      </c>
      <c r="S72" s="6" t="n">
        <f aca="false">COUNT(G72:P72)</f>
        <v>10</v>
      </c>
    </row>
    <row r="73" customFormat="false" ht="15" hidden="false" customHeight="false" outlineLevel="0" collapsed="false">
      <c r="A73" s="6" t="s">
        <v>56</v>
      </c>
      <c r="B73" s="6" t="s">
        <v>43</v>
      </c>
      <c r="C73" s="6" t="s">
        <v>51</v>
      </c>
      <c r="D73" s="6" t="s">
        <v>118</v>
      </c>
      <c r="E73" s="6" t="n">
        <v>16</v>
      </c>
      <c r="F73" s="6" t="s">
        <v>73</v>
      </c>
      <c r="G73" s="11" t="n">
        <f aca="false">Runs!Q1767</f>
        <v>0</v>
      </c>
      <c r="H73" s="11" t="n">
        <f aca="false">Runs!Q1778</f>
        <v>0</v>
      </c>
      <c r="I73" s="11" t="n">
        <f aca="false">Runs!Q1789</f>
        <v>0</v>
      </c>
      <c r="J73" s="11" t="n">
        <f aca="false">Runs!Q1800</f>
        <v>0</v>
      </c>
      <c r="K73" s="11" t="n">
        <f aca="false">Runs!Q1811</f>
        <v>0</v>
      </c>
      <c r="L73" s="11" t="n">
        <f aca="false">Runs!Q1822</f>
        <v>0</v>
      </c>
      <c r="M73" s="11" t="n">
        <f aca="false">Runs!Q1833</f>
        <v>0</v>
      </c>
      <c r="N73" s="11" t="n">
        <f aca="false">Runs!Q1844</f>
        <v>0</v>
      </c>
      <c r="O73" s="11" t="n">
        <f aca="false">Runs!Q1855</f>
        <v>0</v>
      </c>
      <c r="P73" s="11" t="n">
        <f aca="false">Runs!Q1866</f>
        <v>0</v>
      </c>
      <c r="Q73" s="16" t="n">
        <f aca="false">IF(COUNT(G73:P73)=0,"",AVERAGE(G73:P73))</f>
        <v>0</v>
      </c>
      <c r="R73" s="16" t="n">
        <f aca="false">IF(COUNT(G73:P73)&lt;2,"",STDEV(G73:P73))</f>
        <v>0</v>
      </c>
      <c r="S73" s="6" t="n">
        <f aca="false">COUNT(G73:P73)</f>
        <v>10</v>
      </c>
    </row>
    <row r="74" customFormat="false" ht="15" hidden="false" customHeight="false" outlineLevel="0" collapsed="false">
      <c r="A74" s="6" t="s">
        <v>56</v>
      </c>
      <c r="B74" s="6" t="s">
        <v>43</v>
      </c>
      <c r="C74" s="6" t="s">
        <v>51</v>
      </c>
      <c r="D74" s="6" t="s">
        <v>118</v>
      </c>
      <c r="E74" s="6" t="n">
        <v>16</v>
      </c>
      <c r="F74" s="6" t="s">
        <v>74</v>
      </c>
      <c r="G74" s="11" t="n">
        <f aca="false">Runs!Q1768</f>
        <v>0</v>
      </c>
      <c r="H74" s="11" t="n">
        <f aca="false">Runs!Q1779</f>
        <v>0</v>
      </c>
      <c r="I74" s="11" t="n">
        <f aca="false">Runs!Q1790</f>
        <v>0</v>
      </c>
      <c r="J74" s="11" t="n">
        <f aca="false">Runs!Q1801</f>
        <v>0</v>
      </c>
      <c r="K74" s="11" t="n">
        <f aca="false">Runs!Q1812</f>
        <v>0</v>
      </c>
      <c r="L74" s="11" t="n">
        <f aca="false">Runs!Q1823</f>
        <v>0</v>
      </c>
      <c r="M74" s="11" t="n">
        <f aca="false">Runs!Q1834</f>
        <v>0</v>
      </c>
      <c r="N74" s="11" t="n">
        <f aca="false">Runs!Q1845</f>
        <v>0</v>
      </c>
      <c r="O74" s="11" t="n">
        <f aca="false">Runs!Q1856</f>
        <v>0</v>
      </c>
      <c r="P74" s="11" t="n">
        <f aca="false">Runs!Q1867</f>
        <v>0</v>
      </c>
      <c r="Q74" s="16" t="n">
        <f aca="false">IF(COUNT(G74:P74)=0,"",AVERAGE(G74:P74))</f>
        <v>0</v>
      </c>
      <c r="R74" s="16" t="n">
        <f aca="false">IF(COUNT(G74:P74)&lt;2,"",STDEV(G74:P74))</f>
        <v>0</v>
      </c>
      <c r="S74" s="6" t="n">
        <f aca="false">COUNT(G74:P74)</f>
        <v>10</v>
      </c>
    </row>
    <row r="75" customFormat="false" ht="15" hidden="false" customHeight="false" outlineLevel="0" collapsed="false">
      <c r="A75" s="6" t="s">
        <v>56</v>
      </c>
      <c r="B75" s="6" t="s">
        <v>43</v>
      </c>
      <c r="C75" s="6" t="s">
        <v>51</v>
      </c>
      <c r="D75" s="6" t="s">
        <v>118</v>
      </c>
      <c r="E75" s="6" t="n">
        <v>16</v>
      </c>
      <c r="F75" s="6" t="s">
        <v>75</v>
      </c>
      <c r="G75" s="11" t="n">
        <f aca="false">Runs!Q1769</f>
        <v>0</v>
      </c>
      <c r="H75" s="11" t="n">
        <f aca="false">Runs!Q1780</f>
        <v>0</v>
      </c>
      <c r="I75" s="11" t="n">
        <f aca="false">Runs!Q1791</f>
        <v>0</v>
      </c>
      <c r="J75" s="11" t="n">
        <f aca="false">Runs!Q1802</f>
        <v>0</v>
      </c>
      <c r="K75" s="11" t="n">
        <f aca="false">Runs!Q1813</f>
        <v>0</v>
      </c>
      <c r="L75" s="11" t="n">
        <f aca="false">Runs!Q1824</f>
        <v>0</v>
      </c>
      <c r="M75" s="11" t="n">
        <f aca="false">Runs!Q1835</f>
        <v>0</v>
      </c>
      <c r="N75" s="11" t="n">
        <f aca="false">Runs!Q1846</f>
        <v>0</v>
      </c>
      <c r="O75" s="11" t="n">
        <f aca="false">Runs!Q1857</f>
        <v>0</v>
      </c>
      <c r="P75" s="11" t="n">
        <f aca="false">Runs!Q1868</f>
        <v>0</v>
      </c>
      <c r="Q75" s="16" t="n">
        <f aca="false">IF(COUNT(G75:P75)=0,"",AVERAGE(G75:P75))</f>
        <v>0</v>
      </c>
      <c r="R75" s="16" t="n">
        <f aca="false">IF(COUNT(G75:P75)&lt;2,"",STDEV(G75:P75))</f>
        <v>0</v>
      </c>
      <c r="S75" s="6" t="n">
        <f aca="false">COUNT(G75:P75)</f>
        <v>10</v>
      </c>
    </row>
    <row r="76" customFormat="false" ht="15" hidden="false" customHeight="false" outlineLevel="0" collapsed="false">
      <c r="A76" s="6" t="s">
        <v>56</v>
      </c>
      <c r="B76" s="6" t="s">
        <v>43</v>
      </c>
      <c r="C76" s="6" t="s">
        <v>51</v>
      </c>
      <c r="D76" s="6" t="s">
        <v>118</v>
      </c>
      <c r="E76" s="6" t="n">
        <v>16</v>
      </c>
      <c r="F76" s="6" t="s">
        <v>76</v>
      </c>
      <c r="G76" s="11" t="n">
        <f aca="false">Runs!Q1770</f>
        <v>0</v>
      </c>
      <c r="H76" s="11" t="n">
        <f aca="false">Runs!Q1781</f>
        <v>0</v>
      </c>
      <c r="I76" s="11" t="n">
        <f aca="false">Runs!Q1792</f>
        <v>0</v>
      </c>
      <c r="J76" s="11" t="n">
        <f aca="false">Runs!Q1803</f>
        <v>0</v>
      </c>
      <c r="K76" s="11" t="n">
        <f aca="false">Runs!Q1814</f>
        <v>0</v>
      </c>
      <c r="L76" s="11" t="n">
        <f aca="false">Runs!Q1825</f>
        <v>0</v>
      </c>
      <c r="M76" s="11" t="n">
        <f aca="false">Runs!Q1836</f>
        <v>0</v>
      </c>
      <c r="N76" s="11" t="n">
        <f aca="false">Runs!Q1847</f>
        <v>0</v>
      </c>
      <c r="O76" s="11" t="n">
        <f aca="false">Runs!Q1858</f>
        <v>0</v>
      </c>
      <c r="P76" s="11" t="n">
        <f aca="false">Runs!Q1869</f>
        <v>0</v>
      </c>
      <c r="Q76" s="16" t="n">
        <f aca="false">IF(COUNT(G76:P76)=0,"",AVERAGE(G76:P76))</f>
        <v>0</v>
      </c>
      <c r="R76" s="16" t="n">
        <f aca="false">IF(COUNT(G76:P76)&lt;2,"",STDEV(G76:P76))</f>
        <v>0</v>
      </c>
      <c r="S76" s="6" t="n">
        <f aca="false">COUNT(G76:P76)</f>
        <v>10</v>
      </c>
    </row>
    <row r="77" customFormat="false" ht="15" hidden="false" customHeight="false" outlineLevel="0" collapsed="false">
      <c r="A77" s="6" t="s">
        <v>56</v>
      </c>
      <c r="B77" s="6" t="s">
        <v>43</v>
      </c>
      <c r="C77" s="6" t="s">
        <v>51</v>
      </c>
      <c r="D77" s="6" t="s">
        <v>118</v>
      </c>
      <c r="E77" s="6" t="n">
        <v>16</v>
      </c>
      <c r="F77" s="6" t="s">
        <v>77</v>
      </c>
      <c r="G77" s="11" t="n">
        <f aca="false">Runs!Q1771</f>
        <v>0.05</v>
      </c>
      <c r="H77" s="11" t="n">
        <f aca="false">Runs!Q1782</f>
        <v>0.05</v>
      </c>
      <c r="I77" s="11" t="n">
        <f aca="false">Runs!Q1793</f>
        <v>0.05</v>
      </c>
      <c r="J77" s="11" t="n">
        <f aca="false">Runs!Q1804</f>
        <v>0.05</v>
      </c>
      <c r="K77" s="11" t="n">
        <f aca="false">Runs!Q1815</f>
        <v>0.05</v>
      </c>
      <c r="L77" s="11" t="n">
        <f aca="false">Runs!Q1826</f>
        <v>0.05</v>
      </c>
      <c r="M77" s="11" t="n">
        <f aca="false">Runs!Q1837</f>
        <v>0.05</v>
      </c>
      <c r="N77" s="11" t="n">
        <f aca="false">Runs!Q1848</f>
        <v>0.05</v>
      </c>
      <c r="O77" s="11" t="n">
        <f aca="false">Runs!Q1859</f>
        <v>0.05</v>
      </c>
      <c r="P77" s="11" t="n">
        <f aca="false">Runs!Q1870</f>
        <v>0.05</v>
      </c>
      <c r="Q77" s="16" t="n">
        <f aca="false">IF(COUNT(G77:P77)=0,"",AVERAGE(G77:P77))</f>
        <v>0.05</v>
      </c>
      <c r="R77" s="16" t="n">
        <f aca="false">IF(COUNT(G77:P77)&lt;2,"",STDEV(G77:P77))</f>
        <v>0</v>
      </c>
      <c r="S77" s="6" t="n">
        <f aca="false">COUNT(G77:P77)</f>
        <v>10</v>
      </c>
    </row>
    <row r="78" customFormat="false" ht="15" hidden="false" customHeight="false" outlineLevel="0" collapsed="false">
      <c r="A78" s="17" t="s">
        <v>56</v>
      </c>
      <c r="B78" s="17" t="s">
        <v>43</v>
      </c>
      <c r="C78" s="17" t="s">
        <v>51</v>
      </c>
      <c r="D78" s="17" t="s">
        <v>118</v>
      </c>
      <c r="E78" s="17" t="n">
        <v>16</v>
      </c>
      <c r="F78" s="17" t="s">
        <v>78</v>
      </c>
      <c r="G78" s="18" t="n">
        <f aca="false">Runs!Q1772</f>
        <v>0.005</v>
      </c>
      <c r="H78" s="18" t="n">
        <f aca="false">Runs!Q1783</f>
        <v>0.005</v>
      </c>
      <c r="I78" s="18" t="n">
        <f aca="false">Runs!Q1794</f>
        <v>0.005</v>
      </c>
      <c r="J78" s="18" t="n">
        <f aca="false">Runs!Q1805</f>
        <v>0.005</v>
      </c>
      <c r="K78" s="18" t="n">
        <f aca="false">Runs!Q1816</f>
        <v>0.005</v>
      </c>
      <c r="L78" s="18" t="n">
        <f aca="false">Runs!Q1827</f>
        <v>0.005</v>
      </c>
      <c r="M78" s="18" t="n">
        <f aca="false">Runs!Q1838</f>
        <v>0.005</v>
      </c>
      <c r="N78" s="18" t="n">
        <f aca="false">Runs!Q1849</f>
        <v>0.005</v>
      </c>
      <c r="O78" s="18" t="n">
        <f aca="false">Runs!Q1860</f>
        <v>0.005</v>
      </c>
      <c r="P78" s="18" t="n">
        <f aca="false">Runs!Q1871</f>
        <v>0.005</v>
      </c>
      <c r="Q78" s="19" t="n">
        <f aca="false">IF(COUNT(G78:P78)=0,"",AVERAGE(G78:P78))</f>
        <v>0.005</v>
      </c>
      <c r="R78" s="19" t="n">
        <f aca="false">IF(COUNT(G78:P78)&lt;2,"",STDEV(G78:P78))</f>
        <v>0</v>
      </c>
      <c r="S78" s="20" t="n">
        <f aca="false">COUNT(G78:P78)</f>
        <v>10</v>
      </c>
    </row>
    <row r="79" customFormat="false" ht="15" hidden="false" customHeight="false" outlineLevel="0" collapsed="false">
      <c r="A79" s="6" t="s">
        <v>58</v>
      </c>
      <c r="B79" s="6" t="s">
        <v>59</v>
      </c>
      <c r="C79" s="6" t="s">
        <v>44</v>
      </c>
      <c r="D79" s="6" t="s">
        <v>114</v>
      </c>
      <c r="E79" s="6" t="n">
        <v>4</v>
      </c>
      <c r="F79" s="6" t="s">
        <v>68</v>
      </c>
      <c r="G79" s="11" t="n">
        <f aca="false">Runs!Q1872</f>
        <v>0</v>
      </c>
      <c r="H79" s="11" t="n">
        <f aca="false">Runs!Q1883</f>
        <v>0</v>
      </c>
      <c r="I79" s="11" t="n">
        <f aca="false">Runs!Q1894</f>
        <v>0</v>
      </c>
      <c r="J79" s="11" t="n">
        <f aca="false">Runs!Q1905</f>
        <v>0</v>
      </c>
      <c r="K79" s="11" t="n">
        <f aca="false">Runs!Q1916</f>
        <v>0</v>
      </c>
      <c r="L79" s="11" t="n">
        <f aca="false">Runs!Q1927</f>
        <v>0</v>
      </c>
      <c r="M79" s="11" t="n">
        <f aca="false">Runs!Q1938</f>
        <v>0</v>
      </c>
      <c r="N79" s="11" t="n">
        <f aca="false">Runs!Q1949</f>
        <v>0</v>
      </c>
      <c r="O79" s="11" t="n">
        <f aca="false">Runs!Q1960</f>
        <v>0</v>
      </c>
      <c r="P79" s="11" t="n">
        <f aca="false">Runs!Q1971</f>
        <v>0</v>
      </c>
      <c r="Q79" s="16" t="n">
        <f aca="false">IF(COUNT(G79:P79)=0,"",AVERAGE(G79:P79))</f>
        <v>0</v>
      </c>
      <c r="R79" s="16" t="n">
        <f aca="false">IF(COUNT(G79:P79)&lt;2,"",STDEV(G79:P79))</f>
        <v>0</v>
      </c>
      <c r="S79" s="6" t="n">
        <f aca="false">COUNT(G79:P79)</f>
        <v>10</v>
      </c>
    </row>
    <row r="80" customFormat="false" ht="15" hidden="false" customHeight="false" outlineLevel="0" collapsed="false">
      <c r="A80" s="6" t="s">
        <v>58</v>
      </c>
      <c r="B80" s="6" t="s">
        <v>59</v>
      </c>
      <c r="C80" s="6" t="s">
        <v>44</v>
      </c>
      <c r="D80" s="6" t="s">
        <v>114</v>
      </c>
      <c r="E80" s="6" t="n">
        <v>4</v>
      </c>
      <c r="F80" s="6" t="s">
        <v>69</v>
      </c>
      <c r="G80" s="11" t="n">
        <f aca="false">Runs!Q1873</f>
        <v>0</v>
      </c>
      <c r="H80" s="11" t="n">
        <f aca="false">Runs!Q1884</f>
        <v>0</v>
      </c>
      <c r="I80" s="11" t="n">
        <f aca="false">Runs!Q1895</f>
        <v>0</v>
      </c>
      <c r="J80" s="11" t="n">
        <f aca="false">Runs!Q1906</f>
        <v>0</v>
      </c>
      <c r="K80" s="11" t="n">
        <f aca="false">Runs!Q1917</f>
        <v>0</v>
      </c>
      <c r="L80" s="11" t="n">
        <f aca="false">Runs!Q1928</f>
        <v>0</v>
      </c>
      <c r="M80" s="11" t="n">
        <f aca="false">Runs!Q1939</f>
        <v>0</v>
      </c>
      <c r="N80" s="11" t="n">
        <f aca="false">Runs!Q1950</f>
        <v>0</v>
      </c>
      <c r="O80" s="11" t="n">
        <f aca="false">Runs!Q1961</f>
        <v>0</v>
      </c>
      <c r="P80" s="11" t="n">
        <f aca="false">Runs!Q1972</f>
        <v>0</v>
      </c>
      <c r="Q80" s="16" t="n">
        <f aca="false">IF(COUNT(G80:P80)=0,"",AVERAGE(G80:P80))</f>
        <v>0</v>
      </c>
      <c r="R80" s="16" t="n">
        <f aca="false">IF(COUNT(G80:P80)&lt;2,"",STDEV(G80:P80))</f>
        <v>0</v>
      </c>
      <c r="S80" s="6" t="n">
        <f aca="false">COUNT(G80:P80)</f>
        <v>10</v>
      </c>
    </row>
    <row r="81" customFormat="false" ht="15" hidden="false" customHeight="false" outlineLevel="0" collapsed="false">
      <c r="A81" s="6" t="s">
        <v>58</v>
      </c>
      <c r="B81" s="6" t="s">
        <v>59</v>
      </c>
      <c r="C81" s="6" t="s">
        <v>44</v>
      </c>
      <c r="D81" s="6" t="s">
        <v>114</v>
      </c>
      <c r="E81" s="6" t="n">
        <v>4</v>
      </c>
      <c r="F81" s="6" t="s">
        <v>70</v>
      </c>
      <c r="G81" s="11" t="n">
        <f aca="false">Runs!Q1874</f>
        <v>0</v>
      </c>
      <c r="H81" s="11" t="n">
        <f aca="false">Runs!Q1885</f>
        <v>0</v>
      </c>
      <c r="I81" s="11" t="n">
        <f aca="false">Runs!Q1896</f>
        <v>0</v>
      </c>
      <c r="J81" s="11" t="n">
        <f aca="false">Runs!Q1907</f>
        <v>0</v>
      </c>
      <c r="K81" s="11" t="n">
        <f aca="false">Runs!Q1918</f>
        <v>0</v>
      </c>
      <c r="L81" s="11" t="n">
        <f aca="false">Runs!Q1929</f>
        <v>0</v>
      </c>
      <c r="M81" s="11" t="n">
        <f aca="false">Runs!Q1940</f>
        <v>0</v>
      </c>
      <c r="N81" s="11" t="n">
        <f aca="false">Runs!Q1951</f>
        <v>0</v>
      </c>
      <c r="O81" s="11" t="n">
        <f aca="false">Runs!Q1962</f>
        <v>0</v>
      </c>
      <c r="P81" s="11" t="n">
        <f aca="false">Runs!Q1973</f>
        <v>0</v>
      </c>
      <c r="Q81" s="16" t="n">
        <f aca="false">IF(COUNT(G81:P81)=0,"",AVERAGE(G81:P81))</f>
        <v>0</v>
      </c>
      <c r="R81" s="16" t="n">
        <f aca="false">IF(COUNT(G81:P81)&lt;2,"",STDEV(G81:P81))</f>
        <v>0</v>
      </c>
      <c r="S81" s="6" t="n">
        <f aca="false">COUNT(G81:P81)</f>
        <v>10</v>
      </c>
    </row>
    <row r="82" customFormat="false" ht="15" hidden="false" customHeight="false" outlineLevel="0" collapsed="false">
      <c r="A82" s="6" t="s">
        <v>58</v>
      </c>
      <c r="B82" s="6" t="s">
        <v>59</v>
      </c>
      <c r="C82" s="6" t="s">
        <v>44</v>
      </c>
      <c r="D82" s="6" t="s">
        <v>114</v>
      </c>
      <c r="E82" s="6" t="n">
        <v>4</v>
      </c>
      <c r="F82" s="6" t="s">
        <v>71</v>
      </c>
      <c r="G82" s="11" t="n">
        <f aca="false">Runs!Q1875</f>
        <v>0</v>
      </c>
      <c r="H82" s="11" t="n">
        <f aca="false">Runs!Q1886</f>
        <v>0</v>
      </c>
      <c r="I82" s="11" t="n">
        <f aca="false">Runs!Q1897</f>
        <v>0</v>
      </c>
      <c r="J82" s="11" t="n">
        <f aca="false">Runs!Q1908</f>
        <v>0</v>
      </c>
      <c r="K82" s="11" t="n">
        <f aca="false">Runs!Q1919</f>
        <v>0</v>
      </c>
      <c r="L82" s="11" t="n">
        <f aca="false">Runs!Q1930</f>
        <v>0</v>
      </c>
      <c r="M82" s="11" t="n">
        <f aca="false">Runs!Q1941</f>
        <v>0</v>
      </c>
      <c r="N82" s="11" t="n">
        <f aca="false">Runs!Q1952</f>
        <v>0</v>
      </c>
      <c r="O82" s="11" t="n">
        <f aca="false">Runs!Q1963</f>
        <v>0</v>
      </c>
      <c r="P82" s="11" t="n">
        <f aca="false">Runs!Q1974</f>
        <v>0</v>
      </c>
      <c r="Q82" s="16" t="n">
        <f aca="false">IF(COUNT(G82:P82)=0,"",AVERAGE(G82:P82))</f>
        <v>0</v>
      </c>
      <c r="R82" s="16" t="n">
        <f aca="false">IF(COUNT(G82:P82)&lt;2,"",STDEV(G82:P82))</f>
        <v>0</v>
      </c>
      <c r="S82" s="6" t="n">
        <f aca="false">COUNT(G82:P82)</f>
        <v>10</v>
      </c>
    </row>
    <row r="83" customFormat="false" ht="15" hidden="false" customHeight="false" outlineLevel="0" collapsed="false">
      <c r="A83" s="6" t="s">
        <v>58</v>
      </c>
      <c r="B83" s="6" t="s">
        <v>59</v>
      </c>
      <c r="C83" s="6" t="s">
        <v>44</v>
      </c>
      <c r="D83" s="6" t="s">
        <v>114</v>
      </c>
      <c r="E83" s="6" t="n">
        <v>4</v>
      </c>
      <c r="F83" s="6" t="s">
        <v>72</v>
      </c>
      <c r="G83" s="11" t="n">
        <f aca="false">Runs!Q1876</f>
        <v>0</v>
      </c>
      <c r="H83" s="11" t="n">
        <f aca="false">Runs!Q1887</f>
        <v>0</v>
      </c>
      <c r="I83" s="11" t="n">
        <f aca="false">Runs!Q1898</f>
        <v>0</v>
      </c>
      <c r="J83" s="11" t="n">
        <f aca="false">Runs!Q1909</f>
        <v>0</v>
      </c>
      <c r="K83" s="11" t="n">
        <f aca="false">Runs!Q1920</f>
        <v>0</v>
      </c>
      <c r="L83" s="11" t="n">
        <f aca="false">Runs!Q1931</f>
        <v>0</v>
      </c>
      <c r="M83" s="11" t="n">
        <f aca="false">Runs!Q1942</f>
        <v>0</v>
      </c>
      <c r="N83" s="11" t="n">
        <f aca="false">Runs!Q1953</f>
        <v>0</v>
      </c>
      <c r="O83" s="11" t="n">
        <f aca="false">Runs!Q1964</f>
        <v>0</v>
      </c>
      <c r="P83" s="11" t="n">
        <f aca="false">Runs!Q1975</f>
        <v>0</v>
      </c>
      <c r="Q83" s="16" t="n">
        <f aca="false">IF(COUNT(G83:P83)=0,"",AVERAGE(G83:P83))</f>
        <v>0</v>
      </c>
      <c r="R83" s="16" t="n">
        <f aca="false">IF(COUNT(G83:P83)&lt;2,"",STDEV(G83:P83))</f>
        <v>0</v>
      </c>
      <c r="S83" s="6" t="n">
        <f aca="false">COUNT(G83:P83)</f>
        <v>10</v>
      </c>
    </row>
    <row r="84" customFormat="false" ht="15" hidden="false" customHeight="false" outlineLevel="0" collapsed="false">
      <c r="A84" s="6" t="s">
        <v>58</v>
      </c>
      <c r="B84" s="6" t="s">
        <v>59</v>
      </c>
      <c r="C84" s="6" t="s">
        <v>44</v>
      </c>
      <c r="D84" s="6" t="s">
        <v>114</v>
      </c>
      <c r="E84" s="6" t="n">
        <v>4</v>
      </c>
      <c r="F84" s="6" t="s">
        <v>73</v>
      </c>
      <c r="G84" s="11" t="n">
        <f aca="false">Runs!Q1877</f>
        <v>0</v>
      </c>
      <c r="H84" s="11" t="n">
        <f aca="false">Runs!Q1888</f>
        <v>0</v>
      </c>
      <c r="I84" s="11" t="n">
        <f aca="false">Runs!Q1899</f>
        <v>0</v>
      </c>
      <c r="J84" s="11" t="n">
        <f aca="false">Runs!Q1910</f>
        <v>0</v>
      </c>
      <c r="K84" s="11" t="n">
        <f aca="false">Runs!Q1921</f>
        <v>0</v>
      </c>
      <c r="L84" s="11" t="n">
        <f aca="false">Runs!Q1932</f>
        <v>0</v>
      </c>
      <c r="M84" s="11" t="n">
        <f aca="false">Runs!Q1943</f>
        <v>0</v>
      </c>
      <c r="N84" s="11" t="n">
        <f aca="false">Runs!Q1954</f>
        <v>0</v>
      </c>
      <c r="O84" s="11" t="n">
        <f aca="false">Runs!Q1965</f>
        <v>0</v>
      </c>
      <c r="P84" s="11" t="n">
        <f aca="false">Runs!Q1976</f>
        <v>0</v>
      </c>
      <c r="Q84" s="16" t="n">
        <f aca="false">IF(COUNT(G84:P84)=0,"",AVERAGE(G84:P84))</f>
        <v>0</v>
      </c>
      <c r="R84" s="16" t="n">
        <f aca="false">IF(COUNT(G84:P84)&lt;2,"",STDEV(G84:P84))</f>
        <v>0</v>
      </c>
      <c r="S84" s="6" t="n">
        <f aca="false">COUNT(G84:P84)</f>
        <v>10</v>
      </c>
    </row>
    <row r="85" customFormat="false" ht="15" hidden="false" customHeight="false" outlineLevel="0" collapsed="false">
      <c r="A85" s="6" t="s">
        <v>58</v>
      </c>
      <c r="B85" s="6" t="s">
        <v>59</v>
      </c>
      <c r="C85" s="6" t="s">
        <v>44</v>
      </c>
      <c r="D85" s="6" t="s">
        <v>114</v>
      </c>
      <c r="E85" s="6" t="n">
        <v>4</v>
      </c>
      <c r="F85" s="6" t="s">
        <v>74</v>
      </c>
      <c r="G85" s="11" t="n">
        <f aca="false">Runs!Q1878</f>
        <v>0</v>
      </c>
      <c r="H85" s="11" t="n">
        <f aca="false">Runs!Q1889</f>
        <v>0</v>
      </c>
      <c r="I85" s="11" t="n">
        <f aca="false">Runs!Q1900</f>
        <v>0</v>
      </c>
      <c r="J85" s="11" t="n">
        <f aca="false">Runs!Q1911</f>
        <v>0</v>
      </c>
      <c r="K85" s="11" t="n">
        <f aca="false">Runs!Q1922</f>
        <v>0</v>
      </c>
      <c r="L85" s="11" t="n">
        <f aca="false">Runs!Q1933</f>
        <v>0</v>
      </c>
      <c r="M85" s="11" t="n">
        <f aca="false">Runs!Q1944</f>
        <v>0</v>
      </c>
      <c r="N85" s="11" t="n">
        <f aca="false">Runs!Q1955</f>
        <v>0</v>
      </c>
      <c r="O85" s="11" t="n">
        <f aca="false">Runs!Q1966</f>
        <v>0</v>
      </c>
      <c r="P85" s="11" t="n">
        <f aca="false">Runs!Q1977</f>
        <v>0</v>
      </c>
      <c r="Q85" s="16" t="n">
        <f aca="false">IF(COUNT(G85:P85)=0,"",AVERAGE(G85:P85))</f>
        <v>0</v>
      </c>
      <c r="R85" s="16" t="n">
        <f aca="false">IF(COUNT(G85:P85)&lt;2,"",STDEV(G85:P85))</f>
        <v>0</v>
      </c>
      <c r="S85" s="6" t="n">
        <f aca="false">COUNT(G85:P85)</f>
        <v>10</v>
      </c>
    </row>
    <row r="86" customFormat="false" ht="15" hidden="false" customHeight="false" outlineLevel="0" collapsed="false">
      <c r="A86" s="6" t="s">
        <v>58</v>
      </c>
      <c r="B86" s="6" t="s">
        <v>59</v>
      </c>
      <c r="C86" s="6" t="s">
        <v>44</v>
      </c>
      <c r="D86" s="6" t="s">
        <v>114</v>
      </c>
      <c r="E86" s="6" t="n">
        <v>4</v>
      </c>
      <c r="F86" s="6" t="s">
        <v>75</v>
      </c>
      <c r="G86" s="11" t="n">
        <f aca="false">Runs!Q1879</f>
        <v>0</v>
      </c>
      <c r="H86" s="11" t="n">
        <f aca="false">Runs!Q1890</f>
        <v>0</v>
      </c>
      <c r="I86" s="11" t="n">
        <f aca="false">Runs!Q1901</f>
        <v>0</v>
      </c>
      <c r="J86" s="11" t="n">
        <f aca="false">Runs!Q1912</f>
        <v>0</v>
      </c>
      <c r="K86" s="11" t="n">
        <f aca="false">Runs!Q1923</f>
        <v>0</v>
      </c>
      <c r="L86" s="11" t="n">
        <f aca="false">Runs!Q1934</f>
        <v>0</v>
      </c>
      <c r="M86" s="11" t="n">
        <f aca="false">Runs!Q1945</f>
        <v>0</v>
      </c>
      <c r="N86" s="11" t="n">
        <f aca="false">Runs!Q1956</f>
        <v>0</v>
      </c>
      <c r="O86" s="11" t="n">
        <f aca="false">Runs!Q1967</f>
        <v>0</v>
      </c>
      <c r="P86" s="11" t="n">
        <f aca="false">Runs!Q1978</f>
        <v>0</v>
      </c>
      <c r="Q86" s="16" t="n">
        <f aca="false">IF(COUNT(G86:P86)=0,"",AVERAGE(G86:P86))</f>
        <v>0</v>
      </c>
      <c r="R86" s="16" t="n">
        <f aca="false">IF(COUNT(G86:P86)&lt;2,"",STDEV(G86:P86))</f>
        <v>0</v>
      </c>
      <c r="S86" s="6" t="n">
        <f aca="false">COUNT(G86:P86)</f>
        <v>10</v>
      </c>
    </row>
    <row r="87" customFormat="false" ht="15" hidden="false" customHeight="false" outlineLevel="0" collapsed="false">
      <c r="A87" s="6" t="s">
        <v>58</v>
      </c>
      <c r="B87" s="6" t="s">
        <v>59</v>
      </c>
      <c r="C87" s="6" t="s">
        <v>44</v>
      </c>
      <c r="D87" s="6" t="s">
        <v>114</v>
      </c>
      <c r="E87" s="6" t="n">
        <v>4</v>
      </c>
      <c r="F87" s="6" t="s">
        <v>76</v>
      </c>
      <c r="G87" s="11" t="n">
        <f aca="false">Runs!Q1880</f>
        <v>0</v>
      </c>
      <c r="H87" s="11" t="n">
        <f aca="false">Runs!Q1891</f>
        <v>0</v>
      </c>
      <c r="I87" s="11" t="n">
        <f aca="false">Runs!Q1902</f>
        <v>0</v>
      </c>
      <c r="J87" s="11" t="n">
        <f aca="false">Runs!Q1913</f>
        <v>0</v>
      </c>
      <c r="K87" s="11" t="n">
        <f aca="false">Runs!Q1924</f>
        <v>0</v>
      </c>
      <c r="L87" s="11" t="n">
        <f aca="false">Runs!Q1935</f>
        <v>0</v>
      </c>
      <c r="M87" s="11" t="n">
        <f aca="false">Runs!Q1946</f>
        <v>0</v>
      </c>
      <c r="N87" s="11" t="n">
        <f aca="false">Runs!Q1957</f>
        <v>0</v>
      </c>
      <c r="O87" s="11" t="n">
        <f aca="false">Runs!Q1968</f>
        <v>0</v>
      </c>
      <c r="P87" s="11" t="n">
        <f aca="false">Runs!Q1979</f>
        <v>0</v>
      </c>
      <c r="Q87" s="16" t="n">
        <f aca="false">IF(COUNT(G87:P87)=0,"",AVERAGE(G87:P87))</f>
        <v>0</v>
      </c>
      <c r="R87" s="16" t="n">
        <f aca="false">IF(COUNT(G87:P87)&lt;2,"",STDEV(G87:P87))</f>
        <v>0</v>
      </c>
      <c r="S87" s="6" t="n">
        <f aca="false">COUNT(G87:P87)</f>
        <v>10</v>
      </c>
    </row>
    <row r="88" customFormat="false" ht="15" hidden="false" customHeight="false" outlineLevel="0" collapsed="false">
      <c r="A88" s="6" t="s">
        <v>58</v>
      </c>
      <c r="B88" s="6" t="s">
        <v>59</v>
      </c>
      <c r="C88" s="6" t="s">
        <v>44</v>
      </c>
      <c r="D88" s="6" t="s">
        <v>114</v>
      </c>
      <c r="E88" s="6" t="n">
        <v>4</v>
      </c>
      <c r="F88" s="6" t="s">
        <v>77</v>
      </c>
      <c r="G88" s="11" t="n">
        <f aca="false">Runs!Q1881</f>
        <v>0.05</v>
      </c>
      <c r="H88" s="11" t="n">
        <f aca="false">Runs!Q1892</f>
        <v>0.05</v>
      </c>
      <c r="I88" s="11" t="n">
        <f aca="false">Runs!Q1903</f>
        <v>0.05</v>
      </c>
      <c r="J88" s="11" t="n">
        <f aca="false">Runs!Q1914</f>
        <v>0.05</v>
      </c>
      <c r="K88" s="11" t="n">
        <f aca="false">Runs!Q1925</f>
        <v>0.05</v>
      </c>
      <c r="L88" s="11" t="n">
        <f aca="false">Runs!Q1936</f>
        <v>0.05</v>
      </c>
      <c r="M88" s="11" t="n">
        <f aca="false">Runs!Q1947</f>
        <v>0.05</v>
      </c>
      <c r="N88" s="11" t="n">
        <f aca="false">Runs!Q1958</f>
        <v>0.05</v>
      </c>
      <c r="O88" s="11" t="n">
        <f aca="false">Runs!Q1969</f>
        <v>0.05</v>
      </c>
      <c r="P88" s="11" t="n">
        <f aca="false">Runs!Q1980</f>
        <v>0.05</v>
      </c>
      <c r="Q88" s="16" t="n">
        <f aca="false">IF(COUNT(G88:P88)=0,"",AVERAGE(G88:P88))</f>
        <v>0.05</v>
      </c>
      <c r="R88" s="16" t="n">
        <f aca="false">IF(COUNT(G88:P88)&lt;2,"",STDEV(G88:P88))</f>
        <v>0</v>
      </c>
      <c r="S88" s="6" t="n">
        <f aca="false">COUNT(G88:P88)</f>
        <v>10</v>
      </c>
    </row>
    <row r="89" customFormat="false" ht="15" hidden="false" customHeight="false" outlineLevel="0" collapsed="false">
      <c r="A89" s="17" t="s">
        <v>58</v>
      </c>
      <c r="B89" s="17" t="s">
        <v>59</v>
      </c>
      <c r="C89" s="17" t="s">
        <v>44</v>
      </c>
      <c r="D89" s="17" t="s">
        <v>114</v>
      </c>
      <c r="E89" s="17" t="n">
        <v>4</v>
      </c>
      <c r="F89" s="17" t="s">
        <v>78</v>
      </c>
      <c r="G89" s="18" t="n">
        <f aca="false">Runs!Q1882</f>
        <v>0.005</v>
      </c>
      <c r="H89" s="18" t="n">
        <f aca="false">Runs!Q1893</f>
        <v>0.005</v>
      </c>
      <c r="I89" s="18" t="n">
        <f aca="false">Runs!Q1904</f>
        <v>0.005</v>
      </c>
      <c r="J89" s="18" t="n">
        <f aca="false">Runs!Q1915</f>
        <v>0.005</v>
      </c>
      <c r="K89" s="18" t="n">
        <f aca="false">Runs!Q1926</f>
        <v>0.005</v>
      </c>
      <c r="L89" s="18" t="n">
        <f aca="false">Runs!Q1937</f>
        <v>0.005</v>
      </c>
      <c r="M89" s="18" t="n">
        <f aca="false">Runs!Q1948</f>
        <v>0.005</v>
      </c>
      <c r="N89" s="18" t="n">
        <f aca="false">Runs!Q1959</f>
        <v>0.005</v>
      </c>
      <c r="O89" s="18" t="n">
        <f aca="false">Runs!Q1970</f>
        <v>0.005</v>
      </c>
      <c r="P89" s="18" t="n">
        <f aca="false">Runs!Q1981</f>
        <v>0.005</v>
      </c>
      <c r="Q89" s="19" t="n">
        <f aca="false">IF(COUNT(G89:P89)=0,"",AVERAGE(G89:P89))</f>
        <v>0.005</v>
      </c>
      <c r="R89" s="19" t="n">
        <f aca="false">IF(COUNT(G89:P89)&lt;2,"",STDEV(G89:P89))</f>
        <v>0</v>
      </c>
      <c r="S89" s="20" t="n">
        <f aca="false">COUNT(G89:P89)</f>
        <v>10</v>
      </c>
    </row>
    <row r="90" customFormat="false" ht="15" hidden="false" customHeight="false" outlineLevel="0" collapsed="false">
      <c r="A90" s="6" t="s">
        <v>60</v>
      </c>
      <c r="B90" s="6" t="s">
        <v>59</v>
      </c>
      <c r="C90" s="6" t="s">
        <v>51</v>
      </c>
      <c r="D90" s="6" t="s">
        <v>119</v>
      </c>
      <c r="E90" s="6" t="n">
        <v>16</v>
      </c>
      <c r="F90" s="6" t="s">
        <v>68</v>
      </c>
      <c r="G90" s="11" t="n">
        <f aca="false">Runs!Q1982</f>
        <v>0</v>
      </c>
      <c r="H90" s="11" t="n">
        <f aca="false">Runs!Q1993</f>
        <v>0</v>
      </c>
      <c r="I90" s="11" t="n">
        <f aca="false">Runs!Q2004</f>
        <v>0</v>
      </c>
      <c r="J90" s="11" t="n">
        <f aca="false">Runs!Q2015</f>
        <v>0</v>
      </c>
      <c r="K90" s="11" t="n">
        <f aca="false">Runs!Q2026</f>
        <v>0</v>
      </c>
      <c r="L90" s="11" t="n">
        <f aca="false">Runs!Q2037</f>
        <v>0</v>
      </c>
      <c r="M90" s="11" t="n">
        <f aca="false">Runs!Q2048</f>
        <v>0</v>
      </c>
      <c r="N90" s="11" t="n">
        <f aca="false">Runs!Q2059</f>
        <v>0</v>
      </c>
      <c r="O90" s="11" t="n">
        <f aca="false">Runs!Q2070</f>
        <v>0</v>
      </c>
      <c r="P90" s="11" t="n">
        <f aca="false">Runs!Q2081</f>
        <v>0</v>
      </c>
      <c r="Q90" s="16" t="n">
        <f aca="false">IF(COUNT(G90:P90)=0,"",AVERAGE(G90:P90))</f>
        <v>0</v>
      </c>
      <c r="R90" s="16" t="n">
        <f aca="false">IF(COUNT(G90:P90)&lt;2,"",STDEV(G90:P90))</f>
        <v>0</v>
      </c>
      <c r="S90" s="6" t="n">
        <f aca="false">COUNT(G90:P90)</f>
        <v>10</v>
      </c>
    </row>
    <row r="91" customFormat="false" ht="15" hidden="false" customHeight="false" outlineLevel="0" collapsed="false">
      <c r="A91" s="6" t="s">
        <v>60</v>
      </c>
      <c r="B91" s="6" t="s">
        <v>59</v>
      </c>
      <c r="C91" s="6" t="s">
        <v>51</v>
      </c>
      <c r="D91" s="6" t="s">
        <v>119</v>
      </c>
      <c r="E91" s="6" t="n">
        <v>16</v>
      </c>
      <c r="F91" s="6" t="s">
        <v>69</v>
      </c>
      <c r="G91" s="11" t="n">
        <f aca="false">Runs!Q1983</f>
        <v>0</v>
      </c>
      <c r="H91" s="11" t="n">
        <f aca="false">Runs!Q1994</f>
        <v>0</v>
      </c>
      <c r="I91" s="11" t="n">
        <f aca="false">Runs!Q2005</f>
        <v>0</v>
      </c>
      <c r="J91" s="11" t="n">
        <f aca="false">Runs!Q2016</f>
        <v>0</v>
      </c>
      <c r="K91" s="11" t="n">
        <f aca="false">Runs!Q2027</f>
        <v>0</v>
      </c>
      <c r="L91" s="11" t="n">
        <f aca="false">Runs!Q2038</f>
        <v>0</v>
      </c>
      <c r="M91" s="11" t="n">
        <f aca="false">Runs!Q2049</f>
        <v>0</v>
      </c>
      <c r="N91" s="11" t="n">
        <f aca="false">Runs!Q2060</f>
        <v>0</v>
      </c>
      <c r="O91" s="11" t="n">
        <f aca="false">Runs!Q2071</f>
        <v>0</v>
      </c>
      <c r="P91" s="11" t="n">
        <f aca="false">Runs!Q2082</f>
        <v>0</v>
      </c>
      <c r="Q91" s="16" t="n">
        <f aca="false">IF(COUNT(G91:P91)=0,"",AVERAGE(G91:P91))</f>
        <v>0</v>
      </c>
      <c r="R91" s="16" t="n">
        <f aca="false">IF(COUNT(G91:P91)&lt;2,"",STDEV(G91:P91))</f>
        <v>0</v>
      </c>
      <c r="S91" s="6" t="n">
        <f aca="false">COUNT(G91:P91)</f>
        <v>10</v>
      </c>
    </row>
    <row r="92" customFormat="false" ht="15" hidden="false" customHeight="false" outlineLevel="0" collapsed="false">
      <c r="A92" s="6" t="s">
        <v>60</v>
      </c>
      <c r="B92" s="6" t="s">
        <v>59</v>
      </c>
      <c r="C92" s="6" t="s">
        <v>51</v>
      </c>
      <c r="D92" s="6" t="s">
        <v>119</v>
      </c>
      <c r="E92" s="6" t="n">
        <v>16</v>
      </c>
      <c r="F92" s="6" t="s">
        <v>70</v>
      </c>
      <c r="G92" s="11" t="n">
        <f aca="false">Runs!Q1984</f>
        <v>0</v>
      </c>
      <c r="H92" s="11" t="n">
        <f aca="false">Runs!Q1995</f>
        <v>0</v>
      </c>
      <c r="I92" s="11" t="n">
        <f aca="false">Runs!Q2006</f>
        <v>0</v>
      </c>
      <c r="J92" s="11" t="n">
        <f aca="false">Runs!Q2017</f>
        <v>0</v>
      </c>
      <c r="K92" s="11" t="n">
        <f aca="false">Runs!Q2028</f>
        <v>0</v>
      </c>
      <c r="L92" s="11" t="n">
        <f aca="false">Runs!Q2039</f>
        <v>0</v>
      </c>
      <c r="M92" s="11" t="n">
        <f aca="false">Runs!Q2050</f>
        <v>0</v>
      </c>
      <c r="N92" s="11" t="n">
        <f aca="false">Runs!Q2061</f>
        <v>0</v>
      </c>
      <c r="O92" s="11" t="n">
        <f aca="false">Runs!Q2072</f>
        <v>0</v>
      </c>
      <c r="P92" s="11" t="n">
        <f aca="false">Runs!Q2083</f>
        <v>0</v>
      </c>
      <c r="Q92" s="16" t="n">
        <f aca="false">IF(COUNT(G92:P92)=0,"",AVERAGE(G92:P92))</f>
        <v>0</v>
      </c>
      <c r="R92" s="16" t="n">
        <f aca="false">IF(COUNT(G92:P92)&lt;2,"",STDEV(G92:P92))</f>
        <v>0</v>
      </c>
      <c r="S92" s="6" t="n">
        <f aca="false">COUNT(G92:P92)</f>
        <v>10</v>
      </c>
    </row>
    <row r="93" customFormat="false" ht="15" hidden="false" customHeight="false" outlineLevel="0" collapsed="false">
      <c r="A93" s="6" t="s">
        <v>60</v>
      </c>
      <c r="B93" s="6" t="s">
        <v>59</v>
      </c>
      <c r="C93" s="6" t="s">
        <v>51</v>
      </c>
      <c r="D93" s="6" t="s">
        <v>119</v>
      </c>
      <c r="E93" s="6" t="n">
        <v>16</v>
      </c>
      <c r="F93" s="6" t="s">
        <v>71</v>
      </c>
      <c r="G93" s="11" t="n">
        <f aca="false">Runs!Q1985</f>
        <v>0</v>
      </c>
      <c r="H93" s="11" t="n">
        <f aca="false">Runs!Q1996</f>
        <v>0</v>
      </c>
      <c r="I93" s="11" t="n">
        <f aca="false">Runs!Q2007</f>
        <v>0</v>
      </c>
      <c r="J93" s="11" t="n">
        <f aca="false">Runs!Q2018</f>
        <v>0</v>
      </c>
      <c r="K93" s="11" t="n">
        <f aca="false">Runs!Q2029</f>
        <v>0</v>
      </c>
      <c r="L93" s="11" t="n">
        <f aca="false">Runs!Q2040</f>
        <v>0</v>
      </c>
      <c r="M93" s="11" t="n">
        <f aca="false">Runs!Q2051</f>
        <v>0</v>
      </c>
      <c r="N93" s="11" t="n">
        <f aca="false">Runs!Q2062</f>
        <v>0</v>
      </c>
      <c r="O93" s="11" t="n">
        <f aca="false">Runs!Q2073</f>
        <v>0</v>
      </c>
      <c r="P93" s="11" t="n">
        <f aca="false">Runs!Q2084</f>
        <v>0</v>
      </c>
      <c r="Q93" s="16" t="n">
        <f aca="false">IF(COUNT(G93:P93)=0,"",AVERAGE(G93:P93))</f>
        <v>0</v>
      </c>
      <c r="R93" s="16" t="n">
        <f aca="false">IF(COUNT(G93:P93)&lt;2,"",STDEV(G93:P93))</f>
        <v>0</v>
      </c>
      <c r="S93" s="6" t="n">
        <f aca="false">COUNT(G93:P93)</f>
        <v>10</v>
      </c>
    </row>
    <row r="94" customFormat="false" ht="15" hidden="false" customHeight="false" outlineLevel="0" collapsed="false">
      <c r="A94" s="6" t="s">
        <v>60</v>
      </c>
      <c r="B94" s="6" t="s">
        <v>59</v>
      </c>
      <c r="C94" s="6" t="s">
        <v>51</v>
      </c>
      <c r="D94" s="6" t="s">
        <v>119</v>
      </c>
      <c r="E94" s="6" t="n">
        <v>16</v>
      </c>
      <c r="F94" s="6" t="s">
        <v>72</v>
      </c>
      <c r="G94" s="11" t="n">
        <f aca="false">Runs!Q1986</f>
        <v>0</v>
      </c>
      <c r="H94" s="11" t="n">
        <f aca="false">Runs!Q1997</f>
        <v>0</v>
      </c>
      <c r="I94" s="11" t="n">
        <f aca="false">Runs!Q2008</f>
        <v>0</v>
      </c>
      <c r="J94" s="11" t="n">
        <f aca="false">Runs!Q2019</f>
        <v>0</v>
      </c>
      <c r="K94" s="11" t="n">
        <f aca="false">Runs!Q2030</f>
        <v>0</v>
      </c>
      <c r="L94" s="11" t="n">
        <f aca="false">Runs!Q2041</f>
        <v>0</v>
      </c>
      <c r="M94" s="11" t="n">
        <f aca="false">Runs!Q2052</f>
        <v>0</v>
      </c>
      <c r="N94" s="11" t="n">
        <f aca="false">Runs!Q2063</f>
        <v>0</v>
      </c>
      <c r="O94" s="11" t="n">
        <f aca="false">Runs!Q2074</f>
        <v>0</v>
      </c>
      <c r="P94" s="11" t="n">
        <f aca="false">Runs!Q2085</f>
        <v>0</v>
      </c>
      <c r="Q94" s="16" t="n">
        <f aca="false">IF(COUNT(G94:P94)=0,"",AVERAGE(G94:P94))</f>
        <v>0</v>
      </c>
      <c r="R94" s="16" t="n">
        <f aca="false">IF(COUNT(G94:P94)&lt;2,"",STDEV(G94:P94))</f>
        <v>0</v>
      </c>
      <c r="S94" s="6" t="n">
        <f aca="false">COUNT(G94:P94)</f>
        <v>10</v>
      </c>
    </row>
    <row r="95" customFormat="false" ht="15" hidden="false" customHeight="false" outlineLevel="0" collapsed="false">
      <c r="A95" s="6" t="s">
        <v>60</v>
      </c>
      <c r="B95" s="6" t="s">
        <v>59</v>
      </c>
      <c r="C95" s="6" t="s">
        <v>51</v>
      </c>
      <c r="D95" s="6" t="s">
        <v>119</v>
      </c>
      <c r="E95" s="6" t="n">
        <v>16</v>
      </c>
      <c r="F95" s="6" t="s">
        <v>73</v>
      </c>
      <c r="G95" s="11" t="n">
        <f aca="false">Runs!Q1987</f>
        <v>0</v>
      </c>
      <c r="H95" s="11" t="n">
        <f aca="false">Runs!Q1998</f>
        <v>0</v>
      </c>
      <c r="I95" s="11" t="n">
        <f aca="false">Runs!Q2009</f>
        <v>0</v>
      </c>
      <c r="J95" s="11" t="n">
        <f aca="false">Runs!Q2020</f>
        <v>0</v>
      </c>
      <c r="K95" s="11" t="n">
        <f aca="false">Runs!Q2031</f>
        <v>0</v>
      </c>
      <c r="L95" s="11" t="n">
        <f aca="false">Runs!Q2042</f>
        <v>0</v>
      </c>
      <c r="M95" s="11" t="n">
        <f aca="false">Runs!Q2053</f>
        <v>0</v>
      </c>
      <c r="N95" s="11" t="n">
        <f aca="false">Runs!Q2064</f>
        <v>0</v>
      </c>
      <c r="O95" s="11" t="n">
        <f aca="false">Runs!Q2075</f>
        <v>0</v>
      </c>
      <c r="P95" s="11" t="n">
        <f aca="false">Runs!Q2086</f>
        <v>0</v>
      </c>
      <c r="Q95" s="16" t="n">
        <f aca="false">IF(COUNT(G95:P95)=0,"",AVERAGE(G95:P95))</f>
        <v>0</v>
      </c>
      <c r="R95" s="16" t="n">
        <f aca="false">IF(COUNT(G95:P95)&lt;2,"",STDEV(G95:P95))</f>
        <v>0</v>
      </c>
      <c r="S95" s="6" t="n">
        <f aca="false">COUNT(G95:P95)</f>
        <v>10</v>
      </c>
    </row>
    <row r="96" customFormat="false" ht="15" hidden="false" customHeight="false" outlineLevel="0" collapsed="false">
      <c r="A96" s="6" t="s">
        <v>60</v>
      </c>
      <c r="B96" s="6" t="s">
        <v>59</v>
      </c>
      <c r="C96" s="6" t="s">
        <v>51</v>
      </c>
      <c r="D96" s="6" t="s">
        <v>119</v>
      </c>
      <c r="E96" s="6" t="n">
        <v>16</v>
      </c>
      <c r="F96" s="6" t="s">
        <v>74</v>
      </c>
      <c r="G96" s="11" t="n">
        <f aca="false">Runs!Q1988</f>
        <v>0</v>
      </c>
      <c r="H96" s="11" t="n">
        <f aca="false">Runs!Q1999</f>
        <v>0</v>
      </c>
      <c r="I96" s="11" t="n">
        <f aca="false">Runs!Q2010</f>
        <v>0</v>
      </c>
      <c r="J96" s="11" t="n">
        <f aca="false">Runs!Q2021</f>
        <v>0</v>
      </c>
      <c r="K96" s="11" t="n">
        <f aca="false">Runs!Q2032</f>
        <v>0</v>
      </c>
      <c r="L96" s="11" t="n">
        <f aca="false">Runs!Q2043</f>
        <v>0</v>
      </c>
      <c r="M96" s="11" t="n">
        <f aca="false">Runs!Q2054</f>
        <v>0</v>
      </c>
      <c r="N96" s="11" t="n">
        <f aca="false">Runs!Q2065</f>
        <v>0</v>
      </c>
      <c r="O96" s="11" t="n">
        <f aca="false">Runs!Q2076</f>
        <v>0</v>
      </c>
      <c r="P96" s="11" t="n">
        <f aca="false">Runs!Q2087</f>
        <v>0</v>
      </c>
      <c r="Q96" s="16" t="n">
        <f aca="false">IF(COUNT(G96:P96)=0,"",AVERAGE(G96:P96))</f>
        <v>0</v>
      </c>
      <c r="R96" s="16" t="n">
        <f aca="false">IF(COUNT(G96:P96)&lt;2,"",STDEV(G96:P96))</f>
        <v>0</v>
      </c>
      <c r="S96" s="6" t="n">
        <f aca="false">COUNT(G96:P96)</f>
        <v>10</v>
      </c>
    </row>
    <row r="97" customFormat="false" ht="15" hidden="false" customHeight="false" outlineLevel="0" collapsed="false">
      <c r="A97" s="6" t="s">
        <v>60</v>
      </c>
      <c r="B97" s="6" t="s">
        <v>59</v>
      </c>
      <c r="C97" s="6" t="s">
        <v>51</v>
      </c>
      <c r="D97" s="6" t="s">
        <v>119</v>
      </c>
      <c r="E97" s="6" t="n">
        <v>16</v>
      </c>
      <c r="F97" s="6" t="s">
        <v>75</v>
      </c>
      <c r="G97" s="11" t="n">
        <f aca="false">Runs!Q1989</f>
        <v>0</v>
      </c>
      <c r="H97" s="11" t="n">
        <f aca="false">Runs!Q2000</f>
        <v>0</v>
      </c>
      <c r="I97" s="11" t="n">
        <f aca="false">Runs!Q2011</f>
        <v>0</v>
      </c>
      <c r="J97" s="11" t="n">
        <f aca="false">Runs!Q2022</f>
        <v>0</v>
      </c>
      <c r="K97" s="11" t="n">
        <f aca="false">Runs!Q2033</f>
        <v>0</v>
      </c>
      <c r="L97" s="11" t="n">
        <f aca="false">Runs!Q2044</f>
        <v>0</v>
      </c>
      <c r="M97" s="11" t="n">
        <f aca="false">Runs!Q2055</f>
        <v>0</v>
      </c>
      <c r="N97" s="11" t="n">
        <f aca="false">Runs!Q2066</f>
        <v>0</v>
      </c>
      <c r="O97" s="11" t="n">
        <f aca="false">Runs!Q2077</f>
        <v>0</v>
      </c>
      <c r="P97" s="11" t="n">
        <f aca="false">Runs!Q2088</f>
        <v>0</v>
      </c>
      <c r="Q97" s="16" t="n">
        <f aca="false">IF(COUNT(G97:P97)=0,"",AVERAGE(G97:P97))</f>
        <v>0</v>
      </c>
      <c r="R97" s="16" t="n">
        <f aca="false">IF(COUNT(G97:P97)&lt;2,"",STDEV(G97:P97))</f>
        <v>0</v>
      </c>
      <c r="S97" s="6" t="n">
        <f aca="false">COUNT(G97:P97)</f>
        <v>10</v>
      </c>
    </row>
    <row r="98" customFormat="false" ht="15" hidden="false" customHeight="false" outlineLevel="0" collapsed="false">
      <c r="A98" s="6" t="s">
        <v>60</v>
      </c>
      <c r="B98" s="6" t="s">
        <v>59</v>
      </c>
      <c r="C98" s="6" t="s">
        <v>51</v>
      </c>
      <c r="D98" s="6" t="s">
        <v>119</v>
      </c>
      <c r="E98" s="6" t="n">
        <v>16</v>
      </c>
      <c r="F98" s="6" t="s">
        <v>76</v>
      </c>
      <c r="G98" s="11" t="n">
        <f aca="false">Runs!Q1990</f>
        <v>0</v>
      </c>
      <c r="H98" s="11" t="n">
        <f aca="false">Runs!Q2001</f>
        <v>0</v>
      </c>
      <c r="I98" s="11" t="n">
        <f aca="false">Runs!Q2012</f>
        <v>0</v>
      </c>
      <c r="J98" s="11" t="n">
        <f aca="false">Runs!Q2023</f>
        <v>0</v>
      </c>
      <c r="K98" s="11" t="n">
        <f aca="false">Runs!Q2034</f>
        <v>0</v>
      </c>
      <c r="L98" s="11" t="n">
        <f aca="false">Runs!Q2045</f>
        <v>0</v>
      </c>
      <c r="M98" s="11" t="n">
        <f aca="false">Runs!Q2056</f>
        <v>0</v>
      </c>
      <c r="N98" s="11" t="n">
        <f aca="false">Runs!Q2067</f>
        <v>0</v>
      </c>
      <c r="O98" s="11" t="n">
        <f aca="false">Runs!Q2078</f>
        <v>0</v>
      </c>
      <c r="P98" s="11" t="n">
        <f aca="false">Runs!Q2089</f>
        <v>0</v>
      </c>
      <c r="Q98" s="16" t="n">
        <f aca="false">IF(COUNT(G98:P98)=0,"",AVERAGE(G98:P98))</f>
        <v>0</v>
      </c>
      <c r="R98" s="16" t="n">
        <f aca="false">IF(COUNT(G98:P98)&lt;2,"",STDEV(G98:P98))</f>
        <v>0</v>
      </c>
      <c r="S98" s="6" t="n">
        <f aca="false">COUNT(G98:P98)</f>
        <v>10</v>
      </c>
    </row>
    <row r="99" customFormat="false" ht="15" hidden="false" customHeight="false" outlineLevel="0" collapsed="false">
      <c r="A99" s="6" t="s">
        <v>60</v>
      </c>
      <c r="B99" s="6" t="s">
        <v>59</v>
      </c>
      <c r="C99" s="6" t="s">
        <v>51</v>
      </c>
      <c r="D99" s="6" t="s">
        <v>119</v>
      </c>
      <c r="E99" s="6" t="n">
        <v>16</v>
      </c>
      <c r="F99" s="6" t="s">
        <v>77</v>
      </c>
      <c r="G99" s="11" t="n">
        <f aca="false">Runs!Q1991</f>
        <v>0.05</v>
      </c>
      <c r="H99" s="11" t="n">
        <f aca="false">Runs!Q2002</f>
        <v>0.05</v>
      </c>
      <c r="I99" s="11" t="n">
        <f aca="false">Runs!Q2013</f>
        <v>0.05</v>
      </c>
      <c r="J99" s="11" t="n">
        <f aca="false">Runs!Q2024</f>
        <v>0.05</v>
      </c>
      <c r="K99" s="11" t="n">
        <f aca="false">Runs!Q2035</f>
        <v>0.05</v>
      </c>
      <c r="L99" s="11" t="n">
        <f aca="false">Runs!Q2046</f>
        <v>0.05</v>
      </c>
      <c r="M99" s="11" t="n">
        <f aca="false">Runs!Q2057</f>
        <v>0.05</v>
      </c>
      <c r="N99" s="11" t="n">
        <f aca="false">Runs!Q2068</f>
        <v>0.05</v>
      </c>
      <c r="O99" s="11" t="n">
        <f aca="false">Runs!Q2079</f>
        <v>0.05</v>
      </c>
      <c r="P99" s="11" t="n">
        <f aca="false">Runs!Q2090</f>
        <v>0.05</v>
      </c>
      <c r="Q99" s="16" t="n">
        <f aca="false">IF(COUNT(G99:P99)=0,"",AVERAGE(G99:P99))</f>
        <v>0.05</v>
      </c>
      <c r="R99" s="16" t="n">
        <f aca="false">IF(COUNT(G99:P99)&lt;2,"",STDEV(G99:P99))</f>
        <v>0</v>
      </c>
      <c r="S99" s="6" t="n">
        <f aca="false">COUNT(G99:P99)</f>
        <v>10</v>
      </c>
    </row>
    <row r="100" customFormat="false" ht="15" hidden="false" customHeight="false" outlineLevel="0" collapsed="false">
      <c r="A100" s="17" t="s">
        <v>60</v>
      </c>
      <c r="B100" s="17" t="s">
        <v>59</v>
      </c>
      <c r="C100" s="17" t="s">
        <v>51</v>
      </c>
      <c r="D100" s="17" t="s">
        <v>119</v>
      </c>
      <c r="E100" s="17" t="n">
        <v>16</v>
      </c>
      <c r="F100" s="17" t="s">
        <v>78</v>
      </c>
      <c r="G100" s="18" t="n">
        <f aca="false">Runs!Q1992</f>
        <v>0.005</v>
      </c>
      <c r="H100" s="18" t="n">
        <f aca="false">Runs!Q2003</f>
        <v>0.005</v>
      </c>
      <c r="I100" s="18" t="n">
        <f aca="false">Runs!Q2014</f>
        <v>0.005</v>
      </c>
      <c r="J100" s="18" t="n">
        <f aca="false">Runs!Q2025</f>
        <v>0.005</v>
      </c>
      <c r="K100" s="18" t="n">
        <f aca="false">Runs!Q2036</f>
        <v>0.005</v>
      </c>
      <c r="L100" s="18" t="n">
        <f aca="false">Runs!Q2047</f>
        <v>0.005</v>
      </c>
      <c r="M100" s="18" t="n">
        <f aca="false">Runs!Q2058</f>
        <v>0.005</v>
      </c>
      <c r="N100" s="18" t="n">
        <f aca="false">Runs!Q2069</f>
        <v>0.005</v>
      </c>
      <c r="O100" s="18" t="n">
        <f aca="false">Runs!Q2080</f>
        <v>0.005</v>
      </c>
      <c r="P100" s="18" t="n">
        <f aca="false">Runs!Q2091</f>
        <v>0.005</v>
      </c>
      <c r="Q100" s="19" t="n">
        <f aca="false">IF(COUNT(G100:P100)=0,"",AVERAGE(G100:P100))</f>
        <v>0.005</v>
      </c>
      <c r="R100" s="19" t="n">
        <f aca="false">IF(COUNT(G100:P100)&lt;2,"",STDEV(G100:P100))</f>
        <v>0</v>
      </c>
      <c r="S100" s="20" t="n">
        <f aca="false">COUNT(G100:P100)</f>
        <v>10</v>
      </c>
    </row>
    <row r="101" customFormat="false" ht="15" hidden="false" customHeight="false" outlineLevel="0" collapsed="false">
      <c r="A101" s="6" t="s">
        <v>62</v>
      </c>
      <c r="B101" s="6" t="s">
        <v>63</v>
      </c>
      <c r="C101" s="6" t="s">
        <v>44</v>
      </c>
      <c r="D101" s="6" t="s">
        <v>114</v>
      </c>
      <c r="E101" s="6" t="n">
        <v>16</v>
      </c>
      <c r="F101" s="6" t="s">
        <v>68</v>
      </c>
      <c r="G101" s="11" t="n">
        <f aca="false">Runs!Q2092</f>
        <v>0</v>
      </c>
      <c r="H101" s="11" t="n">
        <f aca="false">Runs!Q2103</f>
        <v>0</v>
      </c>
      <c r="I101" s="11" t="n">
        <f aca="false">Runs!Q2114</f>
        <v>0</v>
      </c>
      <c r="J101" s="11" t="n">
        <f aca="false">Runs!Q2125</f>
        <v>0</v>
      </c>
      <c r="K101" s="11" t="n">
        <f aca="false">Runs!Q2136</f>
        <v>0</v>
      </c>
      <c r="L101" s="11" t="n">
        <f aca="false">Runs!Q2147</f>
        <v>0</v>
      </c>
      <c r="M101" s="11" t="n">
        <f aca="false">Runs!Q2158</f>
        <v>0</v>
      </c>
      <c r="N101" s="11" t="n">
        <f aca="false">Runs!Q2169</f>
        <v>0</v>
      </c>
      <c r="O101" s="11" t="n">
        <f aca="false">Runs!Q2180</f>
        <v>0</v>
      </c>
      <c r="P101" s="11" t="n">
        <f aca="false">Runs!Q2191</f>
        <v>0</v>
      </c>
      <c r="Q101" s="16" t="n">
        <f aca="false">IF(COUNT(G101:P101)=0,"",AVERAGE(G101:P101))</f>
        <v>0</v>
      </c>
      <c r="R101" s="16" t="n">
        <f aca="false">IF(COUNT(G101:P101)&lt;2,"",STDEV(G101:P101))</f>
        <v>0</v>
      </c>
      <c r="S101" s="6" t="n">
        <f aca="false">COUNT(G101:P101)</f>
        <v>10</v>
      </c>
    </row>
    <row r="102" customFormat="false" ht="15" hidden="false" customHeight="false" outlineLevel="0" collapsed="false">
      <c r="A102" s="6" t="s">
        <v>62</v>
      </c>
      <c r="B102" s="6" t="s">
        <v>63</v>
      </c>
      <c r="C102" s="6" t="s">
        <v>44</v>
      </c>
      <c r="D102" s="6" t="s">
        <v>114</v>
      </c>
      <c r="E102" s="6" t="n">
        <v>16</v>
      </c>
      <c r="F102" s="6" t="s">
        <v>69</v>
      </c>
      <c r="G102" s="11" t="n">
        <f aca="false">Runs!Q2093</f>
        <v>0</v>
      </c>
      <c r="H102" s="11" t="n">
        <f aca="false">Runs!Q2104</f>
        <v>0</v>
      </c>
      <c r="I102" s="11" t="n">
        <f aca="false">Runs!Q2115</f>
        <v>0</v>
      </c>
      <c r="J102" s="11" t="n">
        <f aca="false">Runs!Q2126</f>
        <v>0</v>
      </c>
      <c r="K102" s="11" t="n">
        <f aca="false">Runs!Q2137</f>
        <v>0</v>
      </c>
      <c r="L102" s="11" t="n">
        <f aca="false">Runs!Q2148</f>
        <v>0</v>
      </c>
      <c r="M102" s="11" t="n">
        <f aca="false">Runs!Q2159</f>
        <v>0</v>
      </c>
      <c r="N102" s="11" t="n">
        <f aca="false">Runs!Q2170</f>
        <v>0</v>
      </c>
      <c r="O102" s="11" t="n">
        <f aca="false">Runs!Q2181</f>
        <v>0</v>
      </c>
      <c r="P102" s="11" t="n">
        <f aca="false">Runs!Q2192</f>
        <v>0</v>
      </c>
      <c r="Q102" s="16" t="n">
        <f aca="false">IF(COUNT(G102:P102)=0,"",AVERAGE(G102:P102))</f>
        <v>0</v>
      </c>
      <c r="R102" s="16" t="n">
        <f aca="false">IF(COUNT(G102:P102)&lt;2,"",STDEV(G102:P102))</f>
        <v>0</v>
      </c>
      <c r="S102" s="6" t="n">
        <f aca="false">COUNT(G102:P102)</f>
        <v>10</v>
      </c>
    </row>
    <row r="103" customFormat="false" ht="15" hidden="false" customHeight="false" outlineLevel="0" collapsed="false">
      <c r="A103" s="6" t="s">
        <v>62</v>
      </c>
      <c r="B103" s="6" t="s">
        <v>63</v>
      </c>
      <c r="C103" s="6" t="s">
        <v>44</v>
      </c>
      <c r="D103" s="6" t="s">
        <v>114</v>
      </c>
      <c r="E103" s="6" t="n">
        <v>16</v>
      </c>
      <c r="F103" s="6" t="s">
        <v>70</v>
      </c>
      <c r="G103" s="11" t="n">
        <f aca="false">Runs!Q2094</f>
        <v>0</v>
      </c>
      <c r="H103" s="11" t="n">
        <f aca="false">Runs!Q2105</f>
        <v>0</v>
      </c>
      <c r="I103" s="11" t="n">
        <f aca="false">Runs!Q2116</f>
        <v>0</v>
      </c>
      <c r="J103" s="11" t="n">
        <f aca="false">Runs!Q2127</f>
        <v>0</v>
      </c>
      <c r="K103" s="11" t="n">
        <f aca="false">Runs!Q2138</f>
        <v>0</v>
      </c>
      <c r="L103" s="11" t="n">
        <f aca="false">Runs!Q2149</f>
        <v>0</v>
      </c>
      <c r="M103" s="11" t="n">
        <f aca="false">Runs!Q2160</f>
        <v>0</v>
      </c>
      <c r="N103" s="11" t="n">
        <f aca="false">Runs!Q2171</f>
        <v>0</v>
      </c>
      <c r="O103" s="11" t="n">
        <f aca="false">Runs!Q2182</f>
        <v>0</v>
      </c>
      <c r="P103" s="11" t="n">
        <f aca="false">Runs!Q2193</f>
        <v>0</v>
      </c>
      <c r="Q103" s="16" t="n">
        <f aca="false">IF(COUNT(G103:P103)=0,"",AVERAGE(G103:P103))</f>
        <v>0</v>
      </c>
      <c r="R103" s="16" t="n">
        <f aca="false">IF(COUNT(G103:P103)&lt;2,"",STDEV(G103:P103))</f>
        <v>0</v>
      </c>
      <c r="S103" s="6" t="n">
        <f aca="false">COUNT(G103:P103)</f>
        <v>10</v>
      </c>
    </row>
    <row r="104" customFormat="false" ht="15" hidden="false" customHeight="false" outlineLevel="0" collapsed="false">
      <c r="A104" s="6" t="s">
        <v>62</v>
      </c>
      <c r="B104" s="6" t="s">
        <v>63</v>
      </c>
      <c r="C104" s="6" t="s">
        <v>44</v>
      </c>
      <c r="D104" s="6" t="s">
        <v>114</v>
      </c>
      <c r="E104" s="6" t="n">
        <v>16</v>
      </c>
      <c r="F104" s="6" t="s">
        <v>71</v>
      </c>
      <c r="G104" s="11" t="n">
        <f aca="false">Runs!Q2095</f>
        <v>0</v>
      </c>
      <c r="H104" s="11" t="n">
        <f aca="false">Runs!Q2106</f>
        <v>0</v>
      </c>
      <c r="I104" s="11" t="n">
        <f aca="false">Runs!Q2117</f>
        <v>0</v>
      </c>
      <c r="J104" s="11" t="n">
        <f aca="false">Runs!Q2128</f>
        <v>0</v>
      </c>
      <c r="K104" s="11" t="n">
        <f aca="false">Runs!Q2139</f>
        <v>0</v>
      </c>
      <c r="L104" s="11" t="n">
        <f aca="false">Runs!Q2150</f>
        <v>0</v>
      </c>
      <c r="M104" s="11" t="n">
        <f aca="false">Runs!Q2161</f>
        <v>0</v>
      </c>
      <c r="N104" s="11" t="n">
        <f aca="false">Runs!Q2172</f>
        <v>0</v>
      </c>
      <c r="O104" s="11" t="n">
        <f aca="false">Runs!Q2183</f>
        <v>0</v>
      </c>
      <c r="P104" s="11" t="n">
        <f aca="false">Runs!Q2194</f>
        <v>0</v>
      </c>
      <c r="Q104" s="16" t="n">
        <f aca="false">IF(COUNT(G104:P104)=0,"",AVERAGE(G104:P104))</f>
        <v>0</v>
      </c>
      <c r="R104" s="16" t="n">
        <f aca="false">IF(COUNT(G104:P104)&lt;2,"",STDEV(G104:P104))</f>
        <v>0</v>
      </c>
      <c r="S104" s="6" t="n">
        <f aca="false">COUNT(G104:P104)</f>
        <v>10</v>
      </c>
    </row>
    <row r="105" customFormat="false" ht="15" hidden="false" customHeight="false" outlineLevel="0" collapsed="false">
      <c r="A105" s="6" t="s">
        <v>62</v>
      </c>
      <c r="B105" s="6" t="s">
        <v>63</v>
      </c>
      <c r="C105" s="6" t="s">
        <v>44</v>
      </c>
      <c r="D105" s="6" t="s">
        <v>114</v>
      </c>
      <c r="E105" s="6" t="n">
        <v>16</v>
      </c>
      <c r="F105" s="6" t="s">
        <v>72</v>
      </c>
      <c r="G105" s="11" t="n">
        <f aca="false">Runs!Q2096</f>
        <v>0</v>
      </c>
      <c r="H105" s="11" t="n">
        <f aca="false">Runs!Q2107</f>
        <v>0</v>
      </c>
      <c r="I105" s="11" t="n">
        <f aca="false">Runs!Q2118</f>
        <v>0</v>
      </c>
      <c r="J105" s="11" t="n">
        <f aca="false">Runs!Q2129</f>
        <v>0</v>
      </c>
      <c r="K105" s="11" t="n">
        <f aca="false">Runs!Q2140</f>
        <v>0</v>
      </c>
      <c r="L105" s="11" t="n">
        <f aca="false">Runs!Q2151</f>
        <v>0</v>
      </c>
      <c r="M105" s="11" t="n">
        <f aca="false">Runs!Q2162</f>
        <v>0</v>
      </c>
      <c r="N105" s="11" t="n">
        <f aca="false">Runs!Q2173</f>
        <v>0</v>
      </c>
      <c r="O105" s="11" t="n">
        <f aca="false">Runs!Q2184</f>
        <v>0</v>
      </c>
      <c r="P105" s="11" t="n">
        <f aca="false">Runs!Q2195</f>
        <v>0</v>
      </c>
      <c r="Q105" s="16" t="n">
        <f aca="false">IF(COUNT(G105:P105)=0,"",AVERAGE(G105:P105))</f>
        <v>0</v>
      </c>
      <c r="R105" s="16" t="n">
        <f aca="false">IF(COUNT(G105:P105)&lt;2,"",STDEV(G105:P105))</f>
        <v>0</v>
      </c>
      <c r="S105" s="6" t="n">
        <f aca="false">COUNT(G105:P105)</f>
        <v>10</v>
      </c>
    </row>
    <row r="106" customFormat="false" ht="15" hidden="false" customHeight="false" outlineLevel="0" collapsed="false">
      <c r="A106" s="6" t="s">
        <v>62</v>
      </c>
      <c r="B106" s="6" t="s">
        <v>63</v>
      </c>
      <c r="C106" s="6" t="s">
        <v>44</v>
      </c>
      <c r="D106" s="6" t="s">
        <v>114</v>
      </c>
      <c r="E106" s="6" t="n">
        <v>16</v>
      </c>
      <c r="F106" s="6" t="s">
        <v>73</v>
      </c>
      <c r="G106" s="11" t="n">
        <f aca="false">Runs!Q2097</f>
        <v>0</v>
      </c>
      <c r="H106" s="11" t="n">
        <f aca="false">Runs!Q2108</f>
        <v>0</v>
      </c>
      <c r="I106" s="11" t="n">
        <f aca="false">Runs!Q2119</f>
        <v>0</v>
      </c>
      <c r="J106" s="11" t="n">
        <f aca="false">Runs!Q2130</f>
        <v>0</v>
      </c>
      <c r="K106" s="11" t="n">
        <f aca="false">Runs!Q2141</f>
        <v>0</v>
      </c>
      <c r="L106" s="11" t="n">
        <f aca="false">Runs!Q2152</f>
        <v>0</v>
      </c>
      <c r="M106" s="11" t="n">
        <f aca="false">Runs!Q2163</f>
        <v>0</v>
      </c>
      <c r="N106" s="11" t="n">
        <f aca="false">Runs!Q2174</f>
        <v>0</v>
      </c>
      <c r="O106" s="11" t="n">
        <f aca="false">Runs!Q2185</f>
        <v>0</v>
      </c>
      <c r="P106" s="11" t="n">
        <f aca="false">Runs!Q2196</f>
        <v>0</v>
      </c>
      <c r="Q106" s="16" t="n">
        <f aca="false">IF(COUNT(G106:P106)=0,"",AVERAGE(G106:P106))</f>
        <v>0</v>
      </c>
      <c r="R106" s="16" t="n">
        <f aca="false">IF(COUNT(G106:P106)&lt;2,"",STDEV(G106:P106))</f>
        <v>0</v>
      </c>
      <c r="S106" s="6" t="n">
        <f aca="false">COUNT(G106:P106)</f>
        <v>10</v>
      </c>
    </row>
    <row r="107" customFormat="false" ht="15" hidden="false" customHeight="false" outlineLevel="0" collapsed="false">
      <c r="A107" s="6" t="s">
        <v>62</v>
      </c>
      <c r="B107" s="6" t="s">
        <v>63</v>
      </c>
      <c r="C107" s="6" t="s">
        <v>44</v>
      </c>
      <c r="D107" s="6" t="s">
        <v>114</v>
      </c>
      <c r="E107" s="6" t="n">
        <v>16</v>
      </c>
      <c r="F107" s="6" t="s">
        <v>74</v>
      </c>
      <c r="G107" s="11" t="n">
        <f aca="false">Runs!Q2098</f>
        <v>0</v>
      </c>
      <c r="H107" s="11" t="n">
        <f aca="false">Runs!Q2109</f>
        <v>0</v>
      </c>
      <c r="I107" s="11" t="n">
        <f aca="false">Runs!Q2120</f>
        <v>0</v>
      </c>
      <c r="J107" s="11" t="n">
        <f aca="false">Runs!Q2131</f>
        <v>0</v>
      </c>
      <c r="K107" s="11" t="n">
        <f aca="false">Runs!Q2142</f>
        <v>0</v>
      </c>
      <c r="L107" s="11" t="n">
        <f aca="false">Runs!Q2153</f>
        <v>0</v>
      </c>
      <c r="M107" s="11" t="n">
        <f aca="false">Runs!Q2164</f>
        <v>0</v>
      </c>
      <c r="N107" s="11" t="n">
        <f aca="false">Runs!Q2175</f>
        <v>0</v>
      </c>
      <c r="O107" s="11" t="n">
        <f aca="false">Runs!Q2186</f>
        <v>0</v>
      </c>
      <c r="P107" s="11" t="n">
        <f aca="false">Runs!Q2197</f>
        <v>0</v>
      </c>
      <c r="Q107" s="16" t="n">
        <f aca="false">IF(COUNT(G107:P107)=0,"",AVERAGE(G107:P107))</f>
        <v>0</v>
      </c>
      <c r="R107" s="16" t="n">
        <f aca="false">IF(COUNT(G107:P107)&lt;2,"",STDEV(G107:P107))</f>
        <v>0</v>
      </c>
      <c r="S107" s="6" t="n">
        <f aca="false">COUNT(G107:P107)</f>
        <v>10</v>
      </c>
    </row>
    <row r="108" customFormat="false" ht="15" hidden="false" customHeight="false" outlineLevel="0" collapsed="false">
      <c r="A108" s="6" t="s">
        <v>62</v>
      </c>
      <c r="B108" s="6" t="s">
        <v>63</v>
      </c>
      <c r="C108" s="6" t="s">
        <v>44</v>
      </c>
      <c r="D108" s="6" t="s">
        <v>114</v>
      </c>
      <c r="E108" s="6" t="n">
        <v>16</v>
      </c>
      <c r="F108" s="6" t="s">
        <v>75</v>
      </c>
      <c r="G108" s="11" t="n">
        <f aca="false">Runs!Q2099</f>
        <v>0</v>
      </c>
      <c r="H108" s="11" t="n">
        <f aca="false">Runs!Q2110</f>
        <v>0</v>
      </c>
      <c r="I108" s="11" t="n">
        <f aca="false">Runs!Q2121</f>
        <v>0</v>
      </c>
      <c r="J108" s="11" t="n">
        <f aca="false">Runs!Q2132</f>
        <v>0</v>
      </c>
      <c r="K108" s="11" t="n">
        <f aca="false">Runs!Q2143</f>
        <v>0</v>
      </c>
      <c r="L108" s="11" t="n">
        <f aca="false">Runs!Q2154</f>
        <v>0</v>
      </c>
      <c r="M108" s="11" t="n">
        <f aca="false">Runs!Q2165</f>
        <v>0</v>
      </c>
      <c r="N108" s="11" t="n">
        <f aca="false">Runs!Q2176</f>
        <v>0</v>
      </c>
      <c r="O108" s="11" t="n">
        <f aca="false">Runs!Q2187</f>
        <v>0</v>
      </c>
      <c r="P108" s="11" t="n">
        <f aca="false">Runs!Q2198</f>
        <v>0</v>
      </c>
      <c r="Q108" s="16" t="n">
        <f aca="false">IF(COUNT(G108:P108)=0,"",AVERAGE(G108:P108))</f>
        <v>0</v>
      </c>
      <c r="R108" s="16" t="n">
        <f aca="false">IF(COUNT(G108:P108)&lt;2,"",STDEV(G108:P108))</f>
        <v>0</v>
      </c>
      <c r="S108" s="6" t="n">
        <f aca="false">COUNT(G108:P108)</f>
        <v>10</v>
      </c>
    </row>
    <row r="109" customFormat="false" ht="15" hidden="false" customHeight="false" outlineLevel="0" collapsed="false">
      <c r="A109" s="6" t="s">
        <v>62</v>
      </c>
      <c r="B109" s="6" t="s">
        <v>63</v>
      </c>
      <c r="C109" s="6" t="s">
        <v>44</v>
      </c>
      <c r="D109" s="6" t="s">
        <v>114</v>
      </c>
      <c r="E109" s="6" t="n">
        <v>16</v>
      </c>
      <c r="F109" s="6" t="s">
        <v>76</v>
      </c>
      <c r="G109" s="11" t="n">
        <f aca="false">Runs!Q2100</f>
        <v>0</v>
      </c>
      <c r="H109" s="11" t="n">
        <f aca="false">Runs!Q2111</f>
        <v>0</v>
      </c>
      <c r="I109" s="11" t="n">
        <f aca="false">Runs!Q2122</f>
        <v>0</v>
      </c>
      <c r="J109" s="11" t="n">
        <f aca="false">Runs!Q2133</f>
        <v>0</v>
      </c>
      <c r="K109" s="11" t="n">
        <f aca="false">Runs!Q2144</f>
        <v>0</v>
      </c>
      <c r="L109" s="11" t="n">
        <f aca="false">Runs!Q2155</f>
        <v>0</v>
      </c>
      <c r="M109" s="11" t="n">
        <f aca="false">Runs!Q2166</f>
        <v>0</v>
      </c>
      <c r="N109" s="11" t="n">
        <f aca="false">Runs!Q2177</f>
        <v>0</v>
      </c>
      <c r="O109" s="11" t="n">
        <f aca="false">Runs!Q2188</f>
        <v>0</v>
      </c>
      <c r="P109" s="11" t="n">
        <f aca="false">Runs!Q2199</f>
        <v>0</v>
      </c>
      <c r="Q109" s="16" t="n">
        <f aca="false">IF(COUNT(G109:P109)=0,"",AVERAGE(G109:P109))</f>
        <v>0</v>
      </c>
      <c r="R109" s="16" t="n">
        <f aca="false">IF(COUNT(G109:P109)&lt;2,"",STDEV(G109:P109))</f>
        <v>0</v>
      </c>
      <c r="S109" s="6" t="n">
        <f aca="false">COUNT(G109:P109)</f>
        <v>10</v>
      </c>
    </row>
    <row r="110" customFormat="false" ht="15" hidden="false" customHeight="false" outlineLevel="0" collapsed="false">
      <c r="A110" s="6" t="s">
        <v>62</v>
      </c>
      <c r="B110" s="6" t="s">
        <v>63</v>
      </c>
      <c r="C110" s="6" t="s">
        <v>44</v>
      </c>
      <c r="D110" s="6" t="s">
        <v>114</v>
      </c>
      <c r="E110" s="6" t="n">
        <v>16</v>
      </c>
      <c r="F110" s="6" t="s">
        <v>77</v>
      </c>
      <c r="G110" s="11" t="n">
        <f aca="false">Runs!Q2101</f>
        <v>0.05</v>
      </c>
      <c r="H110" s="11" t="n">
        <f aca="false">Runs!Q2112</f>
        <v>0.05</v>
      </c>
      <c r="I110" s="11" t="n">
        <f aca="false">Runs!Q2123</f>
        <v>0.05</v>
      </c>
      <c r="J110" s="11" t="n">
        <f aca="false">Runs!Q2134</f>
        <v>0.05</v>
      </c>
      <c r="K110" s="11" t="n">
        <f aca="false">Runs!Q2145</f>
        <v>0.05</v>
      </c>
      <c r="L110" s="11" t="n">
        <f aca="false">Runs!Q2156</f>
        <v>0.05</v>
      </c>
      <c r="M110" s="11" t="n">
        <f aca="false">Runs!Q2167</f>
        <v>0.05</v>
      </c>
      <c r="N110" s="11" t="n">
        <f aca="false">Runs!Q2178</f>
        <v>0.05</v>
      </c>
      <c r="O110" s="11" t="n">
        <f aca="false">Runs!Q2189</f>
        <v>0.05</v>
      </c>
      <c r="P110" s="11" t="n">
        <f aca="false">Runs!Q2200</f>
        <v>0.05</v>
      </c>
      <c r="Q110" s="16" t="n">
        <f aca="false">IF(COUNT(G110:P110)=0,"",AVERAGE(G110:P110))</f>
        <v>0.05</v>
      </c>
      <c r="R110" s="16" t="n">
        <f aca="false">IF(COUNT(G110:P110)&lt;2,"",STDEV(G110:P110))</f>
        <v>0</v>
      </c>
      <c r="S110" s="6" t="n">
        <f aca="false">COUNT(G110:P110)</f>
        <v>10</v>
      </c>
    </row>
    <row r="111" customFormat="false" ht="15" hidden="false" customHeight="false" outlineLevel="0" collapsed="false">
      <c r="A111" s="17" t="s">
        <v>62</v>
      </c>
      <c r="B111" s="17" t="s">
        <v>63</v>
      </c>
      <c r="C111" s="17" t="s">
        <v>44</v>
      </c>
      <c r="D111" s="17" t="s">
        <v>114</v>
      </c>
      <c r="E111" s="17" t="n">
        <v>16</v>
      </c>
      <c r="F111" s="17" t="s">
        <v>78</v>
      </c>
      <c r="G111" s="18" t="n">
        <f aca="false">Runs!Q2102</f>
        <v>0.005</v>
      </c>
      <c r="H111" s="18" t="n">
        <f aca="false">Runs!Q2113</f>
        <v>0.005</v>
      </c>
      <c r="I111" s="18" t="n">
        <f aca="false">Runs!Q2124</f>
        <v>0.005</v>
      </c>
      <c r="J111" s="18" t="n">
        <f aca="false">Runs!Q2135</f>
        <v>0.005</v>
      </c>
      <c r="K111" s="18" t="n">
        <f aca="false">Runs!Q2146</f>
        <v>0.005</v>
      </c>
      <c r="L111" s="18" t="n">
        <f aca="false">Runs!Q2157</f>
        <v>0.005</v>
      </c>
      <c r="M111" s="18" t="n">
        <f aca="false">Runs!Q2168</f>
        <v>0.005</v>
      </c>
      <c r="N111" s="18" t="n">
        <f aca="false">Runs!Q2179</f>
        <v>0.005</v>
      </c>
      <c r="O111" s="18" t="n">
        <f aca="false">Runs!Q2190</f>
        <v>0.005</v>
      </c>
      <c r="P111" s="18" t="n">
        <f aca="false">Runs!Q2201</f>
        <v>0.005</v>
      </c>
      <c r="Q111" s="19" t="n">
        <f aca="false">IF(COUNT(G111:P111)=0,"",AVERAGE(G111:P111))</f>
        <v>0.005</v>
      </c>
      <c r="R111" s="19" t="n">
        <f aca="false">IF(COUNT(G111:P111)&lt;2,"",STDEV(G111:P111))</f>
        <v>0</v>
      </c>
      <c r="S111" s="20" t="n">
        <f aca="false">COUNT(G111:P111)</f>
        <v>10</v>
      </c>
    </row>
    <row r="113" customFormat="false" ht="15" hidden="false" customHeight="false" outlineLevel="0" collapsed="false">
      <c r="A113" s="1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10"/>
  </cols>
  <sheetData>
    <row r="1" customFormat="false" ht="30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82</v>
      </c>
      <c r="F1" s="5" t="s">
        <v>97</v>
      </c>
      <c r="G1" s="5" t="s">
        <v>134</v>
      </c>
    </row>
    <row r="2" customFormat="false" ht="15" hidden="false" customHeight="false" outlineLevel="0" collapsed="false">
      <c r="A2" s="6" t="s">
        <v>42</v>
      </c>
      <c r="B2" s="6" t="s">
        <v>43</v>
      </c>
      <c r="C2" s="6" t="s">
        <v>44</v>
      </c>
      <c r="D2" s="6" t="s">
        <v>114</v>
      </c>
      <c r="E2" s="6" t="n">
        <v>16</v>
      </c>
      <c r="F2" s="6" t="n">
        <v>1</v>
      </c>
      <c r="G2" s="6" t="s">
        <v>135</v>
      </c>
    </row>
    <row r="3" customFormat="false" ht="15" hidden="false" customHeight="false" outlineLevel="0" collapsed="false">
      <c r="A3" s="6" t="s">
        <v>42</v>
      </c>
      <c r="B3" s="6" t="s">
        <v>43</v>
      </c>
      <c r="C3" s="6" t="s">
        <v>44</v>
      </c>
      <c r="D3" s="6" t="s">
        <v>114</v>
      </c>
      <c r="E3" s="6" t="n">
        <v>16</v>
      </c>
      <c r="F3" s="6" t="n">
        <v>1</v>
      </c>
      <c r="G3" s="6" t="s">
        <v>136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114</v>
      </c>
      <c r="E4" s="6" t="n">
        <v>16</v>
      </c>
      <c r="F4" s="6" t="n">
        <v>1</v>
      </c>
      <c r="G4" s="6" t="s">
        <v>137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44</v>
      </c>
      <c r="D5" s="6" t="s">
        <v>114</v>
      </c>
      <c r="E5" s="6" t="n">
        <v>16</v>
      </c>
      <c r="F5" s="6" t="n">
        <v>1</v>
      </c>
      <c r="G5" s="6" t="s">
        <v>138</v>
      </c>
    </row>
    <row r="6" customFormat="false" ht="15" hidden="false" customHeight="false" outlineLevel="0" collapsed="false">
      <c r="A6" s="6" t="s">
        <v>42</v>
      </c>
      <c r="B6" s="6" t="s">
        <v>43</v>
      </c>
      <c r="C6" s="6" t="s">
        <v>44</v>
      </c>
      <c r="D6" s="6" t="s">
        <v>114</v>
      </c>
      <c r="E6" s="6" t="n">
        <v>16</v>
      </c>
      <c r="F6" s="6" t="n">
        <v>1</v>
      </c>
      <c r="G6" s="6" t="s">
        <v>139</v>
      </c>
    </row>
    <row r="7" customFormat="false" ht="15" hidden="false" customHeight="false" outlineLevel="0" collapsed="false">
      <c r="A7" s="6" t="s">
        <v>42</v>
      </c>
      <c r="B7" s="6" t="s">
        <v>43</v>
      </c>
      <c r="C7" s="6" t="s">
        <v>44</v>
      </c>
      <c r="D7" s="6" t="s">
        <v>114</v>
      </c>
      <c r="E7" s="6" t="n">
        <v>16</v>
      </c>
      <c r="F7" s="6" t="n">
        <v>1</v>
      </c>
      <c r="G7" s="6" t="s">
        <v>140</v>
      </c>
    </row>
    <row r="8" customFormat="false" ht="1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114</v>
      </c>
      <c r="E8" s="6" t="n">
        <v>16</v>
      </c>
      <c r="F8" s="6" t="n">
        <v>1</v>
      </c>
      <c r="G8" s="6" t="s">
        <v>141</v>
      </c>
    </row>
    <row r="9" customFormat="false" ht="15" hidden="false" customHeight="false" outlineLevel="0" collapsed="false">
      <c r="A9" s="6" t="s">
        <v>42</v>
      </c>
      <c r="B9" s="6" t="s">
        <v>43</v>
      </c>
      <c r="C9" s="6" t="s">
        <v>44</v>
      </c>
      <c r="D9" s="6" t="s">
        <v>114</v>
      </c>
      <c r="E9" s="6" t="n">
        <v>16</v>
      </c>
      <c r="F9" s="6" t="n">
        <v>1</v>
      </c>
      <c r="G9" s="6" t="s">
        <v>142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s">
        <v>44</v>
      </c>
      <c r="D10" s="6" t="s">
        <v>114</v>
      </c>
      <c r="E10" s="6" t="n">
        <v>16</v>
      </c>
      <c r="F10" s="6" t="n">
        <v>1</v>
      </c>
      <c r="G10" s="6" t="s">
        <v>143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44</v>
      </c>
      <c r="D11" s="6" t="s">
        <v>114</v>
      </c>
      <c r="E11" s="6" t="n">
        <v>16</v>
      </c>
      <c r="F11" s="6" t="n">
        <v>1</v>
      </c>
      <c r="G11" s="6" t="s">
        <v>144</v>
      </c>
    </row>
    <row r="12" customFormat="false" ht="15" hidden="false" customHeight="false" outlineLevel="0" collapsed="false">
      <c r="A12" s="6" t="s">
        <v>42</v>
      </c>
      <c r="B12" s="6" t="s">
        <v>43</v>
      </c>
      <c r="C12" s="6" t="s">
        <v>44</v>
      </c>
      <c r="D12" s="6" t="s">
        <v>114</v>
      </c>
      <c r="E12" s="6" t="n">
        <v>16</v>
      </c>
      <c r="F12" s="6" t="n">
        <v>1</v>
      </c>
      <c r="G12" s="6" t="s">
        <v>145</v>
      </c>
    </row>
    <row r="13" customFormat="false" ht="15" hidden="false" customHeight="false" outlineLevel="0" collapsed="false">
      <c r="A13" s="6" t="s">
        <v>42</v>
      </c>
      <c r="B13" s="6" t="s">
        <v>43</v>
      </c>
      <c r="C13" s="6" t="s">
        <v>44</v>
      </c>
      <c r="D13" s="6" t="s">
        <v>114</v>
      </c>
      <c r="E13" s="6" t="n">
        <v>16</v>
      </c>
      <c r="F13" s="6" t="n">
        <v>1</v>
      </c>
      <c r="G13" s="6" t="s">
        <v>146</v>
      </c>
    </row>
    <row r="14" customFormat="false" ht="15" hidden="false" customHeight="false" outlineLevel="0" collapsed="false">
      <c r="A14" s="6" t="s">
        <v>42</v>
      </c>
      <c r="B14" s="6" t="s">
        <v>43</v>
      </c>
      <c r="C14" s="6" t="s">
        <v>44</v>
      </c>
      <c r="D14" s="6" t="s">
        <v>114</v>
      </c>
      <c r="E14" s="6" t="n">
        <v>16</v>
      </c>
      <c r="F14" s="6" t="n">
        <v>1</v>
      </c>
      <c r="G14" s="6" t="s">
        <v>147</v>
      </c>
    </row>
    <row r="15" customFormat="false" ht="15" hidden="false" customHeight="false" outlineLevel="0" collapsed="false">
      <c r="A15" s="6" t="s">
        <v>42</v>
      </c>
      <c r="B15" s="6" t="s">
        <v>43</v>
      </c>
      <c r="C15" s="6" t="s">
        <v>44</v>
      </c>
      <c r="D15" s="6" t="s">
        <v>114</v>
      </c>
      <c r="E15" s="6" t="n">
        <v>16</v>
      </c>
      <c r="F15" s="6" t="n">
        <v>1</v>
      </c>
      <c r="G15" s="6" t="s">
        <v>148</v>
      </c>
    </row>
    <row r="16" customFormat="false" ht="15" hidden="false" customHeight="false" outlineLevel="0" collapsed="false">
      <c r="A16" s="6" t="s">
        <v>42</v>
      </c>
      <c r="B16" s="6" t="s">
        <v>43</v>
      </c>
      <c r="C16" s="6" t="s">
        <v>44</v>
      </c>
      <c r="D16" s="6" t="s">
        <v>114</v>
      </c>
      <c r="E16" s="6" t="n">
        <v>16</v>
      </c>
      <c r="F16" s="6" t="n">
        <v>1</v>
      </c>
      <c r="G16" s="6" t="s">
        <v>149</v>
      </c>
    </row>
    <row r="17" customFormat="false" ht="15" hidden="false" customHeight="false" outlineLevel="0" collapsed="false">
      <c r="A17" s="6" t="s">
        <v>42</v>
      </c>
      <c r="B17" s="6" t="s">
        <v>43</v>
      </c>
      <c r="C17" s="6" t="s">
        <v>44</v>
      </c>
      <c r="D17" s="6" t="s">
        <v>114</v>
      </c>
      <c r="E17" s="6" t="n">
        <v>16</v>
      </c>
      <c r="F17" s="6" t="n">
        <v>1</v>
      </c>
      <c r="G17" s="6" t="s">
        <v>150</v>
      </c>
    </row>
    <row r="18" customFormat="false" ht="15" hidden="false" customHeight="false" outlineLevel="0" collapsed="false">
      <c r="A18" s="6" t="s">
        <v>42</v>
      </c>
      <c r="B18" s="6" t="s">
        <v>43</v>
      </c>
      <c r="C18" s="6" t="s">
        <v>44</v>
      </c>
      <c r="D18" s="6" t="s">
        <v>114</v>
      </c>
      <c r="E18" s="6" t="n">
        <v>16</v>
      </c>
      <c r="F18" s="6" t="n">
        <v>2</v>
      </c>
      <c r="G18" s="6" t="s">
        <v>151</v>
      </c>
    </row>
    <row r="19" customFormat="false" ht="15" hidden="false" customHeight="false" outlineLevel="0" collapsed="false">
      <c r="A19" s="6" t="s">
        <v>42</v>
      </c>
      <c r="B19" s="6" t="s">
        <v>43</v>
      </c>
      <c r="C19" s="6" t="s">
        <v>44</v>
      </c>
      <c r="D19" s="6" t="s">
        <v>114</v>
      </c>
      <c r="E19" s="6" t="n">
        <v>16</v>
      </c>
      <c r="F19" s="6" t="n">
        <v>2</v>
      </c>
      <c r="G19" s="6" t="s">
        <v>152</v>
      </c>
    </row>
    <row r="20" customFormat="false" ht="15" hidden="false" customHeight="false" outlineLevel="0" collapsed="false">
      <c r="A20" s="6" t="s">
        <v>42</v>
      </c>
      <c r="B20" s="6" t="s">
        <v>43</v>
      </c>
      <c r="C20" s="6" t="s">
        <v>44</v>
      </c>
      <c r="D20" s="6" t="s">
        <v>114</v>
      </c>
      <c r="E20" s="6" t="n">
        <v>16</v>
      </c>
      <c r="F20" s="6" t="n">
        <v>2</v>
      </c>
      <c r="G20" s="6" t="s">
        <v>153</v>
      </c>
    </row>
    <row r="21" customFormat="false" ht="15" hidden="false" customHeight="false" outlineLevel="0" collapsed="false">
      <c r="A21" s="6" t="s">
        <v>42</v>
      </c>
      <c r="B21" s="6" t="s">
        <v>43</v>
      </c>
      <c r="C21" s="6" t="s">
        <v>44</v>
      </c>
      <c r="D21" s="6" t="s">
        <v>114</v>
      </c>
      <c r="E21" s="6" t="n">
        <v>16</v>
      </c>
      <c r="F21" s="6" t="n">
        <v>2</v>
      </c>
      <c r="G21" s="6" t="s">
        <v>154</v>
      </c>
    </row>
    <row r="22" customFormat="false" ht="15" hidden="false" customHeight="false" outlineLevel="0" collapsed="false">
      <c r="A22" s="6" t="s">
        <v>42</v>
      </c>
      <c r="B22" s="6" t="s">
        <v>43</v>
      </c>
      <c r="C22" s="6" t="s">
        <v>44</v>
      </c>
      <c r="D22" s="6" t="s">
        <v>114</v>
      </c>
      <c r="E22" s="6" t="n">
        <v>16</v>
      </c>
      <c r="F22" s="6" t="n">
        <v>2</v>
      </c>
      <c r="G22" s="6" t="s">
        <v>155</v>
      </c>
    </row>
    <row r="23" customFormat="false" ht="15" hidden="false" customHeight="false" outlineLevel="0" collapsed="false">
      <c r="A23" s="6" t="s">
        <v>42</v>
      </c>
      <c r="B23" s="6" t="s">
        <v>43</v>
      </c>
      <c r="C23" s="6" t="s">
        <v>44</v>
      </c>
      <c r="D23" s="6" t="s">
        <v>114</v>
      </c>
      <c r="E23" s="6" t="n">
        <v>16</v>
      </c>
      <c r="F23" s="6" t="n">
        <v>2</v>
      </c>
      <c r="G23" s="6" t="s">
        <v>156</v>
      </c>
    </row>
    <row r="24" customFormat="false" ht="15" hidden="false" customHeight="false" outlineLevel="0" collapsed="false">
      <c r="A24" s="6" t="s">
        <v>42</v>
      </c>
      <c r="B24" s="6" t="s">
        <v>43</v>
      </c>
      <c r="C24" s="6" t="s">
        <v>44</v>
      </c>
      <c r="D24" s="6" t="s">
        <v>114</v>
      </c>
      <c r="E24" s="6" t="n">
        <v>16</v>
      </c>
      <c r="F24" s="6" t="n">
        <v>2</v>
      </c>
      <c r="G24" s="6" t="s">
        <v>157</v>
      </c>
    </row>
    <row r="25" customFormat="false" ht="15" hidden="false" customHeight="false" outlineLevel="0" collapsed="false">
      <c r="A25" s="6" t="s">
        <v>42</v>
      </c>
      <c r="B25" s="6" t="s">
        <v>43</v>
      </c>
      <c r="C25" s="6" t="s">
        <v>44</v>
      </c>
      <c r="D25" s="6" t="s">
        <v>114</v>
      </c>
      <c r="E25" s="6" t="n">
        <v>16</v>
      </c>
      <c r="F25" s="6" t="n">
        <v>2</v>
      </c>
      <c r="G25" s="6" t="s">
        <v>158</v>
      </c>
    </row>
    <row r="26" customFormat="false" ht="15" hidden="false" customHeight="false" outlineLevel="0" collapsed="false">
      <c r="A26" s="6" t="s">
        <v>42</v>
      </c>
      <c r="B26" s="6" t="s">
        <v>43</v>
      </c>
      <c r="C26" s="6" t="s">
        <v>44</v>
      </c>
      <c r="D26" s="6" t="s">
        <v>114</v>
      </c>
      <c r="E26" s="6" t="n">
        <v>16</v>
      </c>
      <c r="F26" s="6" t="n">
        <v>2</v>
      </c>
      <c r="G26" s="6" t="s">
        <v>159</v>
      </c>
    </row>
    <row r="27" customFormat="false" ht="15" hidden="false" customHeight="false" outlineLevel="0" collapsed="false">
      <c r="A27" s="6" t="s">
        <v>42</v>
      </c>
      <c r="B27" s="6" t="s">
        <v>43</v>
      </c>
      <c r="C27" s="6" t="s">
        <v>44</v>
      </c>
      <c r="D27" s="6" t="s">
        <v>114</v>
      </c>
      <c r="E27" s="6" t="n">
        <v>16</v>
      </c>
      <c r="F27" s="6" t="n">
        <v>2</v>
      </c>
      <c r="G27" s="6" t="s">
        <v>160</v>
      </c>
    </row>
    <row r="28" customFormat="false" ht="15" hidden="false" customHeight="false" outlineLevel="0" collapsed="false">
      <c r="A28" s="6" t="s">
        <v>42</v>
      </c>
      <c r="B28" s="6" t="s">
        <v>43</v>
      </c>
      <c r="C28" s="6" t="s">
        <v>44</v>
      </c>
      <c r="D28" s="6" t="s">
        <v>114</v>
      </c>
      <c r="E28" s="6" t="n">
        <v>16</v>
      </c>
      <c r="F28" s="6" t="n">
        <v>2</v>
      </c>
      <c r="G28" s="6" t="s">
        <v>161</v>
      </c>
    </row>
    <row r="29" customFormat="false" ht="15" hidden="false" customHeight="false" outlineLevel="0" collapsed="false">
      <c r="A29" s="6" t="s">
        <v>42</v>
      </c>
      <c r="B29" s="6" t="s">
        <v>43</v>
      </c>
      <c r="C29" s="6" t="s">
        <v>44</v>
      </c>
      <c r="D29" s="6" t="s">
        <v>114</v>
      </c>
      <c r="E29" s="6" t="n">
        <v>16</v>
      </c>
      <c r="F29" s="6" t="n">
        <v>2</v>
      </c>
      <c r="G29" s="6" t="s">
        <v>162</v>
      </c>
    </row>
    <row r="30" customFormat="false" ht="15" hidden="false" customHeight="false" outlineLevel="0" collapsed="false">
      <c r="A30" s="6" t="s">
        <v>42</v>
      </c>
      <c r="B30" s="6" t="s">
        <v>43</v>
      </c>
      <c r="C30" s="6" t="s">
        <v>44</v>
      </c>
      <c r="D30" s="6" t="s">
        <v>114</v>
      </c>
      <c r="E30" s="6" t="n">
        <v>16</v>
      </c>
      <c r="F30" s="6" t="n">
        <v>2</v>
      </c>
      <c r="G30" s="6" t="s">
        <v>163</v>
      </c>
    </row>
    <row r="31" customFormat="false" ht="15" hidden="false" customHeight="false" outlineLevel="0" collapsed="false">
      <c r="A31" s="6" t="s">
        <v>42</v>
      </c>
      <c r="B31" s="6" t="s">
        <v>43</v>
      </c>
      <c r="C31" s="6" t="s">
        <v>44</v>
      </c>
      <c r="D31" s="6" t="s">
        <v>114</v>
      </c>
      <c r="E31" s="6" t="n">
        <v>16</v>
      </c>
      <c r="F31" s="6" t="n">
        <v>2</v>
      </c>
      <c r="G31" s="6" t="s">
        <v>164</v>
      </c>
    </row>
    <row r="32" customFormat="false" ht="15" hidden="false" customHeight="false" outlineLevel="0" collapsed="false">
      <c r="A32" s="6" t="s">
        <v>42</v>
      </c>
      <c r="B32" s="6" t="s">
        <v>43</v>
      </c>
      <c r="C32" s="6" t="s">
        <v>44</v>
      </c>
      <c r="D32" s="6" t="s">
        <v>114</v>
      </c>
      <c r="E32" s="6" t="n">
        <v>16</v>
      </c>
      <c r="F32" s="6" t="n">
        <v>2</v>
      </c>
      <c r="G32" s="6" t="s">
        <v>165</v>
      </c>
    </row>
    <row r="33" customFormat="false" ht="15" hidden="false" customHeight="false" outlineLevel="0" collapsed="false">
      <c r="A33" s="6" t="s">
        <v>42</v>
      </c>
      <c r="B33" s="6" t="s">
        <v>43</v>
      </c>
      <c r="C33" s="6" t="s">
        <v>44</v>
      </c>
      <c r="D33" s="6" t="s">
        <v>114</v>
      </c>
      <c r="E33" s="6" t="n">
        <v>16</v>
      </c>
      <c r="F33" s="6" t="n">
        <v>2</v>
      </c>
      <c r="G33" s="6" t="s">
        <v>166</v>
      </c>
    </row>
    <row r="34" customFormat="false" ht="15" hidden="false" customHeight="false" outlineLevel="0" collapsed="false">
      <c r="A34" s="6" t="s">
        <v>42</v>
      </c>
      <c r="B34" s="6" t="s">
        <v>43</v>
      </c>
      <c r="C34" s="6" t="s">
        <v>44</v>
      </c>
      <c r="D34" s="6" t="s">
        <v>114</v>
      </c>
      <c r="E34" s="6" t="n">
        <v>16</v>
      </c>
      <c r="F34" s="6" t="n">
        <v>3</v>
      </c>
      <c r="G34" s="6" t="s">
        <v>167</v>
      </c>
    </row>
    <row r="35" customFormat="false" ht="15" hidden="false" customHeight="false" outlineLevel="0" collapsed="false">
      <c r="A35" s="6" t="s">
        <v>42</v>
      </c>
      <c r="B35" s="6" t="s">
        <v>43</v>
      </c>
      <c r="C35" s="6" t="s">
        <v>44</v>
      </c>
      <c r="D35" s="6" t="s">
        <v>114</v>
      </c>
      <c r="E35" s="6" t="n">
        <v>16</v>
      </c>
      <c r="F35" s="6" t="n">
        <v>3</v>
      </c>
      <c r="G35" s="6" t="s">
        <v>168</v>
      </c>
    </row>
    <row r="36" customFormat="false" ht="15" hidden="false" customHeight="false" outlineLevel="0" collapsed="false">
      <c r="A36" s="6" t="s">
        <v>42</v>
      </c>
      <c r="B36" s="6" t="s">
        <v>43</v>
      </c>
      <c r="C36" s="6" t="s">
        <v>44</v>
      </c>
      <c r="D36" s="6" t="s">
        <v>114</v>
      </c>
      <c r="E36" s="6" t="n">
        <v>16</v>
      </c>
      <c r="F36" s="6" t="n">
        <v>3</v>
      </c>
      <c r="G36" s="6" t="s">
        <v>169</v>
      </c>
    </row>
    <row r="37" customFormat="false" ht="15" hidden="false" customHeight="false" outlineLevel="0" collapsed="false">
      <c r="A37" s="6" t="s">
        <v>42</v>
      </c>
      <c r="B37" s="6" t="s">
        <v>43</v>
      </c>
      <c r="C37" s="6" t="s">
        <v>44</v>
      </c>
      <c r="D37" s="6" t="s">
        <v>114</v>
      </c>
      <c r="E37" s="6" t="n">
        <v>16</v>
      </c>
      <c r="F37" s="6" t="n">
        <v>3</v>
      </c>
      <c r="G37" s="6" t="s">
        <v>170</v>
      </c>
    </row>
    <row r="38" customFormat="false" ht="15" hidden="false" customHeight="false" outlineLevel="0" collapsed="false">
      <c r="A38" s="6" t="s">
        <v>42</v>
      </c>
      <c r="B38" s="6" t="s">
        <v>43</v>
      </c>
      <c r="C38" s="6" t="s">
        <v>44</v>
      </c>
      <c r="D38" s="6" t="s">
        <v>114</v>
      </c>
      <c r="E38" s="6" t="n">
        <v>16</v>
      </c>
      <c r="F38" s="6" t="n">
        <v>3</v>
      </c>
      <c r="G38" s="6" t="s">
        <v>171</v>
      </c>
    </row>
    <row r="39" customFormat="false" ht="15" hidden="false" customHeight="false" outlineLevel="0" collapsed="false">
      <c r="A39" s="6" t="s">
        <v>42</v>
      </c>
      <c r="B39" s="6" t="s">
        <v>43</v>
      </c>
      <c r="C39" s="6" t="s">
        <v>44</v>
      </c>
      <c r="D39" s="6" t="s">
        <v>114</v>
      </c>
      <c r="E39" s="6" t="n">
        <v>16</v>
      </c>
      <c r="F39" s="6" t="n">
        <v>3</v>
      </c>
      <c r="G39" s="6" t="s">
        <v>172</v>
      </c>
    </row>
    <row r="40" customFormat="false" ht="15" hidden="false" customHeight="false" outlineLevel="0" collapsed="false">
      <c r="A40" s="6" t="s">
        <v>42</v>
      </c>
      <c r="B40" s="6" t="s">
        <v>43</v>
      </c>
      <c r="C40" s="6" t="s">
        <v>44</v>
      </c>
      <c r="D40" s="6" t="s">
        <v>114</v>
      </c>
      <c r="E40" s="6" t="n">
        <v>16</v>
      </c>
      <c r="F40" s="6" t="n">
        <v>3</v>
      </c>
      <c r="G40" s="6" t="s">
        <v>173</v>
      </c>
    </row>
    <row r="41" customFormat="false" ht="15" hidden="false" customHeight="false" outlineLevel="0" collapsed="false">
      <c r="A41" s="6" t="s">
        <v>42</v>
      </c>
      <c r="B41" s="6" t="s">
        <v>43</v>
      </c>
      <c r="C41" s="6" t="s">
        <v>44</v>
      </c>
      <c r="D41" s="6" t="s">
        <v>114</v>
      </c>
      <c r="E41" s="6" t="n">
        <v>16</v>
      </c>
      <c r="F41" s="6" t="n">
        <v>3</v>
      </c>
      <c r="G41" s="6" t="s">
        <v>174</v>
      </c>
    </row>
    <row r="42" customFormat="false" ht="15" hidden="false" customHeight="false" outlineLevel="0" collapsed="false">
      <c r="A42" s="6" t="s">
        <v>42</v>
      </c>
      <c r="B42" s="6" t="s">
        <v>43</v>
      </c>
      <c r="C42" s="6" t="s">
        <v>44</v>
      </c>
      <c r="D42" s="6" t="s">
        <v>114</v>
      </c>
      <c r="E42" s="6" t="n">
        <v>16</v>
      </c>
      <c r="F42" s="6" t="n">
        <v>3</v>
      </c>
      <c r="G42" s="6" t="s">
        <v>175</v>
      </c>
    </row>
    <row r="43" customFormat="false" ht="15" hidden="false" customHeight="false" outlineLevel="0" collapsed="false">
      <c r="A43" s="6" t="s">
        <v>42</v>
      </c>
      <c r="B43" s="6" t="s">
        <v>43</v>
      </c>
      <c r="C43" s="6" t="s">
        <v>44</v>
      </c>
      <c r="D43" s="6" t="s">
        <v>114</v>
      </c>
      <c r="E43" s="6" t="n">
        <v>16</v>
      </c>
      <c r="F43" s="6" t="n">
        <v>3</v>
      </c>
      <c r="G43" s="6" t="s">
        <v>176</v>
      </c>
    </row>
    <row r="44" customFormat="false" ht="15" hidden="false" customHeight="false" outlineLevel="0" collapsed="false">
      <c r="A44" s="6" t="s">
        <v>42</v>
      </c>
      <c r="B44" s="6" t="s">
        <v>43</v>
      </c>
      <c r="C44" s="6" t="s">
        <v>44</v>
      </c>
      <c r="D44" s="6" t="s">
        <v>114</v>
      </c>
      <c r="E44" s="6" t="n">
        <v>16</v>
      </c>
      <c r="F44" s="6" t="n">
        <v>3</v>
      </c>
      <c r="G44" s="6" t="s">
        <v>177</v>
      </c>
    </row>
    <row r="45" customFormat="false" ht="15" hidden="false" customHeight="false" outlineLevel="0" collapsed="false">
      <c r="A45" s="6" t="s">
        <v>42</v>
      </c>
      <c r="B45" s="6" t="s">
        <v>43</v>
      </c>
      <c r="C45" s="6" t="s">
        <v>44</v>
      </c>
      <c r="D45" s="6" t="s">
        <v>114</v>
      </c>
      <c r="E45" s="6" t="n">
        <v>16</v>
      </c>
      <c r="F45" s="6" t="n">
        <v>3</v>
      </c>
      <c r="G45" s="6" t="s">
        <v>178</v>
      </c>
    </row>
    <row r="46" customFormat="false" ht="15" hidden="false" customHeight="false" outlineLevel="0" collapsed="false">
      <c r="A46" s="6" t="s">
        <v>42</v>
      </c>
      <c r="B46" s="6" t="s">
        <v>43</v>
      </c>
      <c r="C46" s="6" t="s">
        <v>44</v>
      </c>
      <c r="D46" s="6" t="s">
        <v>114</v>
      </c>
      <c r="E46" s="6" t="n">
        <v>16</v>
      </c>
      <c r="F46" s="6" t="n">
        <v>3</v>
      </c>
      <c r="G46" s="6" t="s">
        <v>179</v>
      </c>
    </row>
    <row r="47" customFormat="false" ht="15" hidden="false" customHeight="false" outlineLevel="0" collapsed="false">
      <c r="A47" s="6" t="s">
        <v>42</v>
      </c>
      <c r="B47" s="6" t="s">
        <v>43</v>
      </c>
      <c r="C47" s="6" t="s">
        <v>44</v>
      </c>
      <c r="D47" s="6" t="s">
        <v>114</v>
      </c>
      <c r="E47" s="6" t="n">
        <v>16</v>
      </c>
      <c r="F47" s="6" t="n">
        <v>3</v>
      </c>
      <c r="G47" s="6" t="s">
        <v>180</v>
      </c>
    </row>
    <row r="48" customFormat="false" ht="15" hidden="false" customHeight="false" outlineLevel="0" collapsed="false">
      <c r="A48" s="6" t="s">
        <v>42</v>
      </c>
      <c r="B48" s="6" t="s">
        <v>43</v>
      </c>
      <c r="C48" s="6" t="s">
        <v>44</v>
      </c>
      <c r="D48" s="6" t="s">
        <v>114</v>
      </c>
      <c r="E48" s="6" t="n">
        <v>16</v>
      </c>
      <c r="F48" s="6" t="n">
        <v>3</v>
      </c>
      <c r="G48" s="6" t="s">
        <v>181</v>
      </c>
    </row>
    <row r="49" customFormat="false" ht="15" hidden="false" customHeight="false" outlineLevel="0" collapsed="false">
      <c r="A49" s="6" t="s">
        <v>42</v>
      </c>
      <c r="B49" s="6" t="s">
        <v>43</v>
      </c>
      <c r="C49" s="6" t="s">
        <v>44</v>
      </c>
      <c r="D49" s="6" t="s">
        <v>114</v>
      </c>
      <c r="E49" s="6" t="n">
        <v>16</v>
      </c>
      <c r="F49" s="6" t="n">
        <v>3</v>
      </c>
      <c r="G49" s="6" t="s">
        <v>182</v>
      </c>
    </row>
    <row r="50" customFormat="false" ht="15" hidden="false" customHeight="false" outlineLevel="0" collapsed="false">
      <c r="A50" s="6" t="s">
        <v>42</v>
      </c>
      <c r="B50" s="6" t="s">
        <v>43</v>
      </c>
      <c r="C50" s="6" t="s">
        <v>44</v>
      </c>
      <c r="D50" s="6" t="s">
        <v>114</v>
      </c>
      <c r="E50" s="6" t="n">
        <v>16</v>
      </c>
      <c r="F50" s="6" t="n">
        <v>4</v>
      </c>
      <c r="G50" s="6" t="s">
        <v>183</v>
      </c>
    </row>
    <row r="51" customFormat="false" ht="15" hidden="false" customHeight="false" outlineLevel="0" collapsed="false">
      <c r="A51" s="6" t="s">
        <v>42</v>
      </c>
      <c r="B51" s="6" t="s">
        <v>43</v>
      </c>
      <c r="C51" s="6" t="s">
        <v>44</v>
      </c>
      <c r="D51" s="6" t="s">
        <v>114</v>
      </c>
      <c r="E51" s="6" t="n">
        <v>16</v>
      </c>
      <c r="F51" s="6" t="n">
        <v>4</v>
      </c>
      <c r="G51" s="6" t="s">
        <v>184</v>
      </c>
    </row>
    <row r="52" customFormat="false" ht="15" hidden="false" customHeight="false" outlineLevel="0" collapsed="false">
      <c r="A52" s="6" t="s">
        <v>42</v>
      </c>
      <c r="B52" s="6" t="s">
        <v>43</v>
      </c>
      <c r="C52" s="6" t="s">
        <v>44</v>
      </c>
      <c r="D52" s="6" t="s">
        <v>114</v>
      </c>
      <c r="E52" s="6" t="n">
        <v>16</v>
      </c>
      <c r="F52" s="6" t="n">
        <v>4</v>
      </c>
      <c r="G52" s="6" t="s">
        <v>185</v>
      </c>
    </row>
    <row r="53" customFormat="false" ht="15" hidden="false" customHeight="false" outlineLevel="0" collapsed="false">
      <c r="A53" s="6" t="s">
        <v>42</v>
      </c>
      <c r="B53" s="6" t="s">
        <v>43</v>
      </c>
      <c r="C53" s="6" t="s">
        <v>44</v>
      </c>
      <c r="D53" s="6" t="s">
        <v>114</v>
      </c>
      <c r="E53" s="6" t="n">
        <v>16</v>
      </c>
      <c r="F53" s="6" t="n">
        <v>4</v>
      </c>
      <c r="G53" s="6" t="s">
        <v>186</v>
      </c>
    </row>
    <row r="54" customFormat="false" ht="15" hidden="false" customHeight="false" outlineLevel="0" collapsed="false">
      <c r="A54" s="6" t="s">
        <v>42</v>
      </c>
      <c r="B54" s="6" t="s">
        <v>43</v>
      </c>
      <c r="C54" s="6" t="s">
        <v>44</v>
      </c>
      <c r="D54" s="6" t="s">
        <v>114</v>
      </c>
      <c r="E54" s="6" t="n">
        <v>16</v>
      </c>
      <c r="F54" s="6" t="n">
        <v>4</v>
      </c>
      <c r="G54" s="6" t="s">
        <v>187</v>
      </c>
    </row>
    <row r="55" customFormat="false" ht="15" hidden="false" customHeight="false" outlineLevel="0" collapsed="false">
      <c r="A55" s="6" t="s">
        <v>42</v>
      </c>
      <c r="B55" s="6" t="s">
        <v>43</v>
      </c>
      <c r="C55" s="6" t="s">
        <v>44</v>
      </c>
      <c r="D55" s="6" t="s">
        <v>114</v>
      </c>
      <c r="E55" s="6" t="n">
        <v>16</v>
      </c>
      <c r="F55" s="6" t="n">
        <v>4</v>
      </c>
      <c r="G55" s="6" t="s">
        <v>188</v>
      </c>
    </row>
    <row r="56" customFormat="false" ht="15" hidden="false" customHeight="false" outlineLevel="0" collapsed="false">
      <c r="A56" s="6" t="s">
        <v>42</v>
      </c>
      <c r="B56" s="6" t="s">
        <v>43</v>
      </c>
      <c r="C56" s="6" t="s">
        <v>44</v>
      </c>
      <c r="D56" s="6" t="s">
        <v>114</v>
      </c>
      <c r="E56" s="6" t="n">
        <v>16</v>
      </c>
      <c r="F56" s="6" t="n">
        <v>4</v>
      </c>
      <c r="G56" s="6" t="s">
        <v>189</v>
      </c>
    </row>
    <row r="57" customFormat="false" ht="15" hidden="false" customHeight="false" outlineLevel="0" collapsed="false">
      <c r="A57" s="6" t="s">
        <v>42</v>
      </c>
      <c r="B57" s="6" t="s">
        <v>43</v>
      </c>
      <c r="C57" s="6" t="s">
        <v>44</v>
      </c>
      <c r="D57" s="6" t="s">
        <v>114</v>
      </c>
      <c r="E57" s="6" t="n">
        <v>16</v>
      </c>
      <c r="F57" s="6" t="n">
        <v>4</v>
      </c>
      <c r="G57" s="6" t="s">
        <v>190</v>
      </c>
    </row>
    <row r="58" customFormat="false" ht="15" hidden="false" customHeight="false" outlineLevel="0" collapsed="false">
      <c r="A58" s="6" t="s">
        <v>42</v>
      </c>
      <c r="B58" s="6" t="s">
        <v>43</v>
      </c>
      <c r="C58" s="6" t="s">
        <v>44</v>
      </c>
      <c r="D58" s="6" t="s">
        <v>114</v>
      </c>
      <c r="E58" s="6" t="n">
        <v>16</v>
      </c>
      <c r="F58" s="6" t="n">
        <v>4</v>
      </c>
      <c r="G58" s="6" t="s">
        <v>191</v>
      </c>
    </row>
    <row r="59" customFormat="false" ht="15" hidden="false" customHeight="false" outlineLevel="0" collapsed="false">
      <c r="A59" s="6" t="s">
        <v>42</v>
      </c>
      <c r="B59" s="6" t="s">
        <v>43</v>
      </c>
      <c r="C59" s="6" t="s">
        <v>44</v>
      </c>
      <c r="D59" s="6" t="s">
        <v>114</v>
      </c>
      <c r="E59" s="6" t="n">
        <v>16</v>
      </c>
      <c r="F59" s="6" t="n">
        <v>4</v>
      </c>
      <c r="G59" s="6" t="s">
        <v>192</v>
      </c>
    </row>
    <row r="60" customFormat="false" ht="15" hidden="false" customHeight="false" outlineLevel="0" collapsed="false">
      <c r="A60" s="6" t="s">
        <v>42</v>
      </c>
      <c r="B60" s="6" t="s">
        <v>43</v>
      </c>
      <c r="C60" s="6" t="s">
        <v>44</v>
      </c>
      <c r="D60" s="6" t="s">
        <v>114</v>
      </c>
      <c r="E60" s="6" t="n">
        <v>16</v>
      </c>
      <c r="F60" s="6" t="n">
        <v>4</v>
      </c>
      <c r="G60" s="6" t="s">
        <v>193</v>
      </c>
    </row>
    <row r="61" customFormat="false" ht="15" hidden="false" customHeight="false" outlineLevel="0" collapsed="false">
      <c r="A61" s="6" t="s">
        <v>42</v>
      </c>
      <c r="B61" s="6" t="s">
        <v>43</v>
      </c>
      <c r="C61" s="6" t="s">
        <v>44</v>
      </c>
      <c r="D61" s="6" t="s">
        <v>114</v>
      </c>
      <c r="E61" s="6" t="n">
        <v>16</v>
      </c>
      <c r="F61" s="6" t="n">
        <v>4</v>
      </c>
      <c r="G61" s="6" t="s">
        <v>194</v>
      </c>
    </row>
    <row r="62" customFormat="false" ht="15" hidden="false" customHeight="false" outlineLevel="0" collapsed="false">
      <c r="A62" s="6" t="s">
        <v>42</v>
      </c>
      <c r="B62" s="6" t="s">
        <v>43</v>
      </c>
      <c r="C62" s="6" t="s">
        <v>44</v>
      </c>
      <c r="D62" s="6" t="s">
        <v>114</v>
      </c>
      <c r="E62" s="6" t="n">
        <v>16</v>
      </c>
      <c r="F62" s="6" t="n">
        <v>4</v>
      </c>
      <c r="G62" s="6" t="s">
        <v>195</v>
      </c>
    </row>
    <row r="63" customFormat="false" ht="15" hidden="false" customHeight="false" outlineLevel="0" collapsed="false">
      <c r="A63" s="6" t="s">
        <v>42</v>
      </c>
      <c r="B63" s="6" t="s">
        <v>43</v>
      </c>
      <c r="C63" s="6" t="s">
        <v>44</v>
      </c>
      <c r="D63" s="6" t="s">
        <v>114</v>
      </c>
      <c r="E63" s="6" t="n">
        <v>16</v>
      </c>
      <c r="F63" s="6" t="n">
        <v>4</v>
      </c>
      <c r="G63" s="6" t="s">
        <v>196</v>
      </c>
    </row>
    <row r="64" customFormat="false" ht="15" hidden="false" customHeight="false" outlineLevel="0" collapsed="false">
      <c r="A64" s="6" t="s">
        <v>42</v>
      </c>
      <c r="B64" s="6" t="s">
        <v>43</v>
      </c>
      <c r="C64" s="6" t="s">
        <v>44</v>
      </c>
      <c r="D64" s="6" t="s">
        <v>114</v>
      </c>
      <c r="E64" s="6" t="n">
        <v>16</v>
      </c>
      <c r="F64" s="6" t="n">
        <v>4</v>
      </c>
      <c r="G64" s="6" t="s">
        <v>197</v>
      </c>
    </row>
    <row r="65" customFormat="false" ht="15" hidden="false" customHeight="false" outlineLevel="0" collapsed="false">
      <c r="A65" s="6" t="s">
        <v>42</v>
      </c>
      <c r="B65" s="6" t="s">
        <v>43</v>
      </c>
      <c r="C65" s="6" t="s">
        <v>44</v>
      </c>
      <c r="D65" s="6" t="s">
        <v>114</v>
      </c>
      <c r="E65" s="6" t="n">
        <v>16</v>
      </c>
      <c r="F65" s="6" t="n">
        <v>4</v>
      </c>
      <c r="G65" s="6" t="s">
        <v>198</v>
      </c>
    </row>
    <row r="66" customFormat="false" ht="15" hidden="false" customHeight="false" outlineLevel="0" collapsed="false">
      <c r="A66" s="6" t="s">
        <v>42</v>
      </c>
      <c r="B66" s="6" t="s">
        <v>43</v>
      </c>
      <c r="C66" s="6" t="s">
        <v>44</v>
      </c>
      <c r="D66" s="6" t="s">
        <v>114</v>
      </c>
      <c r="E66" s="6" t="n">
        <v>16</v>
      </c>
      <c r="F66" s="6" t="n">
        <v>5</v>
      </c>
      <c r="G66" s="6" t="s">
        <v>199</v>
      </c>
    </row>
    <row r="67" customFormat="false" ht="15" hidden="false" customHeight="false" outlineLevel="0" collapsed="false">
      <c r="A67" s="6" t="s">
        <v>42</v>
      </c>
      <c r="B67" s="6" t="s">
        <v>43</v>
      </c>
      <c r="C67" s="6" t="s">
        <v>44</v>
      </c>
      <c r="D67" s="6" t="s">
        <v>114</v>
      </c>
      <c r="E67" s="6" t="n">
        <v>16</v>
      </c>
      <c r="F67" s="6" t="n">
        <v>5</v>
      </c>
      <c r="G67" s="6" t="s">
        <v>200</v>
      </c>
    </row>
    <row r="68" customFormat="false" ht="15" hidden="false" customHeight="false" outlineLevel="0" collapsed="false">
      <c r="A68" s="6" t="s">
        <v>42</v>
      </c>
      <c r="B68" s="6" t="s">
        <v>43</v>
      </c>
      <c r="C68" s="6" t="s">
        <v>44</v>
      </c>
      <c r="D68" s="6" t="s">
        <v>114</v>
      </c>
      <c r="E68" s="6" t="n">
        <v>16</v>
      </c>
      <c r="F68" s="6" t="n">
        <v>5</v>
      </c>
      <c r="G68" s="6" t="s">
        <v>201</v>
      </c>
    </row>
    <row r="69" customFormat="false" ht="15" hidden="false" customHeight="false" outlineLevel="0" collapsed="false">
      <c r="A69" s="6" t="s">
        <v>42</v>
      </c>
      <c r="B69" s="6" t="s">
        <v>43</v>
      </c>
      <c r="C69" s="6" t="s">
        <v>44</v>
      </c>
      <c r="D69" s="6" t="s">
        <v>114</v>
      </c>
      <c r="E69" s="6" t="n">
        <v>16</v>
      </c>
      <c r="F69" s="6" t="n">
        <v>5</v>
      </c>
      <c r="G69" s="6" t="s">
        <v>202</v>
      </c>
    </row>
    <row r="70" customFormat="false" ht="15" hidden="false" customHeight="false" outlineLevel="0" collapsed="false">
      <c r="A70" s="6" t="s">
        <v>42</v>
      </c>
      <c r="B70" s="6" t="s">
        <v>43</v>
      </c>
      <c r="C70" s="6" t="s">
        <v>44</v>
      </c>
      <c r="D70" s="6" t="s">
        <v>114</v>
      </c>
      <c r="E70" s="6" t="n">
        <v>16</v>
      </c>
      <c r="F70" s="6" t="n">
        <v>5</v>
      </c>
      <c r="G70" s="6" t="s">
        <v>203</v>
      </c>
    </row>
    <row r="71" customFormat="false" ht="15" hidden="false" customHeight="false" outlineLevel="0" collapsed="false">
      <c r="A71" s="6" t="s">
        <v>42</v>
      </c>
      <c r="B71" s="6" t="s">
        <v>43</v>
      </c>
      <c r="C71" s="6" t="s">
        <v>44</v>
      </c>
      <c r="D71" s="6" t="s">
        <v>114</v>
      </c>
      <c r="E71" s="6" t="n">
        <v>16</v>
      </c>
      <c r="F71" s="6" t="n">
        <v>5</v>
      </c>
      <c r="G71" s="6" t="s">
        <v>204</v>
      </c>
    </row>
    <row r="72" customFormat="false" ht="15" hidden="false" customHeight="false" outlineLevel="0" collapsed="false">
      <c r="A72" s="6" t="s">
        <v>42</v>
      </c>
      <c r="B72" s="6" t="s">
        <v>43</v>
      </c>
      <c r="C72" s="6" t="s">
        <v>44</v>
      </c>
      <c r="D72" s="6" t="s">
        <v>114</v>
      </c>
      <c r="E72" s="6" t="n">
        <v>16</v>
      </c>
      <c r="F72" s="6" t="n">
        <v>5</v>
      </c>
      <c r="G72" s="6" t="s">
        <v>205</v>
      </c>
    </row>
    <row r="73" customFormat="false" ht="15" hidden="false" customHeight="false" outlineLevel="0" collapsed="false">
      <c r="A73" s="6" t="s">
        <v>42</v>
      </c>
      <c r="B73" s="6" t="s">
        <v>43</v>
      </c>
      <c r="C73" s="6" t="s">
        <v>44</v>
      </c>
      <c r="D73" s="6" t="s">
        <v>114</v>
      </c>
      <c r="E73" s="6" t="n">
        <v>16</v>
      </c>
      <c r="F73" s="6" t="n">
        <v>5</v>
      </c>
      <c r="G73" s="6" t="s">
        <v>206</v>
      </c>
    </row>
    <row r="74" customFormat="false" ht="15" hidden="false" customHeight="false" outlineLevel="0" collapsed="false">
      <c r="A74" s="6" t="s">
        <v>42</v>
      </c>
      <c r="B74" s="6" t="s">
        <v>43</v>
      </c>
      <c r="C74" s="6" t="s">
        <v>44</v>
      </c>
      <c r="D74" s="6" t="s">
        <v>114</v>
      </c>
      <c r="E74" s="6" t="n">
        <v>16</v>
      </c>
      <c r="F74" s="6" t="n">
        <v>5</v>
      </c>
      <c r="G74" s="6" t="s">
        <v>207</v>
      </c>
    </row>
    <row r="75" customFormat="false" ht="15" hidden="false" customHeight="false" outlineLevel="0" collapsed="false">
      <c r="A75" s="6" t="s">
        <v>42</v>
      </c>
      <c r="B75" s="6" t="s">
        <v>43</v>
      </c>
      <c r="C75" s="6" t="s">
        <v>44</v>
      </c>
      <c r="D75" s="6" t="s">
        <v>114</v>
      </c>
      <c r="E75" s="6" t="n">
        <v>16</v>
      </c>
      <c r="F75" s="6" t="n">
        <v>5</v>
      </c>
      <c r="G75" s="6" t="s">
        <v>208</v>
      </c>
    </row>
    <row r="76" customFormat="false" ht="15" hidden="false" customHeight="false" outlineLevel="0" collapsed="false">
      <c r="A76" s="6" t="s">
        <v>42</v>
      </c>
      <c r="B76" s="6" t="s">
        <v>43</v>
      </c>
      <c r="C76" s="6" t="s">
        <v>44</v>
      </c>
      <c r="D76" s="6" t="s">
        <v>114</v>
      </c>
      <c r="E76" s="6" t="n">
        <v>16</v>
      </c>
      <c r="F76" s="6" t="n">
        <v>5</v>
      </c>
      <c r="G76" s="6" t="s">
        <v>209</v>
      </c>
    </row>
    <row r="77" customFormat="false" ht="15" hidden="false" customHeight="false" outlineLevel="0" collapsed="false">
      <c r="A77" s="6" t="s">
        <v>42</v>
      </c>
      <c r="B77" s="6" t="s">
        <v>43</v>
      </c>
      <c r="C77" s="6" t="s">
        <v>44</v>
      </c>
      <c r="D77" s="6" t="s">
        <v>114</v>
      </c>
      <c r="E77" s="6" t="n">
        <v>16</v>
      </c>
      <c r="F77" s="6" t="n">
        <v>5</v>
      </c>
      <c r="G77" s="6" t="s">
        <v>210</v>
      </c>
    </row>
    <row r="78" customFormat="false" ht="15" hidden="false" customHeight="false" outlineLevel="0" collapsed="false">
      <c r="A78" s="6" t="s">
        <v>42</v>
      </c>
      <c r="B78" s="6" t="s">
        <v>43</v>
      </c>
      <c r="C78" s="6" t="s">
        <v>44</v>
      </c>
      <c r="D78" s="6" t="s">
        <v>114</v>
      </c>
      <c r="E78" s="6" t="n">
        <v>16</v>
      </c>
      <c r="F78" s="6" t="n">
        <v>5</v>
      </c>
      <c r="G78" s="6" t="s">
        <v>211</v>
      </c>
    </row>
    <row r="79" customFormat="false" ht="15" hidden="false" customHeight="false" outlineLevel="0" collapsed="false">
      <c r="A79" s="6" t="s">
        <v>42</v>
      </c>
      <c r="B79" s="6" t="s">
        <v>43</v>
      </c>
      <c r="C79" s="6" t="s">
        <v>44</v>
      </c>
      <c r="D79" s="6" t="s">
        <v>114</v>
      </c>
      <c r="E79" s="6" t="n">
        <v>16</v>
      </c>
      <c r="F79" s="6" t="n">
        <v>5</v>
      </c>
      <c r="G79" s="6" t="s">
        <v>212</v>
      </c>
    </row>
    <row r="80" customFormat="false" ht="15" hidden="false" customHeight="false" outlineLevel="0" collapsed="false">
      <c r="A80" s="6" t="s">
        <v>42</v>
      </c>
      <c r="B80" s="6" t="s">
        <v>43</v>
      </c>
      <c r="C80" s="6" t="s">
        <v>44</v>
      </c>
      <c r="D80" s="6" t="s">
        <v>114</v>
      </c>
      <c r="E80" s="6" t="n">
        <v>16</v>
      </c>
      <c r="F80" s="6" t="n">
        <v>5</v>
      </c>
      <c r="G80" s="6" t="s">
        <v>213</v>
      </c>
    </row>
    <row r="81" customFormat="false" ht="15" hidden="false" customHeight="false" outlineLevel="0" collapsed="false">
      <c r="A81" s="6" t="s">
        <v>42</v>
      </c>
      <c r="B81" s="6" t="s">
        <v>43</v>
      </c>
      <c r="C81" s="6" t="s">
        <v>44</v>
      </c>
      <c r="D81" s="6" t="s">
        <v>114</v>
      </c>
      <c r="E81" s="6" t="n">
        <v>16</v>
      </c>
      <c r="F81" s="6" t="n">
        <v>5</v>
      </c>
      <c r="G81" s="6" t="s">
        <v>214</v>
      </c>
    </row>
    <row r="82" customFormat="false" ht="15" hidden="false" customHeight="false" outlineLevel="0" collapsed="false">
      <c r="A82" s="6" t="s">
        <v>42</v>
      </c>
      <c r="B82" s="6" t="s">
        <v>43</v>
      </c>
      <c r="C82" s="6" t="s">
        <v>44</v>
      </c>
      <c r="D82" s="6" t="s">
        <v>114</v>
      </c>
      <c r="E82" s="6" t="n">
        <v>16</v>
      </c>
      <c r="F82" s="6" t="n">
        <v>6</v>
      </c>
      <c r="G82" s="6" t="s">
        <v>215</v>
      </c>
    </row>
    <row r="83" customFormat="false" ht="15" hidden="false" customHeight="false" outlineLevel="0" collapsed="false">
      <c r="A83" s="6" t="s">
        <v>42</v>
      </c>
      <c r="B83" s="6" t="s">
        <v>43</v>
      </c>
      <c r="C83" s="6" t="s">
        <v>44</v>
      </c>
      <c r="D83" s="6" t="s">
        <v>114</v>
      </c>
      <c r="E83" s="6" t="n">
        <v>16</v>
      </c>
      <c r="F83" s="6" t="n">
        <v>6</v>
      </c>
      <c r="G83" s="6" t="s">
        <v>216</v>
      </c>
    </row>
    <row r="84" customFormat="false" ht="15" hidden="false" customHeight="false" outlineLevel="0" collapsed="false">
      <c r="A84" s="6" t="s">
        <v>42</v>
      </c>
      <c r="B84" s="6" t="s">
        <v>43</v>
      </c>
      <c r="C84" s="6" t="s">
        <v>44</v>
      </c>
      <c r="D84" s="6" t="s">
        <v>114</v>
      </c>
      <c r="E84" s="6" t="n">
        <v>16</v>
      </c>
      <c r="F84" s="6" t="n">
        <v>6</v>
      </c>
      <c r="G84" s="6" t="s">
        <v>217</v>
      </c>
    </row>
    <row r="85" customFormat="false" ht="15" hidden="false" customHeight="false" outlineLevel="0" collapsed="false">
      <c r="A85" s="6" t="s">
        <v>42</v>
      </c>
      <c r="B85" s="6" t="s">
        <v>43</v>
      </c>
      <c r="C85" s="6" t="s">
        <v>44</v>
      </c>
      <c r="D85" s="6" t="s">
        <v>114</v>
      </c>
      <c r="E85" s="6" t="n">
        <v>16</v>
      </c>
      <c r="F85" s="6" t="n">
        <v>6</v>
      </c>
      <c r="G85" s="6" t="s">
        <v>218</v>
      </c>
    </row>
    <row r="86" customFormat="false" ht="15" hidden="false" customHeight="false" outlineLevel="0" collapsed="false">
      <c r="A86" s="6" t="s">
        <v>42</v>
      </c>
      <c r="B86" s="6" t="s">
        <v>43</v>
      </c>
      <c r="C86" s="6" t="s">
        <v>44</v>
      </c>
      <c r="D86" s="6" t="s">
        <v>114</v>
      </c>
      <c r="E86" s="6" t="n">
        <v>16</v>
      </c>
      <c r="F86" s="6" t="n">
        <v>6</v>
      </c>
      <c r="G86" s="6" t="s">
        <v>219</v>
      </c>
    </row>
    <row r="87" customFormat="false" ht="15" hidden="false" customHeight="false" outlineLevel="0" collapsed="false">
      <c r="A87" s="6" t="s">
        <v>42</v>
      </c>
      <c r="B87" s="6" t="s">
        <v>43</v>
      </c>
      <c r="C87" s="6" t="s">
        <v>44</v>
      </c>
      <c r="D87" s="6" t="s">
        <v>114</v>
      </c>
      <c r="E87" s="6" t="n">
        <v>16</v>
      </c>
      <c r="F87" s="6" t="n">
        <v>6</v>
      </c>
      <c r="G87" s="6" t="s">
        <v>220</v>
      </c>
    </row>
    <row r="88" customFormat="false" ht="15" hidden="false" customHeight="false" outlineLevel="0" collapsed="false">
      <c r="A88" s="6" t="s">
        <v>42</v>
      </c>
      <c r="B88" s="6" t="s">
        <v>43</v>
      </c>
      <c r="C88" s="6" t="s">
        <v>44</v>
      </c>
      <c r="D88" s="6" t="s">
        <v>114</v>
      </c>
      <c r="E88" s="6" t="n">
        <v>16</v>
      </c>
      <c r="F88" s="6" t="n">
        <v>6</v>
      </c>
      <c r="G88" s="6" t="s">
        <v>221</v>
      </c>
    </row>
    <row r="89" customFormat="false" ht="15" hidden="false" customHeight="false" outlineLevel="0" collapsed="false">
      <c r="A89" s="6" t="s">
        <v>42</v>
      </c>
      <c r="B89" s="6" t="s">
        <v>43</v>
      </c>
      <c r="C89" s="6" t="s">
        <v>44</v>
      </c>
      <c r="D89" s="6" t="s">
        <v>114</v>
      </c>
      <c r="E89" s="6" t="n">
        <v>16</v>
      </c>
      <c r="F89" s="6" t="n">
        <v>6</v>
      </c>
      <c r="G89" s="6" t="s">
        <v>222</v>
      </c>
    </row>
    <row r="90" customFormat="false" ht="15" hidden="false" customHeight="false" outlineLevel="0" collapsed="false">
      <c r="A90" s="6" t="s">
        <v>42</v>
      </c>
      <c r="B90" s="6" t="s">
        <v>43</v>
      </c>
      <c r="C90" s="6" t="s">
        <v>44</v>
      </c>
      <c r="D90" s="6" t="s">
        <v>114</v>
      </c>
      <c r="E90" s="6" t="n">
        <v>16</v>
      </c>
      <c r="F90" s="6" t="n">
        <v>6</v>
      </c>
      <c r="G90" s="6" t="s">
        <v>223</v>
      </c>
    </row>
    <row r="91" customFormat="false" ht="15" hidden="false" customHeight="false" outlineLevel="0" collapsed="false">
      <c r="A91" s="6" t="s">
        <v>42</v>
      </c>
      <c r="B91" s="6" t="s">
        <v>43</v>
      </c>
      <c r="C91" s="6" t="s">
        <v>44</v>
      </c>
      <c r="D91" s="6" t="s">
        <v>114</v>
      </c>
      <c r="E91" s="6" t="n">
        <v>16</v>
      </c>
      <c r="F91" s="6" t="n">
        <v>6</v>
      </c>
      <c r="G91" s="6" t="s">
        <v>224</v>
      </c>
    </row>
    <row r="92" customFormat="false" ht="15" hidden="false" customHeight="false" outlineLevel="0" collapsed="false">
      <c r="A92" s="6" t="s">
        <v>42</v>
      </c>
      <c r="B92" s="6" t="s">
        <v>43</v>
      </c>
      <c r="C92" s="6" t="s">
        <v>44</v>
      </c>
      <c r="D92" s="6" t="s">
        <v>114</v>
      </c>
      <c r="E92" s="6" t="n">
        <v>16</v>
      </c>
      <c r="F92" s="6" t="n">
        <v>6</v>
      </c>
      <c r="G92" s="6" t="s">
        <v>225</v>
      </c>
    </row>
    <row r="93" customFormat="false" ht="15" hidden="false" customHeight="false" outlineLevel="0" collapsed="false">
      <c r="A93" s="6" t="s">
        <v>42</v>
      </c>
      <c r="B93" s="6" t="s">
        <v>43</v>
      </c>
      <c r="C93" s="6" t="s">
        <v>44</v>
      </c>
      <c r="D93" s="6" t="s">
        <v>114</v>
      </c>
      <c r="E93" s="6" t="n">
        <v>16</v>
      </c>
      <c r="F93" s="6" t="n">
        <v>6</v>
      </c>
      <c r="G93" s="6" t="s">
        <v>226</v>
      </c>
    </row>
    <row r="94" customFormat="false" ht="15" hidden="false" customHeight="false" outlineLevel="0" collapsed="false">
      <c r="A94" s="6" t="s">
        <v>42</v>
      </c>
      <c r="B94" s="6" t="s">
        <v>43</v>
      </c>
      <c r="C94" s="6" t="s">
        <v>44</v>
      </c>
      <c r="D94" s="6" t="s">
        <v>114</v>
      </c>
      <c r="E94" s="6" t="n">
        <v>16</v>
      </c>
      <c r="F94" s="6" t="n">
        <v>6</v>
      </c>
      <c r="G94" s="6" t="s">
        <v>227</v>
      </c>
    </row>
    <row r="95" customFormat="false" ht="15" hidden="false" customHeight="false" outlineLevel="0" collapsed="false">
      <c r="A95" s="6" t="s">
        <v>42</v>
      </c>
      <c r="B95" s="6" t="s">
        <v>43</v>
      </c>
      <c r="C95" s="6" t="s">
        <v>44</v>
      </c>
      <c r="D95" s="6" t="s">
        <v>114</v>
      </c>
      <c r="E95" s="6" t="n">
        <v>16</v>
      </c>
      <c r="F95" s="6" t="n">
        <v>6</v>
      </c>
      <c r="G95" s="6" t="s">
        <v>228</v>
      </c>
    </row>
    <row r="96" customFormat="false" ht="15" hidden="false" customHeight="false" outlineLevel="0" collapsed="false">
      <c r="A96" s="6" t="s">
        <v>42</v>
      </c>
      <c r="B96" s="6" t="s">
        <v>43</v>
      </c>
      <c r="C96" s="6" t="s">
        <v>44</v>
      </c>
      <c r="D96" s="6" t="s">
        <v>114</v>
      </c>
      <c r="E96" s="6" t="n">
        <v>16</v>
      </c>
      <c r="F96" s="6" t="n">
        <v>6</v>
      </c>
      <c r="G96" s="6" t="s">
        <v>229</v>
      </c>
    </row>
    <row r="97" customFormat="false" ht="15" hidden="false" customHeight="false" outlineLevel="0" collapsed="false">
      <c r="A97" s="6" t="s">
        <v>42</v>
      </c>
      <c r="B97" s="6" t="s">
        <v>43</v>
      </c>
      <c r="C97" s="6" t="s">
        <v>44</v>
      </c>
      <c r="D97" s="6" t="s">
        <v>114</v>
      </c>
      <c r="E97" s="6" t="n">
        <v>16</v>
      </c>
      <c r="F97" s="6" t="n">
        <v>6</v>
      </c>
      <c r="G97" s="6" t="s">
        <v>230</v>
      </c>
    </row>
    <row r="98" customFormat="false" ht="15" hidden="false" customHeight="false" outlineLevel="0" collapsed="false">
      <c r="A98" s="6" t="s">
        <v>42</v>
      </c>
      <c r="B98" s="6" t="s">
        <v>43</v>
      </c>
      <c r="C98" s="6" t="s">
        <v>44</v>
      </c>
      <c r="D98" s="6" t="s">
        <v>114</v>
      </c>
      <c r="E98" s="6" t="n">
        <v>16</v>
      </c>
      <c r="F98" s="6" t="n">
        <v>7</v>
      </c>
      <c r="G98" s="6" t="s">
        <v>231</v>
      </c>
    </row>
    <row r="99" customFormat="false" ht="15" hidden="false" customHeight="false" outlineLevel="0" collapsed="false">
      <c r="A99" s="6" t="s">
        <v>42</v>
      </c>
      <c r="B99" s="6" t="s">
        <v>43</v>
      </c>
      <c r="C99" s="6" t="s">
        <v>44</v>
      </c>
      <c r="D99" s="6" t="s">
        <v>114</v>
      </c>
      <c r="E99" s="6" t="n">
        <v>16</v>
      </c>
      <c r="F99" s="6" t="n">
        <v>7</v>
      </c>
      <c r="G99" s="6" t="s">
        <v>232</v>
      </c>
    </row>
    <row r="100" customFormat="false" ht="15" hidden="false" customHeight="false" outlineLevel="0" collapsed="false">
      <c r="A100" s="6" t="s">
        <v>42</v>
      </c>
      <c r="B100" s="6" t="s">
        <v>43</v>
      </c>
      <c r="C100" s="6" t="s">
        <v>44</v>
      </c>
      <c r="D100" s="6" t="s">
        <v>114</v>
      </c>
      <c r="E100" s="6" t="n">
        <v>16</v>
      </c>
      <c r="F100" s="6" t="n">
        <v>7</v>
      </c>
      <c r="G100" s="6" t="s">
        <v>233</v>
      </c>
    </row>
    <row r="101" customFormat="false" ht="15" hidden="false" customHeight="false" outlineLevel="0" collapsed="false">
      <c r="A101" s="6" t="s">
        <v>42</v>
      </c>
      <c r="B101" s="6" t="s">
        <v>43</v>
      </c>
      <c r="C101" s="6" t="s">
        <v>44</v>
      </c>
      <c r="D101" s="6" t="s">
        <v>114</v>
      </c>
      <c r="E101" s="6" t="n">
        <v>16</v>
      </c>
      <c r="F101" s="6" t="n">
        <v>7</v>
      </c>
      <c r="G101" s="6" t="s">
        <v>234</v>
      </c>
    </row>
    <row r="102" customFormat="false" ht="15" hidden="false" customHeight="false" outlineLevel="0" collapsed="false">
      <c r="A102" s="6" t="s">
        <v>42</v>
      </c>
      <c r="B102" s="6" t="s">
        <v>43</v>
      </c>
      <c r="C102" s="6" t="s">
        <v>44</v>
      </c>
      <c r="D102" s="6" t="s">
        <v>114</v>
      </c>
      <c r="E102" s="6" t="n">
        <v>16</v>
      </c>
      <c r="F102" s="6" t="n">
        <v>7</v>
      </c>
      <c r="G102" s="6" t="s">
        <v>235</v>
      </c>
    </row>
    <row r="103" customFormat="false" ht="15" hidden="false" customHeight="false" outlineLevel="0" collapsed="false">
      <c r="A103" s="6" t="s">
        <v>42</v>
      </c>
      <c r="B103" s="6" t="s">
        <v>43</v>
      </c>
      <c r="C103" s="6" t="s">
        <v>44</v>
      </c>
      <c r="D103" s="6" t="s">
        <v>114</v>
      </c>
      <c r="E103" s="6" t="n">
        <v>16</v>
      </c>
      <c r="F103" s="6" t="n">
        <v>7</v>
      </c>
      <c r="G103" s="6" t="s">
        <v>236</v>
      </c>
    </row>
    <row r="104" customFormat="false" ht="15" hidden="false" customHeight="false" outlineLevel="0" collapsed="false">
      <c r="A104" s="6" t="s">
        <v>42</v>
      </c>
      <c r="B104" s="6" t="s">
        <v>43</v>
      </c>
      <c r="C104" s="6" t="s">
        <v>44</v>
      </c>
      <c r="D104" s="6" t="s">
        <v>114</v>
      </c>
      <c r="E104" s="6" t="n">
        <v>16</v>
      </c>
      <c r="F104" s="6" t="n">
        <v>7</v>
      </c>
      <c r="G104" s="6" t="s">
        <v>237</v>
      </c>
    </row>
    <row r="105" customFormat="false" ht="15" hidden="false" customHeight="false" outlineLevel="0" collapsed="false">
      <c r="A105" s="6" t="s">
        <v>42</v>
      </c>
      <c r="B105" s="6" t="s">
        <v>43</v>
      </c>
      <c r="C105" s="6" t="s">
        <v>44</v>
      </c>
      <c r="D105" s="6" t="s">
        <v>114</v>
      </c>
      <c r="E105" s="6" t="n">
        <v>16</v>
      </c>
      <c r="F105" s="6" t="n">
        <v>7</v>
      </c>
      <c r="G105" s="6" t="s">
        <v>238</v>
      </c>
    </row>
    <row r="106" customFormat="false" ht="15" hidden="false" customHeight="false" outlineLevel="0" collapsed="false">
      <c r="A106" s="6" t="s">
        <v>42</v>
      </c>
      <c r="B106" s="6" t="s">
        <v>43</v>
      </c>
      <c r="C106" s="6" t="s">
        <v>44</v>
      </c>
      <c r="D106" s="6" t="s">
        <v>114</v>
      </c>
      <c r="E106" s="6" t="n">
        <v>16</v>
      </c>
      <c r="F106" s="6" t="n">
        <v>7</v>
      </c>
      <c r="G106" s="6" t="s">
        <v>239</v>
      </c>
    </row>
    <row r="107" customFormat="false" ht="15" hidden="false" customHeight="false" outlineLevel="0" collapsed="false">
      <c r="A107" s="6" t="s">
        <v>42</v>
      </c>
      <c r="B107" s="6" t="s">
        <v>43</v>
      </c>
      <c r="C107" s="6" t="s">
        <v>44</v>
      </c>
      <c r="D107" s="6" t="s">
        <v>114</v>
      </c>
      <c r="E107" s="6" t="n">
        <v>16</v>
      </c>
      <c r="F107" s="6" t="n">
        <v>7</v>
      </c>
      <c r="G107" s="6" t="s">
        <v>240</v>
      </c>
    </row>
    <row r="108" customFormat="false" ht="15" hidden="false" customHeight="false" outlineLevel="0" collapsed="false">
      <c r="A108" s="6" t="s">
        <v>42</v>
      </c>
      <c r="B108" s="6" t="s">
        <v>43</v>
      </c>
      <c r="C108" s="6" t="s">
        <v>44</v>
      </c>
      <c r="D108" s="6" t="s">
        <v>114</v>
      </c>
      <c r="E108" s="6" t="n">
        <v>16</v>
      </c>
      <c r="F108" s="6" t="n">
        <v>7</v>
      </c>
      <c r="G108" s="6" t="s">
        <v>241</v>
      </c>
    </row>
    <row r="109" customFormat="false" ht="15" hidden="false" customHeight="false" outlineLevel="0" collapsed="false">
      <c r="A109" s="6" t="s">
        <v>42</v>
      </c>
      <c r="B109" s="6" t="s">
        <v>43</v>
      </c>
      <c r="C109" s="6" t="s">
        <v>44</v>
      </c>
      <c r="D109" s="6" t="s">
        <v>114</v>
      </c>
      <c r="E109" s="6" t="n">
        <v>16</v>
      </c>
      <c r="F109" s="6" t="n">
        <v>7</v>
      </c>
      <c r="G109" s="6" t="s">
        <v>242</v>
      </c>
    </row>
    <row r="110" customFormat="false" ht="15" hidden="false" customHeight="false" outlineLevel="0" collapsed="false">
      <c r="A110" s="6" t="s">
        <v>42</v>
      </c>
      <c r="B110" s="6" t="s">
        <v>43</v>
      </c>
      <c r="C110" s="6" t="s">
        <v>44</v>
      </c>
      <c r="D110" s="6" t="s">
        <v>114</v>
      </c>
      <c r="E110" s="6" t="n">
        <v>16</v>
      </c>
      <c r="F110" s="6" t="n">
        <v>7</v>
      </c>
      <c r="G110" s="6" t="s">
        <v>243</v>
      </c>
    </row>
    <row r="111" customFormat="false" ht="15" hidden="false" customHeight="false" outlineLevel="0" collapsed="false">
      <c r="A111" s="6" t="s">
        <v>42</v>
      </c>
      <c r="B111" s="6" t="s">
        <v>43</v>
      </c>
      <c r="C111" s="6" t="s">
        <v>44</v>
      </c>
      <c r="D111" s="6" t="s">
        <v>114</v>
      </c>
      <c r="E111" s="6" t="n">
        <v>16</v>
      </c>
      <c r="F111" s="6" t="n">
        <v>7</v>
      </c>
      <c r="G111" s="6" t="s">
        <v>244</v>
      </c>
    </row>
    <row r="112" customFormat="false" ht="15" hidden="false" customHeight="false" outlineLevel="0" collapsed="false">
      <c r="A112" s="6" t="s">
        <v>42</v>
      </c>
      <c r="B112" s="6" t="s">
        <v>43</v>
      </c>
      <c r="C112" s="6" t="s">
        <v>44</v>
      </c>
      <c r="D112" s="6" t="s">
        <v>114</v>
      </c>
      <c r="E112" s="6" t="n">
        <v>16</v>
      </c>
      <c r="F112" s="6" t="n">
        <v>7</v>
      </c>
      <c r="G112" s="6" t="s">
        <v>245</v>
      </c>
    </row>
    <row r="113" customFormat="false" ht="15" hidden="false" customHeight="false" outlineLevel="0" collapsed="false">
      <c r="A113" s="6" t="s">
        <v>42</v>
      </c>
      <c r="B113" s="6" t="s">
        <v>43</v>
      </c>
      <c r="C113" s="6" t="s">
        <v>44</v>
      </c>
      <c r="D113" s="6" t="s">
        <v>114</v>
      </c>
      <c r="E113" s="6" t="n">
        <v>16</v>
      </c>
      <c r="F113" s="6" t="n">
        <v>7</v>
      </c>
      <c r="G113" s="6" t="s">
        <v>246</v>
      </c>
    </row>
    <row r="114" customFormat="false" ht="15" hidden="false" customHeight="false" outlineLevel="0" collapsed="false">
      <c r="A114" s="6" t="s">
        <v>42</v>
      </c>
      <c r="B114" s="6" t="s">
        <v>43</v>
      </c>
      <c r="C114" s="6" t="s">
        <v>44</v>
      </c>
      <c r="D114" s="6" t="s">
        <v>114</v>
      </c>
      <c r="E114" s="6" t="n">
        <v>16</v>
      </c>
      <c r="F114" s="6" t="n">
        <v>8</v>
      </c>
      <c r="G114" s="6" t="s">
        <v>247</v>
      </c>
    </row>
    <row r="115" customFormat="false" ht="15" hidden="false" customHeight="false" outlineLevel="0" collapsed="false">
      <c r="A115" s="6" t="s">
        <v>42</v>
      </c>
      <c r="B115" s="6" t="s">
        <v>43</v>
      </c>
      <c r="C115" s="6" t="s">
        <v>44</v>
      </c>
      <c r="D115" s="6" t="s">
        <v>114</v>
      </c>
      <c r="E115" s="6" t="n">
        <v>16</v>
      </c>
      <c r="F115" s="6" t="n">
        <v>8</v>
      </c>
      <c r="G115" s="6" t="s">
        <v>248</v>
      </c>
    </row>
    <row r="116" customFormat="false" ht="15" hidden="false" customHeight="false" outlineLevel="0" collapsed="false">
      <c r="A116" s="6" t="s">
        <v>42</v>
      </c>
      <c r="B116" s="6" t="s">
        <v>43</v>
      </c>
      <c r="C116" s="6" t="s">
        <v>44</v>
      </c>
      <c r="D116" s="6" t="s">
        <v>114</v>
      </c>
      <c r="E116" s="6" t="n">
        <v>16</v>
      </c>
      <c r="F116" s="6" t="n">
        <v>8</v>
      </c>
      <c r="G116" s="6" t="s">
        <v>249</v>
      </c>
    </row>
    <row r="117" customFormat="false" ht="15" hidden="false" customHeight="false" outlineLevel="0" collapsed="false">
      <c r="A117" s="6" t="s">
        <v>42</v>
      </c>
      <c r="B117" s="6" t="s">
        <v>43</v>
      </c>
      <c r="C117" s="6" t="s">
        <v>44</v>
      </c>
      <c r="D117" s="6" t="s">
        <v>114</v>
      </c>
      <c r="E117" s="6" t="n">
        <v>16</v>
      </c>
      <c r="F117" s="6" t="n">
        <v>8</v>
      </c>
      <c r="G117" s="6" t="s">
        <v>250</v>
      </c>
    </row>
    <row r="118" customFormat="false" ht="15" hidden="false" customHeight="false" outlineLevel="0" collapsed="false">
      <c r="A118" s="6" t="s">
        <v>42</v>
      </c>
      <c r="B118" s="6" t="s">
        <v>43</v>
      </c>
      <c r="C118" s="6" t="s">
        <v>44</v>
      </c>
      <c r="D118" s="6" t="s">
        <v>114</v>
      </c>
      <c r="E118" s="6" t="n">
        <v>16</v>
      </c>
      <c r="F118" s="6" t="n">
        <v>8</v>
      </c>
      <c r="G118" s="6" t="s">
        <v>251</v>
      </c>
    </row>
    <row r="119" customFormat="false" ht="15" hidden="false" customHeight="false" outlineLevel="0" collapsed="false">
      <c r="A119" s="6" t="s">
        <v>42</v>
      </c>
      <c r="B119" s="6" t="s">
        <v>43</v>
      </c>
      <c r="C119" s="6" t="s">
        <v>44</v>
      </c>
      <c r="D119" s="6" t="s">
        <v>114</v>
      </c>
      <c r="E119" s="6" t="n">
        <v>16</v>
      </c>
      <c r="F119" s="6" t="n">
        <v>8</v>
      </c>
      <c r="G119" s="6" t="s">
        <v>252</v>
      </c>
    </row>
    <row r="120" customFormat="false" ht="15" hidden="false" customHeight="false" outlineLevel="0" collapsed="false">
      <c r="A120" s="6" t="s">
        <v>42</v>
      </c>
      <c r="B120" s="6" t="s">
        <v>43</v>
      </c>
      <c r="C120" s="6" t="s">
        <v>44</v>
      </c>
      <c r="D120" s="6" t="s">
        <v>114</v>
      </c>
      <c r="E120" s="6" t="n">
        <v>16</v>
      </c>
      <c r="F120" s="6" t="n">
        <v>8</v>
      </c>
      <c r="G120" s="6" t="s">
        <v>253</v>
      </c>
    </row>
    <row r="121" customFormat="false" ht="15" hidden="false" customHeight="false" outlineLevel="0" collapsed="false">
      <c r="A121" s="6" t="s">
        <v>42</v>
      </c>
      <c r="B121" s="6" t="s">
        <v>43</v>
      </c>
      <c r="C121" s="6" t="s">
        <v>44</v>
      </c>
      <c r="D121" s="6" t="s">
        <v>114</v>
      </c>
      <c r="E121" s="6" t="n">
        <v>16</v>
      </c>
      <c r="F121" s="6" t="n">
        <v>8</v>
      </c>
      <c r="G121" s="6" t="s">
        <v>254</v>
      </c>
    </row>
    <row r="122" customFormat="false" ht="15" hidden="false" customHeight="false" outlineLevel="0" collapsed="false">
      <c r="A122" s="6" t="s">
        <v>42</v>
      </c>
      <c r="B122" s="6" t="s">
        <v>43</v>
      </c>
      <c r="C122" s="6" t="s">
        <v>44</v>
      </c>
      <c r="D122" s="6" t="s">
        <v>114</v>
      </c>
      <c r="E122" s="6" t="n">
        <v>16</v>
      </c>
      <c r="F122" s="6" t="n">
        <v>8</v>
      </c>
      <c r="G122" s="6" t="s">
        <v>255</v>
      </c>
    </row>
    <row r="123" customFormat="false" ht="15" hidden="false" customHeight="false" outlineLevel="0" collapsed="false">
      <c r="A123" s="6" t="s">
        <v>42</v>
      </c>
      <c r="B123" s="6" t="s">
        <v>43</v>
      </c>
      <c r="C123" s="6" t="s">
        <v>44</v>
      </c>
      <c r="D123" s="6" t="s">
        <v>114</v>
      </c>
      <c r="E123" s="6" t="n">
        <v>16</v>
      </c>
      <c r="F123" s="6" t="n">
        <v>8</v>
      </c>
      <c r="G123" s="6" t="s">
        <v>256</v>
      </c>
    </row>
    <row r="124" customFormat="false" ht="15" hidden="false" customHeight="false" outlineLevel="0" collapsed="false">
      <c r="A124" s="6" t="s">
        <v>42</v>
      </c>
      <c r="B124" s="6" t="s">
        <v>43</v>
      </c>
      <c r="C124" s="6" t="s">
        <v>44</v>
      </c>
      <c r="D124" s="6" t="s">
        <v>114</v>
      </c>
      <c r="E124" s="6" t="n">
        <v>16</v>
      </c>
      <c r="F124" s="6" t="n">
        <v>8</v>
      </c>
      <c r="G124" s="6" t="s">
        <v>257</v>
      </c>
    </row>
    <row r="125" customFormat="false" ht="15" hidden="false" customHeight="false" outlineLevel="0" collapsed="false">
      <c r="A125" s="6" t="s">
        <v>42</v>
      </c>
      <c r="B125" s="6" t="s">
        <v>43</v>
      </c>
      <c r="C125" s="6" t="s">
        <v>44</v>
      </c>
      <c r="D125" s="6" t="s">
        <v>114</v>
      </c>
      <c r="E125" s="6" t="n">
        <v>16</v>
      </c>
      <c r="F125" s="6" t="n">
        <v>8</v>
      </c>
      <c r="G125" s="6" t="s">
        <v>258</v>
      </c>
    </row>
    <row r="126" customFormat="false" ht="15" hidden="false" customHeight="false" outlineLevel="0" collapsed="false">
      <c r="A126" s="6" t="s">
        <v>42</v>
      </c>
      <c r="B126" s="6" t="s">
        <v>43</v>
      </c>
      <c r="C126" s="6" t="s">
        <v>44</v>
      </c>
      <c r="D126" s="6" t="s">
        <v>114</v>
      </c>
      <c r="E126" s="6" t="n">
        <v>16</v>
      </c>
      <c r="F126" s="6" t="n">
        <v>8</v>
      </c>
      <c r="G126" s="6" t="s">
        <v>259</v>
      </c>
    </row>
    <row r="127" customFormat="false" ht="15" hidden="false" customHeight="false" outlineLevel="0" collapsed="false">
      <c r="A127" s="6" t="s">
        <v>42</v>
      </c>
      <c r="B127" s="6" t="s">
        <v>43</v>
      </c>
      <c r="C127" s="6" t="s">
        <v>44</v>
      </c>
      <c r="D127" s="6" t="s">
        <v>114</v>
      </c>
      <c r="E127" s="6" t="n">
        <v>16</v>
      </c>
      <c r="F127" s="6" t="n">
        <v>8</v>
      </c>
      <c r="G127" s="6" t="s">
        <v>260</v>
      </c>
    </row>
    <row r="128" customFormat="false" ht="15" hidden="false" customHeight="false" outlineLevel="0" collapsed="false">
      <c r="A128" s="6" t="s">
        <v>42</v>
      </c>
      <c r="B128" s="6" t="s">
        <v>43</v>
      </c>
      <c r="C128" s="6" t="s">
        <v>44</v>
      </c>
      <c r="D128" s="6" t="s">
        <v>114</v>
      </c>
      <c r="E128" s="6" t="n">
        <v>16</v>
      </c>
      <c r="F128" s="6" t="n">
        <v>8</v>
      </c>
      <c r="G128" s="6" t="s">
        <v>261</v>
      </c>
    </row>
    <row r="129" customFormat="false" ht="15" hidden="false" customHeight="false" outlineLevel="0" collapsed="false">
      <c r="A129" s="6" t="s">
        <v>42</v>
      </c>
      <c r="B129" s="6" t="s">
        <v>43</v>
      </c>
      <c r="C129" s="6" t="s">
        <v>44</v>
      </c>
      <c r="D129" s="6" t="s">
        <v>114</v>
      </c>
      <c r="E129" s="6" t="n">
        <v>16</v>
      </c>
      <c r="F129" s="6" t="n">
        <v>8</v>
      </c>
      <c r="G129" s="6" t="s">
        <v>262</v>
      </c>
    </row>
    <row r="130" customFormat="false" ht="15" hidden="false" customHeight="false" outlineLevel="0" collapsed="false">
      <c r="A130" s="6" t="s">
        <v>42</v>
      </c>
      <c r="B130" s="6" t="s">
        <v>43</v>
      </c>
      <c r="C130" s="6" t="s">
        <v>44</v>
      </c>
      <c r="D130" s="6" t="s">
        <v>114</v>
      </c>
      <c r="E130" s="6" t="n">
        <v>16</v>
      </c>
      <c r="F130" s="6" t="n">
        <v>9</v>
      </c>
      <c r="G130" s="6" t="s">
        <v>263</v>
      </c>
    </row>
    <row r="131" customFormat="false" ht="15" hidden="false" customHeight="false" outlineLevel="0" collapsed="false">
      <c r="A131" s="6" t="s">
        <v>42</v>
      </c>
      <c r="B131" s="6" t="s">
        <v>43</v>
      </c>
      <c r="C131" s="6" t="s">
        <v>44</v>
      </c>
      <c r="D131" s="6" t="s">
        <v>114</v>
      </c>
      <c r="E131" s="6" t="n">
        <v>16</v>
      </c>
      <c r="F131" s="6" t="n">
        <v>9</v>
      </c>
      <c r="G131" s="6" t="s">
        <v>264</v>
      </c>
    </row>
    <row r="132" customFormat="false" ht="15" hidden="false" customHeight="false" outlineLevel="0" collapsed="false">
      <c r="A132" s="6" t="s">
        <v>42</v>
      </c>
      <c r="B132" s="6" t="s">
        <v>43</v>
      </c>
      <c r="C132" s="6" t="s">
        <v>44</v>
      </c>
      <c r="D132" s="6" t="s">
        <v>114</v>
      </c>
      <c r="E132" s="6" t="n">
        <v>16</v>
      </c>
      <c r="F132" s="6" t="n">
        <v>9</v>
      </c>
      <c r="G132" s="6" t="s">
        <v>265</v>
      </c>
    </row>
    <row r="133" customFormat="false" ht="15" hidden="false" customHeight="false" outlineLevel="0" collapsed="false">
      <c r="A133" s="6" t="s">
        <v>42</v>
      </c>
      <c r="B133" s="6" t="s">
        <v>43</v>
      </c>
      <c r="C133" s="6" t="s">
        <v>44</v>
      </c>
      <c r="D133" s="6" t="s">
        <v>114</v>
      </c>
      <c r="E133" s="6" t="n">
        <v>16</v>
      </c>
      <c r="F133" s="6" t="n">
        <v>9</v>
      </c>
      <c r="G133" s="6" t="s">
        <v>158</v>
      </c>
    </row>
    <row r="134" customFormat="false" ht="15" hidden="false" customHeight="false" outlineLevel="0" collapsed="false">
      <c r="A134" s="6" t="s">
        <v>42</v>
      </c>
      <c r="B134" s="6" t="s">
        <v>43</v>
      </c>
      <c r="C134" s="6" t="s">
        <v>44</v>
      </c>
      <c r="D134" s="6" t="s">
        <v>114</v>
      </c>
      <c r="E134" s="6" t="n">
        <v>16</v>
      </c>
      <c r="F134" s="6" t="n">
        <v>9</v>
      </c>
      <c r="G134" s="6" t="s">
        <v>266</v>
      </c>
    </row>
    <row r="135" customFormat="false" ht="15" hidden="false" customHeight="false" outlineLevel="0" collapsed="false">
      <c r="A135" s="6" t="s">
        <v>42</v>
      </c>
      <c r="B135" s="6" t="s">
        <v>43</v>
      </c>
      <c r="C135" s="6" t="s">
        <v>44</v>
      </c>
      <c r="D135" s="6" t="s">
        <v>114</v>
      </c>
      <c r="E135" s="6" t="n">
        <v>16</v>
      </c>
      <c r="F135" s="6" t="n">
        <v>9</v>
      </c>
      <c r="G135" s="6" t="s">
        <v>267</v>
      </c>
    </row>
    <row r="136" customFormat="false" ht="15" hidden="false" customHeight="false" outlineLevel="0" collapsed="false">
      <c r="A136" s="6" t="s">
        <v>42</v>
      </c>
      <c r="B136" s="6" t="s">
        <v>43</v>
      </c>
      <c r="C136" s="6" t="s">
        <v>44</v>
      </c>
      <c r="D136" s="6" t="s">
        <v>114</v>
      </c>
      <c r="E136" s="6" t="n">
        <v>16</v>
      </c>
      <c r="F136" s="6" t="n">
        <v>9</v>
      </c>
      <c r="G136" s="6" t="s">
        <v>268</v>
      </c>
    </row>
    <row r="137" customFormat="false" ht="15" hidden="false" customHeight="false" outlineLevel="0" collapsed="false">
      <c r="A137" s="6" t="s">
        <v>42</v>
      </c>
      <c r="B137" s="6" t="s">
        <v>43</v>
      </c>
      <c r="C137" s="6" t="s">
        <v>44</v>
      </c>
      <c r="D137" s="6" t="s">
        <v>114</v>
      </c>
      <c r="E137" s="6" t="n">
        <v>16</v>
      </c>
      <c r="F137" s="6" t="n">
        <v>9</v>
      </c>
      <c r="G137" s="6" t="s">
        <v>269</v>
      </c>
    </row>
    <row r="138" customFormat="false" ht="15" hidden="false" customHeight="false" outlineLevel="0" collapsed="false">
      <c r="A138" s="6" t="s">
        <v>42</v>
      </c>
      <c r="B138" s="6" t="s">
        <v>43</v>
      </c>
      <c r="C138" s="6" t="s">
        <v>44</v>
      </c>
      <c r="D138" s="6" t="s">
        <v>114</v>
      </c>
      <c r="E138" s="6" t="n">
        <v>16</v>
      </c>
      <c r="F138" s="6" t="n">
        <v>9</v>
      </c>
      <c r="G138" s="6" t="s">
        <v>270</v>
      </c>
    </row>
    <row r="139" customFormat="false" ht="15" hidden="false" customHeight="false" outlineLevel="0" collapsed="false">
      <c r="A139" s="6" t="s">
        <v>42</v>
      </c>
      <c r="B139" s="6" t="s">
        <v>43</v>
      </c>
      <c r="C139" s="6" t="s">
        <v>44</v>
      </c>
      <c r="D139" s="6" t="s">
        <v>114</v>
      </c>
      <c r="E139" s="6" t="n">
        <v>16</v>
      </c>
      <c r="F139" s="6" t="n">
        <v>9</v>
      </c>
      <c r="G139" s="6" t="s">
        <v>271</v>
      </c>
    </row>
    <row r="140" customFormat="false" ht="15" hidden="false" customHeight="false" outlineLevel="0" collapsed="false">
      <c r="A140" s="6" t="s">
        <v>42</v>
      </c>
      <c r="B140" s="6" t="s">
        <v>43</v>
      </c>
      <c r="C140" s="6" t="s">
        <v>44</v>
      </c>
      <c r="D140" s="6" t="s">
        <v>114</v>
      </c>
      <c r="E140" s="6" t="n">
        <v>16</v>
      </c>
      <c r="F140" s="6" t="n">
        <v>9</v>
      </c>
      <c r="G140" s="6" t="s">
        <v>272</v>
      </c>
    </row>
    <row r="141" customFormat="false" ht="15" hidden="false" customHeight="false" outlineLevel="0" collapsed="false">
      <c r="A141" s="6" t="s">
        <v>42</v>
      </c>
      <c r="B141" s="6" t="s">
        <v>43</v>
      </c>
      <c r="C141" s="6" t="s">
        <v>44</v>
      </c>
      <c r="D141" s="6" t="s">
        <v>114</v>
      </c>
      <c r="E141" s="6" t="n">
        <v>16</v>
      </c>
      <c r="F141" s="6" t="n">
        <v>9</v>
      </c>
      <c r="G141" s="6" t="s">
        <v>273</v>
      </c>
    </row>
    <row r="142" customFormat="false" ht="15" hidden="false" customHeight="false" outlineLevel="0" collapsed="false">
      <c r="A142" s="6" t="s">
        <v>42</v>
      </c>
      <c r="B142" s="6" t="s">
        <v>43</v>
      </c>
      <c r="C142" s="6" t="s">
        <v>44</v>
      </c>
      <c r="D142" s="6" t="s">
        <v>114</v>
      </c>
      <c r="E142" s="6" t="n">
        <v>16</v>
      </c>
      <c r="F142" s="6" t="n">
        <v>9</v>
      </c>
      <c r="G142" s="6" t="s">
        <v>274</v>
      </c>
    </row>
    <row r="143" customFormat="false" ht="15" hidden="false" customHeight="false" outlineLevel="0" collapsed="false">
      <c r="A143" s="6" t="s">
        <v>42</v>
      </c>
      <c r="B143" s="6" t="s">
        <v>43</v>
      </c>
      <c r="C143" s="6" t="s">
        <v>44</v>
      </c>
      <c r="D143" s="6" t="s">
        <v>114</v>
      </c>
      <c r="E143" s="6" t="n">
        <v>16</v>
      </c>
      <c r="F143" s="6" t="n">
        <v>9</v>
      </c>
      <c r="G143" s="6" t="s">
        <v>275</v>
      </c>
    </row>
    <row r="144" customFormat="false" ht="15" hidden="false" customHeight="false" outlineLevel="0" collapsed="false">
      <c r="A144" s="6" t="s">
        <v>42</v>
      </c>
      <c r="B144" s="6" t="s">
        <v>43</v>
      </c>
      <c r="C144" s="6" t="s">
        <v>44</v>
      </c>
      <c r="D144" s="6" t="s">
        <v>114</v>
      </c>
      <c r="E144" s="6" t="n">
        <v>16</v>
      </c>
      <c r="F144" s="6" t="n">
        <v>9</v>
      </c>
      <c r="G144" s="6" t="s">
        <v>276</v>
      </c>
    </row>
    <row r="145" customFormat="false" ht="15" hidden="false" customHeight="false" outlineLevel="0" collapsed="false">
      <c r="A145" s="6" t="s">
        <v>42</v>
      </c>
      <c r="B145" s="6" t="s">
        <v>43</v>
      </c>
      <c r="C145" s="6" t="s">
        <v>44</v>
      </c>
      <c r="D145" s="6" t="s">
        <v>114</v>
      </c>
      <c r="E145" s="6" t="n">
        <v>16</v>
      </c>
      <c r="F145" s="6" t="n">
        <v>9</v>
      </c>
      <c r="G145" s="6" t="s">
        <v>277</v>
      </c>
    </row>
    <row r="146" customFormat="false" ht="15" hidden="false" customHeight="false" outlineLevel="0" collapsed="false">
      <c r="A146" s="6" t="s">
        <v>42</v>
      </c>
      <c r="B146" s="6" t="s">
        <v>43</v>
      </c>
      <c r="C146" s="6" t="s">
        <v>44</v>
      </c>
      <c r="D146" s="6" t="s">
        <v>114</v>
      </c>
      <c r="E146" s="6" t="n">
        <v>16</v>
      </c>
      <c r="F146" s="6" t="n">
        <v>10</v>
      </c>
      <c r="G146" s="6" t="s">
        <v>278</v>
      </c>
    </row>
    <row r="147" customFormat="false" ht="15" hidden="false" customHeight="false" outlineLevel="0" collapsed="false">
      <c r="A147" s="6" t="s">
        <v>42</v>
      </c>
      <c r="B147" s="6" t="s">
        <v>43</v>
      </c>
      <c r="C147" s="6" t="s">
        <v>44</v>
      </c>
      <c r="D147" s="6" t="s">
        <v>114</v>
      </c>
      <c r="E147" s="6" t="n">
        <v>16</v>
      </c>
      <c r="F147" s="6" t="n">
        <v>10</v>
      </c>
      <c r="G147" s="6" t="s">
        <v>279</v>
      </c>
    </row>
    <row r="148" customFormat="false" ht="15" hidden="false" customHeight="false" outlineLevel="0" collapsed="false">
      <c r="A148" s="6" t="s">
        <v>42</v>
      </c>
      <c r="B148" s="6" t="s">
        <v>43</v>
      </c>
      <c r="C148" s="6" t="s">
        <v>44</v>
      </c>
      <c r="D148" s="6" t="s">
        <v>114</v>
      </c>
      <c r="E148" s="6" t="n">
        <v>16</v>
      </c>
      <c r="F148" s="6" t="n">
        <v>10</v>
      </c>
      <c r="G148" s="6" t="s">
        <v>280</v>
      </c>
    </row>
    <row r="149" customFormat="false" ht="15" hidden="false" customHeight="false" outlineLevel="0" collapsed="false">
      <c r="A149" s="6" t="s">
        <v>42</v>
      </c>
      <c r="B149" s="6" t="s">
        <v>43</v>
      </c>
      <c r="C149" s="6" t="s">
        <v>44</v>
      </c>
      <c r="D149" s="6" t="s">
        <v>114</v>
      </c>
      <c r="E149" s="6" t="n">
        <v>16</v>
      </c>
      <c r="F149" s="6" t="n">
        <v>10</v>
      </c>
      <c r="G149" s="6" t="s">
        <v>281</v>
      </c>
    </row>
    <row r="150" customFormat="false" ht="15" hidden="false" customHeight="false" outlineLevel="0" collapsed="false">
      <c r="A150" s="6" t="s">
        <v>42</v>
      </c>
      <c r="B150" s="6" t="s">
        <v>43</v>
      </c>
      <c r="C150" s="6" t="s">
        <v>44</v>
      </c>
      <c r="D150" s="6" t="s">
        <v>114</v>
      </c>
      <c r="E150" s="6" t="n">
        <v>16</v>
      </c>
      <c r="F150" s="6" t="n">
        <v>10</v>
      </c>
      <c r="G150" s="6" t="s">
        <v>282</v>
      </c>
    </row>
    <row r="151" customFormat="false" ht="15" hidden="false" customHeight="false" outlineLevel="0" collapsed="false">
      <c r="A151" s="6" t="s">
        <v>42</v>
      </c>
      <c r="B151" s="6" t="s">
        <v>43</v>
      </c>
      <c r="C151" s="6" t="s">
        <v>44</v>
      </c>
      <c r="D151" s="6" t="s">
        <v>114</v>
      </c>
      <c r="E151" s="6" t="n">
        <v>16</v>
      </c>
      <c r="F151" s="6" t="n">
        <v>10</v>
      </c>
      <c r="G151" s="6" t="s">
        <v>283</v>
      </c>
    </row>
    <row r="152" customFormat="false" ht="15" hidden="false" customHeight="false" outlineLevel="0" collapsed="false">
      <c r="A152" s="6" t="s">
        <v>42</v>
      </c>
      <c r="B152" s="6" t="s">
        <v>43</v>
      </c>
      <c r="C152" s="6" t="s">
        <v>44</v>
      </c>
      <c r="D152" s="6" t="s">
        <v>114</v>
      </c>
      <c r="E152" s="6" t="n">
        <v>16</v>
      </c>
      <c r="F152" s="6" t="n">
        <v>10</v>
      </c>
      <c r="G152" s="6" t="s">
        <v>284</v>
      </c>
    </row>
    <row r="153" customFormat="false" ht="15" hidden="false" customHeight="false" outlineLevel="0" collapsed="false">
      <c r="A153" s="6" t="s">
        <v>42</v>
      </c>
      <c r="B153" s="6" t="s">
        <v>43</v>
      </c>
      <c r="C153" s="6" t="s">
        <v>44</v>
      </c>
      <c r="D153" s="6" t="s">
        <v>114</v>
      </c>
      <c r="E153" s="6" t="n">
        <v>16</v>
      </c>
      <c r="F153" s="6" t="n">
        <v>10</v>
      </c>
      <c r="G153" s="6" t="s">
        <v>285</v>
      </c>
    </row>
    <row r="154" customFormat="false" ht="15" hidden="false" customHeight="false" outlineLevel="0" collapsed="false">
      <c r="A154" s="6" t="s">
        <v>42</v>
      </c>
      <c r="B154" s="6" t="s">
        <v>43</v>
      </c>
      <c r="C154" s="6" t="s">
        <v>44</v>
      </c>
      <c r="D154" s="6" t="s">
        <v>114</v>
      </c>
      <c r="E154" s="6" t="n">
        <v>16</v>
      </c>
      <c r="F154" s="6" t="n">
        <v>10</v>
      </c>
      <c r="G154" s="6" t="s">
        <v>286</v>
      </c>
    </row>
    <row r="155" customFormat="false" ht="15" hidden="false" customHeight="false" outlineLevel="0" collapsed="false">
      <c r="A155" s="6" t="s">
        <v>42</v>
      </c>
      <c r="B155" s="6" t="s">
        <v>43</v>
      </c>
      <c r="C155" s="6" t="s">
        <v>44</v>
      </c>
      <c r="D155" s="6" t="s">
        <v>114</v>
      </c>
      <c r="E155" s="6" t="n">
        <v>16</v>
      </c>
      <c r="F155" s="6" t="n">
        <v>10</v>
      </c>
      <c r="G155" s="6" t="s">
        <v>287</v>
      </c>
    </row>
    <row r="156" customFormat="false" ht="15" hidden="false" customHeight="false" outlineLevel="0" collapsed="false">
      <c r="A156" s="6" t="s">
        <v>42</v>
      </c>
      <c r="B156" s="6" t="s">
        <v>43</v>
      </c>
      <c r="C156" s="6" t="s">
        <v>44</v>
      </c>
      <c r="D156" s="6" t="s">
        <v>114</v>
      </c>
      <c r="E156" s="6" t="n">
        <v>16</v>
      </c>
      <c r="F156" s="6" t="n">
        <v>10</v>
      </c>
      <c r="G156" s="6" t="s">
        <v>288</v>
      </c>
    </row>
    <row r="157" customFormat="false" ht="15" hidden="false" customHeight="false" outlineLevel="0" collapsed="false">
      <c r="A157" s="6" t="s">
        <v>42</v>
      </c>
      <c r="B157" s="6" t="s">
        <v>43</v>
      </c>
      <c r="C157" s="6" t="s">
        <v>44</v>
      </c>
      <c r="D157" s="6" t="s">
        <v>114</v>
      </c>
      <c r="E157" s="6" t="n">
        <v>16</v>
      </c>
      <c r="F157" s="6" t="n">
        <v>10</v>
      </c>
      <c r="G157" s="6" t="s">
        <v>289</v>
      </c>
    </row>
    <row r="158" customFormat="false" ht="15" hidden="false" customHeight="false" outlineLevel="0" collapsed="false">
      <c r="A158" s="6" t="s">
        <v>42</v>
      </c>
      <c r="B158" s="6" t="s">
        <v>43</v>
      </c>
      <c r="C158" s="6" t="s">
        <v>44</v>
      </c>
      <c r="D158" s="6" t="s">
        <v>114</v>
      </c>
      <c r="E158" s="6" t="n">
        <v>16</v>
      </c>
      <c r="F158" s="6" t="n">
        <v>10</v>
      </c>
      <c r="G158" s="6" t="s">
        <v>290</v>
      </c>
    </row>
    <row r="159" customFormat="false" ht="15" hidden="false" customHeight="false" outlineLevel="0" collapsed="false">
      <c r="A159" s="6" t="s">
        <v>42</v>
      </c>
      <c r="B159" s="6" t="s">
        <v>43</v>
      </c>
      <c r="C159" s="6" t="s">
        <v>44</v>
      </c>
      <c r="D159" s="6" t="s">
        <v>114</v>
      </c>
      <c r="E159" s="6" t="n">
        <v>16</v>
      </c>
      <c r="F159" s="6" t="n">
        <v>10</v>
      </c>
      <c r="G159" s="6" t="s">
        <v>291</v>
      </c>
    </row>
    <row r="160" customFormat="false" ht="15" hidden="false" customHeight="false" outlineLevel="0" collapsed="false">
      <c r="A160" s="6" t="s">
        <v>42</v>
      </c>
      <c r="B160" s="6" t="s">
        <v>43</v>
      </c>
      <c r="C160" s="6" t="s">
        <v>44</v>
      </c>
      <c r="D160" s="6" t="s">
        <v>114</v>
      </c>
      <c r="E160" s="6" t="n">
        <v>16</v>
      </c>
      <c r="F160" s="6" t="n">
        <v>10</v>
      </c>
      <c r="G160" s="6" t="s">
        <v>292</v>
      </c>
    </row>
    <row r="161" customFormat="false" ht="15" hidden="false" customHeight="false" outlineLevel="0" collapsed="false">
      <c r="A161" s="6" t="s">
        <v>42</v>
      </c>
      <c r="B161" s="6" t="s">
        <v>43</v>
      </c>
      <c r="C161" s="6" t="s">
        <v>44</v>
      </c>
      <c r="D161" s="6" t="s">
        <v>114</v>
      </c>
      <c r="E161" s="6" t="n">
        <v>16</v>
      </c>
      <c r="F161" s="6" t="n">
        <v>10</v>
      </c>
      <c r="G161" s="6" t="s">
        <v>293</v>
      </c>
    </row>
    <row r="162" customFormat="false" ht="15" hidden="false" customHeight="false" outlineLevel="0" collapsed="false">
      <c r="A162" s="6" t="s">
        <v>46</v>
      </c>
      <c r="B162" s="6" t="s">
        <v>43</v>
      </c>
      <c r="C162" s="6" t="s">
        <v>44</v>
      </c>
      <c r="D162" s="6" t="s">
        <v>115</v>
      </c>
      <c r="E162" s="6" t="n">
        <v>1</v>
      </c>
      <c r="F162" s="6" t="n">
        <v>1</v>
      </c>
      <c r="G162" s="6" t="s">
        <v>294</v>
      </c>
    </row>
    <row r="163" customFormat="false" ht="15" hidden="false" customHeight="false" outlineLevel="0" collapsed="false">
      <c r="A163" s="6" t="s">
        <v>46</v>
      </c>
      <c r="B163" s="6" t="s">
        <v>43</v>
      </c>
      <c r="C163" s="6" t="s">
        <v>44</v>
      </c>
      <c r="D163" s="6" t="s">
        <v>115</v>
      </c>
      <c r="E163" s="6" t="n">
        <v>1</v>
      </c>
      <c r="F163" s="6" t="n">
        <v>2</v>
      </c>
      <c r="G163" s="6" t="s">
        <v>295</v>
      </c>
    </row>
    <row r="164" customFormat="false" ht="15" hidden="false" customHeight="false" outlineLevel="0" collapsed="false">
      <c r="A164" s="6" t="s">
        <v>46</v>
      </c>
      <c r="B164" s="6" t="s">
        <v>43</v>
      </c>
      <c r="C164" s="6" t="s">
        <v>44</v>
      </c>
      <c r="D164" s="6" t="s">
        <v>115</v>
      </c>
      <c r="E164" s="6" t="n">
        <v>1</v>
      </c>
      <c r="F164" s="6" t="n">
        <v>3</v>
      </c>
      <c r="G164" s="6" t="s">
        <v>296</v>
      </c>
    </row>
    <row r="165" customFormat="false" ht="15" hidden="false" customHeight="false" outlineLevel="0" collapsed="false">
      <c r="A165" s="6" t="s">
        <v>46</v>
      </c>
      <c r="B165" s="6" t="s">
        <v>43</v>
      </c>
      <c r="C165" s="6" t="s">
        <v>44</v>
      </c>
      <c r="D165" s="6" t="s">
        <v>115</v>
      </c>
      <c r="E165" s="6" t="n">
        <v>1</v>
      </c>
      <c r="F165" s="6" t="n">
        <v>4</v>
      </c>
      <c r="G165" s="6" t="s">
        <v>297</v>
      </c>
    </row>
    <row r="166" customFormat="false" ht="15" hidden="false" customHeight="false" outlineLevel="0" collapsed="false">
      <c r="A166" s="6" t="s">
        <v>46</v>
      </c>
      <c r="B166" s="6" t="s">
        <v>43</v>
      </c>
      <c r="C166" s="6" t="s">
        <v>44</v>
      </c>
      <c r="D166" s="6" t="s">
        <v>115</v>
      </c>
      <c r="E166" s="6" t="n">
        <v>1</v>
      </c>
      <c r="F166" s="6" t="n">
        <v>5</v>
      </c>
      <c r="G166" s="6" t="s">
        <v>298</v>
      </c>
    </row>
    <row r="167" customFormat="false" ht="15" hidden="false" customHeight="false" outlineLevel="0" collapsed="false">
      <c r="A167" s="6" t="s">
        <v>46</v>
      </c>
      <c r="B167" s="6" t="s">
        <v>43</v>
      </c>
      <c r="C167" s="6" t="s">
        <v>44</v>
      </c>
      <c r="D167" s="6" t="s">
        <v>115</v>
      </c>
      <c r="E167" s="6" t="n">
        <v>1</v>
      </c>
      <c r="F167" s="6" t="n">
        <v>6</v>
      </c>
      <c r="G167" s="6" t="s">
        <v>299</v>
      </c>
    </row>
    <row r="168" customFormat="false" ht="15" hidden="false" customHeight="false" outlineLevel="0" collapsed="false">
      <c r="A168" s="6" t="s">
        <v>46</v>
      </c>
      <c r="B168" s="6" t="s">
        <v>43</v>
      </c>
      <c r="C168" s="6" t="s">
        <v>44</v>
      </c>
      <c r="D168" s="6" t="s">
        <v>115</v>
      </c>
      <c r="E168" s="6" t="n">
        <v>1</v>
      </c>
      <c r="F168" s="6" t="n">
        <v>7</v>
      </c>
      <c r="G168" s="6" t="s">
        <v>300</v>
      </c>
    </row>
    <row r="169" customFormat="false" ht="15" hidden="false" customHeight="false" outlineLevel="0" collapsed="false">
      <c r="A169" s="6" t="s">
        <v>46</v>
      </c>
      <c r="B169" s="6" t="s">
        <v>43</v>
      </c>
      <c r="C169" s="6" t="s">
        <v>44</v>
      </c>
      <c r="D169" s="6" t="s">
        <v>115</v>
      </c>
      <c r="E169" s="6" t="n">
        <v>1</v>
      </c>
      <c r="F169" s="6" t="n">
        <v>8</v>
      </c>
      <c r="G169" s="6" t="s">
        <v>301</v>
      </c>
    </row>
    <row r="170" customFormat="false" ht="15" hidden="false" customHeight="false" outlineLevel="0" collapsed="false">
      <c r="A170" s="6" t="s">
        <v>46</v>
      </c>
      <c r="B170" s="6" t="s">
        <v>43</v>
      </c>
      <c r="C170" s="6" t="s">
        <v>44</v>
      </c>
      <c r="D170" s="6" t="s">
        <v>115</v>
      </c>
      <c r="E170" s="6" t="n">
        <v>1</v>
      </c>
      <c r="F170" s="6" t="n">
        <v>9</v>
      </c>
      <c r="G170" s="6" t="s">
        <v>302</v>
      </c>
    </row>
    <row r="171" customFormat="false" ht="15" hidden="false" customHeight="false" outlineLevel="0" collapsed="false">
      <c r="A171" s="6" t="s">
        <v>46</v>
      </c>
      <c r="B171" s="6" t="s">
        <v>43</v>
      </c>
      <c r="C171" s="6" t="s">
        <v>44</v>
      </c>
      <c r="D171" s="6" t="s">
        <v>115</v>
      </c>
      <c r="E171" s="6" t="n">
        <v>1</v>
      </c>
      <c r="F171" s="6" t="n">
        <v>10</v>
      </c>
      <c r="G171" s="6" t="s">
        <v>303</v>
      </c>
    </row>
    <row r="172" customFormat="false" ht="15" hidden="false" customHeight="false" outlineLevel="0" collapsed="false">
      <c r="A172" s="6" t="s">
        <v>48</v>
      </c>
      <c r="B172" s="6" t="s">
        <v>43</v>
      </c>
      <c r="C172" s="6" t="s">
        <v>49</v>
      </c>
      <c r="D172" s="6" t="s">
        <v>115</v>
      </c>
      <c r="E172" s="6" t="n">
        <v>4</v>
      </c>
      <c r="F172" s="6" t="n">
        <v>1</v>
      </c>
      <c r="G172" s="6" t="s">
        <v>304</v>
      </c>
    </row>
    <row r="173" customFormat="false" ht="15" hidden="false" customHeight="false" outlineLevel="0" collapsed="false">
      <c r="A173" s="6" t="s">
        <v>48</v>
      </c>
      <c r="B173" s="6" t="s">
        <v>43</v>
      </c>
      <c r="C173" s="6" t="s">
        <v>49</v>
      </c>
      <c r="D173" s="6" t="s">
        <v>115</v>
      </c>
      <c r="E173" s="6" t="n">
        <v>4</v>
      </c>
      <c r="F173" s="6" t="n">
        <v>1</v>
      </c>
      <c r="G173" s="6" t="s">
        <v>305</v>
      </c>
    </row>
    <row r="174" customFormat="false" ht="15" hidden="false" customHeight="false" outlineLevel="0" collapsed="false">
      <c r="A174" s="6" t="s">
        <v>48</v>
      </c>
      <c r="B174" s="6" t="s">
        <v>43</v>
      </c>
      <c r="C174" s="6" t="s">
        <v>49</v>
      </c>
      <c r="D174" s="6" t="s">
        <v>115</v>
      </c>
      <c r="E174" s="6" t="n">
        <v>4</v>
      </c>
      <c r="F174" s="6" t="n">
        <v>1</v>
      </c>
      <c r="G174" s="6" t="s">
        <v>306</v>
      </c>
    </row>
    <row r="175" customFormat="false" ht="15" hidden="false" customHeight="false" outlineLevel="0" collapsed="false">
      <c r="A175" s="6" t="s">
        <v>48</v>
      </c>
      <c r="B175" s="6" t="s">
        <v>43</v>
      </c>
      <c r="C175" s="6" t="s">
        <v>49</v>
      </c>
      <c r="D175" s="6" t="s">
        <v>115</v>
      </c>
      <c r="E175" s="6" t="n">
        <v>4</v>
      </c>
      <c r="F175" s="6" t="n">
        <v>1</v>
      </c>
      <c r="G175" s="6" t="s">
        <v>307</v>
      </c>
    </row>
    <row r="176" customFormat="false" ht="15" hidden="false" customHeight="false" outlineLevel="0" collapsed="false">
      <c r="A176" s="6" t="s">
        <v>48</v>
      </c>
      <c r="B176" s="6" t="s">
        <v>43</v>
      </c>
      <c r="C176" s="6" t="s">
        <v>49</v>
      </c>
      <c r="D176" s="6" t="s">
        <v>115</v>
      </c>
      <c r="E176" s="6" t="n">
        <v>4</v>
      </c>
      <c r="F176" s="6" t="n">
        <v>2</v>
      </c>
      <c r="G176" s="6" t="s">
        <v>308</v>
      </c>
    </row>
    <row r="177" customFormat="false" ht="15" hidden="false" customHeight="false" outlineLevel="0" collapsed="false">
      <c r="A177" s="6" t="s">
        <v>48</v>
      </c>
      <c r="B177" s="6" t="s">
        <v>43</v>
      </c>
      <c r="C177" s="6" t="s">
        <v>49</v>
      </c>
      <c r="D177" s="6" t="s">
        <v>115</v>
      </c>
      <c r="E177" s="6" t="n">
        <v>4</v>
      </c>
      <c r="F177" s="6" t="n">
        <v>2</v>
      </c>
      <c r="G177" s="6" t="s">
        <v>309</v>
      </c>
    </row>
    <row r="178" customFormat="false" ht="15" hidden="false" customHeight="false" outlineLevel="0" collapsed="false">
      <c r="A178" s="6" t="s">
        <v>48</v>
      </c>
      <c r="B178" s="6" t="s">
        <v>43</v>
      </c>
      <c r="C178" s="6" t="s">
        <v>49</v>
      </c>
      <c r="D178" s="6" t="s">
        <v>115</v>
      </c>
      <c r="E178" s="6" t="n">
        <v>4</v>
      </c>
      <c r="F178" s="6" t="n">
        <v>2</v>
      </c>
      <c r="G178" s="6" t="s">
        <v>310</v>
      </c>
    </row>
    <row r="179" customFormat="false" ht="15" hidden="false" customHeight="false" outlineLevel="0" collapsed="false">
      <c r="A179" s="6" t="s">
        <v>48</v>
      </c>
      <c r="B179" s="6" t="s">
        <v>43</v>
      </c>
      <c r="C179" s="6" t="s">
        <v>49</v>
      </c>
      <c r="D179" s="6" t="s">
        <v>115</v>
      </c>
      <c r="E179" s="6" t="n">
        <v>4</v>
      </c>
      <c r="F179" s="6" t="n">
        <v>2</v>
      </c>
      <c r="G179" s="6" t="s">
        <v>311</v>
      </c>
    </row>
    <row r="180" customFormat="false" ht="15" hidden="false" customHeight="false" outlineLevel="0" collapsed="false">
      <c r="A180" s="6" t="s">
        <v>48</v>
      </c>
      <c r="B180" s="6" t="s">
        <v>43</v>
      </c>
      <c r="C180" s="6" t="s">
        <v>49</v>
      </c>
      <c r="D180" s="6" t="s">
        <v>115</v>
      </c>
      <c r="E180" s="6" t="n">
        <v>4</v>
      </c>
      <c r="F180" s="6" t="n">
        <v>3</v>
      </c>
      <c r="G180" s="6" t="s">
        <v>312</v>
      </c>
    </row>
    <row r="181" customFormat="false" ht="15" hidden="false" customHeight="false" outlineLevel="0" collapsed="false">
      <c r="A181" s="6" t="s">
        <v>48</v>
      </c>
      <c r="B181" s="6" t="s">
        <v>43</v>
      </c>
      <c r="C181" s="6" t="s">
        <v>49</v>
      </c>
      <c r="D181" s="6" t="s">
        <v>115</v>
      </c>
      <c r="E181" s="6" t="n">
        <v>4</v>
      </c>
      <c r="F181" s="6" t="n">
        <v>3</v>
      </c>
      <c r="G181" s="6" t="s">
        <v>313</v>
      </c>
    </row>
    <row r="182" customFormat="false" ht="15" hidden="false" customHeight="false" outlineLevel="0" collapsed="false">
      <c r="A182" s="6" t="s">
        <v>48</v>
      </c>
      <c r="B182" s="6" t="s">
        <v>43</v>
      </c>
      <c r="C182" s="6" t="s">
        <v>49</v>
      </c>
      <c r="D182" s="6" t="s">
        <v>115</v>
      </c>
      <c r="E182" s="6" t="n">
        <v>4</v>
      </c>
      <c r="F182" s="6" t="n">
        <v>3</v>
      </c>
      <c r="G182" s="6" t="s">
        <v>314</v>
      </c>
    </row>
    <row r="183" customFormat="false" ht="15" hidden="false" customHeight="false" outlineLevel="0" collapsed="false">
      <c r="A183" s="6" t="s">
        <v>48</v>
      </c>
      <c r="B183" s="6" t="s">
        <v>43</v>
      </c>
      <c r="C183" s="6" t="s">
        <v>49</v>
      </c>
      <c r="D183" s="6" t="s">
        <v>115</v>
      </c>
      <c r="E183" s="6" t="n">
        <v>4</v>
      </c>
      <c r="F183" s="6" t="n">
        <v>3</v>
      </c>
      <c r="G183" s="6" t="s">
        <v>315</v>
      </c>
    </row>
    <row r="184" customFormat="false" ht="15" hidden="false" customHeight="false" outlineLevel="0" collapsed="false">
      <c r="A184" s="6" t="s">
        <v>48</v>
      </c>
      <c r="B184" s="6" t="s">
        <v>43</v>
      </c>
      <c r="C184" s="6" t="s">
        <v>49</v>
      </c>
      <c r="D184" s="6" t="s">
        <v>115</v>
      </c>
      <c r="E184" s="6" t="n">
        <v>4</v>
      </c>
      <c r="F184" s="6" t="n">
        <v>4</v>
      </c>
      <c r="G184" s="6" t="s">
        <v>316</v>
      </c>
    </row>
    <row r="185" customFormat="false" ht="15" hidden="false" customHeight="false" outlineLevel="0" collapsed="false">
      <c r="A185" s="6" t="s">
        <v>48</v>
      </c>
      <c r="B185" s="6" t="s">
        <v>43</v>
      </c>
      <c r="C185" s="6" t="s">
        <v>49</v>
      </c>
      <c r="D185" s="6" t="s">
        <v>115</v>
      </c>
      <c r="E185" s="6" t="n">
        <v>4</v>
      </c>
      <c r="F185" s="6" t="n">
        <v>4</v>
      </c>
      <c r="G185" s="6" t="s">
        <v>317</v>
      </c>
    </row>
    <row r="186" customFormat="false" ht="15" hidden="false" customHeight="false" outlineLevel="0" collapsed="false">
      <c r="A186" s="6" t="s">
        <v>48</v>
      </c>
      <c r="B186" s="6" t="s">
        <v>43</v>
      </c>
      <c r="C186" s="6" t="s">
        <v>49</v>
      </c>
      <c r="D186" s="6" t="s">
        <v>115</v>
      </c>
      <c r="E186" s="6" t="n">
        <v>4</v>
      </c>
      <c r="F186" s="6" t="n">
        <v>4</v>
      </c>
      <c r="G186" s="6" t="s">
        <v>318</v>
      </c>
    </row>
    <row r="187" customFormat="false" ht="15" hidden="false" customHeight="false" outlineLevel="0" collapsed="false">
      <c r="A187" s="6" t="s">
        <v>48</v>
      </c>
      <c r="B187" s="6" t="s">
        <v>43</v>
      </c>
      <c r="C187" s="6" t="s">
        <v>49</v>
      </c>
      <c r="D187" s="6" t="s">
        <v>115</v>
      </c>
      <c r="E187" s="6" t="n">
        <v>4</v>
      </c>
      <c r="F187" s="6" t="n">
        <v>4</v>
      </c>
      <c r="G187" s="6" t="s">
        <v>319</v>
      </c>
    </row>
    <row r="188" customFormat="false" ht="15" hidden="false" customHeight="false" outlineLevel="0" collapsed="false">
      <c r="A188" s="6" t="s">
        <v>48</v>
      </c>
      <c r="B188" s="6" t="s">
        <v>43</v>
      </c>
      <c r="C188" s="6" t="s">
        <v>49</v>
      </c>
      <c r="D188" s="6" t="s">
        <v>115</v>
      </c>
      <c r="E188" s="6" t="n">
        <v>4</v>
      </c>
      <c r="F188" s="6" t="n">
        <v>5</v>
      </c>
      <c r="G188" s="6" t="s">
        <v>320</v>
      </c>
    </row>
    <row r="189" customFormat="false" ht="15" hidden="false" customHeight="false" outlineLevel="0" collapsed="false">
      <c r="A189" s="6" t="s">
        <v>48</v>
      </c>
      <c r="B189" s="6" t="s">
        <v>43</v>
      </c>
      <c r="C189" s="6" t="s">
        <v>49</v>
      </c>
      <c r="D189" s="6" t="s">
        <v>115</v>
      </c>
      <c r="E189" s="6" t="n">
        <v>4</v>
      </c>
      <c r="F189" s="6" t="n">
        <v>5</v>
      </c>
      <c r="G189" s="6" t="s">
        <v>321</v>
      </c>
    </row>
    <row r="190" customFormat="false" ht="15" hidden="false" customHeight="false" outlineLevel="0" collapsed="false">
      <c r="A190" s="6" t="s">
        <v>48</v>
      </c>
      <c r="B190" s="6" t="s">
        <v>43</v>
      </c>
      <c r="C190" s="6" t="s">
        <v>49</v>
      </c>
      <c r="D190" s="6" t="s">
        <v>115</v>
      </c>
      <c r="E190" s="6" t="n">
        <v>4</v>
      </c>
      <c r="F190" s="6" t="n">
        <v>5</v>
      </c>
      <c r="G190" s="6" t="s">
        <v>322</v>
      </c>
    </row>
    <row r="191" customFormat="false" ht="15" hidden="false" customHeight="false" outlineLevel="0" collapsed="false">
      <c r="A191" s="6" t="s">
        <v>48</v>
      </c>
      <c r="B191" s="6" t="s">
        <v>43</v>
      </c>
      <c r="C191" s="6" t="s">
        <v>49</v>
      </c>
      <c r="D191" s="6" t="s">
        <v>115</v>
      </c>
      <c r="E191" s="6" t="n">
        <v>4</v>
      </c>
      <c r="F191" s="6" t="n">
        <v>5</v>
      </c>
      <c r="G191" s="6" t="s">
        <v>323</v>
      </c>
    </row>
    <row r="192" customFormat="false" ht="15" hidden="false" customHeight="false" outlineLevel="0" collapsed="false">
      <c r="A192" s="6" t="s">
        <v>48</v>
      </c>
      <c r="B192" s="6" t="s">
        <v>43</v>
      </c>
      <c r="C192" s="6" t="s">
        <v>49</v>
      </c>
      <c r="D192" s="6" t="s">
        <v>115</v>
      </c>
      <c r="E192" s="6" t="n">
        <v>4</v>
      </c>
      <c r="F192" s="6" t="n">
        <v>6</v>
      </c>
      <c r="G192" s="6" t="s">
        <v>324</v>
      </c>
    </row>
    <row r="193" customFormat="false" ht="15" hidden="false" customHeight="false" outlineLevel="0" collapsed="false">
      <c r="A193" s="6" t="s">
        <v>48</v>
      </c>
      <c r="B193" s="6" t="s">
        <v>43</v>
      </c>
      <c r="C193" s="6" t="s">
        <v>49</v>
      </c>
      <c r="D193" s="6" t="s">
        <v>115</v>
      </c>
      <c r="E193" s="6" t="n">
        <v>4</v>
      </c>
      <c r="F193" s="6" t="n">
        <v>6</v>
      </c>
      <c r="G193" s="6" t="s">
        <v>325</v>
      </c>
    </row>
    <row r="194" customFormat="false" ht="15" hidden="false" customHeight="false" outlineLevel="0" collapsed="false">
      <c r="A194" s="6" t="s">
        <v>48</v>
      </c>
      <c r="B194" s="6" t="s">
        <v>43</v>
      </c>
      <c r="C194" s="6" t="s">
        <v>49</v>
      </c>
      <c r="D194" s="6" t="s">
        <v>115</v>
      </c>
      <c r="E194" s="6" t="n">
        <v>4</v>
      </c>
      <c r="F194" s="6" t="n">
        <v>6</v>
      </c>
      <c r="G194" s="6" t="s">
        <v>326</v>
      </c>
    </row>
    <row r="195" customFormat="false" ht="15" hidden="false" customHeight="false" outlineLevel="0" collapsed="false">
      <c r="A195" s="6" t="s">
        <v>48</v>
      </c>
      <c r="B195" s="6" t="s">
        <v>43</v>
      </c>
      <c r="C195" s="6" t="s">
        <v>49</v>
      </c>
      <c r="D195" s="6" t="s">
        <v>115</v>
      </c>
      <c r="E195" s="6" t="n">
        <v>4</v>
      </c>
      <c r="F195" s="6" t="n">
        <v>6</v>
      </c>
      <c r="G195" s="6" t="s">
        <v>327</v>
      </c>
    </row>
    <row r="196" customFormat="false" ht="15" hidden="false" customHeight="false" outlineLevel="0" collapsed="false">
      <c r="A196" s="6" t="s">
        <v>48</v>
      </c>
      <c r="B196" s="6" t="s">
        <v>43</v>
      </c>
      <c r="C196" s="6" t="s">
        <v>49</v>
      </c>
      <c r="D196" s="6" t="s">
        <v>115</v>
      </c>
      <c r="E196" s="6" t="n">
        <v>4</v>
      </c>
      <c r="F196" s="6" t="n">
        <v>7</v>
      </c>
      <c r="G196" s="6" t="s">
        <v>328</v>
      </c>
    </row>
    <row r="197" customFormat="false" ht="15" hidden="false" customHeight="false" outlineLevel="0" collapsed="false">
      <c r="A197" s="6" t="s">
        <v>48</v>
      </c>
      <c r="B197" s="6" t="s">
        <v>43</v>
      </c>
      <c r="C197" s="6" t="s">
        <v>49</v>
      </c>
      <c r="D197" s="6" t="s">
        <v>115</v>
      </c>
      <c r="E197" s="6" t="n">
        <v>4</v>
      </c>
      <c r="F197" s="6" t="n">
        <v>7</v>
      </c>
      <c r="G197" s="6" t="s">
        <v>329</v>
      </c>
    </row>
    <row r="198" customFormat="false" ht="15" hidden="false" customHeight="false" outlineLevel="0" collapsed="false">
      <c r="A198" s="6" t="s">
        <v>48</v>
      </c>
      <c r="B198" s="6" t="s">
        <v>43</v>
      </c>
      <c r="C198" s="6" t="s">
        <v>49</v>
      </c>
      <c r="D198" s="6" t="s">
        <v>115</v>
      </c>
      <c r="E198" s="6" t="n">
        <v>4</v>
      </c>
      <c r="F198" s="6" t="n">
        <v>7</v>
      </c>
      <c r="G198" s="6" t="s">
        <v>330</v>
      </c>
    </row>
    <row r="199" customFormat="false" ht="15" hidden="false" customHeight="false" outlineLevel="0" collapsed="false">
      <c r="A199" s="6" t="s">
        <v>48</v>
      </c>
      <c r="B199" s="6" t="s">
        <v>43</v>
      </c>
      <c r="C199" s="6" t="s">
        <v>49</v>
      </c>
      <c r="D199" s="6" t="s">
        <v>115</v>
      </c>
      <c r="E199" s="6" t="n">
        <v>4</v>
      </c>
      <c r="F199" s="6" t="n">
        <v>7</v>
      </c>
      <c r="G199" s="6" t="s">
        <v>331</v>
      </c>
    </row>
    <row r="200" customFormat="false" ht="15" hidden="false" customHeight="false" outlineLevel="0" collapsed="false">
      <c r="A200" s="6" t="s">
        <v>48</v>
      </c>
      <c r="B200" s="6" t="s">
        <v>43</v>
      </c>
      <c r="C200" s="6" t="s">
        <v>49</v>
      </c>
      <c r="D200" s="6" t="s">
        <v>115</v>
      </c>
      <c r="E200" s="6" t="n">
        <v>4</v>
      </c>
      <c r="F200" s="6" t="n">
        <v>8</v>
      </c>
      <c r="G200" s="6" t="s">
        <v>332</v>
      </c>
    </row>
    <row r="201" customFormat="false" ht="15" hidden="false" customHeight="false" outlineLevel="0" collapsed="false">
      <c r="A201" s="6" t="s">
        <v>48</v>
      </c>
      <c r="B201" s="6" t="s">
        <v>43</v>
      </c>
      <c r="C201" s="6" t="s">
        <v>49</v>
      </c>
      <c r="D201" s="6" t="s">
        <v>115</v>
      </c>
      <c r="E201" s="6" t="n">
        <v>4</v>
      </c>
      <c r="F201" s="6" t="n">
        <v>8</v>
      </c>
      <c r="G201" s="6" t="s">
        <v>333</v>
      </c>
    </row>
    <row r="202" customFormat="false" ht="15" hidden="false" customHeight="false" outlineLevel="0" collapsed="false">
      <c r="A202" s="6" t="s">
        <v>48</v>
      </c>
      <c r="B202" s="6" t="s">
        <v>43</v>
      </c>
      <c r="C202" s="6" t="s">
        <v>49</v>
      </c>
      <c r="D202" s="6" t="s">
        <v>115</v>
      </c>
      <c r="E202" s="6" t="n">
        <v>4</v>
      </c>
      <c r="F202" s="6" t="n">
        <v>8</v>
      </c>
      <c r="G202" s="6" t="s">
        <v>334</v>
      </c>
    </row>
    <row r="203" customFormat="false" ht="15" hidden="false" customHeight="false" outlineLevel="0" collapsed="false">
      <c r="A203" s="6" t="s">
        <v>48</v>
      </c>
      <c r="B203" s="6" t="s">
        <v>43</v>
      </c>
      <c r="C203" s="6" t="s">
        <v>49</v>
      </c>
      <c r="D203" s="6" t="s">
        <v>115</v>
      </c>
      <c r="E203" s="6" t="n">
        <v>4</v>
      </c>
      <c r="F203" s="6" t="n">
        <v>8</v>
      </c>
      <c r="G203" s="6" t="s">
        <v>335</v>
      </c>
    </row>
    <row r="204" customFormat="false" ht="15" hidden="false" customHeight="false" outlineLevel="0" collapsed="false">
      <c r="A204" s="6" t="s">
        <v>48</v>
      </c>
      <c r="B204" s="6" t="s">
        <v>43</v>
      </c>
      <c r="C204" s="6" t="s">
        <v>49</v>
      </c>
      <c r="D204" s="6" t="s">
        <v>115</v>
      </c>
      <c r="E204" s="6" t="n">
        <v>4</v>
      </c>
      <c r="F204" s="6" t="n">
        <v>9</v>
      </c>
      <c r="G204" s="6" t="s">
        <v>336</v>
      </c>
    </row>
    <row r="205" customFormat="false" ht="15" hidden="false" customHeight="false" outlineLevel="0" collapsed="false">
      <c r="A205" s="6" t="s">
        <v>48</v>
      </c>
      <c r="B205" s="6" t="s">
        <v>43</v>
      </c>
      <c r="C205" s="6" t="s">
        <v>49</v>
      </c>
      <c r="D205" s="6" t="s">
        <v>115</v>
      </c>
      <c r="E205" s="6" t="n">
        <v>4</v>
      </c>
      <c r="F205" s="6" t="n">
        <v>9</v>
      </c>
      <c r="G205" s="6" t="s">
        <v>337</v>
      </c>
    </row>
    <row r="206" customFormat="false" ht="15" hidden="false" customHeight="false" outlineLevel="0" collapsed="false">
      <c r="A206" s="6" t="s">
        <v>48</v>
      </c>
      <c r="B206" s="6" t="s">
        <v>43</v>
      </c>
      <c r="C206" s="6" t="s">
        <v>49</v>
      </c>
      <c r="D206" s="6" t="s">
        <v>115</v>
      </c>
      <c r="E206" s="6" t="n">
        <v>4</v>
      </c>
      <c r="F206" s="6" t="n">
        <v>9</v>
      </c>
      <c r="G206" s="6" t="s">
        <v>338</v>
      </c>
    </row>
    <row r="207" customFormat="false" ht="15" hidden="false" customHeight="false" outlineLevel="0" collapsed="false">
      <c r="A207" s="6" t="s">
        <v>48</v>
      </c>
      <c r="B207" s="6" t="s">
        <v>43</v>
      </c>
      <c r="C207" s="6" t="s">
        <v>49</v>
      </c>
      <c r="D207" s="6" t="s">
        <v>115</v>
      </c>
      <c r="E207" s="6" t="n">
        <v>4</v>
      </c>
      <c r="F207" s="6" t="n">
        <v>9</v>
      </c>
      <c r="G207" s="6" t="s">
        <v>339</v>
      </c>
    </row>
    <row r="208" customFormat="false" ht="15" hidden="false" customHeight="false" outlineLevel="0" collapsed="false">
      <c r="A208" s="6" t="s">
        <v>48</v>
      </c>
      <c r="B208" s="6" t="s">
        <v>43</v>
      </c>
      <c r="C208" s="6" t="s">
        <v>49</v>
      </c>
      <c r="D208" s="6" t="s">
        <v>115</v>
      </c>
      <c r="E208" s="6" t="n">
        <v>4</v>
      </c>
      <c r="F208" s="6" t="n">
        <v>10</v>
      </c>
      <c r="G208" s="6" t="s">
        <v>340</v>
      </c>
    </row>
    <row r="209" customFormat="false" ht="15" hidden="false" customHeight="false" outlineLevel="0" collapsed="false">
      <c r="A209" s="6" t="s">
        <v>48</v>
      </c>
      <c r="B209" s="6" t="s">
        <v>43</v>
      </c>
      <c r="C209" s="6" t="s">
        <v>49</v>
      </c>
      <c r="D209" s="6" t="s">
        <v>115</v>
      </c>
      <c r="E209" s="6" t="n">
        <v>4</v>
      </c>
      <c r="F209" s="6" t="n">
        <v>10</v>
      </c>
      <c r="G209" s="6" t="s">
        <v>341</v>
      </c>
    </row>
    <row r="210" customFormat="false" ht="15" hidden="false" customHeight="false" outlineLevel="0" collapsed="false">
      <c r="A210" s="6" t="s">
        <v>48</v>
      </c>
      <c r="B210" s="6" t="s">
        <v>43</v>
      </c>
      <c r="C210" s="6" t="s">
        <v>49</v>
      </c>
      <c r="D210" s="6" t="s">
        <v>115</v>
      </c>
      <c r="E210" s="6" t="n">
        <v>4</v>
      </c>
      <c r="F210" s="6" t="n">
        <v>10</v>
      </c>
      <c r="G210" s="6" t="s">
        <v>342</v>
      </c>
    </row>
    <row r="211" customFormat="false" ht="15" hidden="false" customHeight="false" outlineLevel="0" collapsed="false">
      <c r="A211" s="6" t="s">
        <v>48</v>
      </c>
      <c r="B211" s="6" t="s">
        <v>43</v>
      </c>
      <c r="C211" s="6" t="s">
        <v>49</v>
      </c>
      <c r="D211" s="6" t="s">
        <v>115</v>
      </c>
      <c r="E211" s="6" t="n">
        <v>4</v>
      </c>
      <c r="F211" s="6" t="n">
        <v>10</v>
      </c>
      <c r="G211" s="6" t="s">
        <v>343</v>
      </c>
    </row>
    <row r="212" customFormat="false" ht="15" hidden="false" customHeight="false" outlineLevel="0" collapsed="false">
      <c r="A212" s="6" t="s">
        <v>50</v>
      </c>
      <c r="B212" s="6" t="s">
        <v>43</v>
      </c>
      <c r="C212" s="6" t="s">
        <v>51</v>
      </c>
      <c r="D212" s="6" t="s">
        <v>115</v>
      </c>
      <c r="E212" s="6" t="n">
        <v>1</v>
      </c>
      <c r="F212" s="6" t="n">
        <v>1</v>
      </c>
      <c r="G212" s="6" t="s">
        <v>344</v>
      </c>
    </row>
    <row r="213" customFormat="false" ht="15" hidden="false" customHeight="false" outlineLevel="0" collapsed="false">
      <c r="A213" s="6" t="s">
        <v>50</v>
      </c>
      <c r="B213" s="6" t="s">
        <v>43</v>
      </c>
      <c r="C213" s="6" t="s">
        <v>51</v>
      </c>
      <c r="D213" s="6" t="s">
        <v>115</v>
      </c>
      <c r="E213" s="6" t="n">
        <v>1</v>
      </c>
      <c r="F213" s="6" t="n">
        <v>2</v>
      </c>
      <c r="G213" s="6" t="s">
        <v>345</v>
      </c>
    </row>
    <row r="214" customFormat="false" ht="15" hidden="false" customHeight="false" outlineLevel="0" collapsed="false">
      <c r="A214" s="6" t="s">
        <v>50</v>
      </c>
      <c r="B214" s="6" t="s">
        <v>43</v>
      </c>
      <c r="C214" s="6" t="s">
        <v>51</v>
      </c>
      <c r="D214" s="6" t="s">
        <v>115</v>
      </c>
      <c r="E214" s="6" t="n">
        <v>1</v>
      </c>
      <c r="F214" s="6" t="n">
        <v>3</v>
      </c>
      <c r="G214" s="6" t="s">
        <v>346</v>
      </c>
    </row>
    <row r="215" customFormat="false" ht="15" hidden="false" customHeight="false" outlineLevel="0" collapsed="false">
      <c r="A215" s="6" t="s">
        <v>50</v>
      </c>
      <c r="B215" s="6" t="s">
        <v>43</v>
      </c>
      <c r="C215" s="6" t="s">
        <v>51</v>
      </c>
      <c r="D215" s="6" t="s">
        <v>115</v>
      </c>
      <c r="E215" s="6" t="n">
        <v>1</v>
      </c>
      <c r="F215" s="6" t="n">
        <v>4</v>
      </c>
      <c r="G215" s="6" t="s">
        <v>347</v>
      </c>
    </row>
    <row r="216" customFormat="false" ht="15" hidden="false" customHeight="false" outlineLevel="0" collapsed="false">
      <c r="A216" s="6" t="s">
        <v>50</v>
      </c>
      <c r="B216" s="6" t="s">
        <v>43</v>
      </c>
      <c r="C216" s="6" t="s">
        <v>51</v>
      </c>
      <c r="D216" s="6" t="s">
        <v>115</v>
      </c>
      <c r="E216" s="6" t="n">
        <v>1</v>
      </c>
      <c r="F216" s="6" t="n">
        <v>5</v>
      </c>
      <c r="G216" s="6" t="s">
        <v>348</v>
      </c>
    </row>
    <row r="217" customFormat="false" ht="15" hidden="false" customHeight="false" outlineLevel="0" collapsed="false">
      <c r="A217" s="6" t="s">
        <v>50</v>
      </c>
      <c r="B217" s="6" t="s">
        <v>43</v>
      </c>
      <c r="C217" s="6" t="s">
        <v>51</v>
      </c>
      <c r="D217" s="6" t="s">
        <v>115</v>
      </c>
      <c r="E217" s="6" t="n">
        <v>1</v>
      </c>
      <c r="F217" s="6" t="n">
        <v>6</v>
      </c>
      <c r="G217" s="6" t="s">
        <v>349</v>
      </c>
    </row>
    <row r="218" customFormat="false" ht="15" hidden="false" customHeight="false" outlineLevel="0" collapsed="false">
      <c r="A218" s="6" t="s">
        <v>50</v>
      </c>
      <c r="B218" s="6" t="s">
        <v>43</v>
      </c>
      <c r="C218" s="6" t="s">
        <v>51</v>
      </c>
      <c r="D218" s="6" t="s">
        <v>115</v>
      </c>
      <c r="E218" s="6" t="n">
        <v>1</v>
      </c>
      <c r="F218" s="6" t="n">
        <v>7</v>
      </c>
      <c r="G218" s="6" t="s">
        <v>350</v>
      </c>
    </row>
    <row r="219" customFormat="false" ht="15" hidden="false" customHeight="false" outlineLevel="0" collapsed="false">
      <c r="A219" s="6" t="s">
        <v>50</v>
      </c>
      <c r="B219" s="6" t="s">
        <v>43</v>
      </c>
      <c r="C219" s="6" t="s">
        <v>51</v>
      </c>
      <c r="D219" s="6" t="s">
        <v>115</v>
      </c>
      <c r="E219" s="6" t="n">
        <v>1</v>
      </c>
      <c r="F219" s="6" t="n">
        <v>8</v>
      </c>
      <c r="G219" s="6" t="s">
        <v>351</v>
      </c>
    </row>
    <row r="220" customFormat="false" ht="15" hidden="false" customHeight="false" outlineLevel="0" collapsed="false">
      <c r="A220" s="6" t="s">
        <v>50</v>
      </c>
      <c r="B220" s="6" t="s">
        <v>43</v>
      </c>
      <c r="C220" s="6" t="s">
        <v>51</v>
      </c>
      <c r="D220" s="6" t="s">
        <v>115</v>
      </c>
      <c r="E220" s="6" t="n">
        <v>1</v>
      </c>
      <c r="F220" s="6" t="n">
        <v>9</v>
      </c>
      <c r="G220" s="6" t="s">
        <v>352</v>
      </c>
    </row>
    <row r="221" customFormat="false" ht="15" hidden="false" customHeight="false" outlineLevel="0" collapsed="false">
      <c r="A221" s="6" t="s">
        <v>50</v>
      </c>
      <c r="B221" s="6" t="s">
        <v>43</v>
      </c>
      <c r="C221" s="6" t="s">
        <v>51</v>
      </c>
      <c r="D221" s="6" t="s">
        <v>115</v>
      </c>
      <c r="E221" s="6" t="n">
        <v>1</v>
      </c>
      <c r="F221" s="6" t="n">
        <v>10</v>
      </c>
      <c r="G221" s="6" t="s">
        <v>353</v>
      </c>
    </row>
    <row r="222" customFormat="false" ht="15" hidden="false" customHeight="false" outlineLevel="0" collapsed="false">
      <c r="A222" s="6" t="s">
        <v>52</v>
      </c>
      <c r="B222" s="6" t="s">
        <v>43</v>
      </c>
      <c r="C222" s="6" t="s">
        <v>51</v>
      </c>
      <c r="D222" s="6" t="s">
        <v>116</v>
      </c>
      <c r="E222" s="6" t="n">
        <v>16</v>
      </c>
      <c r="F222" s="6" t="n">
        <v>1</v>
      </c>
      <c r="G222" s="6" t="s">
        <v>354</v>
      </c>
    </row>
    <row r="223" customFormat="false" ht="15" hidden="false" customHeight="false" outlineLevel="0" collapsed="false">
      <c r="A223" s="6" t="s">
        <v>52</v>
      </c>
      <c r="B223" s="6" t="s">
        <v>43</v>
      </c>
      <c r="C223" s="6" t="s">
        <v>51</v>
      </c>
      <c r="D223" s="6" t="s">
        <v>116</v>
      </c>
      <c r="E223" s="6" t="n">
        <v>16</v>
      </c>
      <c r="F223" s="6" t="n">
        <v>1</v>
      </c>
      <c r="G223" s="6" t="s">
        <v>355</v>
      </c>
    </row>
    <row r="224" customFormat="false" ht="15" hidden="false" customHeight="false" outlineLevel="0" collapsed="false">
      <c r="A224" s="6" t="s">
        <v>52</v>
      </c>
      <c r="B224" s="6" t="s">
        <v>43</v>
      </c>
      <c r="C224" s="6" t="s">
        <v>51</v>
      </c>
      <c r="D224" s="6" t="s">
        <v>116</v>
      </c>
      <c r="E224" s="6" t="n">
        <v>16</v>
      </c>
      <c r="F224" s="6" t="n">
        <v>1</v>
      </c>
      <c r="G224" s="6" t="s">
        <v>356</v>
      </c>
    </row>
    <row r="225" customFormat="false" ht="15" hidden="false" customHeight="false" outlineLevel="0" collapsed="false">
      <c r="A225" s="6" t="s">
        <v>52</v>
      </c>
      <c r="B225" s="6" t="s">
        <v>43</v>
      </c>
      <c r="C225" s="6" t="s">
        <v>51</v>
      </c>
      <c r="D225" s="6" t="s">
        <v>116</v>
      </c>
      <c r="E225" s="6" t="n">
        <v>16</v>
      </c>
      <c r="F225" s="6" t="n">
        <v>1</v>
      </c>
      <c r="G225" s="6" t="s">
        <v>357</v>
      </c>
    </row>
    <row r="226" customFormat="false" ht="15" hidden="false" customHeight="false" outlineLevel="0" collapsed="false">
      <c r="A226" s="6" t="s">
        <v>52</v>
      </c>
      <c r="B226" s="6" t="s">
        <v>43</v>
      </c>
      <c r="C226" s="6" t="s">
        <v>51</v>
      </c>
      <c r="D226" s="6" t="s">
        <v>116</v>
      </c>
      <c r="E226" s="6" t="n">
        <v>16</v>
      </c>
      <c r="F226" s="6" t="n">
        <v>1</v>
      </c>
      <c r="G226" s="6" t="s">
        <v>358</v>
      </c>
    </row>
    <row r="227" customFormat="false" ht="15" hidden="false" customHeight="false" outlineLevel="0" collapsed="false">
      <c r="A227" s="6" t="s">
        <v>52</v>
      </c>
      <c r="B227" s="6" t="s">
        <v>43</v>
      </c>
      <c r="C227" s="6" t="s">
        <v>51</v>
      </c>
      <c r="D227" s="6" t="s">
        <v>116</v>
      </c>
      <c r="E227" s="6" t="n">
        <v>16</v>
      </c>
      <c r="F227" s="6" t="n">
        <v>1</v>
      </c>
      <c r="G227" s="6" t="s">
        <v>359</v>
      </c>
    </row>
    <row r="228" customFormat="false" ht="15" hidden="false" customHeight="false" outlineLevel="0" collapsed="false">
      <c r="A228" s="6" t="s">
        <v>52</v>
      </c>
      <c r="B228" s="6" t="s">
        <v>43</v>
      </c>
      <c r="C228" s="6" t="s">
        <v>51</v>
      </c>
      <c r="D228" s="6" t="s">
        <v>116</v>
      </c>
      <c r="E228" s="6" t="n">
        <v>16</v>
      </c>
      <c r="F228" s="6" t="n">
        <v>1</v>
      </c>
      <c r="G228" s="6" t="s">
        <v>360</v>
      </c>
    </row>
    <row r="229" customFormat="false" ht="15" hidden="false" customHeight="false" outlineLevel="0" collapsed="false">
      <c r="A229" s="6" t="s">
        <v>52</v>
      </c>
      <c r="B229" s="6" t="s">
        <v>43</v>
      </c>
      <c r="C229" s="6" t="s">
        <v>51</v>
      </c>
      <c r="D229" s="6" t="s">
        <v>116</v>
      </c>
      <c r="E229" s="6" t="n">
        <v>16</v>
      </c>
      <c r="F229" s="6" t="n">
        <v>1</v>
      </c>
      <c r="G229" s="6" t="s">
        <v>361</v>
      </c>
    </row>
    <row r="230" customFormat="false" ht="15" hidden="false" customHeight="false" outlineLevel="0" collapsed="false">
      <c r="A230" s="6" t="s">
        <v>52</v>
      </c>
      <c r="B230" s="6" t="s">
        <v>43</v>
      </c>
      <c r="C230" s="6" t="s">
        <v>51</v>
      </c>
      <c r="D230" s="6" t="s">
        <v>116</v>
      </c>
      <c r="E230" s="6" t="n">
        <v>16</v>
      </c>
      <c r="F230" s="6" t="n">
        <v>1</v>
      </c>
      <c r="G230" s="6" t="s">
        <v>362</v>
      </c>
    </row>
    <row r="231" customFormat="false" ht="15" hidden="false" customHeight="false" outlineLevel="0" collapsed="false">
      <c r="A231" s="6" t="s">
        <v>52</v>
      </c>
      <c r="B231" s="6" t="s">
        <v>43</v>
      </c>
      <c r="C231" s="6" t="s">
        <v>51</v>
      </c>
      <c r="D231" s="6" t="s">
        <v>116</v>
      </c>
      <c r="E231" s="6" t="n">
        <v>16</v>
      </c>
      <c r="F231" s="6" t="n">
        <v>1</v>
      </c>
      <c r="G231" s="6" t="s">
        <v>363</v>
      </c>
    </row>
    <row r="232" customFormat="false" ht="15" hidden="false" customHeight="false" outlineLevel="0" collapsed="false">
      <c r="A232" s="6" t="s">
        <v>52</v>
      </c>
      <c r="B232" s="6" t="s">
        <v>43</v>
      </c>
      <c r="C232" s="6" t="s">
        <v>51</v>
      </c>
      <c r="D232" s="6" t="s">
        <v>116</v>
      </c>
      <c r="E232" s="6" t="n">
        <v>16</v>
      </c>
      <c r="F232" s="6" t="n">
        <v>1</v>
      </c>
      <c r="G232" s="6" t="s">
        <v>364</v>
      </c>
    </row>
    <row r="233" customFormat="false" ht="15" hidden="false" customHeight="false" outlineLevel="0" collapsed="false">
      <c r="A233" s="6" t="s">
        <v>52</v>
      </c>
      <c r="B233" s="6" t="s">
        <v>43</v>
      </c>
      <c r="C233" s="6" t="s">
        <v>51</v>
      </c>
      <c r="D233" s="6" t="s">
        <v>116</v>
      </c>
      <c r="E233" s="6" t="n">
        <v>16</v>
      </c>
      <c r="F233" s="6" t="n">
        <v>1</v>
      </c>
      <c r="G233" s="6" t="s">
        <v>365</v>
      </c>
    </row>
    <row r="234" customFormat="false" ht="15" hidden="false" customHeight="false" outlineLevel="0" collapsed="false">
      <c r="A234" s="6" t="s">
        <v>52</v>
      </c>
      <c r="B234" s="6" t="s">
        <v>43</v>
      </c>
      <c r="C234" s="6" t="s">
        <v>51</v>
      </c>
      <c r="D234" s="6" t="s">
        <v>116</v>
      </c>
      <c r="E234" s="6" t="n">
        <v>16</v>
      </c>
      <c r="F234" s="6" t="n">
        <v>1</v>
      </c>
      <c r="G234" s="6" t="s">
        <v>366</v>
      </c>
    </row>
    <row r="235" customFormat="false" ht="15" hidden="false" customHeight="false" outlineLevel="0" collapsed="false">
      <c r="A235" s="6" t="s">
        <v>52</v>
      </c>
      <c r="B235" s="6" t="s">
        <v>43</v>
      </c>
      <c r="C235" s="6" t="s">
        <v>51</v>
      </c>
      <c r="D235" s="6" t="s">
        <v>116</v>
      </c>
      <c r="E235" s="6" t="n">
        <v>16</v>
      </c>
      <c r="F235" s="6" t="n">
        <v>1</v>
      </c>
      <c r="G235" s="6" t="s">
        <v>367</v>
      </c>
    </row>
    <row r="236" customFormat="false" ht="15" hidden="false" customHeight="false" outlineLevel="0" collapsed="false">
      <c r="A236" s="6" t="s">
        <v>52</v>
      </c>
      <c r="B236" s="6" t="s">
        <v>43</v>
      </c>
      <c r="C236" s="6" t="s">
        <v>51</v>
      </c>
      <c r="D236" s="6" t="s">
        <v>116</v>
      </c>
      <c r="E236" s="6" t="n">
        <v>16</v>
      </c>
      <c r="F236" s="6" t="n">
        <v>1</v>
      </c>
      <c r="G236" s="6" t="s">
        <v>368</v>
      </c>
    </row>
    <row r="237" customFormat="false" ht="15" hidden="false" customHeight="false" outlineLevel="0" collapsed="false">
      <c r="A237" s="6" t="s">
        <v>52</v>
      </c>
      <c r="B237" s="6" t="s">
        <v>43</v>
      </c>
      <c r="C237" s="6" t="s">
        <v>51</v>
      </c>
      <c r="D237" s="6" t="s">
        <v>116</v>
      </c>
      <c r="E237" s="6" t="n">
        <v>16</v>
      </c>
      <c r="F237" s="6" t="n">
        <v>1</v>
      </c>
      <c r="G237" s="6" t="s">
        <v>369</v>
      </c>
    </row>
    <row r="238" customFormat="false" ht="15" hidden="false" customHeight="false" outlineLevel="0" collapsed="false">
      <c r="A238" s="6" t="s">
        <v>52</v>
      </c>
      <c r="B238" s="6" t="s">
        <v>43</v>
      </c>
      <c r="C238" s="6" t="s">
        <v>51</v>
      </c>
      <c r="D238" s="6" t="s">
        <v>116</v>
      </c>
      <c r="E238" s="6" t="n">
        <v>16</v>
      </c>
      <c r="F238" s="6" t="n">
        <v>2</v>
      </c>
      <c r="G238" s="6" t="s">
        <v>370</v>
      </c>
    </row>
    <row r="239" customFormat="false" ht="15" hidden="false" customHeight="false" outlineLevel="0" collapsed="false">
      <c r="A239" s="6" t="s">
        <v>52</v>
      </c>
      <c r="B239" s="6" t="s">
        <v>43</v>
      </c>
      <c r="C239" s="6" t="s">
        <v>51</v>
      </c>
      <c r="D239" s="6" t="s">
        <v>116</v>
      </c>
      <c r="E239" s="6" t="n">
        <v>16</v>
      </c>
      <c r="F239" s="6" t="n">
        <v>2</v>
      </c>
      <c r="G239" s="6" t="s">
        <v>371</v>
      </c>
    </row>
    <row r="240" customFormat="false" ht="15" hidden="false" customHeight="false" outlineLevel="0" collapsed="false">
      <c r="A240" s="6" t="s">
        <v>52</v>
      </c>
      <c r="B240" s="6" t="s">
        <v>43</v>
      </c>
      <c r="C240" s="6" t="s">
        <v>51</v>
      </c>
      <c r="D240" s="6" t="s">
        <v>116</v>
      </c>
      <c r="E240" s="6" t="n">
        <v>16</v>
      </c>
      <c r="F240" s="6" t="n">
        <v>2</v>
      </c>
      <c r="G240" s="6" t="s">
        <v>372</v>
      </c>
    </row>
    <row r="241" customFormat="false" ht="15" hidden="false" customHeight="false" outlineLevel="0" collapsed="false">
      <c r="A241" s="6" t="s">
        <v>52</v>
      </c>
      <c r="B241" s="6" t="s">
        <v>43</v>
      </c>
      <c r="C241" s="6" t="s">
        <v>51</v>
      </c>
      <c r="D241" s="6" t="s">
        <v>116</v>
      </c>
      <c r="E241" s="6" t="n">
        <v>16</v>
      </c>
      <c r="F241" s="6" t="n">
        <v>2</v>
      </c>
      <c r="G241" s="6" t="s">
        <v>373</v>
      </c>
    </row>
    <row r="242" customFormat="false" ht="15" hidden="false" customHeight="false" outlineLevel="0" collapsed="false">
      <c r="A242" s="6" t="s">
        <v>52</v>
      </c>
      <c r="B242" s="6" t="s">
        <v>43</v>
      </c>
      <c r="C242" s="6" t="s">
        <v>51</v>
      </c>
      <c r="D242" s="6" t="s">
        <v>116</v>
      </c>
      <c r="E242" s="6" t="n">
        <v>16</v>
      </c>
      <c r="F242" s="6" t="n">
        <v>2</v>
      </c>
      <c r="G242" s="6" t="s">
        <v>374</v>
      </c>
    </row>
    <row r="243" customFormat="false" ht="15" hidden="false" customHeight="false" outlineLevel="0" collapsed="false">
      <c r="A243" s="6" t="s">
        <v>52</v>
      </c>
      <c r="B243" s="6" t="s">
        <v>43</v>
      </c>
      <c r="C243" s="6" t="s">
        <v>51</v>
      </c>
      <c r="D243" s="6" t="s">
        <v>116</v>
      </c>
      <c r="E243" s="6" t="n">
        <v>16</v>
      </c>
      <c r="F243" s="6" t="n">
        <v>2</v>
      </c>
      <c r="G243" s="6" t="s">
        <v>375</v>
      </c>
    </row>
    <row r="244" customFormat="false" ht="15" hidden="false" customHeight="false" outlineLevel="0" collapsed="false">
      <c r="A244" s="6" t="s">
        <v>52</v>
      </c>
      <c r="B244" s="6" t="s">
        <v>43</v>
      </c>
      <c r="C244" s="6" t="s">
        <v>51</v>
      </c>
      <c r="D244" s="6" t="s">
        <v>116</v>
      </c>
      <c r="E244" s="6" t="n">
        <v>16</v>
      </c>
      <c r="F244" s="6" t="n">
        <v>2</v>
      </c>
      <c r="G244" s="6" t="s">
        <v>376</v>
      </c>
    </row>
    <row r="245" customFormat="false" ht="15" hidden="false" customHeight="false" outlineLevel="0" collapsed="false">
      <c r="A245" s="6" t="s">
        <v>52</v>
      </c>
      <c r="B245" s="6" t="s">
        <v>43</v>
      </c>
      <c r="C245" s="6" t="s">
        <v>51</v>
      </c>
      <c r="D245" s="6" t="s">
        <v>116</v>
      </c>
      <c r="E245" s="6" t="n">
        <v>16</v>
      </c>
      <c r="F245" s="6" t="n">
        <v>2</v>
      </c>
      <c r="G245" s="6" t="s">
        <v>377</v>
      </c>
    </row>
    <row r="246" customFormat="false" ht="15" hidden="false" customHeight="false" outlineLevel="0" collapsed="false">
      <c r="A246" s="6" t="s">
        <v>52</v>
      </c>
      <c r="B246" s="6" t="s">
        <v>43</v>
      </c>
      <c r="C246" s="6" t="s">
        <v>51</v>
      </c>
      <c r="D246" s="6" t="s">
        <v>116</v>
      </c>
      <c r="E246" s="6" t="n">
        <v>16</v>
      </c>
      <c r="F246" s="6" t="n">
        <v>2</v>
      </c>
      <c r="G246" s="6" t="s">
        <v>378</v>
      </c>
    </row>
    <row r="247" customFormat="false" ht="15" hidden="false" customHeight="false" outlineLevel="0" collapsed="false">
      <c r="A247" s="6" t="s">
        <v>52</v>
      </c>
      <c r="B247" s="6" t="s">
        <v>43</v>
      </c>
      <c r="C247" s="6" t="s">
        <v>51</v>
      </c>
      <c r="D247" s="6" t="s">
        <v>116</v>
      </c>
      <c r="E247" s="6" t="n">
        <v>16</v>
      </c>
      <c r="F247" s="6" t="n">
        <v>2</v>
      </c>
      <c r="G247" s="6" t="s">
        <v>379</v>
      </c>
    </row>
    <row r="248" customFormat="false" ht="15" hidden="false" customHeight="false" outlineLevel="0" collapsed="false">
      <c r="A248" s="6" t="s">
        <v>52</v>
      </c>
      <c r="B248" s="6" t="s">
        <v>43</v>
      </c>
      <c r="C248" s="6" t="s">
        <v>51</v>
      </c>
      <c r="D248" s="6" t="s">
        <v>116</v>
      </c>
      <c r="E248" s="6" t="n">
        <v>16</v>
      </c>
      <c r="F248" s="6" t="n">
        <v>2</v>
      </c>
      <c r="G248" s="6" t="s">
        <v>380</v>
      </c>
    </row>
    <row r="249" customFormat="false" ht="15" hidden="false" customHeight="false" outlineLevel="0" collapsed="false">
      <c r="A249" s="6" t="s">
        <v>52</v>
      </c>
      <c r="B249" s="6" t="s">
        <v>43</v>
      </c>
      <c r="C249" s="6" t="s">
        <v>51</v>
      </c>
      <c r="D249" s="6" t="s">
        <v>116</v>
      </c>
      <c r="E249" s="6" t="n">
        <v>16</v>
      </c>
      <c r="F249" s="6" t="n">
        <v>2</v>
      </c>
      <c r="G249" s="6" t="s">
        <v>381</v>
      </c>
    </row>
    <row r="250" customFormat="false" ht="15" hidden="false" customHeight="false" outlineLevel="0" collapsed="false">
      <c r="A250" s="6" t="s">
        <v>52</v>
      </c>
      <c r="B250" s="6" t="s">
        <v>43</v>
      </c>
      <c r="C250" s="6" t="s">
        <v>51</v>
      </c>
      <c r="D250" s="6" t="s">
        <v>116</v>
      </c>
      <c r="E250" s="6" t="n">
        <v>16</v>
      </c>
      <c r="F250" s="6" t="n">
        <v>2</v>
      </c>
      <c r="G250" s="6" t="s">
        <v>382</v>
      </c>
    </row>
    <row r="251" customFormat="false" ht="15" hidden="false" customHeight="false" outlineLevel="0" collapsed="false">
      <c r="A251" s="6" t="s">
        <v>52</v>
      </c>
      <c r="B251" s="6" t="s">
        <v>43</v>
      </c>
      <c r="C251" s="6" t="s">
        <v>51</v>
      </c>
      <c r="D251" s="6" t="s">
        <v>116</v>
      </c>
      <c r="E251" s="6" t="n">
        <v>16</v>
      </c>
      <c r="F251" s="6" t="n">
        <v>2</v>
      </c>
      <c r="G251" s="6" t="s">
        <v>383</v>
      </c>
    </row>
    <row r="252" customFormat="false" ht="15" hidden="false" customHeight="false" outlineLevel="0" collapsed="false">
      <c r="A252" s="6" t="s">
        <v>52</v>
      </c>
      <c r="B252" s="6" t="s">
        <v>43</v>
      </c>
      <c r="C252" s="6" t="s">
        <v>51</v>
      </c>
      <c r="D252" s="6" t="s">
        <v>116</v>
      </c>
      <c r="E252" s="6" t="n">
        <v>16</v>
      </c>
      <c r="F252" s="6" t="n">
        <v>2</v>
      </c>
      <c r="G252" s="6" t="s">
        <v>384</v>
      </c>
    </row>
    <row r="253" customFormat="false" ht="15" hidden="false" customHeight="false" outlineLevel="0" collapsed="false">
      <c r="A253" s="6" t="s">
        <v>52</v>
      </c>
      <c r="B253" s="6" t="s">
        <v>43</v>
      </c>
      <c r="C253" s="6" t="s">
        <v>51</v>
      </c>
      <c r="D253" s="6" t="s">
        <v>116</v>
      </c>
      <c r="E253" s="6" t="n">
        <v>16</v>
      </c>
      <c r="F253" s="6" t="n">
        <v>2</v>
      </c>
      <c r="G253" s="6" t="s">
        <v>385</v>
      </c>
    </row>
    <row r="254" customFormat="false" ht="15" hidden="false" customHeight="false" outlineLevel="0" collapsed="false">
      <c r="A254" s="6" t="s">
        <v>52</v>
      </c>
      <c r="B254" s="6" t="s">
        <v>43</v>
      </c>
      <c r="C254" s="6" t="s">
        <v>51</v>
      </c>
      <c r="D254" s="6" t="s">
        <v>116</v>
      </c>
      <c r="E254" s="6" t="n">
        <v>16</v>
      </c>
      <c r="F254" s="6" t="n">
        <v>3</v>
      </c>
      <c r="G254" s="6" t="s">
        <v>386</v>
      </c>
    </row>
    <row r="255" customFormat="false" ht="15" hidden="false" customHeight="false" outlineLevel="0" collapsed="false">
      <c r="A255" s="6" t="s">
        <v>52</v>
      </c>
      <c r="B255" s="6" t="s">
        <v>43</v>
      </c>
      <c r="C255" s="6" t="s">
        <v>51</v>
      </c>
      <c r="D255" s="6" t="s">
        <v>116</v>
      </c>
      <c r="E255" s="6" t="n">
        <v>16</v>
      </c>
      <c r="F255" s="6" t="n">
        <v>3</v>
      </c>
      <c r="G255" s="6" t="s">
        <v>387</v>
      </c>
    </row>
    <row r="256" customFormat="false" ht="15" hidden="false" customHeight="false" outlineLevel="0" collapsed="false">
      <c r="A256" s="6" t="s">
        <v>52</v>
      </c>
      <c r="B256" s="6" t="s">
        <v>43</v>
      </c>
      <c r="C256" s="6" t="s">
        <v>51</v>
      </c>
      <c r="D256" s="6" t="s">
        <v>116</v>
      </c>
      <c r="E256" s="6" t="n">
        <v>16</v>
      </c>
      <c r="F256" s="6" t="n">
        <v>3</v>
      </c>
      <c r="G256" s="6" t="s">
        <v>388</v>
      </c>
    </row>
    <row r="257" customFormat="false" ht="15" hidden="false" customHeight="false" outlineLevel="0" collapsed="false">
      <c r="A257" s="6" t="s">
        <v>52</v>
      </c>
      <c r="B257" s="6" t="s">
        <v>43</v>
      </c>
      <c r="C257" s="6" t="s">
        <v>51</v>
      </c>
      <c r="D257" s="6" t="s">
        <v>116</v>
      </c>
      <c r="E257" s="6" t="n">
        <v>16</v>
      </c>
      <c r="F257" s="6" t="n">
        <v>3</v>
      </c>
      <c r="G257" s="6" t="s">
        <v>389</v>
      </c>
    </row>
    <row r="258" customFormat="false" ht="15" hidden="false" customHeight="false" outlineLevel="0" collapsed="false">
      <c r="A258" s="6" t="s">
        <v>52</v>
      </c>
      <c r="B258" s="6" t="s">
        <v>43</v>
      </c>
      <c r="C258" s="6" t="s">
        <v>51</v>
      </c>
      <c r="D258" s="6" t="s">
        <v>116</v>
      </c>
      <c r="E258" s="6" t="n">
        <v>16</v>
      </c>
      <c r="F258" s="6" t="n">
        <v>3</v>
      </c>
      <c r="G258" s="6" t="s">
        <v>390</v>
      </c>
    </row>
    <row r="259" customFormat="false" ht="15" hidden="false" customHeight="false" outlineLevel="0" collapsed="false">
      <c r="A259" s="6" t="s">
        <v>52</v>
      </c>
      <c r="B259" s="6" t="s">
        <v>43</v>
      </c>
      <c r="C259" s="6" t="s">
        <v>51</v>
      </c>
      <c r="D259" s="6" t="s">
        <v>116</v>
      </c>
      <c r="E259" s="6" t="n">
        <v>16</v>
      </c>
      <c r="F259" s="6" t="n">
        <v>3</v>
      </c>
      <c r="G259" s="6" t="s">
        <v>391</v>
      </c>
    </row>
    <row r="260" customFormat="false" ht="15" hidden="false" customHeight="false" outlineLevel="0" collapsed="false">
      <c r="A260" s="6" t="s">
        <v>52</v>
      </c>
      <c r="B260" s="6" t="s">
        <v>43</v>
      </c>
      <c r="C260" s="6" t="s">
        <v>51</v>
      </c>
      <c r="D260" s="6" t="s">
        <v>116</v>
      </c>
      <c r="E260" s="6" t="n">
        <v>16</v>
      </c>
      <c r="F260" s="6" t="n">
        <v>3</v>
      </c>
      <c r="G260" s="6" t="s">
        <v>392</v>
      </c>
    </row>
    <row r="261" customFormat="false" ht="15" hidden="false" customHeight="false" outlineLevel="0" collapsed="false">
      <c r="A261" s="6" t="s">
        <v>52</v>
      </c>
      <c r="B261" s="6" t="s">
        <v>43</v>
      </c>
      <c r="C261" s="6" t="s">
        <v>51</v>
      </c>
      <c r="D261" s="6" t="s">
        <v>116</v>
      </c>
      <c r="E261" s="6" t="n">
        <v>16</v>
      </c>
      <c r="F261" s="6" t="n">
        <v>3</v>
      </c>
      <c r="G261" s="6" t="s">
        <v>393</v>
      </c>
    </row>
    <row r="262" customFormat="false" ht="15" hidden="false" customHeight="false" outlineLevel="0" collapsed="false">
      <c r="A262" s="6" t="s">
        <v>52</v>
      </c>
      <c r="B262" s="6" t="s">
        <v>43</v>
      </c>
      <c r="C262" s="6" t="s">
        <v>51</v>
      </c>
      <c r="D262" s="6" t="s">
        <v>116</v>
      </c>
      <c r="E262" s="6" t="n">
        <v>16</v>
      </c>
      <c r="F262" s="6" t="n">
        <v>3</v>
      </c>
      <c r="G262" s="6" t="s">
        <v>394</v>
      </c>
    </row>
    <row r="263" customFormat="false" ht="15" hidden="false" customHeight="false" outlineLevel="0" collapsed="false">
      <c r="A263" s="6" t="s">
        <v>52</v>
      </c>
      <c r="B263" s="6" t="s">
        <v>43</v>
      </c>
      <c r="C263" s="6" t="s">
        <v>51</v>
      </c>
      <c r="D263" s="6" t="s">
        <v>116</v>
      </c>
      <c r="E263" s="6" t="n">
        <v>16</v>
      </c>
      <c r="F263" s="6" t="n">
        <v>3</v>
      </c>
      <c r="G263" s="6" t="s">
        <v>395</v>
      </c>
    </row>
    <row r="264" customFormat="false" ht="15" hidden="false" customHeight="false" outlineLevel="0" collapsed="false">
      <c r="A264" s="6" t="s">
        <v>52</v>
      </c>
      <c r="B264" s="6" t="s">
        <v>43</v>
      </c>
      <c r="C264" s="6" t="s">
        <v>51</v>
      </c>
      <c r="D264" s="6" t="s">
        <v>116</v>
      </c>
      <c r="E264" s="6" t="n">
        <v>16</v>
      </c>
      <c r="F264" s="6" t="n">
        <v>3</v>
      </c>
      <c r="G264" s="6" t="s">
        <v>396</v>
      </c>
    </row>
    <row r="265" customFormat="false" ht="15" hidden="false" customHeight="false" outlineLevel="0" collapsed="false">
      <c r="A265" s="6" t="s">
        <v>52</v>
      </c>
      <c r="B265" s="6" t="s">
        <v>43</v>
      </c>
      <c r="C265" s="6" t="s">
        <v>51</v>
      </c>
      <c r="D265" s="6" t="s">
        <v>116</v>
      </c>
      <c r="E265" s="6" t="n">
        <v>16</v>
      </c>
      <c r="F265" s="6" t="n">
        <v>3</v>
      </c>
      <c r="G265" s="6" t="s">
        <v>397</v>
      </c>
    </row>
    <row r="266" customFormat="false" ht="15" hidden="false" customHeight="false" outlineLevel="0" collapsed="false">
      <c r="A266" s="6" t="s">
        <v>52</v>
      </c>
      <c r="B266" s="6" t="s">
        <v>43</v>
      </c>
      <c r="C266" s="6" t="s">
        <v>51</v>
      </c>
      <c r="D266" s="6" t="s">
        <v>116</v>
      </c>
      <c r="E266" s="6" t="n">
        <v>16</v>
      </c>
      <c r="F266" s="6" t="n">
        <v>3</v>
      </c>
      <c r="G266" s="6" t="s">
        <v>398</v>
      </c>
    </row>
    <row r="267" customFormat="false" ht="15" hidden="false" customHeight="false" outlineLevel="0" collapsed="false">
      <c r="A267" s="6" t="s">
        <v>52</v>
      </c>
      <c r="B267" s="6" t="s">
        <v>43</v>
      </c>
      <c r="C267" s="6" t="s">
        <v>51</v>
      </c>
      <c r="D267" s="6" t="s">
        <v>116</v>
      </c>
      <c r="E267" s="6" t="n">
        <v>16</v>
      </c>
      <c r="F267" s="6" t="n">
        <v>3</v>
      </c>
      <c r="G267" s="6" t="s">
        <v>399</v>
      </c>
    </row>
    <row r="268" customFormat="false" ht="15" hidden="false" customHeight="false" outlineLevel="0" collapsed="false">
      <c r="A268" s="6" t="s">
        <v>52</v>
      </c>
      <c r="B268" s="6" t="s">
        <v>43</v>
      </c>
      <c r="C268" s="6" t="s">
        <v>51</v>
      </c>
      <c r="D268" s="6" t="s">
        <v>116</v>
      </c>
      <c r="E268" s="6" t="n">
        <v>16</v>
      </c>
      <c r="F268" s="6" t="n">
        <v>3</v>
      </c>
      <c r="G268" s="6" t="s">
        <v>400</v>
      </c>
    </row>
    <row r="269" customFormat="false" ht="15" hidden="false" customHeight="false" outlineLevel="0" collapsed="false">
      <c r="A269" s="6" t="s">
        <v>52</v>
      </c>
      <c r="B269" s="6" t="s">
        <v>43</v>
      </c>
      <c r="C269" s="6" t="s">
        <v>51</v>
      </c>
      <c r="D269" s="6" t="s">
        <v>116</v>
      </c>
      <c r="E269" s="6" t="n">
        <v>16</v>
      </c>
      <c r="F269" s="6" t="n">
        <v>3</v>
      </c>
      <c r="G269" s="6" t="s">
        <v>401</v>
      </c>
    </row>
    <row r="270" customFormat="false" ht="15" hidden="false" customHeight="false" outlineLevel="0" collapsed="false">
      <c r="A270" s="6" t="s">
        <v>52</v>
      </c>
      <c r="B270" s="6" t="s">
        <v>43</v>
      </c>
      <c r="C270" s="6" t="s">
        <v>51</v>
      </c>
      <c r="D270" s="6" t="s">
        <v>116</v>
      </c>
      <c r="E270" s="6" t="n">
        <v>16</v>
      </c>
      <c r="F270" s="6" t="n">
        <v>4</v>
      </c>
      <c r="G270" s="6" t="s">
        <v>402</v>
      </c>
    </row>
    <row r="271" customFormat="false" ht="15" hidden="false" customHeight="false" outlineLevel="0" collapsed="false">
      <c r="A271" s="6" t="s">
        <v>52</v>
      </c>
      <c r="B271" s="6" t="s">
        <v>43</v>
      </c>
      <c r="C271" s="6" t="s">
        <v>51</v>
      </c>
      <c r="D271" s="6" t="s">
        <v>116</v>
      </c>
      <c r="E271" s="6" t="n">
        <v>16</v>
      </c>
      <c r="F271" s="6" t="n">
        <v>4</v>
      </c>
      <c r="G271" s="6" t="s">
        <v>403</v>
      </c>
    </row>
    <row r="272" customFormat="false" ht="15" hidden="false" customHeight="false" outlineLevel="0" collapsed="false">
      <c r="A272" s="6" t="s">
        <v>52</v>
      </c>
      <c r="B272" s="6" t="s">
        <v>43</v>
      </c>
      <c r="C272" s="6" t="s">
        <v>51</v>
      </c>
      <c r="D272" s="6" t="s">
        <v>116</v>
      </c>
      <c r="E272" s="6" t="n">
        <v>16</v>
      </c>
      <c r="F272" s="6" t="n">
        <v>4</v>
      </c>
      <c r="G272" s="6" t="s">
        <v>404</v>
      </c>
    </row>
    <row r="273" customFormat="false" ht="15" hidden="false" customHeight="false" outlineLevel="0" collapsed="false">
      <c r="A273" s="6" t="s">
        <v>52</v>
      </c>
      <c r="B273" s="6" t="s">
        <v>43</v>
      </c>
      <c r="C273" s="6" t="s">
        <v>51</v>
      </c>
      <c r="D273" s="6" t="s">
        <v>116</v>
      </c>
      <c r="E273" s="6" t="n">
        <v>16</v>
      </c>
      <c r="F273" s="6" t="n">
        <v>4</v>
      </c>
      <c r="G273" s="6" t="s">
        <v>405</v>
      </c>
    </row>
    <row r="274" customFormat="false" ht="15" hidden="false" customHeight="false" outlineLevel="0" collapsed="false">
      <c r="A274" s="6" t="s">
        <v>52</v>
      </c>
      <c r="B274" s="6" t="s">
        <v>43</v>
      </c>
      <c r="C274" s="6" t="s">
        <v>51</v>
      </c>
      <c r="D274" s="6" t="s">
        <v>116</v>
      </c>
      <c r="E274" s="6" t="n">
        <v>16</v>
      </c>
      <c r="F274" s="6" t="n">
        <v>4</v>
      </c>
      <c r="G274" s="6" t="s">
        <v>406</v>
      </c>
    </row>
    <row r="275" customFormat="false" ht="15" hidden="false" customHeight="false" outlineLevel="0" collapsed="false">
      <c r="A275" s="6" t="s">
        <v>52</v>
      </c>
      <c r="B275" s="6" t="s">
        <v>43</v>
      </c>
      <c r="C275" s="6" t="s">
        <v>51</v>
      </c>
      <c r="D275" s="6" t="s">
        <v>116</v>
      </c>
      <c r="E275" s="6" t="n">
        <v>16</v>
      </c>
      <c r="F275" s="6" t="n">
        <v>4</v>
      </c>
      <c r="G275" s="6" t="s">
        <v>407</v>
      </c>
    </row>
    <row r="276" customFormat="false" ht="15" hidden="false" customHeight="false" outlineLevel="0" collapsed="false">
      <c r="A276" s="6" t="s">
        <v>52</v>
      </c>
      <c r="B276" s="6" t="s">
        <v>43</v>
      </c>
      <c r="C276" s="6" t="s">
        <v>51</v>
      </c>
      <c r="D276" s="6" t="s">
        <v>116</v>
      </c>
      <c r="E276" s="6" t="n">
        <v>16</v>
      </c>
      <c r="F276" s="6" t="n">
        <v>4</v>
      </c>
      <c r="G276" s="6" t="s">
        <v>408</v>
      </c>
    </row>
    <row r="277" customFormat="false" ht="15" hidden="false" customHeight="false" outlineLevel="0" collapsed="false">
      <c r="A277" s="6" t="s">
        <v>52</v>
      </c>
      <c r="B277" s="6" t="s">
        <v>43</v>
      </c>
      <c r="C277" s="6" t="s">
        <v>51</v>
      </c>
      <c r="D277" s="6" t="s">
        <v>116</v>
      </c>
      <c r="E277" s="6" t="n">
        <v>16</v>
      </c>
      <c r="F277" s="6" t="n">
        <v>4</v>
      </c>
      <c r="G277" s="6" t="s">
        <v>409</v>
      </c>
    </row>
    <row r="278" customFormat="false" ht="15" hidden="false" customHeight="false" outlineLevel="0" collapsed="false">
      <c r="A278" s="6" t="s">
        <v>52</v>
      </c>
      <c r="B278" s="6" t="s">
        <v>43</v>
      </c>
      <c r="C278" s="6" t="s">
        <v>51</v>
      </c>
      <c r="D278" s="6" t="s">
        <v>116</v>
      </c>
      <c r="E278" s="6" t="n">
        <v>16</v>
      </c>
      <c r="F278" s="6" t="n">
        <v>4</v>
      </c>
      <c r="G278" s="6" t="s">
        <v>410</v>
      </c>
    </row>
    <row r="279" customFormat="false" ht="15" hidden="false" customHeight="false" outlineLevel="0" collapsed="false">
      <c r="A279" s="6" t="s">
        <v>52</v>
      </c>
      <c r="B279" s="6" t="s">
        <v>43</v>
      </c>
      <c r="C279" s="6" t="s">
        <v>51</v>
      </c>
      <c r="D279" s="6" t="s">
        <v>116</v>
      </c>
      <c r="E279" s="6" t="n">
        <v>16</v>
      </c>
      <c r="F279" s="6" t="n">
        <v>4</v>
      </c>
      <c r="G279" s="6" t="s">
        <v>411</v>
      </c>
    </row>
    <row r="280" customFormat="false" ht="15" hidden="false" customHeight="false" outlineLevel="0" collapsed="false">
      <c r="A280" s="6" t="s">
        <v>52</v>
      </c>
      <c r="B280" s="6" t="s">
        <v>43</v>
      </c>
      <c r="C280" s="6" t="s">
        <v>51</v>
      </c>
      <c r="D280" s="6" t="s">
        <v>116</v>
      </c>
      <c r="E280" s="6" t="n">
        <v>16</v>
      </c>
      <c r="F280" s="6" t="n">
        <v>4</v>
      </c>
      <c r="G280" s="6" t="s">
        <v>412</v>
      </c>
    </row>
    <row r="281" customFormat="false" ht="15" hidden="false" customHeight="false" outlineLevel="0" collapsed="false">
      <c r="A281" s="6" t="s">
        <v>52</v>
      </c>
      <c r="B281" s="6" t="s">
        <v>43</v>
      </c>
      <c r="C281" s="6" t="s">
        <v>51</v>
      </c>
      <c r="D281" s="6" t="s">
        <v>116</v>
      </c>
      <c r="E281" s="6" t="n">
        <v>16</v>
      </c>
      <c r="F281" s="6" t="n">
        <v>4</v>
      </c>
      <c r="G281" s="6" t="s">
        <v>413</v>
      </c>
    </row>
    <row r="282" customFormat="false" ht="15" hidden="false" customHeight="false" outlineLevel="0" collapsed="false">
      <c r="A282" s="6" t="s">
        <v>52</v>
      </c>
      <c r="B282" s="6" t="s">
        <v>43</v>
      </c>
      <c r="C282" s="6" t="s">
        <v>51</v>
      </c>
      <c r="D282" s="6" t="s">
        <v>116</v>
      </c>
      <c r="E282" s="6" t="n">
        <v>16</v>
      </c>
      <c r="F282" s="6" t="n">
        <v>4</v>
      </c>
      <c r="G282" s="6" t="s">
        <v>414</v>
      </c>
    </row>
    <row r="283" customFormat="false" ht="15" hidden="false" customHeight="false" outlineLevel="0" collapsed="false">
      <c r="A283" s="6" t="s">
        <v>52</v>
      </c>
      <c r="B283" s="6" t="s">
        <v>43</v>
      </c>
      <c r="C283" s="6" t="s">
        <v>51</v>
      </c>
      <c r="D283" s="6" t="s">
        <v>116</v>
      </c>
      <c r="E283" s="6" t="n">
        <v>16</v>
      </c>
      <c r="F283" s="6" t="n">
        <v>4</v>
      </c>
      <c r="G283" s="6" t="s">
        <v>415</v>
      </c>
    </row>
    <row r="284" customFormat="false" ht="15" hidden="false" customHeight="false" outlineLevel="0" collapsed="false">
      <c r="A284" s="6" t="s">
        <v>52</v>
      </c>
      <c r="B284" s="6" t="s">
        <v>43</v>
      </c>
      <c r="C284" s="6" t="s">
        <v>51</v>
      </c>
      <c r="D284" s="6" t="s">
        <v>116</v>
      </c>
      <c r="E284" s="6" t="n">
        <v>16</v>
      </c>
      <c r="F284" s="6" t="n">
        <v>4</v>
      </c>
      <c r="G284" s="6" t="s">
        <v>416</v>
      </c>
    </row>
    <row r="285" customFormat="false" ht="15" hidden="false" customHeight="false" outlineLevel="0" collapsed="false">
      <c r="A285" s="6" t="s">
        <v>52</v>
      </c>
      <c r="B285" s="6" t="s">
        <v>43</v>
      </c>
      <c r="C285" s="6" t="s">
        <v>51</v>
      </c>
      <c r="D285" s="6" t="s">
        <v>116</v>
      </c>
      <c r="E285" s="6" t="n">
        <v>16</v>
      </c>
      <c r="F285" s="6" t="n">
        <v>4</v>
      </c>
      <c r="G285" s="6" t="s">
        <v>417</v>
      </c>
    </row>
    <row r="286" customFormat="false" ht="15" hidden="false" customHeight="false" outlineLevel="0" collapsed="false">
      <c r="A286" s="6" t="s">
        <v>52</v>
      </c>
      <c r="B286" s="6" t="s">
        <v>43</v>
      </c>
      <c r="C286" s="6" t="s">
        <v>51</v>
      </c>
      <c r="D286" s="6" t="s">
        <v>116</v>
      </c>
      <c r="E286" s="6" t="n">
        <v>16</v>
      </c>
      <c r="F286" s="6" t="n">
        <v>5</v>
      </c>
      <c r="G286" s="6" t="s">
        <v>418</v>
      </c>
    </row>
    <row r="287" customFormat="false" ht="15" hidden="false" customHeight="false" outlineLevel="0" collapsed="false">
      <c r="A287" s="6" t="s">
        <v>52</v>
      </c>
      <c r="B287" s="6" t="s">
        <v>43</v>
      </c>
      <c r="C287" s="6" t="s">
        <v>51</v>
      </c>
      <c r="D287" s="6" t="s">
        <v>116</v>
      </c>
      <c r="E287" s="6" t="n">
        <v>16</v>
      </c>
      <c r="F287" s="6" t="n">
        <v>5</v>
      </c>
      <c r="G287" s="6" t="s">
        <v>419</v>
      </c>
    </row>
    <row r="288" customFormat="false" ht="15" hidden="false" customHeight="false" outlineLevel="0" collapsed="false">
      <c r="A288" s="6" t="s">
        <v>52</v>
      </c>
      <c r="B288" s="6" t="s">
        <v>43</v>
      </c>
      <c r="C288" s="6" t="s">
        <v>51</v>
      </c>
      <c r="D288" s="6" t="s">
        <v>116</v>
      </c>
      <c r="E288" s="6" t="n">
        <v>16</v>
      </c>
      <c r="F288" s="6" t="n">
        <v>5</v>
      </c>
      <c r="G288" s="6" t="s">
        <v>420</v>
      </c>
    </row>
    <row r="289" customFormat="false" ht="15" hidden="false" customHeight="false" outlineLevel="0" collapsed="false">
      <c r="A289" s="6" t="s">
        <v>52</v>
      </c>
      <c r="B289" s="6" t="s">
        <v>43</v>
      </c>
      <c r="C289" s="6" t="s">
        <v>51</v>
      </c>
      <c r="D289" s="6" t="s">
        <v>116</v>
      </c>
      <c r="E289" s="6" t="n">
        <v>16</v>
      </c>
      <c r="F289" s="6" t="n">
        <v>5</v>
      </c>
      <c r="G289" s="6" t="s">
        <v>421</v>
      </c>
    </row>
    <row r="290" customFormat="false" ht="15" hidden="false" customHeight="false" outlineLevel="0" collapsed="false">
      <c r="A290" s="6" t="s">
        <v>52</v>
      </c>
      <c r="B290" s="6" t="s">
        <v>43</v>
      </c>
      <c r="C290" s="6" t="s">
        <v>51</v>
      </c>
      <c r="D290" s="6" t="s">
        <v>116</v>
      </c>
      <c r="E290" s="6" t="n">
        <v>16</v>
      </c>
      <c r="F290" s="6" t="n">
        <v>5</v>
      </c>
      <c r="G290" s="6" t="s">
        <v>422</v>
      </c>
    </row>
    <row r="291" customFormat="false" ht="15" hidden="false" customHeight="false" outlineLevel="0" collapsed="false">
      <c r="A291" s="6" t="s">
        <v>52</v>
      </c>
      <c r="B291" s="6" t="s">
        <v>43</v>
      </c>
      <c r="C291" s="6" t="s">
        <v>51</v>
      </c>
      <c r="D291" s="6" t="s">
        <v>116</v>
      </c>
      <c r="E291" s="6" t="n">
        <v>16</v>
      </c>
      <c r="F291" s="6" t="n">
        <v>5</v>
      </c>
      <c r="G291" s="6" t="s">
        <v>423</v>
      </c>
    </row>
    <row r="292" customFormat="false" ht="15" hidden="false" customHeight="false" outlineLevel="0" collapsed="false">
      <c r="A292" s="6" t="s">
        <v>52</v>
      </c>
      <c r="B292" s="6" t="s">
        <v>43</v>
      </c>
      <c r="C292" s="6" t="s">
        <v>51</v>
      </c>
      <c r="D292" s="6" t="s">
        <v>116</v>
      </c>
      <c r="E292" s="6" t="n">
        <v>16</v>
      </c>
      <c r="F292" s="6" t="n">
        <v>5</v>
      </c>
      <c r="G292" s="6" t="s">
        <v>424</v>
      </c>
    </row>
    <row r="293" customFormat="false" ht="15" hidden="false" customHeight="false" outlineLevel="0" collapsed="false">
      <c r="A293" s="6" t="s">
        <v>52</v>
      </c>
      <c r="B293" s="6" t="s">
        <v>43</v>
      </c>
      <c r="C293" s="6" t="s">
        <v>51</v>
      </c>
      <c r="D293" s="6" t="s">
        <v>116</v>
      </c>
      <c r="E293" s="6" t="n">
        <v>16</v>
      </c>
      <c r="F293" s="6" t="n">
        <v>5</v>
      </c>
      <c r="G293" s="6" t="s">
        <v>425</v>
      </c>
    </row>
    <row r="294" customFormat="false" ht="15" hidden="false" customHeight="false" outlineLevel="0" collapsed="false">
      <c r="A294" s="6" t="s">
        <v>52</v>
      </c>
      <c r="B294" s="6" t="s">
        <v>43</v>
      </c>
      <c r="C294" s="6" t="s">
        <v>51</v>
      </c>
      <c r="D294" s="6" t="s">
        <v>116</v>
      </c>
      <c r="E294" s="6" t="n">
        <v>16</v>
      </c>
      <c r="F294" s="6" t="n">
        <v>5</v>
      </c>
      <c r="G294" s="6" t="s">
        <v>426</v>
      </c>
    </row>
    <row r="295" customFormat="false" ht="15" hidden="false" customHeight="false" outlineLevel="0" collapsed="false">
      <c r="A295" s="6" t="s">
        <v>52</v>
      </c>
      <c r="B295" s="6" t="s">
        <v>43</v>
      </c>
      <c r="C295" s="6" t="s">
        <v>51</v>
      </c>
      <c r="D295" s="6" t="s">
        <v>116</v>
      </c>
      <c r="E295" s="6" t="n">
        <v>16</v>
      </c>
      <c r="F295" s="6" t="n">
        <v>5</v>
      </c>
      <c r="G295" s="6" t="s">
        <v>427</v>
      </c>
    </row>
    <row r="296" customFormat="false" ht="15" hidden="false" customHeight="false" outlineLevel="0" collapsed="false">
      <c r="A296" s="6" t="s">
        <v>52</v>
      </c>
      <c r="B296" s="6" t="s">
        <v>43</v>
      </c>
      <c r="C296" s="6" t="s">
        <v>51</v>
      </c>
      <c r="D296" s="6" t="s">
        <v>116</v>
      </c>
      <c r="E296" s="6" t="n">
        <v>16</v>
      </c>
      <c r="F296" s="6" t="n">
        <v>5</v>
      </c>
      <c r="G296" s="6" t="s">
        <v>428</v>
      </c>
    </row>
    <row r="297" customFormat="false" ht="15" hidden="false" customHeight="false" outlineLevel="0" collapsed="false">
      <c r="A297" s="6" t="s">
        <v>52</v>
      </c>
      <c r="B297" s="6" t="s">
        <v>43</v>
      </c>
      <c r="C297" s="6" t="s">
        <v>51</v>
      </c>
      <c r="D297" s="6" t="s">
        <v>116</v>
      </c>
      <c r="E297" s="6" t="n">
        <v>16</v>
      </c>
      <c r="F297" s="6" t="n">
        <v>5</v>
      </c>
      <c r="G297" s="6" t="s">
        <v>429</v>
      </c>
    </row>
    <row r="298" customFormat="false" ht="15" hidden="false" customHeight="false" outlineLevel="0" collapsed="false">
      <c r="A298" s="6" t="s">
        <v>52</v>
      </c>
      <c r="B298" s="6" t="s">
        <v>43</v>
      </c>
      <c r="C298" s="6" t="s">
        <v>51</v>
      </c>
      <c r="D298" s="6" t="s">
        <v>116</v>
      </c>
      <c r="E298" s="6" t="n">
        <v>16</v>
      </c>
      <c r="F298" s="6" t="n">
        <v>5</v>
      </c>
      <c r="G298" s="6" t="s">
        <v>430</v>
      </c>
    </row>
    <row r="299" customFormat="false" ht="15" hidden="false" customHeight="false" outlineLevel="0" collapsed="false">
      <c r="A299" s="6" t="s">
        <v>52</v>
      </c>
      <c r="B299" s="6" t="s">
        <v>43</v>
      </c>
      <c r="C299" s="6" t="s">
        <v>51</v>
      </c>
      <c r="D299" s="6" t="s">
        <v>116</v>
      </c>
      <c r="E299" s="6" t="n">
        <v>16</v>
      </c>
      <c r="F299" s="6" t="n">
        <v>5</v>
      </c>
      <c r="G299" s="6" t="s">
        <v>431</v>
      </c>
    </row>
    <row r="300" customFormat="false" ht="15" hidden="false" customHeight="false" outlineLevel="0" collapsed="false">
      <c r="A300" s="6" t="s">
        <v>52</v>
      </c>
      <c r="B300" s="6" t="s">
        <v>43</v>
      </c>
      <c r="C300" s="6" t="s">
        <v>51</v>
      </c>
      <c r="D300" s="6" t="s">
        <v>116</v>
      </c>
      <c r="E300" s="6" t="n">
        <v>16</v>
      </c>
      <c r="F300" s="6" t="n">
        <v>5</v>
      </c>
      <c r="G300" s="6" t="s">
        <v>432</v>
      </c>
    </row>
    <row r="301" customFormat="false" ht="15" hidden="false" customHeight="false" outlineLevel="0" collapsed="false">
      <c r="A301" s="6" t="s">
        <v>52</v>
      </c>
      <c r="B301" s="6" t="s">
        <v>43</v>
      </c>
      <c r="C301" s="6" t="s">
        <v>51</v>
      </c>
      <c r="D301" s="6" t="s">
        <v>116</v>
      </c>
      <c r="E301" s="6" t="n">
        <v>16</v>
      </c>
      <c r="F301" s="6" t="n">
        <v>5</v>
      </c>
      <c r="G301" s="6" t="s">
        <v>433</v>
      </c>
    </row>
    <row r="302" customFormat="false" ht="15" hidden="false" customHeight="false" outlineLevel="0" collapsed="false">
      <c r="A302" s="6" t="s">
        <v>52</v>
      </c>
      <c r="B302" s="6" t="s">
        <v>43</v>
      </c>
      <c r="C302" s="6" t="s">
        <v>51</v>
      </c>
      <c r="D302" s="6" t="s">
        <v>116</v>
      </c>
      <c r="E302" s="6" t="n">
        <v>16</v>
      </c>
      <c r="F302" s="6" t="n">
        <v>6</v>
      </c>
      <c r="G302" s="6" t="s">
        <v>434</v>
      </c>
    </row>
    <row r="303" customFormat="false" ht="15" hidden="false" customHeight="false" outlineLevel="0" collapsed="false">
      <c r="A303" s="6" t="s">
        <v>52</v>
      </c>
      <c r="B303" s="6" t="s">
        <v>43</v>
      </c>
      <c r="C303" s="6" t="s">
        <v>51</v>
      </c>
      <c r="D303" s="6" t="s">
        <v>116</v>
      </c>
      <c r="E303" s="6" t="n">
        <v>16</v>
      </c>
      <c r="F303" s="6" t="n">
        <v>6</v>
      </c>
      <c r="G303" s="6" t="s">
        <v>435</v>
      </c>
    </row>
    <row r="304" customFormat="false" ht="15" hidden="false" customHeight="false" outlineLevel="0" collapsed="false">
      <c r="A304" s="6" t="s">
        <v>52</v>
      </c>
      <c r="B304" s="6" t="s">
        <v>43</v>
      </c>
      <c r="C304" s="6" t="s">
        <v>51</v>
      </c>
      <c r="D304" s="6" t="s">
        <v>116</v>
      </c>
      <c r="E304" s="6" t="n">
        <v>16</v>
      </c>
      <c r="F304" s="6" t="n">
        <v>6</v>
      </c>
      <c r="G304" s="6" t="s">
        <v>436</v>
      </c>
    </row>
    <row r="305" customFormat="false" ht="15" hidden="false" customHeight="false" outlineLevel="0" collapsed="false">
      <c r="A305" s="6" t="s">
        <v>52</v>
      </c>
      <c r="B305" s="6" t="s">
        <v>43</v>
      </c>
      <c r="C305" s="6" t="s">
        <v>51</v>
      </c>
      <c r="D305" s="6" t="s">
        <v>116</v>
      </c>
      <c r="E305" s="6" t="n">
        <v>16</v>
      </c>
      <c r="F305" s="6" t="n">
        <v>6</v>
      </c>
      <c r="G305" s="6" t="s">
        <v>437</v>
      </c>
    </row>
    <row r="306" customFormat="false" ht="15" hidden="false" customHeight="false" outlineLevel="0" collapsed="false">
      <c r="A306" s="6" t="s">
        <v>52</v>
      </c>
      <c r="B306" s="6" t="s">
        <v>43</v>
      </c>
      <c r="C306" s="6" t="s">
        <v>51</v>
      </c>
      <c r="D306" s="6" t="s">
        <v>116</v>
      </c>
      <c r="E306" s="6" t="n">
        <v>16</v>
      </c>
      <c r="F306" s="6" t="n">
        <v>6</v>
      </c>
      <c r="G306" s="6" t="s">
        <v>438</v>
      </c>
    </row>
    <row r="307" customFormat="false" ht="15" hidden="false" customHeight="false" outlineLevel="0" collapsed="false">
      <c r="A307" s="6" t="s">
        <v>52</v>
      </c>
      <c r="B307" s="6" t="s">
        <v>43</v>
      </c>
      <c r="C307" s="6" t="s">
        <v>51</v>
      </c>
      <c r="D307" s="6" t="s">
        <v>116</v>
      </c>
      <c r="E307" s="6" t="n">
        <v>16</v>
      </c>
      <c r="F307" s="6" t="n">
        <v>6</v>
      </c>
      <c r="G307" s="6" t="s">
        <v>439</v>
      </c>
    </row>
    <row r="308" customFormat="false" ht="15" hidden="false" customHeight="false" outlineLevel="0" collapsed="false">
      <c r="A308" s="6" t="s">
        <v>52</v>
      </c>
      <c r="B308" s="6" t="s">
        <v>43</v>
      </c>
      <c r="C308" s="6" t="s">
        <v>51</v>
      </c>
      <c r="D308" s="6" t="s">
        <v>116</v>
      </c>
      <c r="E308" s="6" t="n">
        <v>16</v>
      </c>
      <c r="F308" s="6" t="n">
        <v>6</v>
      </c>
      <c r="G308" s="6" t="s">
        <v>440</v>
      </c>
    </row>
    <row r="309" customFormat="false" ht="15" hidden="false" customHeight="false" outlineLevel="0" collapsed="false">
      <c r="A309" s="6" t="s">
        <v>52</v>
      </c>
      <c r="B309" s="6" t="s">
        <v>43</v>
      </c>
      <c r="C309" s="6" t="s">
        <v>51</v>
      </c>
      <c r="D309" s="6" t="s">
        <v>116</v>
      </c>
      <c r="E309" s="6" t="n">
        <v>16</v>
      </c>
      <c r="F309" s="6" t="n">
        <v>6</v>
      </c>
      <c r="G309" s="6" t="s">
        <v>441</v>
      </c>
    </row>
    <row r="310" customFormat="false" ht="15" hidden="false" customHeight="false" outlineLevel="0" collapsed="false">
      <c r="A310" s="6" t="s">
        <v>52</v>
      </c>
      <c r="B310" s="6" t="s">
        <v>43</v>
      </c>
      <c r="C310" s="6" t="s">
        <v>51</v>
      </c>
      <c r="D310" s="6" t="s">
        <v>116</v>
      </c>
      <c r="E310" s="6" t="n">
        <v>16</v>
      </c>
      <c r="F310" s="6" t="n">
        <v>6</v>
      </c>
      <c r="G310" s="6" t="s">
        <v>442</v>
      </c>
    </row>
    <row r="311" customFormat="false" ht="15" hidden="false" customHeight="false" outlineLevel="0" collapsed="false">
      <c r="A311" s="6" t="s">
        <v>52</v>
      </c>
      <c r="B311" s="6" t="s">
        <v>43</v>
      </c>
      <c r="C311" s="6" t="s">
        <v>51</v>
      </c>
      <c r="D311" s="6" t="s">
        <v>116</v>
      </c>
      <c r="E311" s="6" t="n">
        <v>16</v>
      </c>
      <c r="F311" s="6" t="n">
        <v>6</v>
      </c>
      <c r="G311" s="6" t="s">
        <v>443</v>
      </c>
    </row>
    <row r="312" customFormat="false" ht="15" hidden="false" customHeight="false" outlineLevel="0" collapsed="false">
      <c r="A312" s="6" t="s">
        <v>52</v>
      </c>
      <c r="B312" s="6" t="s">
        <v>43</v>
      </c>
      <c r="C312" s="6" t="s">
        <v>51</v>
      </c>
      <c r="D312" s="6" t="s">
        <v>116</v>
      </c>
      <c r="E312" s="6" t="n">
        <v>16</v>
      </c>
      <c r="F312" s="6" t="n">
        <v>6</v>
      </c>
      <c r="G312" s="6" t="s">
        <v>444</v>
      </c>
    </row>
    <row r="313" customFormat="false" ht="15" hidden="false" customHeight="false" outlineLevel="0" collapsed="false">
      <c r="A313" s="6" t="s">
        <v>52</v>
      </c>
      <c r="B313" s="6" t="s">
        <v>43</v>
      </c>
      <c r="C313" s="6" t="s">
        <v>51</v>
      </c>
      <c r="D313" s="6" t="s">
        <v>116</v>
      </c>
      <c r="E313" s="6" t="n">
        <v>16</v>
      </c>
      <c r="F313" s="6" t="n">
        <v>6</v>
      </c>
      <c r="G313" s="6" t="s">
        <v>445</v>
      </c>
    </row>
    <row r="314" customFormat="false" ht="15" hidden="false" customHeight="false" outlineLevel="0" collapsed="false">
      <c r="A314" s="6" t="s">
        <v>52</v>
      </c>
      <c r="B314" s="6" t="s">
        <v>43</v>
      </c>
      <c r="C314" s="6" t="s">
        <v>51</v>
      </c>
      <c r="D314" s="6" t="s">
        <v>116</v>
      </c>
      <c r="E314" s="6" t="n">
        <v>16</v>
      </c>
      <c r="F314" s="6" t="n">
        <v>6</v>
      </c>
      <c r="G314" s="6" t="s">
        <v>446</v>
      </c>
    </row>
    <row r="315" customFormat="false" ht="15" hidden="false" customHeight="false" outlineLevel="0" collapsed="false">
      <c r="A315" s="6" t="s">
        <v>52</v>
      </c>
      <c r="B315" s="6" t="s">
        <v>43</v>
      </c>
      <c r="C315" s="6" t="s">
        <v>51</v>
      </c>
      <c r="D315" s="6" t="s">
        <v>116</v>
      </c>
      <c r="E315" s="6" t="n">
        <v>16</v>
      </c>
      <c r="F315" s="6" t="n">
        <v>6</v>
      </c>
      <c r="G315" s="6" t="s">
        <v>447</v>
      </c>
    </row>
    <row r="316" customFormat="false" ht="15" hidden="false" customHeight="false" outlineLevel="0" collapsed="false">
      <c r="A316" s="6" t="s">
        <v>52</v>
      </c>
      <c r="B316" s="6" t="s">
        <v>43</v>
      </c>
      <c r="C316" s="6" t="s">
        <v>51</v>
      </c>
      <c r="D316" s="6" t="s">
        <v>116</v>
      </c>
      <c r="E316" s="6" t="n">
        <v>16</v>
      </c>
      <c r="F316" s="6" t="n">
        <v>6</v>
      </c>
      <c r="G316" s="6" t="s">
        <v>448</v>
      </c>
    </row>
    <row r="317" customFormat="false" ht="15" hidden="false" customHeight="false" outlineLevel="0" collapsed="false">
      <c r="A317" s="6" t="s">
        <v>52</v>
      </c>
      <c r="B317" s="6" t="s">
        <v>43</v>
      </c>
      <c r="C317" s="6" t="s">
        <v>51</v>
      </c>
      <c r="D317" s="6" t="s">
        <v>116</v>
      </c>
      <c r="E317" s="6" t="n">
        <v>16</v>
      </c>
      <c r="F317" s="6" t="n">
        <v>6</v>
      </c>
      <c r="G317" s="6" t="s">
        <v>449</v>
      </c>
    </row>
    <row r="318" customFormat="false" ht="15" hidden="false" customHeight="false" outlineLevel="0" collapsed="false">
      <c r="A318" s="6" t="s">
        <v>52</v>
      </c>
      <c r="B318" s="6" t="s">
        <v>43</v>
      </c>
      <c r="C318" s="6" t="s">
        <v>51</v>
      </c>
      <c r="D318" s="6" t="s">
        <v>116</v>
      </c>
      <c r="E318" s="6" t="n">
        <v>16</v>
      </c>
      <c r="F318" s="6" t="n">
        <v>7</v>
      </c>
      <c r="G318" s="6" t="s">
        <v>450</v>
      </c>
    </row>
    <row r="319" customFormat="false" ht="15" hidden="false" customHeight="false" outlineLevel="0" collapsed="false">
      <c r="A319" s="6" t="s">
        <v>52</v>
      </c>
      <c r="B319" s="6" t="s">
        <v>43</v>
      </c>
      <c r="C319" s="6" t="s">
        <v>51</v>
      </c>
      <c r="D319" s="6" t="s">
        <v>116</v>
      </c>
      <c r="E319" s="6" t="n">
        <v>16</v>
      </c>
      <c r="F319" s="6" t="n">
        <v>7</v>
      </c>
      <c r="G319" s="6" t="s">
        <v>451</v>
      </c>
    </row>
    <row r="320" customFormat="false" ht="15" hidden="false" customHeight="false" outlineLevel="0" collapsed="false">
      <c r="A320" s="6" t="s">
        <v>52</v>
      </c>
      <c r="B320" s="6" t="s">
        <v>43</v>
      </c>
      <c r="C320" s="6" t="s">
        <v>51</v>
      </c>
      <c r="D320" s="6" t="s">
        <v>116</v>
      </c>
      <c r="E320" s="6" t="n">
        <v>16</v>
      </c>
      <c r="F320" s="6" t="n">
        <v>7</v>
      </c>
      <c r="G320" s="6" t="s">
        <v>452</v>
      </c>
    </row>
    <row r="321" customFormat="false" ht="15" hidden="false" customHeight="false" outlineLevel="0" collapsed="false">
      <c r="A321" s="6" t="s">
        <v>52</v>
      </c>
      <c r="B321" s="6" t="s">
        <v>43</v>
      </c>
      <c r="C321" s="6" t="s">
        <v>51</v>
      </c>
      <c r="D321" s="6" t="s">
        <v>116</v>
      </c>
      <c r="E321" s="6" t="n">
        <v>16</v>
      </c>
      <c r="F321" s="6" t="n">
        <v>7</v>
      </c>
      <c r="G321" s="6" t="s">
        <v>453</v>
      </c>
    </row>
    <row r="322" customFormat="false" ht="15" hidden="false" customHeight="false" outlineLevel="0" collapsed="false">
      <c r="A322" s="6" t="s">
        <v>52</v>
      </c>
      <c r="B322" s="6" t="s">
        <v>43</v>
      </c>
      <c r="C322" s="6" t="s">
        <v>51</v>
      </c>
      <c r="D322" s="6" t="s">
        <v>116</v>
      </c>
      <c r="E322" s="6" t="n">
        <v>16</v>
      </c>
      <c r="F322" s="6" t="n">
        <v>7</v>
      </c>
      <c r="G322" s="6" t="s">
        <v>454</v>
      </c>
    </row>
    <row r="323" customFormat="false" ht="15" hidden="false" customHeight="false" outlineLevel="0" collapsed="false">
      <c r="A323" s="6" t="s">
        <v>52</v>
      </c>
      <c r="B323" s="6" t="s">
        <v>43</v>
      </c>
      <c r="C323" s="6" t="s">
        <v>51</v>
      </c>
      <c r="D323" s="6" t="s">
        <v>116</v>
      </c>
      <c r="E323" s="6" t="n">
        <v>16</v>
      </c>
      <c r="F323" s="6" t="n">
        <v>7</v>
      </c>
      <c r="G323" s="6" t="s">
        <v>455</v>
      </c>
    </row>
    <row r="324" customFormat="false" ht="15" hidden="false" customHeight="false" outlineLevel="0" collapsed="false">
      <c r="A324" s="6" t="s">
        <v>52</v>
      </c>
      <c r="B324" s="6" t="s">
        <v>43</v>
      </c>
      <c r="C324" s="6" t="s">
        <v>51</v>
      </c>
      <c r="D324" s="6" t="s">
        <v>116</v>
      </c>
      <c r="E324" s="6" t="n">
        <v>16</v>
      </c>
      <c r="F324" s="6" t="n">
        <v>7</v>
      </c>
      <c r="G324" s="6" t="s">
        <v>456</v>
      </c>
    </row>
    <row r="325" customFormat="false" ht="15" hidden="false" customHeight="false" outlineLevel="0" collapsed="false">
      <c r="A325" s="6" t="s">
        <v>52</v>
      </c>
      <c r="B325" s="6" t="s">
        <v>43</v>
      </c>
      <c r="C325" s="6" t="s">
        <v>51</v>
      </c>
      <c r="D325" s="6" t="s">
        <v>116</v>
      </c>
      <c r="E325" s="6" t="n">
        <v>16</v>
      </c>
      <c r="F325" s="6" t="n">
        <v>7</v>
      </c>
      <c r="G325" s="6" t="s">
        <v>457</v>
      </c>
    </row>
    <row r="326" customFormat="false" ht="15" hidden="false" customHeight="false" outlineLevel="0" collapsed="false">
      <c r="A326" s="6" t="s">
        <v>52</v>
      </c>
      <c r="B326" s="6" t="s">
        <v>43</v>
      </c>
      <c r="C326" s="6" t="s">
        <v>51</v>
      </c>
      <c r="D326" s="6" t="s">
        <v>116</v>
      </c>
      <c r="E326" s="6" t="n">
        <v>16</v>
      </c>
      <c r="F326" s="6" t="n">
        <v>7</v>
      </c>
      <c r="G326" s="6" t="s">
        <v>458</v>
      </c>
    </row>
    <row r="327" customFormat="false" ht="15" hidden="false" customHeight="false" outlineLevel="0" collapsed="false">
      <c r="A327" s="6" t="s">
        <v>52</v>
      </c>
      <c r="B327" s="6" t="s">
        <v>43</v>
      </c>
      <c r="C327" s="6" t="s">
        <v>51</v>
      </c>
      <c r="D327" s="6" t="s">
        <v>116</v>
      </c>
      <c r="E327" s="6" t="n">
        <v>16</v>
      </c>
      <c r="F327" s="6" t="n">
        <v>7</v>
      </c>
      <c r="G327" s="6" t="s">
        <v>459</v>
      </c>
    </row>
    <row r="328" customFormat="false" ht="15" hidden="false" customHeight="false" outlineLevel="0" collapsed="false">
      <c r="A328" s="6" t="s">
        <v>52</v>
      </c>
      <c r="B328" s="6" t="s">
        <v>43</v>
      </c>
      <c r="C328" s="6" t="s">
        <v>51</v>
      </c>
      <c r="D328" s="6" t="s">
        <v>116</v>
      </c>
      <c r="E328" s="6" t="n">
        <v>16</v>
      </c>
      <c r="F328" s="6" t="n">
        <v>7</v>
      </c>
      <c r="G328" s="6" t="s">
        <v>460</v>
      </c>
    </row>
    <row r="329" customFormat="false" ht="15" hidden="false" customHeight="false" outlineLevel="0" collapsed="false">
      <c r="A329" s="6" t="s">
        <v>52</v>
      </c>
      <c r="B329" s="6" t="s">
        <v>43</v>
      </c>
      <c r="C329" s="6" t="s">
        <v>51</v>
      </c>
      <c r="D329" s="6" t="s">
        <v>116</v>
      </c>
      <c r="E329" s="6" t="n">
        <v>16</v>
      </c>
      <c r="F329" s="6" t="n">
        <v>7</v>
      </c>
      <c r="G329" s="6" t="s">
        <v>461</v>
      </c>
    </row>
    <row r="330" customFormat="false" ht="15" hidden="false" customHeight="false" outlineLevel="0" collapsed="false">
      <c r="A330" s="6" t="s">
        <v>52</v>
      </c>
      <c r="B330" s="6" t="s">
        <v>43</v>
      </c>
      <c r="C330" s="6" t="s">
        <v>51</v>
      </c>
      <c r="D330" s="6" t="s">
        <v>116</v>
      </c>
      <c r="E330" s="6" t="n">
        <v>16</v>
      </c>
      <c r="F330" s="6" t="n">
        <v>7</v>
      </c>
      <c r="G330" s="6" t="s">
        <v>462</v>
      </c>
    </row>
    <row r="331" customFormat="false" ht="15" hidden="false" customHeight="false" outlineLevel="0" collapsed="false">
      <c r="A331" s="6" t="s">
        <v>52</v>
      </c>
      <c r="B331" s="6" t="s">
        <v>43</v>
      </c>
      <c r="C331" s="6" t="s">
        <v>51</v>
      </c>
      <c r="D331" s="6" t="s">
        <v>116</v>
      </c>
      <c r="E331" s="6" t="n">
        <v>16</v>
      </c>
      <c r="F331" s="6" t="n">
        <v>7</v>
      </c>
      <c r="G331" s="6" t="s">
        <v>463</v>
      </c>
    </row>
    <row r="332" customFormat="false" ht="15" hidden="false" customHeight="false" outlineLevel="0" collapsed="false">
      <c r="A332" s="6" t="s">
        <v>52</v>
      </c>
      <c r="B332" s="6" t="s">
        <v>43</v>
      </c>
      <c r="C332" s="6" t="s">
        <v>51</v>
      </c>
      <c r="D332" s="6" t="s">
        <v>116</v>
      </c>
      <c r="E332" s="6" t="n">
        <v>16</v>
      </c>
      <c r="F332" s="6" t="n">
        <v>7</v>
      </c>
      <c r="G332" s="6" t="s">
        <v>464</v>
      </c>
    </row>
    <row r="333" customFormat="false" ht="15" hidden="false" customHeight="false" outlineLevel="0" collapsed="false">
      <c r="A333" s="6" t="s">
        <v>52</v>
      </c>
      <c r="B333" s="6" t="s">
        <v>43</v>
      </c>
      <c r="C333" s="6" t="s">
        <v>51</v>
      </c>
      <c r="D333" s="6" t="s">
        <v>116</v>
      </c>
      <c r="E333" s="6" t="n">
        <v>16</v>
      </c>
      <c r="F333" s="6" t="n">
        <v>7</v>
      </c>
      <c r="G333" s="6" t="s">
        <v>465</v>
      </c>
    </row>
    <row r="334" customFormat="false" ht="15" hidden="false" customHeight="false" outlineLevel="0" collapsed="false">
      <c r="A334" s="6" t="s">
        <v>52</v>
      </c>
      <c r="B334" s="6" t="s">
        <v>43</v>
      </c>
      <c r="C334" s="6" t="s">
        <v>51</v>
      </c>
      <c r="D334" s="6" t="s">
        <v>116</v>
      </c>
      <c r="E334" s="6" t="n">
        <v>16</v>
      </c>
      <c r="F334" s="6" t="n">
        <v>8</v>
      </c>
      <c r="G334" s="6" t="s">
        <v>466</v>
      </c>
    </row>
    <row r="335" customFormat="false" ht="15" hidden="false" customHeight="false" outlineLevel="0" collapsed="false">
      <c r="A335" s="6" t="s">
        <v>52</v>
      </c>
      <c r="B335" s="6" t="s">
        <v>43</v>
      </c>
      <c r="C335" s="6" t="s">
        <v>51</v>
      </c>
      <c r="D335" s="6" t="s">
        <v>116</v>
      </c>
      <c r="E335" s="6" t="n">
        <v>16</v>
      </c>
      <c r="F335" s="6" t="n">
        <v>8</v>
      </c>
      <c r="G335" s="6" t="s">
        <v>467</v>
      </c>
    </row>
    <row r="336" customFormat="false" ht="15" hidden="false" customHeight="false" outlineLevel="0" collapsed="false">
      <c r="A336" s="6" t="s">
        <v>52</v>
      </c>
      <c r="B336" s="6" t="s">
        <v>43</v>
      </c>
      <c r="C336" s="6" t="s">
        <v>51</v>
      </c>
      <c r="D336" s="6" t="s">
        <v>116</v>
      </c>
      <c r="E336" s="6" t="n">
        <v>16</v>
      </c>
      <c r="F336" s="6" t="n">
        <v>8</v>
      </c>
      <c r="G336" s="6" t="s">
        <v>468</v>
      </c>
    </row>
    <row r="337" customFormat="false" ht="15" hidden="false" customHeight="false" outlineLevel="0" collapsed="false">
      <c r="A337" s="6" t="s">
        <v>52</v>
      </c>
      <c r="B337" s="6" t="s">
        <v>43</v>
      </c>
      <c r="C337" s="6" t="s">
        <v>51</v>
      </c>
      <c r="D337" s="6" t="s">
        <v>116</v>
      </c>
      <c r="E337" s="6" t="n">
        <v>16</v>
      </c>
      <c r="F337" s="6" t="n">
        <v>8</v>
      </c>
      <c r="G337" s="6" t="s">
        <v>469</v>
      </c>
    </row>
    <row r="338" customFormat="false" ht="15" hidden="false" customHeight="false" outlineLevel="0" collapsed="false">
      <c r="A338" s="6" t="s">
        <v>52</v>
      </c>
      <c r="B338" s="6" t="s">
        <v>43</v>
      </c>
      <c r="C338" s="6" t="s">
        <v>51</v>
      </c>
      <c r="D338" s="6" t="s">
        <v>116</v>
      </c>
      <c r="E338" s="6" t="n">
        <v>16</v>
      </c>
      <c r="F338" s="6" t="n">
        <v>8</v>
      </c>
      <c r="G338" s="6" t="s">
        <v>470</v>
      </c>
    </row>
    <row r="339" customFormat="false" ht="15" hidden="false" customHeight="false" outlineLevel="0" collapsed="false">
      <c r="A339" s="6" t="s">
        <v>52</v>
      </c>
      <c r="B339" s="6" t="s">
        <v>43</v>
      </c>
      <c r="C339" s="6" t="s">
        <v>51</v>
      </c>
      <c r="D339" s="6" t="s">
        <v>116</v>
      </c>
      <c r="E339" s="6" t="n">
        <v>16</v>
      </c>
      <c r="F339" s="6" t="n">
        <v>8</v>
      </c>
      <c r="G339" s="6" t="s">
        <v>471</v>
      </c>
    </row>
    <row r="340" customFormat="false" ht="15" hidden="false" customHeight="false" outlineLevel="0" collapsed="false">
      <c r="A340" s="6" t="s">
        <v>52</v>
      </c>
      <c r="B340" s="6" t="s">
        <v>43</v>
      </c>
      <c r="C340" s="6" t="s">
        <v>51</v>
      </c>
      <c r="D340" s="6" t="s">
        <v>116</v>
      </c>
      <c r="E340" s="6" t="n">
        <v>16</v>
      </c>
      <c r="F340" s="6" t="n">
        <v>8</v>
      </c>
      <c r="G340" s="6" t="s">
        <v>472</v>
      </c>
    </row>
    <row r="341" customFormat="false" ht="15" hidden="false" customHeight="false" outlineLevel="0" collapsed="false">
      <c r="A341" s="6" t="s">
        <v>52</v>
      </c>
      <c r="B341" s="6" t="s">
        <v>43</v>
      </c>
      <c r="C341" s="6" t="s">
        <v>51</v>
      </c>
      <c r="D341" s="6" t="s">
        <v>116</v>
      </c>
      <c r="E341" s="6" t="n">
        <v>16</v>
      </c>
      <c r="F341" s="6" t="n">
        <v>8</v>
      </c>
      <c r="G341" s="6" t="s">
        <v>473</v>
      </c>
    </row>
    <row r="342" customFormat="false" ht="15" hidden="false" customHeight="false" outlineLevel="0" collapsed="false">
      <c r="A342" s="6" t="s">
        <v>52</v>
      </c>
      <c r="B342" s="6" t="s">
        <v>43</v>
      </c>
      <c r="C342" s="6" t="s">
        <v>51</v>
      </c>
      <c r="D342" s="6" t="s">
        <v>116</v>
      </c>
      <c r="E342" s="6" t="n">
        <v>16</v>
      </c>
      <c r="F342" s="6" t="n">
        <v>8</v>
      </c>
      <c r="G342" s="6" t="s">
        <v>474</v>
      </c>
    </row>
    <row r="343" customFormat="false" ht="15" hidden="false" customHeight="false" outlineLevel="0" collapsed="false">
      <c r="A343" s="6" t="s">
        <v>52</v>
      </c>
      <c r="B343" s="6" t="s">
        <v>43</v>
      </c>
      <c r="C343" s="6" t="s">
        <v>51</v>
      </c>
      <c r="D343" s="6" t="s">
        <v>116</v>
      </c>
      <c r="E343" s="6" t="n">
        <v>16</v>
      </c>
      <c r="F343" s="6" t="n">
        <v>8</v>
      </c>
      <c r="G343" s="6" t="s">
        <v>475</v>
      </c>
    </row>
    <row r="344" customFormat="false" ht="15" hidden="false" customHeight="false" outlineLevel="0" collapsed="false">
      <c r="A344" s="6" t="s">
        <v>52</v>
      </c>
      <c r="B344" s="6" t="s">
        <v>43</v>
      </c>
      <c r="C344" s="6" t="s">
        <v>51</v>
      </c>
      <c r="D344" s="6" t="s">
        <v>116</v>
      </c>
      <c r="E344" s="6" t="n">
        <v>16</v>
      </c>
      <c r="F344" s="6" t="n">
        <v>8</v>
      </c>
      <c r="G344" s="6" t="s">
        <v>476</v>
      </c>
    </row>
    <row r="345" customFormat="false" ht="15" hidden="false" customHeight="false" outlineLevel="0" collapsed="false">
      <c r="A345" s="6" t="s">
        <v>52</v>
      </c>
      <c r="B345" s="6" t="s">
        <v>43</v>
      </c>
      <c r="C345" s="6" t="s">
        <v>51</v>
      </c>
      <c r="D345" s="6" t="s">
        <v>116</v>
      </c>
      <c r="E345" s="6" t="n">
        <v>16</v>
      </c>
      <c r="F345" s="6" t="n">
        <v>8</v>
      </c>
      <c r="G345" s="6" t="s">
        <v>477</v>
      </c>
    </row>
    <row r="346" customFormat="false" ht="15" hidden="false" customHeight="false" outlineLevel="0" collapsed="false">
      <c r="A346" s="6" t="s">
        <v>52</v>
      </c>
      <c r="B346" s="6" t="s">
        <v>43</v>
      </c>
      <c r="C346" s="6" t="s">
        <v>51</v>
      </c>
      <c r="D346" s="6" t="s">
        <v>116</v>
      </c>
      <c r="E346" s="6" t="n">
        <v>16</v>
      </c>
      <c r="F346" s="6" t="n">
        <v>8</v>
      </c>
      <c r="G346" s="6" t="s">
        <v>478</v>
      </c>
    </row>
    <row r="347" customFormat="false" ht="15" hidden="false" customHeight="false" outlineLevel="0" collapsed="false">
      <c r="A347" s="6" t="s">
        <v>52</v>
      </c>
      <c r="B347" s="6" t="s">
        <v>43</v>
      </c>
      <c r="C347" s="6" t="s">
        <v>51</v>
      </c>
      <c r="D347" s="6" t="s">
        <v>116</v>
      </c>
      <c r="E347" s="6" t="n">
        <v>16</v>
      </c>
      <c r="F347" s="6" t="n">
        <v>8</v>
      </c>
      <c r="G347" s="6" t="s">
        <v>479</v>
      </c>
    </row>
    <row r="348" customFormat="false" ht="15" hidden="false" customHeight="false" outlineLevel="0" collapsed="false">
      <c r="A348" s="6" t="s">
        <v>52</v>
      </c>
      <c r="B348" s="6" t="s">
        <v>43</v>
      </c>
      <c r="C348" s="6" t="s">
        <v>51</v>
      </c>
      <c r="D348" s="6" t="s">
        <v>116</v>
      </c>
      <c r="E348" s="6" t="n">
        <v>16</v>
      </c>
      <c r="F348" s="6" t="n">
        <v>8</v>
      </c>
      <c r="G348" s="6" t="s">
        <v>480</v>
      </c>
    </row>
    <row r="349" customFormat="false" ht="15" hidden="false" customHeight="false" outlineLevel="0" collapsed="false">
      <c r="A349" s="6" t="s">
        <v>52</v>
      </c>
      <c r="B349" s="6" t="s">
        <v>43</v>
      </c>
      <c r="C349" s="6" t="s">
        <v>51</v>
      </c>
      <c r="D349" s="6" t="s">
        <v>116</v>
      </c>
      <c r="E349" s="6" t="n">
        <v>16</v>
      </c>
      <c r="F349" s="6" t="n">
        <v>8</v>
      </c>
      <c r="G349" s="6" t="s">
        <v>481</v>
      </c>
    </row>
    <row r="350" customFormat="false" ht="15" hidden="false" customHeight="false" outlineLevel="0" collapsed="false">
      <c r="A350" s="6" t="s">
        <v>52</v>
      </c>
      <c r="B350" s="6" t="s">
        <v>43</v>
      </c>
      <c r="C350" s="6" t="s">
        <v>51</v>
      </c>
      <c r="D350" s="6" t="s">
        <v>116</v>
      </c>
      <c r="E350" s="6" t="n">
        <v>16</v>
      </c>
      <c r="F350" s="6" t="n">
        <v>9</v>
      </c>
      <c r="G350" s="6" t="s">
        <v>482</v>
      </c>
    </row>
    <row r="351" customFormat="false" ht="15" hidden="false" customHeight="false" outlineLevel="0" collapsed="false">
      <c r="A351" s="6" t="s">
        <v>52</v>
      </c>
      <c r="B351" s="6" t="s">
        <v>43</v>
      </c>
      <c r="C351" s="6" t="s">
        <v>51</v>
      </c>
      <c r="D351" s="6" t="s">
        <v>116</v>
      </c>
      <c r="E351" s="6" t="n">
        <v>16</v>
      </c>
      <c r="F351" s="6" t="n">
        <v>9</v>
      </c>
      <c r="G351" s="6" t="s">
        <v>483</v>
      </c>
    </row>
    <row r="352" customFormat="false" ht="15" hidden="false" customHeight="false" outlineLevel="0" collapsed="false">
      <c r="A352" s="6" t="s">
        <v>52</v>
      </c>
      <c r="B352" s="6" t="s">
        <v>43</v>
      </c>
      <c r="C352" s="6" t="s">
        <v>51</v>
      </c>
      <c r="D352" s="6" t="s">
        <v>116</v>
      </c>
      <c r="E352" s="6" t="n">
        <v>16</v>
      </c>
      <c r="F352" s="6" t="n">
        <v>9</v>
      </c>
      <c r="G352" s="6" t="s">
        <v>484</v>
      </c>
    </row>
    <row r="353" customFormat="false" ht="15" hidden="false" customHeight="false" outlineLevel="0" collapsed="false">
      <c r="A353" s="6" t="s">
        <v>52</v>
      </c>
      <c r="B353" s="6" t="s">
        <v>43</v>
      </c>
      <c r="C353" s="6" t="s">
        <v>51</v>
      </c>
      <c r="D353" s="6" t="s">
        <v>116</v>
      </c>
      <c r="E353" s="6" t="n">
        <v>16</v>
      </c>
      <c r="F353" s="6" t="n">
        <v>9</v>
      </c>
      <c r="G353" s="6" t="s">
        <v>485</v>
      </c>
    </row>
    <row r="354" customFormat="false" ht="15" hidden="false" customHeight="false" outlineLevel="0" collapsed="false">
      <c r="A354" s="6" t="s">
        <v>52</v>
      </c>
      <c r="B354" s="6" t="s">
        <v>43</v>
      </c>
      <c r="C354" s="6" t="s">
        <v>51</v>
      </c>
      <c r="D354" s="6" t="s">
        <v>116</v>
      </c>
      <c r="E354" s="6" t="n">
        <v>16</v>
      </c>
      <c r="F354" s="6" t="n">
        <v>9</v>
      </c>
      <c r="G354" s="6" t="s">
        <v>486</v>
      </c>
    </row>
    <row r="355" customFormat="false" ht="15" hidden="false" customHeight="false" outlineLevel="0" collapsed="false">
      <c r="A355" s="6" t="s">
        <v>52</v>
      </c>
      <c r="B355" s="6" t="s">
        <v>43</v>
      </c>
      <c r="C355" s="6" t="s">
        <v>51</v>
      </c>
      <c r="D355" s="6" t="s">
        <v>116</v>
      </c>
      <c r="E355" s="6" t="n">
        <v>16</v>
      </c>
      <c r="F355" s="6" t="n">
        <v>9</v>
      </c>
      <c r="G355" s="6" t="s">
        <v>487</v>
      </c>
    </row>
    <row r="356" customFormat="false" ht="15" hidden="false" customHeight="false" outlineLevel="0" collapsed="false">
      <c r="A356" s="6" t="s">
        <v>52</v>
      </c>
      <c r="B356" s="6" t="s">
        <v>43</v>
      </c>
      <c r="C356" s="6" t="s">
        <v>51</v>
      </c>
      <c r="D356" s="6" t="s">
        <v>116</v>
      </c>
      <c r="E356" s="6" t="n">
        <v>16</v>
      </c>
      <c r="F356" s="6" t="n">
        <v>9</v>
      </c>
      <c r="G356" s="6" t="s">
        <v>488</v>
      </c>
    </row>
    <row r="357" customFormat="false" ht="15" hidden="false" customHeight="false" outlineLevel="0" collapsed="false">
      <c r="A357" s="6" t="s">
        <v>52</v>
      </c>
      <c r="B357" s="6" t="s">
        <v>43</v>
      </c>
      <c r="C357" s="6" t="s">
        <v>51</v>
      </c>
      <c r="D357" s="6" t="s">
        <v>116</v>
      </c>
      <c r="E357" s="6" t="n">
        <v>16</v>
      </c>
      <c r="F357" s="6" t="n">
        <v>9</v>
      </c>
      <c r="G357" s="6" t="s">
        <v>489</v>
      </c>
    </row>
    <row r="358" customFormat="false" ht="15" hidden="false" customHeight="false" outlineLevel="0" collapsed="false">
      <c r="A358" s="6" t="s">
        <v>52</v>
      </c>
      <c r="B358" s="6" t="s">
        <v>43</v>
      </c>
      <c r="C358" s="6" t="s">
        <v>51</v>
      </c>
      <c r="D358" s="6" t="s">
        <v>116</v>
      </c>
      <c r="E358" s="6" t="n">
        <v>16</v>
      </c>
      <c r="F358" s="6" t="n">
        <v>9</v>
      </c>
      <c r="G358" s="6" t="s">
        <v>490</v>
      </c>
    </row>
    <row r="359" customFormat="false" ht="15" hidden="false" customHeight="false" outlineLevel="0" collapsed="false">
      <c r="A359" s="6" t="s">
        <v>52</v>
      </c>
      <c r="B359" s="6" t="s">
        <v>43</v>
      </c>
      <c r="C359" s="6" t="s">
        <v>51</v>
      </c>
      <c r="D359" s="6" t="s">
        <v>116</v>
      </c>
      <c r="E359" s="6" t="n">
        <v>16</v>
      </c>
      <c r="F359" s="6" t="n">
        <v>9</v>
      </c>
      <c r="G359" s="6" t="s">
        <v>491</v>
      </c>
    </row>
    <row r="360" customFormat="false" ht="15" hidden="false" customHeight="false" outlineLevel="0" collapsed="false">
      <c r="A360" s="6" t="s">
        <v>52</v>
      </c>
      <c r="B360" s="6" t="s">
        <v>43</v>
      </c>
      <c r="C360" s="6" t="s">
        <v>51</v>
      </c>
      <c r="D360" s="6" t="s">
        <v>116</v>
      </c>
      <c r="E360" s="6" t="n">
        <v>16</v>
      </c>
      <c r="F360" s="6" t="n">
        <v>9</v>
      </c>
      <c r="G360" s="6" t="s">
        <v>492</v>
      </c>
    </row>
    <row r="361" customFormat="false" ht="15" hidden="false" customHeight="false" outlineLevel="0" collapsed="false">
      <c r="A361" s="6" t="s">
        <v>52</v>
      </c>
      <c r="B361" s="6" t="s">
        <v>43</v>
      </c>
      <c r="C361" s="6" t="s">
        <v>51</v>
      </c>
      <c r="D361" s="6" t="s">
        <v>116</v>
      </c>
      <c r="E361" s="6" t="n">
        <v>16</v>
      </c>
      <c r="F361" s="6" t="n">
        <v>9</v>
      </c>
      <c r="G361" s="6" t="s">
        <v>493</v>
      </c>
    </row>
    <row r="362" customFormat="false" ht="15" hidden="false" customHeight="false" outlineLevel="0" collapsed="false">
      <c r="A362" s="6" t="s">
        <v>52</v>
      </c>
      <c r="B362" s="6" t="s">
        <v>43</v>
      </c>
      <c r="C362" s="6" t="s">
        <v>51</v>
      </c>
      <c r="D362" s="6" t="s">
        <v>116</v>
      </c>
      <c r="E362" s="6" t="n">
        <v>16</v>
      </c>
      <c r="F362" s="6" t="n">
        <v>9</v>
      </c>
      <c r="G362" s="6" t="s">
        <v>494</v>
      </c>
    </row>
    <row r="363" customFormat="false" ht="15" hidden="false" customHeight="false" outlineLevel="0" collapsed="false">
      <c r="A363" s="6" t="s">
        <v>52</v>
      </c>
      <c r="B363" s="6" t="s">
        <v>43</v>
      </c>
      <c r="C363" s="6" t="s">
        <v>51</v>
      </c>
      <c r="D363" s="6" t="s">
        <v>116</v>
      </c>
      <c r="E363" s="6" t="n">
        <v>16</v>
      </c>
      <c r="F363" s="6" t="n">
        <v>9</v>
      </c>
      <c r="G363" s="6" t="s">
        <v>495</v>
      </c>
    </row>
    <row r="364" customFormat="false" ht="15" hidden="false" customHeight="false" outlineLevel="0" collapsed="false">
      <c r="A364" s="6" t="s">
        <v>52</v>
      </c>
      <c r="B364" s="6" t="s">
        <v>43</v>
      </c>
      <c r="C364" s="6" t="s">
        <v>51</v>
      </c>
      <c r="D364" s="6" t="s">
        <v>116</v>
      </c>
      <c r="E364" s="6" t="n">
        <v>16</v>
      </c>
      <c r="F364" s="6" t="n">
        <v>9</v>
      </c>
      <c r="G364" s="6" t="s">
        <v>496</v>
      </c>
    </row>
    <row r="365" customFormat="false" ht="15" hidden="false" customHeight="false" outlineLevel="0" collapsed="false">
      <c r="A365" s="6" t="s">
        <v>52</v>
      </c>
      <c r="B365" s="6" t="s">
        <v>43</v>
      </c>
      <c r="C365" s="6" t="s">
        <v>51</v>
      </c>
      <c r="D365" s="6" t="s">
        <v>116</v>
      </c>
      <c r="E365" s="6" t="n">
        <v>16</v>
      </c>
      <c r="F365" s="6" t="n">
        <v>9</v>
      </c>
      <c r="G365" s="6" t="s">
        <v>497</v>
      </c>
    </row>
    <row r="366" customFormat="false" ht="15" hidden="false" customHeight="false" outlineLevel="0" collapsed="false">
      <c r="A366" s="6" t="s">
        <v>52</v>
      </c>
      <c r="B366" s="6" t="s">
        <v>43</v>
      </c>
      <c r="C366" s="6" t="s">
        <v>51</v>
      </c>
      <c r="D366" s="6" t="s">
        <v>116</v>
      </c>
      <c r="E366" s="6" t="n">
        <v>16</v>
      </c>
      <c r="F366" s="6" t="n">
        <v>10</v>
      </c>
      <c r="G366" s="6" t="s">
        <v>498</v>
      </c>
    </row>
    <row r="367" customFormat="false" ht="15" hidden="false" customHeight="false" outlineLevel="0" collapsed="false">
      <c r="A367" s="6" t="s">
        <v>52</v>
      </c>
      <c r="B367" s="6" t="s">
        <v>43</v>
      </c>
      <c r="C367" s="6" t="s">
        <v>51</v>
      </c>
      <c r="D367" s="6" t="s">
        <v>116</v>
      </c>
      <c r="E367" s="6" t="n">
        <v>16</v>
      </c>
      <c r="F367" s="6" t="n">
        <v>10</v>
      </c>
      <c r="G367" s="6" t="s">
        <v>499</v>
      </c>
    </row>
    <row r="368" customFormat="false" ht="15" hidden="false" customHeight="false" outlineLevel="0" collapsed="false">
      <c r="A368" s="6" t="s">
        <v>52</v>
      </c>
      <c r="B368" s="6" t="s">
        <v>43</v>
      </c>
      <c r="C368" s="6" t="s">
        <v>51</v>
      </c>
      <c r="D368" s="6" t="s">
        <v>116</v>
      </c>
      <c r="E368" s="6" t="n">
        <v>16</v>
      </c>
      <c r="F368" s="6" t="n">
        <v>10</v>
      </c>
      <c r="G368" s="6" t="s">
        <v>500</v>
      </c>
    </row>
    <row r="369" customFormat="false" ht="15" hidden="false" customHeight="false" outlineLevel="0" collapsed="false">
      <c r="A369" s="6" t="s">
        <v>52</v>
      </c>
      <c r="B369" s="6" t="s">
        <v>43</v>
      </c>
      <c r="C369" s="6" t="s">
        <v>51</v>
      </c>
      <c r="D369" s="6" t="s">
        <v>116</v>
      </c>
      <c r="E369" s="6" t="n">
        <v>16</v>
      </c>
      <c r="F369" s="6" t="n">
        <v>10</v>
      </c>
      <c r="G369" s="6" t="s">
        <v>501</v>
      </c>
    </row>
    <row r="370" customFormat="false" ht="15" hidden="false" customHeight="false" outlineLevel="0" collapsed="false">
      <c r="A370" s="6" t="s">
        <v>52</v>
      </c>
      <c r="B370" s="6" t="s">
        <v>43</v>
      </c>
      <c r="C370" s="6" t="s">
        <v>51</v>
      </c>
      <c r="D370" s="6" t="s">
        <v>116</v>
      </c>
      <c r="E370" s="6" t="n">
        <v>16</v>
      </c>
      <c r="F370" s="6" t="n">
        <v>10</v>
      </c>
      <c r="G370" s="6" t="s">
        <v>502</v>
      </c>
    </row>
    <row r="371" customFormat="false" ht="15" hidden="false" customHeight="false" outlineLevel="0" collapsed="false">
      <c r="A371" s="6" t="s">
        <v>52</v>
      </c>
      <c r="B371" s="6" t="s">
        <v>43</v>
      </c>
      <c r="C371" s="6" t="s">
        <v>51</v>
      </c>
      <c r="D371" s="6" t="s">
        <v>116</v>
      </c>
      <c r="E371" s="6" t="n">
        <v>16</v>
      </c>
      <c r="F371" s="6" t="n">
        <v>10</v>
      </c>
      <c r="G371" s="6" t="s">
        <v>503</v>
      </c>
    </row>
    <row r="372" customFormat="false" ht="15" hidden="false" customHeight="false" outlineLevel="0" collapsed="false">
      <c r="A372" s="6" t="s">
        <v>52</v>
      </c>
      <c r="B372" s="6" t="s">
        <v>43</v>
      </c>
      <c r="C372" s="6" t="s">
        <v>51</v>
      </c>
      <c r="D372" s="6" t="s">
        <v>116</v>
      </c>
      <c r="E372" s="6" t="n">
        <v>16</v>
      </c>
      <c r="F372" s="6" t="n">
        <v>10</v>
      </c>
      <c r="G372" s="6" t="s">
        <v>504</v>
      </c>
    </row>
    <row r="373" customFormat="false" ht="15" hidden="false" customHeight="false" outlineLevel="0" collapsed="false">
      <c r="A373" s="6" t="s">
        <v>52</v>
      </c>
      <c r="B373" s="6" t="s">
        <v>43</v>
      </c>
      <c r="C373" s="6" t="s">
        <v>51</v>
      </c>
      <c r="D373" s="6" t="s">
        <v>116</v>
      </c>
      <c r="E373" s="6" t="n">
        <v>16</v>
      </c>
      <c r="F373" s="6" t="n">
        <v>10</v>
      </c>
      <c r="G373" s="6" t="s">
        <v>505</v>
      </c>
    </row>
    <row r="374" customFormat="false" ht="15" hidden="false" customHeight="false" outlineLevel="0" collapsed="false">
      <c r="A374" s="6" t="s">
        <v>52</v>
      </c>
      <c r="B374" s="6" t="s">
        <v>43</v>
      </c>
      <c r="C374" s="6" t="s">
        <v>51</v>
      </c>
      <c r="D374" s="6" t="s">
        <v>116</v>
      </c>
      <c r="E374" s="6" t="n">
        <v>16</v>
      </c>
      <c r="F374" s="6" t="n">
        <v>10</v>
      </c>
      <c r="G374" s="6" t="s">
        <v>506</v>
      </c>
    </row>
    <row r="375" customFormat="false" ht="15" hidden="false" customHeight="false" outlineLevel="0" collapsed="false">
      <c r="A375" s="6" t="s">
        <v>52</v>
      </c>
      <c r="B375" s="6" t="s">
        <v>43</v>
      </c>
      <c r="C375" s="6" t="s">
        <v>51</v>
      </c>
      <c r="D375" s="6" t="s">
        <v>116</v>
      </c>
      <c r="E375" s="6" t="n">
        <v>16</v>
      </c>
      <c r="F375" s="6" t="n">
        <v>10</v>
      </c>
      <c r="G375" s="6" t="s">
        <v>507</v>
      </c>
    </row>
    <row r="376" customFormat="false" ht="15" hidden="false" customHeight="false" outlineLevel="0" collapsed="false">
      <c r="A376" s="6" t="s">
        <v>52</v>
      </c>
      <c r="B376" s="6" t="s">
        <v>43</v>
      </c>
      <c r="C376" s="6" t="s">
        <v>51</v>
      </c>
      <c r="D376" s="6" t="s">
        <v>116</v>
      </c>
      <c r="E376" s="6" t="n">
        <v>16</v>
      </c>
      <c r="F376" s="6" t="n">
        <v>10</v>
      </c>
      <c r="G376" s="6" t="s">
        <v>508</v>
      </c>
    </row>
    <row r="377" customFormat="false" ht="15" hidden="false" customHeight="false" outlineLevel="0" collapsed="false">
      <c r="A377" s="6" t="s">
        <v>52</v>
      </c>
      <c r="B377" s="6" t="s">
        <v>43</v>
      </c>
      <c r="C377" s="6" t="s">
        <v>51</v>
      </c>
      <c r="D377" s="6" t="s">
        <v>116</v>
      </c>
      <c r="E377" s="6" t="n">
        <v>16</v>
      </c>
      <c r="F377" s="6" t="n">
        <v>10</v>
      </c>
      <c r="G377" s="6" t="s">
        <v>509</v>
      </c>
    </row>
    <row r="378" customFormat="false" ht="15" hidden="false" customHeight="false" outlineLevel="0" collapsed="false">
      <c r="A378" s="6" t="s">
        <v>52</v>
      </c>
      <c r="B378" s="6" t="s">
        <v>43</v>
      </c>
      <c r="C378" s="6" t="s">
        <v>51</v>
      </c>
      <c r="D378" s="6" t="s">
        <v>116</v>
      </c>
      <c r="E378" s="6" t="n">
        <v>16</v>
      </c>
      <c r="F378" s="6" t="n">
        <v>10</v>
      </c>
      <c r="G378" s="6" t="s">
        <v>510</v>
      </c>
    </row>
    <row r="379" customFormat="false" ht="15" hidden="false" customHeight="false" outlineLevel="0" collapsed="false">
      <c r="A379" s="6" t="s">
        <v>52</v>
      </c>
      <c r="B379" s="6" t="s">
        <v>43</v>
      </c>
      <c r="C379" s="6" t="s">
        <v>51</v>
      </c>
      <c r="D379" s="6" t="s">
        <v>116</v>
      </c>
      <c r="E379" s="6" t="n">
        <v>16</v>
      </c>
      <c r="F379" s="6" t="n">
        <v>10</v>
      </c>
      <c r="G379" s="6" t="s">
        <v>511</v>
      </c>
    </row>
    <row r="380" customFormat="false" ht="15" hidden="false" customHeight="false" outlineLevel="0" collapsed="false">
      <c r="A380" s="6" t="s">
        <v>52</v>
      </c>
      <c r="B380" s="6" t="s">
        <v>43</v>
      </c>
      <c r="C380" s="6" t="s">
        <v>51</v>
      </c>
      <c r="D380" s="6" t="s">
        <v>116</v>
      </c>
      <c r="E380" s="6" t="n">
        <v>16</v>
      </c>
      <c r="F380" s="6" t="n">
        <v>10</v>
      </c>
      <c r="G380" s="6" t="s">
        <v>512</v>
      </c>
    </row>
    <row r="381" customFormat="false" ht="15" hidden="false" customHeight="false" outlineLevel="0" collapsed="false">
      <c r="A381" s="6" t="s">
        <v>52</v>
      </c>
      <c r="B381" s="6" t="s">
        <v>43</v>
      </c>
      <c r="C381" s="6" t="s">
        <v>51</v>
      </c>
      <c r="D381" s="6" t="s">
        <v>116</v>
      </c>
      <c r="E381" s="6" t="n">
        <v>16</v>
      </c>
      <c r="F381" s="6" t="n">
        <v>10</v>
      </c>
      <c r="G381" s="6" t="s">
        <v>513</v>
      </c>
    </row>
    <row r="382" customFormat="false" ht="15" hidden="false" customHeight="false" outlineLevel="0" collapsed="false">
      <c r="A382" s="6" t="s">
        <v>54</v>
      </c>
      <c r="B382" s="6" t="s">
        <v>43</v>
      </c>
      <c r="C382" s="6" t="s">
        <v>49</v>
      </c>
      <c r="D382" s="6" t="s">
        <v>117</v>
      </c>
      <c r="E382" s="6" t="n">
        <v>16</v>
      </c>
      <c r="F382" s="6" t="n">
        <v>1</v>
      </c>
      <c r="G382" s="6" t="s">
        <v>514</v>
      </c>
    </row>
    <row r="383" customFormat="false" ht="15" hidden="false" customHeight="false" outlineLevel="0" collapsed="false">
      <c r="A383" s="6" t="s">
        <v>54</v>
      </c>
      <c r="B383" s="6" t="s">
        <v>43</v>
      </c>
      <c r="C383" s="6" t="s">
        <v>49</v>
      </c>
      <c r="D383" s="6" t="s">
        <v>117</v>
      </c>
      <c r="E383" s="6" t="n">
        <v>16</v>
      </c>
      <c r="F383" s="6" t="n">
        <v>1</v>
      </c>
      <c r="G383" s="6" t="s">
        <v>515</v>
      </c>
    </row>
    <row r="384" customFormat="false" ht="15" hidden="false" customHeight="false" outlineLevel="0" collapsed="false">
      <c r="A384" s="6" t="s">
        <v>54</v>
      </c>
      <c r="B384" s="6" t="s">
        <v>43</v>
      </c>
      <c r="C384" s="6" t="s">
        <v>49</v>
      </c>
      <c r="D384" s="6" t="s">
        <v>117</v>
      </c>
      <c r="E384" s="6" t="n">
        <v>16</v>
      </c>
      <c r="F384" s="6" t="n">
        <v>1</v>
      </c>
      <c r="G384" s="6" t="s">
        <v>516</v>
      </c>
    </row>
    <row r="385" customFormat="false" ht="15" hidden="false" customHeight="false" outlineLevel="0" collapsed="false">
      <c r="A385" s="6" t="s">
        <v>54</v>
      </c>
      <c r="B385" s="6" t="s">
        <v>43</v>
      </c>
      <c r="C385" s="6" t="s">
        <v>49</v>
      </c>
      <c r="D385" s="6" t="s">
        <v>117</v>
      </c>
      <c r="E385" s="6" t="n">
        <v>16</v>
      </c>
      <c r="F385" s="6" t="n">
        <v>1</v>
      </c>
      <c r="G385" s="6" t="s">
        <v>517</v>
      </c>
    </row>
    <row r="386" customFormat="false" ht="15" hidden="false" customHeight="false" outlineLevel="0" collapsed="false">
      <c r="A386" s="6" t="s">
        <v>54</v>
      </c>
      <c r="B386" s="6" t="s">
        <v>43</v>
      </c>
      <c r="C386" s="6" t="s">
        <v>49</v>
      </c>
      <c r="D386" s="6" t="s">
        <v>117</v>
      </c>
      <c r="E386" s="6" t="n">
        <v>16</v>
      </c>
      <c r="F386" s="6" t="n">
        <v>1</v>
      </c>
      <c r="G386" s="6" t="s">
        <v>518</v>
      </c>
    </row>
    <row r="387" customFormat="false" ht="15" hidden="false" customHeight="false" outlineLevel="0" collapsed="false">
      <c r="A387" s="6" t="s">
        <v>54</v>
      </c>
      <c r="B387" s="6" t="s">
        <v>43</v>
      </c>
      <c r="C387" s="6" t="s">
        <v>49</v>
      </c>
      <c r="D387" s="6" t="s">
        <v>117</v>
      </c>
      <c r="E387" s="6" t="n">
        <v>16</v>
      </c>
      <c r="F387" s="6" t="n">
        <v>1</v>
      </c>
      <c r="G387" s="6" t="s">
        <v>519</v>
      </c>
    </row>
    <row r="388" customFormat="false" ht="15" hidden="false" customHeight="false" outlineLevel="0" collapsed="false">
      <c r="A388" s="6" t="s">
        <v>54</v>
      </c>
      <c r="B388" s="6" t="s">
        <v>43</v>
      </c>
      <c r="C388" s="6" t="s">
        <v>49</v>
      </c>
      <c r="D388" s="6" t="s">
        <v>117</v>
      </c>
      <c r="E388" s="6" t="n">
        <v>16</v>
      </c>
      <c r="F388" s="6" t="n">
        <v>1</v>
      </c>
      <c r="G388" s="6" t="s">
        <v>520</v>
      </c>
    </row>
    <row r="389" customFormat="false" ht="15" hidden="false" customHeight="false" outlineLevel="0" collapsed="false">
      <c r="A389" s="6" t="s">
        <v>54</v>
      </c>
      <c r="B389" s="6" t="s">
        <v>43</v>
      </c>
      <c r="C389" s="6" t="s">
        <v>49</v>
      </c>
      <c r="D389" s="6" t="s">
        <v>117</v>
      </c>
      <c r="E389" s="6" t="n">
        <v>16</v>
      </c>
      <c r="F389" s="6" t="n">
        <v>1</v>
      </c>
      <c r="G389" s="6" t="s">
        <v>521</v>
      </c>
    </row>
    <row r="390" customFormat="false" ht="15" hidden="false" customHeight="false" outlineLevel="0" collapsed="false">
      <c r="A390" s="6" t="s">
        <v>54</v>
      </c>
      <c r="B390" s="6" t="s">
        <v>43</v>
      </c>
      <c r="C390" s="6" t="s">
        <v>49</v>
      </c>
      <c r="D390" s="6" t="s">
        <v>117</v>
      </c>
      <c r="E390" s="6" t="n">
        <v>16</v>
      </c>
      <c r="F390" s="6" t="n">
        <v>1</v>
      </c>
      <c r="G390" s="6" t="s">
        <v>522</v>
      </c>
    </row>
    <row r="391" customFormat="false" ht="15" hidden="false" customHeight="false" outlineLevel="0" collapsed="false">
      <c r="A391" s="6" t="s">
        <v>54</v>
      </c>
      <c r="B391" s="6" t="s">
        <v>43</v>
      </c>
      <c r="C391" s="6" t="s">
        <v>49</v>
      </c>
      <c r="D391" s="6" t="s">
        <v>117</v>
      </c>
      <c r="E391" s="6" t="n">
        <v>16</v>
      </c>
      <c r="F391" s="6" t="n">
        <v>1</v>
      </c>
      <c r="G391" s="6" t="s">
        <v>523</v>
      </c>
    </row>
    <row r="392" customFormat="false" ht="15" hidden="false" customHeight="false" outlineLevel="0" collapsed="false">
      <c r="A392" s="6" t="s">
        <v>54</v>
      </c>
      <c r="B392" s="6" t="s">
        <v>43</v>
      </c>
      <c r="C392" s="6" t="s">
        <v>49</v>
      </c>
      <c r="D392" s="6" t="s">
        <v>117</v>
      </c>
      <c r="E392" s="6" t="n">
        <v>16</v>
      </c>
      <c r="F392" s="6" t="n">
        <v>1</v>
      </c>
      <c r="G392" s="6" t="s">
        <v>524</v>
      </c>
    </row>
    <row r="393" customFormat="false" ht="15" hidden="false" customHeight="false" outlineLevel="0" collapsed="false">
      <c r="A393" s="6" t="s">
        <v>54</v>
      </c>
      <c r="B393" s="6" t="s">
        <v>43</v>
      </c>
      <c r="C393" s="6" t="s">
        <v>49</v>
      </c>
      <c r="D393" s="6" t="s">
        <v>117</v>
      </c>
      <c r="E393" s="6" t="n">
        <v>16</v>
      </c>
      <c r="F393" s="6" t="n">
        <v>1</v>
      </c>
      <c r="G393" s="6" t="s">
        <v>525</v>
      </c>
    </row>
    <row r="394" customFormat="false" ht="15" hidden="false" customHeight="false" outlineLevel="0" collapsed="false">
      <c r="A394" s="6" t="s">
        <v>54</v>
      </c>
      <c r="B394" s="6" t="s">
        <v>43</v>
      </c>
      <c r="C394" s="6" t="s">
        <v>49</v>
      </c>
      <c r="D394" s="6" t="s">
        <v>117</v>
      </c>
      <c r="E394" s="6" t="n">
        <v>16</v>
      </c>
      <c r="F394" s="6" t="n">
        <v>1</v>
      </c>
      <c r="G394" s="6" t="s">
        <v>526</v>
      </c>
    </row>
    <row r="395" customFormat="false" ht="15" hidden="false" customHeight="false" outlineLevel="0" collapsed="false">
      <c r="A395" s="6" t="s">
        <v>54</v>
      </c>
      <c r="B395" s="6" t="s">
        <v>43</v>
      </c>
      <c r="C395" s="6" t="s">
        <v>49</v>
      </c>
      <c r="D395" s="6" t="s">
        <v>117</v>
      </c>
      <c r="E395" s="6" t="n">
        <v>16</v>
      </c>
      <c r="F395" s="6" t="n">
        <v>1</v>
      </c>
      <c r="G395" s="6" t="s">
        <v>527</v>
      </c>
    </row>
    <row r="396" customFormat="false" ht="15" hidden="false" customHeight="false" outlineLevel="0" collapsed="false">
      <c r="A396" s="6" t="s">
        <v>54</v>
      </c>
      <c r="B396" s="6" t="s">
        <v>43</v>
      </c>
      <c r="C396" s="6" t="s">
        <v>49</v>
      </c>
      <c r="D396" s="6" t="s">
        <v>117</v>
      </c>
      <c r="E396" s="6" t="n">
        <v>16</v>
      </c>
      <c r="F396" s="6" t="n">
        <v>1</v>
      </c>
      <c r="G396" s="6" t="s">
        <v>528</v>
      </c>
    </row>
    <row r="397" customFormat="false" ht="15" hidden="false" customHeight="false" outlineLevel="0" collapsed="false">
      <c r="A397" s="6" t="s">
        <v>54</v>
      </c>
      <c r="B397" s="6" t="s">
        <v>43</v>
      </c>
      <c r="C397" s="6" t="s">
        <v>49</v>
      </c>
      <c r="D397" s="6" t="s">
        <v>117</v>
      </c>
      <c r="E397" s="6" t="n">
        <v>16</v>
      </c>
      <c r="F397" s="6" t="n">
        <v>1</v>
      </c>
      <c r="G397" s="6" t="s">
        <v>529</v>
      </c>
    </row>
    <row r="398" customFormat="false" ht="15" hidden="false" customHeight="false" outlineLevel="0" collapsed="false">
      <c r="A398" s="6" t="s">
        <v>54</v>
      </c>
      <c r="B398" s="6" t="s">
        <v>43</v>
      </c>
      <c r="C398" s="6" t="s">
        <v>49</v>
      </c>
      <c r="D398" s="6" t="s">
        <v>117</v>
      </c>
      <c r="E398" s="6" t="n">
        <v>16</v>
      </c>
      <c r="F398" s="6" t="n">
        <v>2</v>
      </c>
      <c r="G398" s="6" t="s">
        <v>530</v>
      </c>
    </row>
    <row r="399" customFormat="false" ht="15" hidden="false" customHeight="false" outlineLevel="0" collapsed="false">
      <c r="A399" s="6" t="s">
        <v>54</v>
      </c>
      <c r="B399" s="6" t="s">
        <v>43</v>
      </c>
      <c r="C399" s="6" t="s">
        <v>49</v>
      </c>
      <c r="D399" s="6" t="s">
        <v>117</v>
      </c>
      <c r="E399" s="6" t="n">
        <v>16</v>
      </c>
      <c r="F399" s="6" t="n">
        <v>2</v>
      </c>
      <c r="G399" s="6" t="s">
        <v>531</v>
      </c>
    </row>
    <row r="400" customFormat="false" ht="15" hidden="false" customHeight="false" outlineLevel="0" collapsed="false">
      <c r="A400" s="6" t="s">
        <v>54</v>
      </c>
      <c r="B400" s="6" t="s">
        <v>43</v>
      </c>
      <c r="C400" s="6" t="s">
        <v>49</v>
      </c>
      <c r="D400" s="6" t="s">
        <v>117</v>
      </c>
      <c r="E400" s="6" t="n">
        <v>16</v>
      </c>
      <c r="F400" s="6" t="n">
        <v>2</v>
      </c>
      <c r="G400" s="6" t="s">
        <v>532</v>
      </c>
    </row>
    <row r="401" customFormat="false" ht="15" hidden="false" customHeight="false" outlineLevel="0" collapsed="false">
      <c r="A401" s="6" t="s">
        <v>54</v>
      </c>
      <c r="B401" s="6" t="s">
        <v>43</v>
      </c>
      <c r="C401" s="6" t="s">
        <v>49</v>
      </c>
      <c r="D401" s="6" t="s">
        <v>117</v>
      </c>
      <c r="E401" s="6" t="n">
        <v>16</v>
      </c>
      <c r="F401" s="6" t="n">
        <v>2</v>
      </c>
      <c r="G401" s="6" t="s">
        <v>533</v>
      </c>
    </row>
    <row r="402" customFormat="false" ht="15" hidden="false" customHeight="false" outlineLevel="0" collapsed="false">
      <c r="A402" s="6" t="s">
        <v>54</v>
      </c>
      <c r="B402" s="6" t="s">
        <v>43</v>
      </c>
      <c r="C402" s="6" t="s">
        <v>49</v>
      </c>
      <c r="D402" s="6" t="s">
        <v>117</v>
      </c>
      <c r="E402" s="6" t="n">
        <v>16</v>
      </c>
      <c r="F402" s="6" t="n">
        <v>2</v>
      </c>
      <c r="G402" s="6" t="s">
        <v>534</v>
      </c>
    </row>
    <row r="403" customFormat="false" ht="15" hidden="false" customHeight="false" outlineLevel="0" collapsed="false">
      <c r="A403" s="6" t="s">
        <v>54</v>
      </c>
      <c r="B403" s="6" t="s">
        <v>43</v>
      </c>
      <c r="C403" s="6" t="s">
        <v>49</v>
      </c>
      <c r="D403" s="6" t="s">
        <v>117</v>
      </c>
      <c r="E403" s="6" t="n">
        <v>16</v>
      </c>
      <c r="F403" s="6" t="n">
        <v>2</v>
      </c>
      <c r="G403" s="6" t="s">
        <v>535</v>
      </c>
    </row>
    <row r="404" customFormat="false" ht="15" hidden="false" customHeight="false" outlineLevel="0" collapsed="false">
      <c r="A404" s="6" t="s">
        <v>54</v>
      </c>
      <c r="B404" s="6" t="s">
        <v>43</v>
      </c>
      <c r="C404" s="6" t="s">
        <v>49</v>
      </c>
      <c r="D404" s="6" t="s">
        <v>117</v>
      </c>
      <c r="E404" s="6" t="n">
        <v>16</v>
      </c>
      <c r="F404" s="6" t="n">
        <v>2</v>
      </c>
      <c r="G404" s="6" t="s">
        <v>536</v>
      </c>
    </row>
    <row r="405" customFormat="false" ht="15" hidden="false" customHeight="false" outlineLevel="0" collapsed="false">
      <c r="A405" s="6" t="s">
        <v>54</v>
      </c>
      <c r="B405" s="6" t="s">
        <v>43</v>
      </c>
      <c r="C405" s="6" t="s">
        <v>49</v>
      </c>
      <c r="D405" s="6" t="s">
        <v>117</v>
      </c>
      <c r="E405" s="6" t="n">
        <v>16</v>
      </c>
      <c r="F405" s="6" t="n">
        <v>2</v>
      </c>
      <c r="G405" s="6" t="s">
        <v>537</v>
      </c>
    </row>
    <row r="406" customFormat="false" ht="15" hidden="false" customHeight="false" outlineLevel="0" collapsed="false">
      <c r="A406" s="6" t="s">
        <v>54</v>
      </c>
      <c r="B406" s="6" t="s">
        <v>43</v>
      </c>
      <c r="C406" s="6" t="s">
        <v>49</v>
      </c>
      <c r="D406" s="6" t="s">
        <v>117</v>
      </c>
      <c r="E406" s="6" t="n">
        <v>16</v>
      </c>
      <c r="F406" s="6" t="n">
        <v>2</v>
      </c>
      <c r="G406" s="6" t="s">
        <v>538</v>
      </c>
    </row>
    <row r="407" customFormat="false" ht="15" hidden="false" customHeight="false" outlineLevel="0" collapsed="false">
      <c r="A407" s="6" t="s">
        <v>54</v>
      </c>
      <c r="B407" s="6" t="s">
        <v>43</v>
      </c>
      <c r="C407" s="6" t="s">
        <v>49</v>
      </c>
      <c r="D407" s="6" t="s">
        <v>117</v>
      </c>
      <c r="E407" s="6" t="n">
        <v>16</v>
      </c>
      <c r="F407" s="6" t="n">
        <v>2</v>
      </c>
      <c r="G407" s="6" t="s">
        <v>539</v>
      </c>
    </row>
    <row r="408" customFormat="false" ht="15" hidden="false" customHeight="false" outlineLevel="0" collapsed="false">
      <c r="A408" s="6" t="s">
        <v>54</v>
      </c>
      <c r="B408" s="6" t="s">
        <v>43</v>
      </c>
      <c r="C408" s="6" t="s">
        <v>49</v>
      </c>
      <c r="D408" s="6" t="s">
        <v>117</v>
      </c>
      <c r="E408" s="6" t="n">
        <v>16</v>
      </c>
      <c r="F408" s="6" t="n">
        <v>2</v>
      </c>
      <c r="G408" s="6" t="s">
        <v>540</v>
      </c>
    </row>
    <row r="409" customFormat="false" ht="15" hidden="false" customHeight="false" outlineLevel="0" collapsed="false">
      <c r="A409" s="6" t="s">
        <v>54</v>
      </c>
      <c r="B409" s="6" t="s">
        <v>43</v>
      </c>
      <c r="C409" s="6" t="s">
        <v>49</v>
      </c>
      <c r="D409" s="6" t="s">
        <v>117</v>
      </c>
      <c r="E409" s="6" t="n">
        <v>16</v>
      </c>
      <c r="F409" s="6" t="n">
        <v>2</v>
      </c>
      <c r="G409" s="6" t="s">
        <v>541</v>
      </c>
    </row>
    <row r="410" customFormat="false" ht="15" hidden="false" customHeight="false" outlineLevel="0" collapsed="false">
      <c r="A410" s="6" t="s">
        <v>54</v>
      </c>
      <c r="B410" s="6" t="s">
        <v>43</v>
      </c>
      <c r="C410" s="6" t="s">
        <v>49</v>
      </c>
      <c r="D410" s="6" t="s">
        <v>117</v>
      </c>
      <c r="E410" s="6" t="n">
        <v>16</v>
      </c>
      <c r="F410" s="6" t="n">
        <v>2</v>
      </c>
      <c r="G410" s="6" t="s">
        <v>542</v>
      </c>
    </row>
    <row r="411" customFormat="false" ht="15" hidden="false" customHeight="false" outlineLevel="0" collapsed="false">
      <c r="A411" s="6" t="s">
        <v>54</v>
      </c>
      <c r="B411" s="6" t="s">
        <v>43</v>
      </c>
      <c r="C411" s="6" t="s">
        <v>49</v>
      </c>
      <c r="D411" s="6" t="s">
        <v>117</v>
      </c>
      <c r="E411" s="6" t="n">
        <v>16</v>
      </c>
      <c r="F411" s="6" t="n">
        <v>2</v>
      </c>
      <c r="G411" s="6" t="s">
        <v>543</v>
      </c>
    </row>
    <row r="412" customFormat="false" ht="15" hidden="false" customHeight="false" outlineLevel="0" collapsed="false">
      <c r="A412" s="6" t="s">
        <v>54</v>
      </c>
      <c r="B412" s="6" t="s">
        <v>43</v>
      </c>
      <c r="C412" s="6" t="s">
        <v>49</v>
      </c>
      <c r="D412" s="6" t="s">
        <v>117</v>
      </c>
      <c r="E412" s="6" t="n">
        <v>16</v>
      </c>
      <c r="F412" s="6" t="n">
        <v>2</v>
      </c>
      <c r="G412" s="6" t="s">
        <v>544</v>
      </c>
    </row>
    <row r="413" customFormat="false" ht="15" hidden="false" customHeight="false" outlineLevel="0" collapsed="false">
      <c r="A413" s="6" t="s">
        <v>54</v>
      </c>
      <c r="B413" s="6" t="s">
        <v>43</v>
      </c>
      <c r="C413" s="6" t="s">
        <v>49</v>
      </c>
      <c r="D413" s="6" t="s">
        <v>117</v>
      </c>
      <c r="E413" s="6" t="n">
        <v>16</v>
      </c>
      <c r="F413" s="6" t="n">
        <v>2</v>
      </c>
      <c r="G413" s="6" t="s">
        <v>545</v>
      </c>
    </row>
    <row r="414" customFormat="false" ht="15" hidden="false" customHeight="false" outlineLevel="0" collapsed="false">
      <c r="A414" s="6" t="s">
        <v>54</v>
      </c>
      <c r="B414" s="6" t="s">
        <v>43</v>
      </c>
      <c r="C414" s="6" t="s">
        <v>49</v>
      </c>
      <c r="D414" s="6" t="s">
        <v>117</v>
      </c>
      <c r="E414" s="6" t="n">
        <v>16</v>
      </c>
      <c r="F414" s="6" t="n">
        <v>3</v>
      </c>
      <c r="G414" s="6" t="s">
        <v>546</v>
      </c>
    </row>
    <row r="415" customFormat="false" ht="15" hidden="false" customHeight="false" outlineLevel="0" collapsed="false">
      <c r="A415" s="6" t="s">
        <v>54</v>
      </c>
      <c r="B415" s="6" t="s">
        <v>43</v>
      </c>
      <c r="C415" s="6" t="s">
        <v>49</v>
      </c>
      <c r="D415" s="6" t="s">
        <v>117</v>
      </c>
      <c r="E415" s="6" t="n">
        <v>16</v>
      </c>
      <c r="F415" s="6" t="n">
        <v>3</v>
      </c>
      <c r="G415" s="6" t="s">
        <v>547</v>
      </c>
    </row>
    <row r="416" customFormat="false" ht="15" hidden="false" customHeight="false" outlineLevel="0" collapsed="false">
      <c r="A416" s="6" t="s">
        <v>54</v>
      </c>
      <c r="B416" s="6" t="s">
        <v>43</v>
      </c>
      <c r="C416" s="6" t="s">
        <v>49</v>
      </c>
      <c r="D416" s="6" t="s">
        <v>117</v>
      </c>
      <c r="E416" s="6" t="n">
        <v>16</v>
      </c>
      <c r="F416" s="6" t="n">
        <v>3</v>
      </c>
      <c r="G416" s="6" t="s">
        <v>548</v>
      </c>
    </row>
    <row r="417" customFormat="false" ht="15" hidden="false" customHeight="false" outlineLevel="0" collapsed="false">
      <c r="A417" s="6" t="s">
        <v>54</v>
      </c>
      <c r="B417" s="6" t="s">
        <v>43</v>
      </c>
      <c r="C417" s="6" t="s">
        <v>49</v>
      </c>
      <c r="D417" s="6" t="s">
        <v>117</v>
      </c>
      <c r="E417" s="6" t="n">
        <v>16</v>
      </c>
      <c r="F417" s="6" t="n">
        <v>3</v>
      </c>
      <c r="G417" s="6" t="s">
        <v>549</v>
      </c>
    </row>
    <row r="418" customFormat="false" ht="15" hidden="false" customHeight="false" outlineLevel="0" collapsed="false">
      <c r="A418" s="6" t="s">
        <v>54</v>
      </c>
      <c r="B418" s="6" t="s">
        <v>43</v>
      </c>
      <c r="C418" s="6" t="s">
        <v>49</v>
      </c>
      <c r="D418" s="6" t="s">
        <v>117</v>
      </c>
      <c r="E418" s="6" t="n">
        <v>16</v>
      </c>
      <c r="F418" s="6" t="n">
        <v>3</v>
      </c>
      <c r="G418" s="6" t="s">
        <v>550</v>
      </c>
    </row>
    <row r="419" customFormat="false" ht="15" hidden="false" customHeight="false" outlineLevel="0" collapsed="false">
      <c r="A419" s="6" t="s">
        <v>54</v>
      </c>
      <c r="B419" s="6" t="s">
        <v>43</v>
      </c>
      <c r="C419" s="6" t="s">
        <v>49</v>
      </c>
      <c r="D419" s="6" t="s">
        <v>117</v>
      </c>
      <c r="E419" s="6" t="n">
        <v>16</v>
      </c>
      <c r="F419" s="6" t="n">
        <v>3</v>
      </c>
      <c r="G419" s="6" t="s">
        <v>551</v>
      </c>
    </row>
    <row r="420" customFormat="false" ht="15" hidden="false" customHeight="false" outlineLevel="0" collapsed="false">
      <c r="A420" s="6" t="s">
        <v>54</v>
      </c>
      <c r="B420" s="6" t="s">
        <v>43</v>
      </c>
      <c r="C420" s="6" t="s">
        <v>49</v>
      </c>
      <c r="D420" s="6" t="s">
        <v>117</v>
      </c>
      <c r="E420" s="6" t="n">
        <v>16</v>
      </c>
      <c r="F420" s="6" t="n">
        <v>3</v>
      </c>
      <c r="G420" s="6" t="s">
        <v>552</v>
      </c>
    </row>
    <row r="421" customFormat="false" ht="15" hidden="false" customHeight="false" outlineLevel="0" collapsed="false">
      <c r="A421" s="6" t="s">
        <v>54</v>
      </c>
      <c r="B421" s="6" t="s">
        <v>43</v>
      </c>
      <c r="C421" s="6" t="s">
        <v>49</v>
      </c>
      <c r="D421" s="6" t="s">
        <v>117</v>
      </c>
      <c r="E421" s="6" t="n">
        <v>16</v>
      </c>
      <c r="F421" s="6" t="n">
        <v>3</v>
      </c>
      <c r="G421" s="6" t="s">
        <v>553</v>
      </c>
    </row>
    <row r="422" customFormat="false" ht="15" hidden="false" customHeight="false" outlineLevel="0" collapsed="false">
      <c r="A422" s="6" t="s">
        <v>54</v>
      </c>
      <c r="B422" s="6" t="s">
        <v>43</v>
      </c>
      <c r="C422" s="6" t="s">
        <v>49</v>
      </c>
      <c r="D422" s="6" t="s">
        <v>117</v>
      </c>
      <c r="E422" s="6" t="n">
        <v>16</v>
      </c>
      <c r="F422" s="6" t="n">
        <v>3</v>
      </c>
      <c r="G422" s="6" t="s">
        <v>554</v>
      </c>
    </row>
    <row r="423" customFormat="false" ht="15" hidden="false" customHeight="false" outlineLevel="0" collapsed="false">
      <c r="A423" s="6" t="s">
        <v>54</v>
      </c>
      <c r="B423" s="6" t="s">
        <v>43</v>
      </c>
      <c r="C423" s="6" t="s">
        <v>49</v>
      </c>
      <c r="D423" s="6" t="s">
        <v>117</v>
      </c>
      <c r="E423" s="6" t="n">
        <v>16</v>
      </c>
      <c r="F423" s="6" t="n">
        <v>3</v>
      </c>
      <c r="G423" s="6" t="s">
        <v>555</v>
      </c>
    </row>
    <row r="424" customFormat="false" ht="15" hidden="false" customHeight="false" outlineLevel="0" collapsed="false">
      <c r="A424" s="6" t="s">
        <v>54</v>
      </c>
      <c r="B424" s="6" t="s">
        <v>43</v>
      </c>
      <c r="C424" s="6" t="s">
        <v>49</v>
      </c>
      <c r="D424" s="6" t="s">
        <v>117</v>
      </c>
      <c r="E424" s="6" t="n">
        <v>16</v>
      </c>
      <c r="F424" s="6" t="n">
        <v>3</v>
      </c>
      <c r="G424" s="6" t="s">
        <v>556</v>
      </c>
    </row>
    <row r="425" customFormat="false" ht="15" hidden="false" customHeight="false" outlineLevel="0" collapsed="false">
      <c r="A425" s="6" t="s">
        <v>54</v>
      </c>
      <c r="B425" s="6" t="s">
        <v>43</v>
      </c>
      <c r="C425" s="6" t="s">
        <v>49</v>
      </c>
      <c r="D425" s="6" t="s">
        <v>117</v>
      </c>
      <c r="E425" s="6" t="n">
        <v>16</v>
      </c>
      <c r="F425" s="6" t="n">
        <v>3</v>
      </c>
      <c r="G425" s="6" t="s">
        <v>557</v>
      </c>
    </row>
    <row r="426" customFormat="false" ht="15" hidden="false" customHeight="false" outlineLevel="0" collapsed="false">
      <c r="A426" s="6" t="s">
        <v>54</v>
      </c>
      <c r="B426" s="6" t="s">
        <v>43</v>
      </c>
      <c r="C426" s="6" t="s">
        <v>49</v>
      </c>
      <c r="D426" s="6" t="s">
        <v>117</v>
      </c>
      <c r="E426" s="6" t="n">
        <v>16</v>
      </c>
      <c r="F426" s="6" t="n">
        <v>3</v>
      </c>
      <c r="G426" s="6" t="s">
        <v>558</v>
      </c>
    </row>
    <row r="427" customFormat="false" ht="15" hidden="false" customHeight="false" outlineLevel="0" collapsed="false">
      <c r="A427" s="6" t="s">
        <v>54</v>
      </c>
      <c r="B427" s="6" t="s">
        <v>43</v>
      </c>
      <c r="C427" s="6" t="s">
        <v>49</v>
      </c>
      <c r="D427" s="6" t="s">
        <v>117</v>
      </c>
      <c r="E427" s="6" t="n">
        <v>16</v>
      </c>
      <c r="F427" s="6" t="n">
        <v>3</v>
      </c>
      <c r="G427" s="6" t="s">
        <v>559</v>
      </c>
    </row>
    <row r="428" customFormat="false" ht="15" hidden="false" customHeight="false" outlineLevel="0" collapsed="false">
      <c r="A428" s="6" t="s">
        <v>54</v>
      </c>
      <c r="B428" s="6" t="s">
        <v>43</v>
      </c>
      <c r="C428" s="6" t="s">
        <v>49</v>
      </c>
      <c r="D428" s="6" t="s">
        <v>117</v>
      </c>
      <c r="E428" s="6" t="n">
        <v>16</v>
      </c>
      <c r="F428" s="6" t="n">
        <v>3</v>
      </c>
      <c r="G428" s="6" t="s">
        <v>560</v>
      </c>
    </row>
    <row r="429" customFormat="false" ht="15" hidden="false" customHeight="false" outlineLevel="0" collapsed="false">
      <c r="A429" s="6" t="s">
        <v>54</v>
      </c>
      <c r="B429" s="6" t="s">
        <v>43</v>
      </c>
      <c r="C429" s="6" t="s">
        <v>49</v>
      </c>
      <c r="D429" s="6" t="s">
        <v>117</v>
      </c>
      <c r="E429" s="6" t="n">
        <v>16</v>
      </c>
      <c r="F429" s="6" t="n">
        <v>3</v>
      </c>
      <c r="G429" s="6" t="s">
        <v>561</v>
      </c>
    </row>
    <row r="430" customFormat="false" ht="15" hidden="false" customHeight="false" outlineLevel="0" collapsed="false">
      <c r="A430" s="6" t="s">
        <v>54</v>
      </c>
      <c r="B430" s="6" t="s">
        <v>43</v>
      </c>
      <c r="C430" s="6" t="s">
        <v>49</v>
      </c>
      <c r="D430" s="6" t="s">
        <v>117</v>
      </c>
      <c r="E430" s="6" t="n">
        <v>16</v>
      </c>
      <c r="F430" s="6" t="n">
        <v>4</v>
      </c>
      <c r="G430" s="6" t="s">
        <v>562</v>
      </c>
    </row>
    <row r="431" customFormat="false" ht="15" hidden="false" customHeight="false" outlineLevel="0" collapsed="false">
      <c r="A431" s="6" t="s">
        <v>54</v>
      </c>
      <c r="B431" s="6" t="s">
        <v>43</v>
      </c>
      <c r="C431" s="6" t="s">
        <v>49</v>
      </c>
      <c r="D431" s="6" t="s">
        <v>117</v>
      </c>
      <c r="E431" s="6" t="n">
        <v>16</v>
      </c>
      <c r="F431" s="6" t="n">
        <v>4</v>
      </c>
      <c r="G431" s="6" t="s">
        <v>563</v>
      </c>
    </row>
    <row r="432" customFormat="false" ht="15" hidden="false" customHeight="false" outlineLevel="0" collapsed="false">
      <c r="A432" s="6" t="s">
        <v>54</v>
      </c>
      <c r="B432" s="6" t="s">
        <v>43</v>
      </c>
      <c r="C432" s="6" t="s">
        <v>49</v>
      </c>
      <c r="D432" s="6" t="s">
        <v>117</v>
      </c>
      <c r="E432" s="6" t="n">
        <v>16</v>
      </c>
      <c r="F432" s="6" t="n">
        <v>4</v>
      </c>
      <c r="G432" s="6" t="s">
        <v>564</v>
      </c>
    </row>
    <row r="433" customFormat="false" ht="15" hidden="false" customHeight="false" outlineLevel="0" collapsed="false">
      <c r="A433" s="6" t="s">
        <v>54</v>
      </c>
      <c r="B433" s="6" t="s">
        <v>43</v>
      </c>
      <c r="C433" s="6" t="s">
        <v>49</v>
      </c>
      <c r="D433" s="6" t="s">
        <v>117</v>
      </c>
      <c r="E433" s="6" t="n">
        <v>16</v>
      </c>
      <c r="F433" s="6" t="n">
        <v>4</v>
      </c>
      <c r="G433" s="6" t="s">
        <v>565</v>
      </c>
    </row>
    <row r="434" customFormat="false" ht="15" hidden="false" customHeight="false" outlineLevel="0" collapsed="false">
      <c r="A434" s="6" t="s">
        <v>54</v>
      </c>
      <c r="B434" s="6" t="s">
        <v>43</v>
      </c>
      <c r="C434" s="6" t="s">
        <v>49</v>
      </c>
      <c r="D434" s="6" t="s">
        <v>117</v>
      </c>
      <c r="E434" s="6" t="n">
        <v>16</v>
      </c>
      <c r="F434" s="6" t="n">
        <v>4</v>
      </c>
      <c r="G434" s="6" t="s">
        <v>566</v>
      </c>
    </row>
    <row r="435" customFormat="false" ht="15" hidden="false" customHeight="false" outlineLevel="0" collapsed="false">
      <c r="A435" s="6" t="s">
        <v>54</v>
      </c>
      <c r="B435" s="6" t="s">
        <v>43</v>
      </c>
      <c r="C435" s="6" t="s">
        <v>49</v>
      </c>
      <c r="D435" s="6" t="s">
        <v>117</v>
      </c>
      <c r="E435" s="6" t="n">
        <v>16</v>
      </c>
      <c r="F435" s="6" t="n">
        <v>4</v>
      </c>
      <c r="G435" s="6" t="s">
        <v>567</v>
      </c>
    </row>
    <row r="436" customFormat="false" ht="15" hidden="false" customHeight="false" outlineLevel="0" collapsed="false">
      <c r="A436" s="6" t="s">
        <v>54</v>
      </c>
      <c r="B436" s="6" t="s">
        <v>43</v>
      </c>
      <c r="C436" s="6" t="s">
        <v>49</v>
      </c>
      <c r="D436" s="6" t="s">
        <v>117</v>
      </c>
      <c r="E436" s="6" t="n">
        <v>16</v>
      </c>
      <c r="F436" s="6" t="n">
        <v>4</v>
      </c>
      <c r="G436" s="6" t="s">
        <v>568</v>
      </c>
    </row>
    <row r="437" customFormat="false" ht="15" hidden="false" customHeight="false" outlineLevel="0" collapsed="false">
      <c r="A437" s="6" t="s">
        <v>54</v>
      </c>
      <c r="B437" s="6" t="s">
        <v>43</v>
      </c>
      <c r="C437" s="6" t="s">
        <v>49</v>
      </c>
      <c r="D437" s="6" t="s">
        <v>117</v>
      </c>
      <c r="E437" s="6" t="n">
        <v>16</v>
      </c>
      <c r="F437" s="6" t="n">
        <v>4</v>
      </c>
      <c r="G437" s="6" t="s">
        <v>569</v>
      </c>
    </row>
    <row r="438" customFormat="false" ht="15" hidden="false" customHeight="false" outlineLevel="0" collapsed="false">
      <c r="A438" s="6" t="s">
        <v>54</v>
      </c>
      <c r="B438" s="6" t="s">
        <v>43</v>
      </c>
      <c r="C438" s="6" t="s">
        <v>49</v>
      </c>
      <c r="D438" s="6" t="s">
        <v>117</v>
      </c>
      <c r="E438" s="6" t="n">
        <v>16</v>
      </c>
      <c r="F438" s="6" t="n">
        <v>4</v>
      </c>
      <c r="G438" s="6" t="s">
        <v>570</v>
      </c>
    </row>
    <row r="439" customFormat="false" ht="15" hidden="false" customHeight="false" outlineLevel="0" collapsed="false">
      <c r="A439" s="6" t="s">
        <v>54</v>
      </c>
      <c r="B439" s="6" t="s">
        <v>43</v>
      </c>
      <c r="C439" s="6" t="s">
        <v>49</v>
      </c>
      <c r="D439" s="6" t="s">
        <v>117</v>
      </c>
      <c r="E439" s="6" t="n">
        <v>16</v>
      </c>
      <c r="F439" s="6" t="n">
        <v>4</v>
      </c>
      <c r="G439" s="6" t="s">
        <v>571</v>
      </c>
    </row>
    <row r="440" customFormat="false" ht="15" hidden="false" customHeight="false" outlineLevel="0" collapsed="false">
      <c r="A440" s="6" t="s">
        <v>54</v>
      </c>
      <c r="B440" s="6" t="s">
        <v>43</v>
      </c>
      <c r="C440" s="6" t="s">
        <v>49</v>
      </c>
      <c r="D440" s="6" t="s">
        <v>117</v>
      </c>
      <c r="E440" s="6" t="n">
        <v>16</v>
      </c>
      <c r="F440" s="6" t="n">
        <v>4</v>
      </c>
      <c r="G440" s="6" t="s">
        <v>572</v>
      </c>
    </row>
    <row r="441" customFormat="false" ht="15" hidden="false" customHeight="false" outlineLevel="0" collapsed="false">
      <c r="A441" s="6" t="s">
        <v>54</v>
      </c>
      <c r="B441" s="6" t="s">
        <v>43</v>
      </c>
      <c r="C441" s="6" t="s">
        <v>49</v>
      </c>
      <c r="D441" s="6" t="s">
        <v>117</v>
      </c>
      <c r="E441" s="6" t="n">
        <v>16</v>
      </c>
      <c r="F441" s="6" t="n">
        <v>4</v>
      </c>
      <c r="G441" s="6" t="s">
        <v>573</v>
      </c>
    </row>
    <row r="442" customFormat="false" ht="15" hidden="false" customHeight="false" outlineLevel="0" collapsed="false">
      <c r="A442" s="6" t="s">
        <v>54</v>
      </c>
      <c r="B442" s="6" t="s">
        <v>43</v>
      </c>
      <c r="C442" s="6" t="s">
        <v>49</v>
      </c>
      <c r="D442" s="6" t="s">
        <v>117</v>
      </c>
      <c r="E442" s="6" t="n">
        <v>16</v>
      </c>
      <c r="F442" s="6" t="n">
        <v>4</v>
      </c>
      <c r="G442" s="6" t="s">
        <v>574</v>
      </c>
    </row>
    <row r="443" customFormat="false" ht="15" hidden="false" customHeight="false" outlineLevel="0" collapsed="false">
      <c r="A443" s="6" t="s">
        <v>54</v>
      </c>
      <c r="B443" s="6" t="s">
        <v>43</v>
      </c>
      <c r="C443" s="6" t="s">
        <v>49</v>
      </c>
      <c r="D443" s="6" t="s">
        <v>117</v>
      </c>
      <c r="E443" s="6" t="n">
        <v>16</v>
      </c>
      <c r="F443" s="6" t="n">
        <v>4</v>
      </c>
      <c r="G443" s="6" t="s">
        <v>575</v>
      </c>
    </row>
    <row r="444" customFormat="false" ht="15" hidden="false" customHeight="false" outlineLevel="0" collapsed="false">
      <c r="A444" s="6" t="s">
        <v>54</v>
      </c>
      <c r="B444" s="6" t="s">
        <v>43</v>
      </c>
      <c r="C444" s="6" t="s">
        <v>49</v>
      </c>
      <c r="D444" s="6" t="s">
        <v>117</v>
      </c>
      <c r="E444" s="6" t="n">
        <v>16</v>
      </c>
      <c r="F444" s="6" t="n">
        <v>4</v>
      </c>
      <c r="G444" s="6" t="s">
        <v>576</v>
      </c>
    </row>
    <row r="445" customFormat="false" ht="15" hidden="false" customHeight="false" outlineLevel="0" collapsed="false">
      <c r="A445" s="6" t="s">
        <v>54</v>
      </c>
      <c r="B445" s="6" t="s">
        <v>43</v>
      </c>
      <c r="C445" s="6" t="s">
        <v>49</v>
      </c>
      <c r="D445" s="6" t="s">
        <v>117</v>
      </c>
      <c r="E445" s="6" t="n">
        <v>16</v>
      </c>
      <c r="F445" s="6" t="n">
        <v>4</v>
      </c>
      <c r="G445" s="6" t="s">
        <v>577</v>
      </c>
    </row>
    <row r="446" customFormat="false" ht="15" hidden="false" customHeight="false" outlineLevel="0" collapsed="false">
      <c r="A446" s="6" t="s">
        <v>54</v>
      </c>
      <c r="B446" s="6" t="s">
        <v>43</v>
      </c>
      <c r="C446" s="6" t="s">
        <v>49</v>
      </c>
      <c r="D446" s="6" t="s">
        <v>117</v>
      </c>
      <c r="E446" s="6" t="n">
        <v>16</v>
      </c>
      <c r="F446" s="6" t="n">
        <v>5</v>
      </c>
      <c r="G446" s="6" t="s">
        <v>578</v>
      </c>
    </row>
    <row r="447" customFormat="false" ht="15" hidden="false" customHeight="false" outlineLevel="0" collapsed="false">
      <c r="A447" s="6" t="s">
        <v>54</v>
      </c>
      <c r="B447" s="6" t="s">
        <v>43</v>
      </c>
      <c r="C447" s="6" t="s">
        <v>49</v>
      </c>
      <c r="D447" s="6" t="s">
        <v>117</v>
      </c>
      <c r="E447" s="6" t="n">
        <v>16</v>
      </c>
      <c r="F447" s="6" t="n">
        <v>5</v>
      </c>
      <c r="G447" s="6" t="s">
        <v>579</v>
      </c>
    </row>
    <row r="448" customFormat="false" ht="15" hidden="false" customHeight="false" outlineLevel="0" collapsed="false">
      <c r="A448" s="6" t="s">
        <v>54</v>
      </c>
      <c r="B448" s="6" t="s">
        <v>43</v>
      </c>
      <c r="C448" s="6" t="s">
        <v>49</v>
      </c>
      <c r="D448" s="6" t="s">
        <v>117</v>
      </c>
      <c r="E448" s="6" t="n">
        <v>16</v>
      </c>
      <c r="F448" s="6" t="n">
        <v>5</v>
      </c>
      <c r="G448" s="6" t="s">
        <v>580</v>
      </c>
    </row>
    <row r="449" customFormat="false" ht="15" hidden="false" customHeight="false" outlineLevel="0" collapsed="false">
      <c r="A449" s="6" t="s">
        <v>54</v>
      </c>
      <c r="B449" s="6" t="s">
        <v>43</v>
      </c>
      <c r="C449" s="6" t="s">
        <v>49</v>
      </c>
      <c r="D449" s="6" t="s">
        <v>117</v>
      </c>
      <c r="E449" s="6" t="n">
        <v>16</v>
      </c>
      <c r="F449" s="6" t="n">
        <v>5</v>
      </c>
      <c r="G449" s="6" t="s">
        <v>581</v>
      </c>
    </row>
    <row r="450" customFormat="false" ht="15" hidden="false" customHeight="false" outlineLevel="0" collapsed="false">
      <c r="A450" s="6" t="s">
        <v>54</v>
      </c>
      <c r="B450" s="6" t="s">
        <v>43</v>
      </c>
      <c r="C450" s="6" t="s">
        <v>49</v>
      </c>
      <c r="D450" s="6" t="s">
        <v>117</v>
      </c>
      <c r="E450" s="6" t="n">
        <v>16</v>
      </c>
      <c r="F450" s="6" t="n">
        <v>5</v>
      </c>
      <c r="G450" s="6" t="s">
        <v>582</v>
      </c>
    </row>
    <row r="451" customFormat="false" ht="15" hidden="false" customHeight="false" outlineLevel="0" collapsed="false">
      <c r="A451" s="6" t="s">
        <v>54</v>
      </c>
      <c r="B451" s="6" t="s">
        <v>43</v>
      </c>
      <c r="C451" s="6" t="s">
        <v>49</v>
      </c>
      <c r="D451" s="6" t="s">
        <v>117</v>
      </c>
      <c r="E451" s="6" t="n">
        <v>16</v>
      </c>
      <c r="F451" s="6" t="n">
        <v>5</v>
      </c>
      <c r="G451" s="6" t="s">
        <v>583</v>
      </c>
    </row>
    <row r="452" customFormat="false" ht="15" hidden="false" customHeight="false" outlineLevel="0" collapsed="false">
      <c r="A452" s="6" t="s">
        <v>54</v>
      </c>
      <c r="B452" s="6" t="s">
        <v>43</v>
      </c>
      <c r="C452" s="6" t="s">
        <v>49</v>
      </c>
      <c r="D452" s="6" t="s">
        <v>117</v>
      </c>
      <c r="E452" s="6" t="n">
        <v>16</v>
      </c>
      <c r="F452" s="6" t="n">
        <v>5</v>
      </c>
      <c r="G452" s="6" t="s">
        <v>584</v>
      </c>
    </row>
    <row r="453" customFormat="false" ht="15" hidden="false" customHeight="false" outlineLevel="0" collapsed="false">
      <c r="A453" s="6" t="s">
        <v>54</v>
      </c>
      <c r="B453" s="6" t="s">
        <v>43</v>
      </c>
      <c r="C453" s="6" t="s">
        <v>49</v>
      </c>
      <c r="D453" s="6" t="s">
        <v>117</v>
      </c>
      <c r="E453" s="6" t="n">
        <v>16</v>
      </c>
      <c r="F453" s="6" t="n">
        <v>5</v>
      </c>
      <c r="G453" s="6" t="s">
        <v>585</v>
      </c>
    </row>
    <row r="454" customFormat="false" ht="15" hidden="false" customHeight="false" outlineLevel="0" collapsed="false">
      <c r="A454" s="6" t="s">
        <v>54</v>
      </c>
      <c r="B454" s="6" t="s">
        <v>43</v>
      </c>
      <c r="C454" s="6" t="s">
        <v>49</v>
      </c>
      <c r="D454" s="6" t="s">
        <v>117</v>
      </c>
      <c r="E454" s="6" t="n">
        <v>16</v>
      </c>
      <c r="F454" s="6" t="n">
        <v>5</v>
      </c>
      <c r="G454" s="6" t="s">
        <v>586</v>
      </c>
    </row>
    <row r="455" customFormat="false" ht="15" hidden="false" customHeight="false" outlineLevel="0" collapsed="false">
      <c r="A455" s="6" t="s">
        <v>54</v>
      </c>
      <c r="B455" s="6" t="s">
        <v>43</v>
      </c>
      <c r="C455" s="6" t="s">
        <v>49</v>
      </c>
      <c r="D455" s="6" t="s">
        <v>117</v>
      </c>
      <c r="E455" s="6" t="n">
        <v>16</v>
      </c>
      <c r="F455" s="6" t="n">
        <v>5</v>
      </c>
      <c r="G455" s="6" t="s">
        <v>587</v>
      </c>
    </row>
    <row r="456" customFormat="false" ht="15" hidden="false" customHeight="false" outlineLevel="0" collapsed="false">
      <c r="A456" s="6" t="s">
        <v>54</v>
      </c>
      <c r="B456" s="6" t="s">
        <v>43</v>
      </c>
      <c r="C456" s="6" t="s">
        <v>49</v>
      </c>
      <c r="D456" s="6" t="s">
        <v>117</v>
      </c>
      <c r="E456" s="6" t="n">
        <v>16</v>
      </c>
      <c r="F456" s="6" t="n">
        <v>5</v>
      </c>
      <c r="G456" s="6" t="s">
        <v>588</v>
      </c>
    </row>
    <row r="457" customFormat="false" ht="15" hidden="false" customHeight="false" outlineLevel="0" collapsed="false">
      <c r="A457" s="6" t="s">
        <v>54</v>
      </c>
      <c r="B457" s="6" t="s">
        <v>43</v>
      </c>
      <c r="C457" s="6" t="s">
        <v>49</v>
      </c>
      <c r="D457" s="6" t="s">
        <v>117</v>
      </c>
      <c r="E457" s="6" t="n">
        <v>16</v>
      </c>
      <c r="F457" s="6" t="n">
        <v>5</v>
      </c>
      <c r="G457" s="6" t="s">
        <v>589</v>
      </c>
    </row>
    <row r="458" customFormat="false" ht="15" hidden="false" customHeight="false" outlineLevel="0" collapsed="false">
      <c r="A458" s="6" t="s">
        <v>54</v>
      </c>
      <c r="B458" s="6" t="s">
        <v>43</v>
      </c>
      <c r="C458" s="6" t="s">
        <v>49</v>
      </c>
      <c r="D458" s="6" t="s">
        <v>117</v>
      </c>
      <c r="E458" s="6" t="n">
        <v>16</v>
      </c>
      <c r="F458" s="6" t="n">
        <v>5</v>
      </c>
      <c r="G458" s="6" t="s">
        <v>590</v>
      </c>
    </row>
    <row r="459" customFormat="false" ht="15" hidden="false" customHeight="false" outlineLevel="0" collapsed="false">
      <c r="A459" s="6" t="s">
        <v>54</v>
      </c>
      <c r="B459" s="6" t="s">
        <v>43</v>
      </c>
      <c r="C459" s="6" t="s">
        <v>49</v>
      </c>
      <c r="D459" s="6" t="s">
        <v>117</v>
      </c>
      <c r="E459" s="6" t="n">
        <v>16</v>
      </c>
      <c r="F459" s="6" t="n">
        <v>5</v>
      </c>
      <c r="G459" s="6" t="s">
        <v>591</v>
      </c>
    </row>
    <row r="460" customFormat="false" ht="15" hidden="false" customHeight="false" outlineLevel="0" collapsed="false">
      <c r="A460" s="6" t="s">
        <v>54</v>
      </c>
      <c r="B460" s="6" t="s">
        <v>43</v>
      </c>
      <c r="C460" s="6" t="s">
        <v>49</v>
      </c>
      <c r="D460" s="6" t="s">
        <v>117</v>
      </c>
      <c r="E460" s="6" t="n">
        <v>16</v>
      </c>
      <c r="F460" s="6" t="n">
        <v>5</v>
      </c>
      <c r="G460" s="6" t="s">
        <v>592</v>
      </c>
    </row>
    <row r="461" customFormat="false" ht="15" hidden="false" customHeight="false" outlineLevel="0" collapsed="false">
      <c r="A461" s="6" t="s">
        <v>54</v>
      </c>
      <c r="B461" s="6" t="s">
        <v>43</v>
      </c>
      <c r="C461" s="6" t="s">
        <v>49</v>
      </c>
      <c r="D461" s="6" t="s">
        <v>117</v>
      </c>
      <c r="E461" s="6" t="n">
        <v>16</v>
      </c>
      <c r="F461" s="6" t="n">
        <v>5</v>
      </c>
      <c r="G461" s="6" t="s">
        <v>593</v>
      </c>
    </row>
    <row r="462" customFormat="false" ht="15" hidden="false" customHeight="false" outlineLevel="0" collapsed="false">
      <c r="A462" s="6" t="s">
        <v>54</v>
      </c>
      <c r="B462" s="6" t="s">
        <v>43</v>
      </c>
      <c r="C462" s="6" t="s">
        <v>49</v>
      </c>
      <c r="D462" s="6" t="s">
        <v>117</v>
      </c>
      <c r="E462" s="6" t="n">
        <v>16</v>
      </c>
      <c r="F462" s="6" t="n">
        <v>6</v>
      </c>
      <c r="G462" s="6" t="s">
        <v>594</v>
      </c>
    </row>
    <row r="463" customFormat="false" ht="15" hidden="false" customHeight="false" outlineLevel="0" collapsed="false">
      <c r="A463" s="6" t="s">
        <v>54</v>
      </c>
      <c r="B463" s="6" t="s">
        <v>43</v>
      </c>
      <c r="C463" s="6" t="s">
        <v>49</v>
      </c>
      <c r="D463" s="6" t="s">
        <v>117</v>
      </c>
      <c r="E463" s="6" t="n">
        <v>16</v>
      </c>
      <c r="F463" s="6" t="n">
        <v>6</v>
      </c>
      <c r="G463" s="6" t="s">
        <v>595</v>
      </c>
    </row>
    <row r="464" customFormat="false" ht="15" hidden="false" customHeight="false" outlineLevel="0" collapsed="false">
      <c r="A464" s="6" t="s">
        <v>54</v>
      </c>
      <c r="B464" s="6" t="s">
        <v>43</v>
      </c>
      <c r="C464" s="6" t="s">
        <v>49</v>
      </c>
      <c r="D464" s="6" t="s">
        <v>117</v>
      </c>
      <c r="E464" s="6" t="n">
        <v>16</v>
      </c>
      <c r="F464" s="6" t="n">
        <v>6</v>
      </c>
      <c r="G464" s="6" t="s">
        <v>596</v>
      </c>
    </row>
    <row r="465" customFormat="false" ht="15" hidden="false" customHeight="false" outlineLevel="0" collapsed="false">
      <c r="A465" s="6" t="s">
        <v>54</v>
      </c>
      <c r="B465" s="6" t="s">
        <v>43</v>
      </c>
      <c r="C465" s="6" t="s">
        <v>49</v>
      </c>
      <c r="D465" s="6" t="s">
        <v>117</v>
      </c>
      <c r="E465" s="6" t="n">
        <v>16</v>
      </c>
      <c r="F465" s="6" t="n">
        <v>6</v>
      </c>
      <c r="G465" s="6" t="s">
        <v>597</v>
      </c>
    </row>
    <row r="466" customFormat="false" ht="15" hidden="false" customHeight="false" outlineLevel="0" collapsed="false">
      <c r="A466" s="6" t="s">
        <v>54</v>
      </c>
      <c r="B466" s="6" t="s">
        <v>43</v>
      </c>
      <c r="C466" s="6" t="s">
        <v>49</v>
      </c>
      <c r="D466" s="6" t="s">
        <v>117</v>
      </c>
      <c r="E466" s="6" t="n">
        <v>16</v>
      </c>
      <c r="F466" s="6" t="n">
        <v>6</v>
      </c>
      <c r="G466" s="6" t="s">
        <v>598</v>
      </c>
    </row>
    <row r="467" customFormat="false" ht="15" hidden="false" customHeight="false" outlineLevel="0" collapsed="false">
      <c r="A467" s="6" t="s">
        <v>54</v>
      </c>
      <c r="B467" s="6" t="s">
        <v>43</v>
      </c>
      <c r="C467" s="6" t="s">
        <v>49</v>
      </c>
      <c r="D467" s="6" t="s">
        <v>117</v>
      </c>
      <c r="E467" s="6" t="n">
        <v>16</v>
      </c>
      <c r="F467" s="6" t="n">
        <v>6</v>
      </c>
      <c r="G467" s="6" t="s">
        <v>599</v>
      </c>
    </row>
    <row r="468" customFormat="false" ht="15" hidden="false" customHeight="false" outlineLevel="0" collapsed="false">
      <c r="A468" s="6" t="s">
        <v>54</v>
      </c>
      <c r="B468" s="6" t="s">
        <v>43</v>
      </c>
      <c r="C468" s="6" t="s">
        <v>49</v>
      </c>
      <c r="D468" s="6" t="s">
        <v>117</v>
      </c>
      <c r="E468" s="6" t="n">
        <v>16</v>
      </c>
      <c r="F468" s="6" t="n">
        <v>6</v>
      </c>
      <c r="G468" s="6" t="s">
        <v>600</v>
      </c>
    </row>
    <row r="469" customFormat="false" ht="15" hidden="false" customHeight="false" outlineLevel="0" collapsed="false">
      <c r="A469" s="6" t="s">
        <v>54</v>
      </c>
      <c r="B469" s="6" t="s">
        <v>43</v>
      </c>
      <c r="C469" s="6" t="s">
        <v>49</v>
      </c>
      <c r="D469" s="6" t="s">
        <v>117</v>
      </c>
      <c r="E469" s="6" t="n">
        <v>16</v>
      </c>
      <c r="F469" s="6" t="n">
        <v>6</v>
      </c>
      <c r="G469" s="6" t="s">
        <v>601</v>
      </c>
    </row>
    <row r="470" customFormat="false" ht="15" hidden="false" customHeight="false" outlineLevel="0" collapsed="false">
      <c r="A470" s="6" t="s">
        <v>54</v>
      </c>
      <c r="B470" s="6" t="s">
        <v>43</v>
      </c>
      <c r="C470" s="6" t="s">
        <v>49</v>
      </c>
      <c r="D470" s="6" t="s">
        <v>117</v>
      </c>
      <c r="E470" s="6" t="n">
        <v>16</v>
      </c>
      <c r="F470" s="6" t="n">
        <v>6</v>
      </c>
      <c r="G470" s="6" t="s">
        <v>602</v>
      </c>
    </row>
    <row r="471" customFormat="false" ht="15" hidden="false" customHeight="false" outlineLevel="0" collapsed="false">
      <c r="A471" s="6" t="s">
        <v>54</v>
      </c>
      <c r="B471" s="6" t="s">
        <v>43</v>
      </c>
      <c r="C471" s="6" t="s">
        <v>49</v>
      </c>
      <c r="D471" s="6" t="s">
        <v>117</v>
      </c>
      <c r="E471" s="6" t="n">
        <v>16</v>
      </c>
      <c r="F471" s="6" t="n">
        <v>6</v>
      </c>
      <c r="G471" s="6" t="s">
        <v>603</v>
      </c>
    </row>
    <row r="472" customFormat="false" ht="15" hidden="false" customHeight="false" outlineLevel="0" collapsed="false">
      <c r="A472" s="6" t="s">
        <v>54</v>
      </c>
      <c r="B472" s="6" t="s">
        <v>43</v>
      </c>
      <c r="C472" s="6" t="s">
        <v>49</v>
      </c>
      <c r="D472" s="6" t="s">
        <v>117</v>
      </c>
      <c r="E472" s="6" t="n">
        <v>16</v>
      </c>
      <c r="F472" s="6" t="n">
        <v>6</v>
      </c>
      <c r="G472" s="6" t="s">
        <v>604</v>
      </c>
    </row>
    <row r="473" customFormat="false" ht="15" hidden="false" customHeight="false" outlineLevel="0" collapsed="false">
      <c r="A473" s="6" t="s">
        <v>54</v>
      </c>
      <c r="B473" s="6" t="s">
        <v>43</v>
      </c>
      <c r="C473" s="6" t="s">
        <v>49</v>
      </c>
      <c r="D473" s="6" t="s">
        <v>117</v>
      </c>
      <c r="E473" s="6" t="n">
        <v>16</v>
      </c>
      <c r="F473" s="6" t="n">
        <v>6</v>
      </c>
      <c r="G473" s="6" t="s">
        <v>605</v>
      </c>
    </row>
    <row r="474" customFormat="false" ht="15" hidden="false" customHeight="false" outlineLevel="0" collapsed="false">
      <c r="A474" s="6" t="s">
        <v>54</v>
      </c>
      <c r="B474" s="6" t="s">
        <v>43</v>
      </c>
      <c r="C474" s="6" t="s">
        <v>49</v>
      </c>
      <c r="D474" s="6" t="s">
        <v>117</v>
      </c>
      <c r="E474" s="6" t="n">
        <v>16</v>
      </c>
      <c r="F474" s="6" t="n">
        <v>6</v>
      </c>
      <c r="G474" s="6" t="s">
        <v>606</v>
      </c>
    </row>
    <row r="475" customFormat="false" ht="15" hidden="false" customHeight="false" outlineLevel="0" collapsed="false">
      <c r="A475" s="6" t="s">
        <v>54</v>
      </c>
      <c r="B475" s="6" t="s">
        <v>43</v>
      </c>
      <c r="C475" s="6" t="s">
        <v>49</v>
      </c>
      <c r="D475" s="6" t="s">
        <v>117</v>
      </c>
      <c r="E475" s="6" t="n">
        <v>16</v>
      </c>
      <c r="F475" s="6" t="n">
        <v>6</v>
      </c>
      <c r="G475" s="6" t="s">
        <v>607</v>
      </c>
    </row>
    <row r="476" customFormat="false" ht="15" hidden="false" customHeight="false" outlineLevel="0" collapsed="false">
      <c r="A476" s="6" t="s">
        <v>54</v>
      </c>
      <c r="B476" s="6" t="s">
        <v>43</v>
      </c>
      <c r="C476" s="6" t="s">
        <v>49</v>
      </c>
      <c r="D476" s="6" t="s">
        <v>117</v>
      </c>
      <c r="E476" s="6" t="n">
        <v>16</v>
      </c>
      <c r="F476" s="6" t="n">
        <v>6</v>
      </c>
      <c r="G476" s="6" t="s">
        <v>608</v>
      </c>
    </row>
    <row r="477" customFormat="false" ht="15" hidden="false" customHeight="false" outlineLevel="0" collapsed="false">
      <c r="A477" s="6" t="s">
        <v>54</v>
      </c>
      <c r="B477" s="6" t="s">
        <v>43</v>
      </c>
      <c r="C477" s="6" t="s">
        <v>49</v>
      </c>
      <c r="D477" s="6" t="s">
        <v>117</v>
      </c>
      <c r="E477" s="6" t="n">
        <v>16</v>
      </c>
      <c r="F477" s="6" t="n">
        <v>6</v>
      </c>
      <c r="G477" s="6" t="s">
        <v>609</v>
      </c>
    </row>
    <row r="478" customFormat="false" ht="15" hidden="false" customHeight="false" outlineLevel="0" collapsed="false">
      <c r="A478" s="6" t="s">
        <v>54</v>
      </c>
      <c r="B478" s="6" t="s">
        <v>43</v>
      </c>
      <c r="C478" s="6" t="s">
        <v>49</v>
      </c>
      <c r="D478" s="6" t="s">
        <v>117</v>
      </c>
      <c r="E478" s="6" t="n">
        <v>16</v>
      </c>
      <c r="F478" s="6" t="n">
        <v>7</v>
      </c>
      <c r="G478" s="6" t="s">
        <v>610</v>
      </c>
    </row>
    <row r="479" customFormat="false" ht="15" hidden="false" customHeight="false" outlineLevel="0" collapsed="false">
      <c r="A479" s="6" t="s">
        <v>54</v>
      </c>
      <c r="B479" s="6" t="s">
        <v>43</v>
      </c>
      <c r="C479" s="6" t="s">
        <v>49</v>
      </c>
      <c r="D479" s="6" t="s">
        <v>117</v>
      </c>
      <c r="E479" s="6" t="n">
        <v>16</v>
      </c>
      <c r="F479" s="6" t="n">
        <v>7</v>
      </c>
      <c r="G479" s="6" t="s">
        <v>611</v>
      </c>
    </row>
    <row r="480" customFormat="false" ht="15" hidden="false" customHeight="false" outlineLevel="0" collapsed="false">
      <c r="A480" s="6" t="s">
        <v>54</v>
      </c>
      <c r="B480" s="6" t="s">
        <v>43</v>
      </c>
      <c r="C480" s="6" t="s">
        <v>49</v>
      </c>
      <c r="D480" s="6" t="s">
        <v>117</v>
      </c>
      <c r="E480" s="6" t="n">
        <v>16</v>
      </c>
      <c r="F480" s="6" t="n">
        <v>7</v>
      </c>
      <c r="G480" s="6" t="s">
        <v>612</v>
      </c>
    </row>
    <row r="481" customFormat="false" ht="15" hidden="false" customHeight="false" outlineLevel="0" collapsed="false">
      <c r="A481" s="6" t="s">
        <v>54</v>
      </c>
      <c r="B481" s="6" t="s">
        <v>43</v>
      </c>
      <c r="C481" s="6" t="s">
        <v>49</v>
      </c>
      <c r="D481" s="6" t="s">
        <v>117</v>
      </c>
      <c r="E481" s="6" t="n">
        <v>16</v>
      </c>
      <c r="F481" s="6" t="n">
        <v>7</v>
      </c>
      <c r="G481" s="6" t="s">
        <v>613</v>
      </c>
    </row>
    <row r="482" customFormat="false" ht="15" hidden="false" customHeight="false" outlineLevel="0" collapsed="false">
      <c r="A482" s="6" t="s">
        <v>54</v>
      </c>
      <c r="B482" s="6" t="s">
        <v>43</v>
      </c>
      <c r="C482" s="6" t="s">
        <v>49</v>
      </c>
      <c r="D482" s="6" t="s">
        <v>117</v>
      </c>
      <c r="E482" s="6" t="n">
        <v>16</v>
      </c>
      <c r="F482" s="6" t="n">
        <v>7</v>
      </c>
      <c r="G482" s="6" t="s">
        <v>614</v>
      </c>
    </row>
    <row r="483" customFormat="false" ht="15" hidden="false" customHeight="false" outlineLevel="0" collapsed="false">
      <c r="A483" s="6" t="s">
        <v>54</v>
      </c>
      <c r="B483" s="6" t="s">
        <v>43</v>
      </c>
      <c r="C483" s="6" t="s">
        <v>49</v>
      </c>
      <c r="D483" s="6" t="s">
        <v>117</v>
      </c>
      <c r="E483" s="6" t="n">
        <v>16</v>
      </c>
      <c r="F483" s="6" t="n">
        <v>7</v>
      </c>
      <c r="G483" s="6" t="s">
        <v>615</v>
      </c>
    </row>
    <row r="484" customFormat="false" ht="15" hidden="false" customHeight="false" outlineLevel="0" collapsed="false">
      <c r="A484" s="6" t="s">
        <v>54</v>
      </c>
      <c r="B484" s="6" t="s">
        <v>43</v>
      </c>
      <c r="C484" s="6" t="s">
        <v>49</v>
      </c>
      <c r="D484" s="6" t="s">
        <v>117</v>
      </c>
      <c r="E484" s="6" t="n">
        <v>16</v>
      </c>
      <c r="F484" s="6" t="n">
        <v>7</v>
      </c>
      <c r="G484" s="6" t="s">
        <v>616</v>
      </c>
    </row>
    <row r="485" customFormat="false" ht="15" hidden="false" customHeight="false" outlineLevel="0" collapsed="false">
      <c r="A485" s="6" t="s">
        <v>54</v>
      </c>
      <c r="B485" s="6" t="s">
        <v>43</v>
      </c>
      <c r="C485" s="6" t="s">
        <v>49</v>
      </c>
      <c r="D485" s="6" t="s">
        <v>117</v>
      </c>
      <c r="E485" s="6" t="n">
        <v>16</v>
      </c>
      <c r="F485" s="6" t="n">
        <v>7</v>
      </c>
      <c r="G485" s="6" t="s">
        <v>617</v>
      </c>
    </row>
    <row r="486" customFormat="false" ht="15" hidden="false" customHeight="false" outlineLevel="0" collapsed="false">
      <c r="A486" s="6" t="s">
        <v>54</v>
      </c>
      <c r="B486" s="6" t="s">
        <v>43</v>
      </c>
      <c r="C486" s="6" t="s">
        <v>49</v>
      </c>
      <c r="D486" s="6" t="s">
        <v>117</v>
      </c>
      <c r="E486" s="6" t="n">
        <v>16</v>
      </c>
      <c r="F486" s="6" t="n">
        <v>7</v>
      </c>
      <c r="G486" s="6" t="s">
        <v>618</v>
      </c>
    </row>
    <row r="487" customFormat="false" ht="15" hidden="false" customHeight="false" outlineLevel="0" collapsed="false">
      <c r="A487" s="6" t="s">
        <v>54</v>
      </c>
      <c r="B487" s="6" t="s">
        <v>43</v>
      </c>
      <c r="C487" s="6" t="s">
        <v>49</v>
      </c>
      <c r="D487" s="6" t="s">
        <v>117</v>
      </c>
      <c r="E487" s="6" t="n">
        <v>16</v>
      </c>
      <c r="F487" s="6" t="n">
        <v>7</v>
      </c>
      <c r="G487" s="6" t="s">
        <v>619</v>
      </c>
    </row>
    <row r="488" customFormat="false" ht="15" hidden="false" customHeight="false" outlineLevel="0" collapsed="false">
      <c r="A488" s="6" t="s">
        <v>54</v>
      </c>
      <c r="B488" s="6" t="s">
        <v>43</v>
      </c>
      <c r="C488" s="6" t="s">
        <v>49</v>
      </c>
      <c r="D488" s="6" t="s">
        <v>117</v>
      </c>
      <c r="E488" s="6" t="n">
        <v>16</v>
      </c>
      <c r="F488" s="6" t="n">
        <v>7</v>
      </c>
      <c r="G488" s="6" t="s">
        <v>620</v>
      </c>
    </row>
    <row r="489" customFormat="false" ht="15" hidden="false" customHeight="false" outlineLevel="0" collapsed="false">
      <c r="A489" s="6" t="s">
        <v>54</v>
      </c>
      <c r="B489" s="6" t="s">
        <v>43</v>
      </c>
      <c r="C489" s="6" t="s">
        <v>49</v>
      </c>
      <c r="D489" s="6" t="s">
        <v>117</v>
      </c>
      <c r="E489" s="6" t="n">
        <v>16</v>
      </c>
      <c r="F489" s="6" t="n">
        <v>7</v>
      </c>
      <c r="G489" s="6" t="s">
        <v>621</v>
      </c>
    </row>
    <row r="490" customFormat="false" ht="15" hidden="false" customHeight="false" outlineLevel="0" collapsed="false">
      <c r="A490" s="6" t="s">
        <v>54</v>
      </c>
      <c r="B490" s="6" t="s">
        <v>43</v>
      </c>
      <c r="C490" s="6" t="s">
        <v>49</v>
      </c>
      <c r="D490" s="6" t="s">
        <v>117</v>
      </c>
      <c r="E490" s="6" t="n">
        <v>16</v>
      </c>
      <c r="F490" s="6" t="n">
        <v>7</v>
      </c>
      <c r="G490" s="6" t="s">
        <v>622</v>
      </c>
    </row>
    <row r="491" customFormat="false" ht="15" hidden="false" customHeight="false" outlineLevel="0" collapsed="false">
      <c r="A491" s="6" t="s">
        <v>54</v>
      </c>
      <c r="B491" s="6" t="s">
        <v>43</v>
      </c>
      <c r="C491" s="6" t="s">
        <v>49</v>
      </c>
      <c r="D491" s="6" t="s">
        <v>117</v>
      </c>
      <c r="E491" s="6" t="n">
        <v>16</v>
      </c>
      <c r="F491" s="6" t="n">
        <v>7</v>
      </c>
      <c r="G491" s="6" t="s">
        <v>623</v>
      </c>
    </row>
    <row r="492" customFormat="false" ht="15" hidden="false" customHeight="false" outlineLevel="0" collapsed="false">
      <c r="A492" s="6" t="s">
        <v>54</v>
      </c>
      <c r="B492" s="6" t="s">
        <v>43</v>
      </c>
      <c r="C492" s="6" t="s">
        <v>49</v>
      </c>
      <c r="D492" s="6" t="s">
        <v>117</v>
      </c>
      <c r="E492" s="6" t="n">
        <v>16</v>
      </c>
      <c r="F492" s="6" t="n">
        <v>7</v>
      </c>
      <c r="G492" s="6" t="s">
        <v>624</v>
      </c>
    </row>
    <row r="493" customFormat="false" ht="15" hidden="false" customHeight="false" outlineLevel="0" collapsed="false">
      <c r="A493" s="6" t="s">
        <v>54</v>
      </c>
      <c r="B493" s="6" t="s">
        <v>43</v>
      </c>
      <c r="C493" s="6" t="s">
        <v>49</v>
      </c>
      <c r="D493" s="6" t="s">
        <v>117</v>
      </c>
      <c r="E493" s="6" t="n">
        <v>16</v>
      </c>
      <c r="F493" s="6" t="n">
        <v>7</v>
      </c>
      <c r="G493" s="6" t="s">
        <v>625</v>
      </c>
    </row>
    <row r="494" customFormat="false" ht="15" hidden="false" customHeight="false" outlineLevel="0" collapsed="false">
      <c r="A494" s="6" t="s">
        <v>54</v>
      </c>
      <c r="B494" s="6" t="s">
        <v>43</v>
      </c>
      <c r="C494" s="6" t="s">
        <v>49</v>
      </c>
      <c r="D494" s="6" t="s">
        <v>117</v>
      </c>
      <c r="E494" s="6" t="n">
        <v>16</v>
      </c>
      <c r="F494" s="6" t="n">
        <v>8</v>
      </c>
      <c r="G494" s="6" t="s">
        <v>626</v>
      </c>
    </row>
    <row r="495" customFormat="false" ht="15" hidden="false" customHeight="false" outlineLevel="0" collapsed="false">
      <c r="A495" s="6" t="s">
        <v>54</v>
      </c>
      <c r="B495" s="6" t="s">
        <v>43</v>
      </c>
      <c r="C495" s="6" t="s">
        <v>49</v>
      </c>
      <c r="D495" s="6" t="s">
        <v>117</v>
      </c>
      <c r="E495" s="6" t="n">
        <v>16</v>
      </c>
      <c r="F495" s="6" t="n">
        <v>8</v>
      </c>
      <c r="G495" s="6" t="s">
        <v>627</v>
      </c>
    </row>
    <row r="496" customFormat="false" ht="15" hidden="false" customHeight="false" outlineLevel="0" collapsed="false">
      <c r="A496" s="6" t="s">
        <v>54</v>
      </c>
      <c r="B496" s="6" t="s">
        <v>43</v>
      </c>
      <c r="C496" s="6" t="s">
        <v>49</v>
      </c>
      <c r="D496" s="6" t="s">
        <v>117</v>
      </c>
      <c r="E496" s="6" t="n">
        <v>16</v>
      </c>
      <c r="F496" s="6" t="n">
        <v>8</v>
      </c>
      <c r="G496" s="6" t="s">
        <v>628</v>
      </c>
    </row>
    <row r="497" customFormat="false" ht="15" hidden="false" customHeight="false" outlineLevel="0" collapsed="false">
      <c r="A497" s="6" t="s">
        <v>54</v>
      </c>
      <c r="B497" s="6" t="s">
        <v>43</v>
      </c>
      <c r="C497" s="6" t="s">
        <v>49</v>
      </c>
      <c r="D497" s="6" t="s">
        <v>117</v>
      </c>
      <c r="E497" s="6" t="n">
        <v>16</v>
      </c>
      <c r="F497" s="6" t="n">
        <v>8</v>
      </c>
      <c r="G497" s="6" t="s">
        <v>629</v>
      </c>
    </row>
    <row r="498" customFormat="false" ht="15" hidden="false" customHeight="false" outlineLevel="0" collapsed="false">
      <c r="A498" s="6" t="s">
        <v>54</v>
      </c>
      <c r="B498" s="6" t="s">
        <v>43</v>
      </c>
      <c r="C498" s="6" t="s">
        <v>49</v>
      </c>
      <c r="D498" s="6" t="s">
        <v>117</v>
      </c>
      <c r="E498" s="6" t="n">
        <v>16</v>
      </c>
      <c r="F498" s="6" t="n">
        <v>8</v>
      </c>
      <c r="G498" s="6" t="s">
        <v>630</v>
      </c>
    </row>
    <row r="499" customFormat="false" ht="15" hidden="false" customHeight="false" outlineLevel="0" collapsed="false">
      <c r="A499" s="6" t="s">
        <v>54</v>
      </c>
      <c r="B499" s="6" t="s">
        <v>43</v>
      </c>
      <c r="C499" s="6" t="s">
        <v>49</v>
      </c>
      <c r="D499" s="6" t="s">
        <v>117</v>
      </c>
      <c r="E499" s="6" t="n">
        <v>16</v>
      </c>
      <c r="F499" s="6" t="n">
        <v>8</v>
      </c>
      <c r="G499" s="6" t="s">
        <v>631</v>
      </c>
    </row>
    <row r="500" customFormat="false" ht="15" hidden="false" customHeight="false" outlineLevel="0" collapsed="false">
      <c r="A500" s="6" t="s">
        <v>54</v>
      </c>
      <c r="B500" s="6" t="s">
        <v>43</v>
      </c>
      <c r="C500" s="6" t="s">
        <v>49</v>
      </c>
      <c r="D500" s="6" t="s">
        <v>117</v>
      </c>
      <c r="E500" s="6" t="n">
        <v>16</v>
      </c>
      <c r="F500" s="6" t="n">
        <v>8</v>
      </c>
      <c r="G500" s="6" t="s">
        <v>632</v>
      </c>
    </row>
    <row r="501" customFormat="false" ht="15" hidden="false" customHeight="false" outlineLevel="0" collapsed="false">
      <c r="A501" s="6" t="s">
        <v>54</v>
      </c>
      <c r="B501" s="6" t="s">
        <v>43</v>
      </c>
      <c r="C501" s="6" t="s">
        <v>49</v>
      </c>
      <c r="D501" s="6" t="s">
        <v>117</v>
      </c>
      <c r="E501" s="6" t="n">
        <v>16</v>
      </c>
      <c r="F501" s="6" t="n">
        <v>8</v>
      </c>
      <c r="G501" s="6" t="s">
        <v>633</v>
      </c>
    </row>
    <row r="502" customFormat="false" ht="15" hidden="false" customHeight="false" outlineLevel="0" collapsed="false">
      <c r="A502" s="6" t="s">
        <v>54</v>
      </c>
      <c r="B502" s="6" t="s">
        <v>43</v>
      </c>
      <c r="C502" s="6" t="s">
        <v>49</v>
      </c>
      <c r="D502" s="6" t="s">
        <v>117</v>
      </c>
      <c r="E502" s="6" t="n">
        <v>16</v>
      </c>
      <c r="F502" s="6" t="n">
        <v>8</v>
      </c>
      <c r="G502" s="6" t="s">
        <v>634</v>
      </c>
    </row>
    <row r="503" customFormat="false" ht="15" hidden="false" customHeight="false" outlineLevel="0" collapsed="false">
      <c r="A503" s="6" t="s">
        <v>54</v>
      </c>
      <c r="B503" s="6" t="s">
        <v>43</v>
      </c>
      <c r="C503" s="6" t="s">
        <v>49</v>
      </c>
      <c r="D503" s="6" t="s">
        <v>117</v>
      </c>
      <c r="E503" s="6" t="n">
        <v>16</v>
      </c>
      <c r="F503" s="6" t="n">
        <v>8</v>
      </c>
      <c r="G503" s="6" t="s">
        <v>635</v>
      </c>
    </row>
    <row r="504" customFormat="false" ht="15" hidden="false" customHeight="false" outlineLevel="0" collapsed="false">
      <c r="A504" s="6" t="s">
        <v>54</v>
      </c>
      <c r="B504" s="6" t="s">
        <v>43</v>
      </c>
      <c r="C504" s="6" t="s">
        <v>49</v>
      </c>
      <c r="D504" s="6" t="s">
        <v>117</v>
      </c>
      <c r="E504" s="6" t="n">
        <v>16</v>
      </c>
      <c r="F504" s="6" t="n">
        <v>8</v>
      </c>
      <c r="G504" s="6" t="s">
        <v>636</v>
      </c>
    </row>
    <row r="505" customFormat="false" ht="15" hidden="false" customHeight="false" outlineLevel="0" collapsed="false">
      <c r="A505" s="6" t="s">
        <v>54</v>
      </c>
      <c r="B505" s="6" t="s">
        <v>43</v>
      </c>
      <c r="C505" s="6" t="s">
        <v>49</v>
      </c>
      <c r="D505" s="6" t="s">
        <v>117</v>
      </c>
      <c r="E505" s="6" t="n">
        <v>16</v>
      </c>
      <c r="F505" s="6" t="n">
        <v>8</v>
      </c>
      <c r="G505" s="6" t="s">
        <v>637</v>
      </c>
    </row>
    <row r="506" customFormat="false" ht="15" hidden="false" customHeight="false" outlineLevel="0" collapsed="false">
      <c r="A506" s="6" t="s">
        <v>54</v>
      </c>
      <c r="B506" s="6" t="s">
        <v>43</v>
      </c>
      <c r="C506" s="6" t="s">
        <v>49</v>
      </c>
      <c r="D506" s="6" t="s">
        <v>117</v>
      </c>
      <c r="E506" s="6" t="n">
        <v>16</v>
      </c>
      <c r="F506" s="6" t="n">
        <v>8</v>
      </c>
      <c r="G506" s="6" t="s">
        <v>638</v>
      </c>
    </row>
    <row r="507" customFormat="false" ht="15" hidden="false" customHeight="false" outlineLevel="0" collapsed="false">
      <c r="A507" s="6" t="s">
        <v>54</v>
      </c>
      <c r="B507" s="6" t="s">
        <v>43</v>
      </c>
      <c r="C507" s="6" t="s">
        <v>49</v>
      </c>
      <c r="D507" s="6" t="s">
        <v>117</v>
      </c>
      <c r="E507" s="6" t="n">
        <v>16</v>
      </c>
      <c r="F507" s="6" t="n">
        <v>8</v>
      </c>
      <c r="G507" s="6" t="s">
        <v>639</v>
      </c>
    </row>
    <row r="508" customFormat="false" ht="15" hidden="false" customHeight="false" outlineLevel="0" collapsed="false">
      <c r="A508" s="6" t="s">
        <v>54</v>
      </c>
      <c r="B508" s="6" t="s">
        <v>43</v>
      </c>
      <c r="C508" s="6" t="s">
        <v>49</v>
      </c>
      <c r="D508" s="6" t="s">
        <v>117</v>
      </c>
      <c r="E508" s="6" t="n">
        <v>16</v>
      </c>
      <c r="F508" s="6" t="n">
        <v>8</v>
      </c>
      <c r="G508" s="6" t="s">
        <v>640</v>
      </c>
    </row>
    <row r="509" customFormat="false" ht="15" hidden="false" customHeight="false" outlineLevel="0" collapsed="false">
      <c r="A509" s="6" t="s">
        <v>54</v>
      </c>
      <c r="B509" s="6" t="s">
        <v>43</v>
      </c>
      <c r="C509" s="6" t="s">
        <v>49</v>
      </c>
      <c r="D509" s="6" t="s">
        <v>117</v>
      </c>
      <c r="E509" s="6" t="n">
        <v>16</v>
      </c>
      <c r="F509" s="6" t="n">
        <v>8</v>
      </c>
      <c r="G509" s="6" t="s">
        <v>641</v>
      </c>
    </row>
    <row r="510" customFormat="false" ht="15" hidden="false" customHeight="false" outlineLevel="0" collapsed="false">
      <c r="A510" s="6" t="s">
        <v>54</v>
      </c>
      <c r="B510" s="6" t="s">
        <v>43</v>
      </c>
      <c r="C510" s="6" t="s">
        <v>49</v>
      </c>
      <c r="D510" s="6" t="s">
        <v>117</v>
      </c>
      <c r="E510" s="6" t="n">
        <v>16</v>
      </c>
      <c r="F510" s="6" t="n">
        <v>9</v>
      </c>
      <c r="G510" s="6" t="s">
        <v>642</v>
      </c>
    </row>
    <row r="511" customFormat="false" ht="15" hidden="false" customHeight="false" outlineLevel="0" collapsed="false">
      <c r="A511" s="6" t="s">
        <v>54</v>
      </c>
      <c r="B511" s="6" t="s">
        <v>43</v>
      </c>
      <c r="C511" s="6" t="s">
        <v>49</v>
      </c>
      <c r="D511" s="6" t="s">
        <v>117</v>
      </c>
      <c r="E511" s="6" t="n">
        <v>16</v>
      </c>
      <c r="F511" s="6" t="n">
        <v>9</v>
      </c>
      <c r="G511" s="6" t="s">
        <v>643</v>
      </c>
    </row>
    <row r="512" customFormat="false" ht="15" hidden="false" customHeight="false" outlineLevel="0" collapsed="false">
      <c r="A512" s="6" t="s">
        <v>54</v>
      </c>
      <c r="B512" s="6" t="s">
        <v>43</v>
      </c>
      <c r="C512" s="6" t="s">
        <v>49</v>
      </c>
      <c r="D512" s="6" t="s">
        <v>117</v>
      </c>
      <c r="E512" s="6" t="n">
        <v>16</v>
      </c>
      <c r="F512" s="6" t="n">
        <v>9</v>
      </c>
      <c r="G512" s="6" t="s">
        <v>644</v>
      </c>
    </row>
    <row r="513" customFormat="false" ht="15" hidden="false" customHeight="false" outlineLevel="0" collapsed="false">
      <c r="A513" s="6" t="s">
        <v>54</v>
      </c>
      <c r="B513" s="6" t="s">
        <v>43</v>
      </c>
      <c r="C513" s="6" t="s">
        <v>49</v>
      </c>
      <c r="D513" s="6" t="s">
        <v>117</v>
      </c>
      <c r="E513" s="6" t="n">
        <v>16</v>
      </c>
      <c r="F513" s="6" t="n">
        <v>9</v>
      </c>
      <c r="G513" s="6" t="s">
        <v>645</v>
      </c>
    </row>
    <row r="514" customFormat="false" ht="15" hidden="false" customHeight="false" outlineLevel="0" collapsed="false">
      <c r="A514" s="6" t="s">
        <v>54</v>
      </c>
      <c r="B514" s="6" t="s">
        <v>43</v>
      </c>
      <c r="C514" s="6" t="s">
        <v>49</v>
      </c>
      <c r="D514" s="6" t="s">
        <v>117</v>
      </c>
      <c r="E514" s="6" t="n">
        <v>16</v>
      </c>
      <c r="F514" s="6" t="n">
        <v>9</v>
      </c>
      <c r="G514" s="6" t="s">
        <v>646</v>
      </c>
    </row>
    <row r="515" customFormat="false" ht="15" hidden="false" customHeight="false" outlineLevel="0" collapsed="false">
      <c r="A515" s="6" t="s">
        <v>54</v>
      </c>
      <c r="B515" s="6" t="s">
        <v>43</v>
      </c>
      <c r="C515" s="6" t="s">
        <v>49</v>
      </c>
      <c r="D515" s="6" t="s">
        <v>117</v>
      </c>
      <c r="E515" s="6" t="n">
        <v>16</v>
      </c>
      <c r="F515" s="6" t="n">
        <v>9</v>
      </c>
      <c r="G515" s="6" t="s">
        <v>647</v>
      </c>
    </row>
    <row r="516" customFormat="false" ht="15" hidden="false" customHeight="false" outlineLevel="0" collapsed="false">
      <c r="A516" s="6" t="s">
        <v>54</v>
      </c>
      <c r="B516" s="6" t="s">
        <v>43</v>
      </c>
      <c r="C516" s="6" t="s">
        <v>49</v>
      </c>
      <c r="D516" s="6" t="s">
        <v>117</v>
      </c>
      <c r="E516" s="6" t="n">
        <v>16</v>
      </c>
      <c r="F516" s="6" t="n">
        <v>9</v>
      </c>
      <c r="G516" s="6" t="s">
        <v>648</v>
      </c>
    </row>
    <row r="517" customFormat="false" ht="15" hidden="false" customHeight="false" outlineLevel="0" collapsed="false">
      <c r="A517" s="6" t="s">
        <v>54</v>
      </c>
      <c r="B517" s="6" t="s">
        <v>43</v>
      </c>
      <c r="C517" s="6" t="s">
        <v>49</v>
      </c>
      <c r="D517" s="6" t="s">
        <v>117</v>
      </c>
      <c r="E517" s="6" t="n">
        <v>16</v>
      </c>
      <c r="F517" s="6" t="n">
        <v>9</v>
      </c>
      <c r="G517" s="6" t="s">
        <v>649</v>
      </c>
    </row>
    <row r="518" customFormat="false" ht="15" hidden="false" customHeight="false" outlineLevel="0" collapsed="false">
      <c r="A518" s="6" t="s">
        <v>54</v>
      </c>
      <c r="B518" s="6" t="s">
        <v>43</v>
      </c>
      <c r="C518" s="6" t="s">
        <v>49</v>
      </c>
      <c r="D518" s="6" t="s">
        <v>117</v>
      </c>
      <c r="E518" s="6" t="n">
        <v>16</v>
      </c>
      <c r="F518" s="6" t="n">
        <v>9</v>
      </c>
      <c r="G518" s="6" t="s">
        <v>650</v>
      </c>
    </row>
    <row r="519" customFormat="false" ht="15" hidden="false" customHeight="false" outlineLevel="0" collapsed="false">
      <c r="A519" s="6" t="s">
        <v>54</v>
      </c>
      <c r="B519" s="6" t="s">
        <v>43</v>
      </c>
      <c r="C519" s="6" t="s">
        <v>49</v>
      </c>
      <c r="D519" s="6" t="s">
        <v>117</v>
      </c>
      <c r="E519" s="6" t="n">
        <v>16</v>
      </c>
      <c r="F519" s="6" t="n">
        <v>9</v>
      </c>
      <c r="G519" s="6" t="s">
        <v>651</v>
      </c>
    </row>
    <row r="520" customFormat="false" ht="15" hidden="false" customHeight="false" outlineLevel="0" collapsed="false">
      <c r="A520" s="6" t="s">
        <v>54</v>
      </c>
      <c r="B520" s="6" t="s">
        <v>43</v>
      </c>
      <c r="C520" s="6" t="s">
        <v>49</v>
      </c>
      <c r="D520" s="6" t="s">
        <v>117</v>
      </c>
      <c r="E520" s="6" t="n">
        <v>16</v>
      </c>
      <c r="F520" s="6" t="n">
        <v>9</v>
      </c>
      <c r="G520" s="6" t="s">
        <v>652</v>
      </c>
    </row>
    <row r="521" customFormat="false" ht="15" hidden="false" customHeight="false" outlineLevel="0" collapsed="false">
      <c r="A521" s="6" t="s">
        <v>54</v>
      </c>
      <c r="B521" s="6" t="s">
        <v>43</v>
      </c>
      <c r="C521" s="6" t="s">
        <v>49</v>
      </c>
      <c r="D521" s="6" t="s">
        <v>117</v>
      </c>
      <c r="E521" s="6" t="n">
        <v>16</v>
      </c>
      <c r="F521" s="6" t="n">
        <v>9</v>
      </c>
      <c r="G521" s="6" t="s">
        <v>653</v>
      </c>
    </row>
    <row r="522" customFormat="false" ht="15" hidden="false" customHeight="false" outlineLevel="0" collapsed="false">
      <c r="A522" s="6" t="s">
        <v>54</v>
      </c>
      <c r="B522" s="6" t="s">
        <v>43</v>
      </c>
      <c r="C522" s="6" t="s">
        <v>49</v>
      </c>
      <c r="D522" s="6" t="s">
        <v>117</v>
      </c>
      <c r="E522" s="6" t="n">
        <v>16</v>
      </c>
      <c r="F522" s="6" t="n">
        <v>9</v>
      </c>
      <c r="G522" s="6" t="s">
        <v>654</v>
      </c>
    </row>
    <row r="523" customFormat="false" ht="15" hidden="false" customHeight="false" outlineLevel="0" collapsed="false">
      <c r="A523" s="6" t="s">
        <v>54</v>
      </c>
      <c r="B523" s="6" t="s">
        <v>43</v>
      </c>
      <c r="C523" s="6" t="s">
        <v>49</v>
      </c>
      <c r="D523" s="6" t="s">
        <v>117</v>
      </c>
      <c r="E523" s="6" t="n">
        <v>16</v>
      </c>
      <c r="F523" s="6" t="n">
        <v>9</v>
      </c>
      <c r="G523" s="6" t="s">
        <v>655</v>
      </c>
    </row>
    <row r="524" customFormat="false" ht="15" hidden="false" customHeight="false" outlineLevel="0" collapsed="false">
      <c r="A524" s="6" t="s">
        <v>54</v>
      </c>
      <c r="B524" s="6" t="s">
        <v>43</v>
      </c>
      <c r="C524" s="6" t="s">
        <v>49</v>
      </c>
      <c r="D524" s="6" t="s">
        <v>117</v>
      </c>
      <c r="E524" s="6" t="n">
        <v>16</v>
      </c>
      <c r="F524" s="6" t="n">
        <v>9</v>
      </c>
      <c r="G524" s="6" t="s">
        <v>656</v>
      </c>
    </row>
    <row r="525" customFormat="false" ht="15" hidden="false" customHeight="false" outlineLevel="0" collapsed="false">
      <c r="A525" s="6" t="s">
        <v>54</v>
      </c>
      <c r="B525" s="6" t="s">
        <v>43</v>
      </c>
      <c r="C525" s="6" t="s">
        <v>49</v>
      </c>
      <c r="D525" s="6" t="s">
        <v>117</v>
      </c>
      <c r="E525" s="6" t="n">
        <v>16</v>
      </c>
      <c r="F525" s="6" t="n">
        <v>9</v>
      </c>
      <c r="G525" s="6" t="s">
        <v>657</v>
      </c>
    </row>
    <row r="526" customFormat="false" ht="15" hidden="false" customHeight="false" outlineLevel="0" collapsed="false">
      <c r="A526" s="6" t="s">
        <v>54</v>
      </c>
      <c r="B526" s="6" t="s">
        <v>43</v>
      </c>
      <c r="C526" s="6" t="s">
        <v>49</v>
      </c>
      <c r="D526" s="6" t="s">
        <v>117</v>
      </c>
      <c r="E526" s="6" t="n">
        <v>16</v>
      </c>
      <c r="F526" s="6" t="n">
        <v>10</v>
      </c>
      <c r="G526" s="6" t="s">
        <v>658</v>
      </c>
    </row>
    <row r="527" customFormat="false" ht="15" hidden="false" customHeight="false" outlineLevel="0" collapsed="false">
      <c r="A527" s="6" t="s">
        <v>54</v>
      </c>
      <c r="B527" s="6" t="s">
        <v>43</v>
      </c>
      <c r="C527" s="6" t="s">
        <v>49</v>
      </c>
      <c r="D527" s="6" t="s">
        <v>117</v>
      </c>
      <c r="E527" s="6" t="n">
        <v>16</v>
      </c>
      <c r="F527" s="6" t="n">
        <v>10</v>
      </c>
      <c r="G527" s="6" t="s">
        <v>659</v>
      </c>
    </row>
    <row r="528" customFormat="false" ht="15" hidden="false" customHeight="false" outlineLevel="0" collapsed="false">
      <c r="A528" s="6" t="s">
        <v>54</v>
      </c>
      <c r="B528" s="6" t="s">
        <v>43</v>
      </c>
      <c r="C528" s="6" t="s">
        <v>49</v>
      </c>
      <c r="D528" s="6" t="s">
        <v>117</v>
      </c>
      <c r="E528" s="6" t="n">
        <v>16</v>
      </c>
      <c r="F528" s="6" t="n">
        <v>10</v>
      </c>
      <c r="G528" s="6" t="s">
        <v>660</v>
      </c>
    </row>
    <row r="529" customFormat="false" ht="15" hidden="false" customHeight="false" outlineLevel="0" collapsed="false">
      <c r="A529" s="6" t="s">
        <v>54</v>
      </c>
      <c r="B529" s="6" t="s">
        <v>43</v>
      </c>
      <c r="C529" s="6" t="s">
        <v>49</v>
      </c>
      <c r="D529" s="6" t="s">
        <v>117</v>
      </c>
      <c r="E529" s="6" t="n">
        <v>16</v>
      </c>
      <c r="F529" s="6" t="n">
        <v>10</v>
      </c>
      <c r="G529" s="6" t="s">
        <v>661</v>
      </c>
    </row>
    <row r="530" customFormat="false" ht="15" hidden="false" customHeight="false" outlineLevel="0" collapsed="false">
      <c r="A530" s="6" t="s">
        <v>54</v>
      </c>
      <c r="B530" s="6" t="s">
        <v>43</v>
      </c>
      <c r="C530" s="6" t="s">
        <v>49</v>
      </c>
      <c r="D530" s="6" t="s">
        <v>117</v>
      </c>
      <c r="E530" s="6" t="n">
        <v>16</v>
      </c>
      <c r="F530" s="6" t="n">
        <v>10</v>
      </c>
      <c r="G530" s="6" t="s">
        <v>662</v>
      </c>
    </row>
    <row r="531" customFormat="false" ht="15" hidden="false" customHeight="false" outlineLevel="0" collapsed="false">
      <c r="A531" s="6" t="s">
        <v>54</v>
      </c>
      <c r="B531" s="6" t="s">
        <v>43</v>
      </c>
      <c r="C531" s="6" t="s">
        <v>49</v>
      </c>
      <c r="D531" s="6" t="s">
        <v>117</v>
      </c>
      <c r="E531" s="6" t="n">
        <v>16</v>
      </c>
      <c r="F531" s="6" t="n">
        <v>10</v>
      </c>
      <c r="G531" s="6" t="s">
        <v>663</v>
      </c>
    </row>
    <row r="532" customFormat="false" ht="15" hidden="false" customHeight="false" outlineLevel="0" collapsed="false">
      <c r="A532" s="6" t="s">
        <v>54</v>
      </c>
      <c r="B532" s="6" t="s">
        <v>43</v>
      </c>
      <c r="C532" s="6" t="s">
        <v>49</v>
      </c>
      <c r="D532" s="6" t="s">
        <v>117</v>
      </c>
      <c r="E532" s="6" t="n">
        <v>16</v>
      </c>
      <c r="F532" s="6" t="n">
        <v>10</v>
      </c>
      <c r="G532" s="6" t="s">
        <v>664</v>
      </c>
    </row>
    <row r="533" customFormat="false" ht="15" hidden="false" customHeight="false" outlineLevel="0" collapsed="false">
      <c r="A533" s="6" t="s">
        <v>54</v>
      </c>
      <c r="B533" s="6" t="s">
        <v>43</v>
      </c>
      <c r="C533" s="6" t="s">
        <v>49</v>
      </c>
      <c r="D533" s="6" t="s">
        <v>117</v>
      </c>
      <c r="E533" s="6" t="n">
        <v>16</v>
      </c>
      <c r="F533" s="6" t="n">
        <v>10</v>
      </c>
      <c r="G533" s="6" t="s">
        <v>665</v>
      </c>
    </row>
    <row r="534" customFormat="false" ht="15" hidden="false" customHeight="false" outlineLevel="0" collapsed="false">
      <c r="A534" s="6" t="s">
        <v>54</v>
      </c>
      <c r="B534" s="6" t="s">
        <v>43</v>
      </c>
      <c r="C534" s="6" t="s">
        <v>49</v>
      </c>
      <c r="D534" s="6" t="s">
        <v>117</v>
      </c>
      <c r="E534" s="6" t="n">
        <v>16</v>
      </c>
      <c r="F534" s="6" t="n">
        <v>10</v>
      </c>
      <c r="G534" s="6" t="s">
        <v>666</v>
      </c>
    </row>
    <row r="535" customFormat="false" ht="15" hidden="false" customHeight="false" outlineLevel="0" collapsed="false">
      <c r="A535" s="6" t="s">
        <v>54</v>
      </c>
      <c r="B535" s="6" t="s">
        <v>43</v>
      </c>
      <c r="C535" s="6" t="s">
        <v>49</v>
      </c>
      <c r="D535" s="6" t="s">
        <v>117</v>
      </c>
      <c r="E535" s="6" t="n">
        <v>16</v>
      </c>
      <c r="F535" s="6" t="n">
        <v>10</v>
      </c>
      <c r="G535" s="6" t="s">
        <v>667</v>
      </c>
    </row>
    <row r="536" customFormat="false" ht="15" hidden="false" customHeight="false" outlineLevel="0" collapsed="false">
      <c r="A536" s="6" t="s">
        <v>54</v>
      </c>
      <c r="B536" s="6" t="s">
        <v>43</v>
      </c>
      <c r="C536" s="6" t="s">
        <v>49</v>
      </c>
      <c r="D536" s="6" t="s">
        <v>117</v>
      </c>
      <c r="E536" s="6" t="n">
        <v>16</v>
      </c>
      <c r="F536" s="6" t="n">
        <v>10</v>
      </c>
      <c r="G536" s="6" t="s">
        <v>668</v>
      </c>
    </row>
    <row r="537" customFormat="false" ht="15" hidden="false" customHeight="false" outlineLevel="0" collapsed="false">
      <c r="A537" s="6" t="s">
        <v>54</v>
      </c>
      <c r="B537" s="6" t="s">
        <v>43</v>
      </c>
      <c r="C537" s="6" t="s">
        <v>49</v>
      </c>
      <c r="D537" s="6" t="s">
        <v>117</v>
      </c>
      <c r="E537" s="6" t="n">
        <v>16</v>
      </c>
      <c r="F537" s="6" t="n">
        <v>10</v>
      </c>
      <c r="G537" s="6" t="s">
        <v>669</v>
      </c>
    </row>
    <row r="538" customFormat="false" ht="15" hidden="false" customHeight="false" outlineLevel="0" collapsed="false">
      <c r="A538" s="6" t="s">
        <v>54</v>
      </c>
      <c r="B538" s="6" t="s">
        <v>43</v>
      </c>
      <c r="C538" s="6" t="s">
        <v>49</v>
      </c>
      <c r="D538" s="6" t="s">
        <v>117</v>
      </c>
      <c r="E538" s="6" t="n">
        <v>16</v>
      </c>
      <c r="F538" s="6" t="n">
        <v>10</v>
      </c>
      <c r="G538" s="6" t="s">
        <v>670</v>
      </c>
    </row>
    <row r="539" customFormat="false" ht="15" hidden="false" customHeight="false" outlineLevel="0" collapsed="false">
      <c r="A539" s="6" t="s">
        <v>54</v>
      </c>
      <c r="B539" s="6" t="s">
        <v>43</v>
      </c>
      <c r="C539" s="6" t="s">
        <v>49</v>
      </c>
      <c r="D539" s="6" t="s">
        <v>117</v>
      </c>
      <c r="E539" s="6" t="n">
        <v>16</v>
      </c>
      <c r="F539" s="6" t="n">
        <v>10</v>
      </c>
      <c r="G539" s="6" t="s">
        <v>671</v>
      </c>
    </row>
    <row r="540" customFormat="false" ht="15" hidden="false" customHeight="false" outlineLevel="0" collapsed="false">
      <c r="A540" s="6" t="s">
        <v>54</v>
      </c>
      <c r="B540" s="6" t="s">
        <v>43</v>
      </c>
      <c r="C540" s="6" t="s">
        <v>49</v>
      </c>
      <c r="D540" s="6" t="s">
        <v>117</v>
      </c>
      <c r="E540" s="6" t="n">
        <v>16</v>
      </c>
      <c r="F540" s="6" t="n">
        <v>10</v>
      </c>
      <c r="G540" s="6" t="s">
        <v>672</v>
      </c>
    </row>
    <row r="541" customFormat="false" ht="15" hidden="false" customHeight="false" outlineLevel="0" collapsed="false">
      <c r="A541" s="6" t="s">
        <v>54</v>
      </c>
      <c r="B541" s="6" t="s">
        <v>43</v>
      </c>
      <c r="C541" s="6" t="s">
        <v>49</v>
      </c>
      <c r="D541" s="6" t="s">
        <v>117</v>
      </c>
      <c r="E541" s="6" t="n">
        <v>16</v>
      </c>
      <c r="F541" s="6" t="n">
        <v>10</v>
      </c>
      <c r="G541" s="6" t="s">
        <v>673</v>
      </c>
    </row>
    <row r="542" customFormat="false" ht="15" hidden="false" customHeight="false" outlineLevel="0" collapsed="false">
      <c r="A542" s="6" t="s">
        <v>56</v>
      </c>
      <c r="B542" s="6" t="s">
        <v>43</v>
      </c>
      <c r="C542" s="6" t="s">
        <v>51</v>
      </c>
      <c r="D542" s="6" t="s">
        <v>118</v>
      </c>
      <c r="E542" s="6" t="n">
        <v>16</v>
      </c>
      <c r="F542" s="6" t="n">
        <v>1</v>
      </c>
      <c r="G542" s="6" t="s">
        <v>674</v>
      </c>
    </row>
    <row r="543" customFormat="false" ht="15" hidden="false" customHeight="false" outlineLevel="0" collapsed="false">
      <c r="A543" s="6" t="s">
        <v>56</v>
      </c>
      <c r="B543" s="6" t="s">
        <v>43</v>
      </c>
      <c r="C543" s="6" t="s">
        <v>51</v>
      </c>
      <c r="D543" s="6" t="s">
        <v>118</v>
      </c>
      <c r="E543" s="6" t="n">
        <v>16</v>
      </c>
      <c r="F543" s="6" t="n">
        <v>1</v>
      </c>
      <c r="G543" s="6" t="s">
        <v>675</v>
      </c>
    </row>
    <row r="544" customFormat="false" ht="15" hidden="false" customHeight="false" outlineLevel="0" collapsed="false">
      <c r="A544" s="6" t="s">
        <v>56</v>
      </c>
      <c r="B544" s="6" t="s">
        <v>43</v>
      </c>
      <c r="C544" s="6" t="s">
        <v>51</v>
      </c>
      <c r="D544" s="6" t="s">
        <v>118</v>
      </c>
      <c r="E544" s="6" t="n">
        <v>16</v>
      </c>
      <c r="F544" s="6" t="n">
        <v>1</v>
      </c>
      <c r="G544" s="6" t="s">
        <v>676</v>
      </c>
    </row>
    <row r="545" customFormat="false" ht="15" hidden="false" customHeight="false" outlineLevel="0" collapsed="false">
      <c r="A545" s="6" t="s">
        <v>56</v>
      </c>
      <c r="B545" s="6" t="s">
        <v>43</v>
      </c>
      <c r="C545" s="6" t="s">
        <v>51</v>
      </c>
      <c r="D545" s="6" t="s">
        <v>118</v>
      </c>
      <c r="E545" s="6" t="n">
        <v>16</v>
      </c>
      <c r="F545" s="6" t="n">
        <v>1</v>
      </c>
      <c r="G545" s="6" t="s">
        <v>677</v>
      </c>
    </row>
    <row r="546" customFormat="false" ht="15" hidden="false" customHeight="false" outlineLevel="0" collapsed="false">
      <c r="A546" s="6" t="s">
        <v>56</v>
      </c>
      <c r="B546" s="6" t="s">
        <v>43</v>
      </c>
      <c r="C546" s="6" t="s">
        <v>51</v>
      </c>
      <c r="D546" s="6" t="s">
        <v>118</v>
      </c>
      <c r="E546" s="6" t="n">
        <v>16</v>
      </c>
      <c r="F546" s="6" t="n">
        <v>1</v>
      </c>
      <c r="G546" s="6" t="s">
        <v>678</v>
      </c>
    </row>
    <row r="547" customFormat="false" ht="15" hidden="false" customHeight="false" outlineLevel="0" collapsed="false">
      <c r="A547" s="6" t="s">
        <v>56</v>
      </c>
      <c r="B547" s="6" t="s">
        <v>43</v>
      </c>
      <c r="C547" s="6" t="s">
        <v>51</v>
      </c>
      <c r="D547" s="6" t="s">
        <v>118</v>
      </c>
      <c r="E547" s="6" t="n">
        <v>16</v>
      </c>
      <c r="F547" s="6" t="n">
        <v>1</v>
      </c>
      <c r="G547" s="6" t="s">
        <v>679</v>
      </c>
    </row>
    <row r="548" customFormat="false" ht="15" hidden="false" customHeight="false" outlineLevel="0" collapsed="false">
      <c r="A548" s="6" t="s">
        <v>56</v>
      </c>
      <c r="B548" s="6" t="s">
        <v>43</v>
      </c>
      <c r="C548" s="6" t="s">
        <v>51</v>
      </c>
      <c r="D548" s="6" t="s">
        <v>118</v>
      </c>
      <c r="E548" s="6" t="n">
        <v>16</v>
      </c>
      <c r="F548" s="6" t="n">
        <v>1</v>
      </c>
      <c r="G548" s="6" t="s">
        <v>680</v>
      </c>
    </row>
    <row r="549" customFormat="false" ht="15" hidden="false" customHeight="false" outlineLevel="0" collapsed="false">
      <c r="A549" s="6" t="s">
        <v>56</v>
      </c>
      <c r="B549" s="6" t="s">
        <v>43</v>
      </c>
      <c r="C549" s="6" t="s">
        <v>51</v>
      </c>
      <c r="D549" s="6" t="s">
        <v>118</v>
      </c>
      <c r="E549" s="6" t="n">
        <v>16</v>
      </c>
      <c r="F549" s="6" t="n">
        <v>1</v>
      </c>
      <c r="G549" s="6" t="s">
        <v>681</v>
      </c>
    </row>
    <row r="550" customFormat="false" ht="15" hidden="false" customHeight="false" outlineLevel="0" collapsed="false">
      <c r="A550" s="6" t="s">
        <v>56</v>
      </c>
      <c r="B550" s="6" t="s">
        <v>43</v>
      </c>
      <c r="C550" s="6" t="s">
        <v>51</v>
      </c>
      <c r="D550" s="6" t="s">
        <v>118</v>
      </c>
      <c r="E550" s="6" t="n">
        <v>16</v>
      </c>
      <c r="F550" s="6" t="n">
        <v>1</v>
      </c>
      <c r="G550" s="6" t="s">
        <v>682</v>
      </c>
    </row>
    <row r="551" customFormat="false" ht="15" hidden="false" customHeight="false" outlineLevel="0" collapsed="false">
      <c r="A551" s="6" t="s">
        <v>56</v>
      </c>
      <c r="B551" s="6" t="s">
        <v>43</v>
      </c>
      <c r="C551" s="6" t="s">
        <v>51</v>
      </c>
      <c r="D551" s="6" t="s">
        <v>118</v>
      </c>
      <c r="E551" s="6" t="n">
        <v>16</v>
      </c>
      <c r="F551" s="6" t="n">
        <v>1</v>
      </c>
      <c r="G551" s="6" t="s">
        <v>683</v>
      </c>
    </row>
    <row r="552" customFormat="false" ht="15" hidden="false" customHeight="false" outlineLevel="0" collapsed="false">
      <c r="A552" s="6" t="s">
        <v>56</v>
      </c>
      <c r="B552" s="6" t="s">
        <v>43</v>
      </c>
      <c r="C552" s="6" t="s">
        <v>51</v>
      </c>
      <c r="D552" s="6" t="s">
        <v>118</v>
      </c>
      <c r="E552" s="6" t="n">
        <v>16</v>
      </c>
      <c r="F552" s="6" t="n">
        <v>1</v>
      </c>
      <c r="G552" s="6" t="s">
        <v>684</v>
      </c>
    </row>
    <row r="553" customFormat="false" ht="15" hidden="false" customHeight="false" outlineLevel="0" collapsed="false">
      <c r="A553" s="6" t="s">
        <v>56</v>
      </c>
      <c r="B553" s="6" t="s">
        <v>43</v>
      </c>
      <c r="C553" s="6" t="s">
        <v>51</v>
      </c>
      <c r="D553" s="6" t="s">
        <v>118</v>
      </c>
      <c r="E553" s="6" t="n">
        <v>16</v>
      </c>
      <c r="F553" s="6" t="n">
        <v>1</v>
      </c>
      <c r="G553" s="6" t="s">
        <v>685</v>
      </c>
    </row>
    <row r="554" customFormat="false" ht="15" hidden="false" customHeight="false" outlineLevel="0" collapsed="false">
      <c r="A554" s="6" t="s">
        <v>56</v>
      </c>
      <c r="B554" s="6" t="s">
        <v>43</v>
      </c>
      <c r="C554" s="6" t="s">
        <v>51</v>
      </c>
      <c r="D554" s="6" t="s">
        <v>118</v>
      </c>
      <c r="E554" s="6" t="n">
        <v>16</v>
      </c>
      <c r="F554" s="6" t="n">
        <v>1</v>
      </c>
      <c r="G554" s="6" t="s">
        <v>686</v>
      </c>
    </row>
    <row r="555" customFormat="false" ht="15" hidden="false" customHeight="false" outlineLevel="0" collapsed="false">
      <c r="A555" s="6" t="s">
        <v>56</v>
      </c>
      <c r="B555" s="6" t="s">
        <v>43</v>
      </c>
      <c r="C555" s="6" t="s">
        <v>51</v>
      </c>
      <c r="D555" s="6" t="s">
        <v>118</v>
      </c>
      <c r="E555" s="6" t="n">
        <v>16</v>
      </c>
      <c r="F555" s="6" t="n">
        <v>1</v>
      </c>
      <c r="G555" s="6" t="s">
        <v>687</v>
      </c>
    </row>
    <row r="556" customFormat="false" ht="15" hidden="false" customHeight="false" outlineLevel="0" collapsed="false">
      <c r="A556" s="6" t="s">
        <v>56</v>
      </c>
      <c r="B556" s="6" t="s">
        <v>43</v>
      </c>
      <c r="C556" s="6" t="s">
        <v>51</v>
      </c>
      <c r="D556" s="6" t="s">
        <v>118</v>
      </c>
      <c r="E556" s="6" t="n">
        <v>16</v>
      </c>
      <c r="F556" s="6" t="n">
        <v>1</v>
      </c>
      <c r="G556" s="6" t="s">
        <v>688</v>
      </c>
    </row>
    <row r="557" customFormat="false" ht="15" hidden="false" customHeight="false" outlineLevel="0" collapsed="false">
      <c r="A557" s="6" t="s">
        <v>56</v>
      </c>
      <c r="B557" s="6" t="s">
        <v>43</v>
      </c>
      <c r="C557" s="6" t="s">
        <v>51</v>
      </c>
      <c r="D557" s="6" t="s">
        <v>118</v>
      </c>
      <c r="E557" s="6" t="n">
        <v>16</v>
      </c>
      <c r="F557" s="6" t="n">
        <v>1</v>
      </c>
      <c r="G557" s="6" t="s">
        <v>689</v>
      </c>
    </row>
    <row r="558" customFormat="false" ht="15" hidden="false" customHeight="false" outlineLevel="0" collapsed="false">
      <c r="A558" s="6" t="s">
        <v>56</v>
      </c>
      <c r="B558" s="6" t="s">
        <v>43</v>
      </c>
      <c r="C558" s="6" t="s">
        <v>51</v>
      </c>
      <c r="D558" s="6" t="s">
        <v>118</v>
      </c>
      <c r="E558" s="6" t="n">
        <v>16</v>
      </c>
      <c r="F558" s="6" t="n">
        <v>2</v>
      </c>
      <c r="G558" s="6" t="s">
        <v>690</v>
      </c>
    </row>
    <row r="559" customFormat="false" ht="15" hidden="false" customHeight="false" outlineLevel="0" collapsed="false">
      <c r="A559" s="6" t="s">
        <v>56</v>
      </c>
      <c r="B559" s="6" t="s">
        <v>43</v>
      </c>
      <c r="C559" s="6" t="s">
        <v>51</v>
      </c>
      <c r="D559" s="6" t="s">
        <v>118</v>
      </c>
      <c r="E559" s="6" t="n">
        <v>16</v>
      </c>
      <c r="F559" s="6" t="n">
        <v>2</v>
      </c>
      <c r="G559" s="6" t="s">
        <v>691</v>
      </c>
    </row>
    <row r="560" customFormat="false" ht="15" hidden="false" customHeight="false" outlineLevel="0" collapsed="false">
      <c r="A560" s="6" t="s">
        <v>56</v>
      </c>
      <c r="B560" s="6" t="s">
        <v>43</v>
      </c>
      <c r="C560" s="6" t="s">
        <v>51</v>
      </c>
      <c r="D560" s="6" t="s">
        <v>118</v>
      </c>
      <c r="E560" s="6" t="n">
        <v>16</v>
      </c>
      <c r="F560" s="6" t="n">
        <v>2</v>
      </c>
      <c r="G560" s="6" t="s">
        <v>692</v>
      </c>
    </row>
    <row r="561" customFormat="false" ht="15" hidden="false" customHeight="false" outlineLevel="0" collapsed="false">
      <c r="A561" s="6" t="s">
        <v>56</v>
      </c>
      <c r="B561" s="6" t="s">
        <v>43</v>
      </c>
      <c r="C561" s="6" t="s">
        <v>51</v>
      </c>
      <c r="D561" s="6" t="s">
        <v>118</v>
      </c>
      <c r="E561" s="6" t="n">
        <v>16</v>
      </c>
      <c r="F561" s="6" t="n">
        <v>2</v>
      </c>
      <c r="G561" s="6" t="s">
        <v>693</v>
      </c>
    </row>
    <row r="562" customFormat="false" ht="15" hidden="false" customHeight="false" outlineLevel="0" collapsed="false">
      <c r="A562" s="6" t="s">
        <v>56</v>
      </c>
      <c r="B562" s="6" t="s">
        <v>43</v>
      </c>
      <c r="C562" s="6" t="s">
        <v>51</v>
      </c>
      <c r="D562" s="6" t="s">
        <v>118</v>
      </c>
      <c r="E562" s="6" t="n">
        <v>16</v>
      </c>
      <c r="F562" s="6" t="n">
        <v>2</v>
      </c>
      <c r="G562" s="6" t="s">
        <v>694</v>
      </c>
    </row>
    <row r="563" customFormat="false" ht="15" hidden="false" customHeight="false" outlineLevel="0" collapsed="false">
      <c r="A563" s="6" t="s">
        <v>56</v>
      </c>
      <c r="B563" s="6" t="s">
        <v>43</v>
      </c>
      <c r="C563" s="6" t="s">
        <v>51</v>
      </c>
      <c r="D563" s="6" t="s">
        <v>118</v>
      </c>
      <c r="E563" s="6" t="n">
        <v>16</v>
      </c>
      <c r="F563" s="6" t="n">
        <v>2</v>
      </c>
      <c r="G563" s="6" t="s">
        <v>695</v>
      </c>
    </row>
    <row r="564" customFormat="false" ht="15" hidden="false" customHeight="false" outlineLevel="0" collapsed="false">
      <c r="A564" s="6" t="s">
        <v>56</v>
      </c>
      <c r="B564" s="6" t="s">
        <v>43</v>
      </c>
      <c r="C564" s="6" t="s">
        <v>51</v>
      </c>
      <c r="D564" s="6" t="s">
        <v>118</v>
      </c>
      <c r="E564" s="6" t="n">
        <v>16</v>
      </c>
      <c r="F564" s="6" t="n">
        <v>2</v>
      </c>
      <c r="G564" s="6" t="s">
        <v>696</v>
      </c>
    </row>
    <row r="565" customFormat="false" ht="15" hidden="false" customHeight="false" outlineLevel="0" collapsed="false">
      <c r="A565" s="6" t="s">
        <v>56</v>
      </c>
      <c r="B565" s="6" t="s">
        <v>43</v>
      </c>
      <c r="C565" s="6" t="s">
        <v>51</v>
      </c>
      <c r="D565" s="6" t="s">
        <v>118</v>
      </c>
      <c r="E565" s="6" t="n">
        <v>16</v>
      </c>
      <c r="F565" s="6" t="n">
        <v>2</v>
      </c>
      <c r="G565" s="6" t="s">
        <v>697</v>
      </c>
    </row>
    <row r="566" customFormat="false" ht="15" hidden="false" customHeight="false" outlineLevel="0" collapsed="false">
      <c r="A566" s="6" t="s">
        <v>56</v>
      </c>
      <c r="B566" s="6" t="s">
        <v>43</v>
      </c>
      <c r="C566" s="6" t="s">
        <v>51</v>
      </c>
      <c r="D566" s="6" t="s">
        <v>118</v>
      </c>
      <c r="E566" s="6" t="n">
        <v>16</v>
      </c>
      <c r="F566" s="6" t="n">
        <v>2</v>
      </c>
      <c r="G566" s="6" t="s">
        <v>698</v>
      </c>
    </row>
    <row r="567" customFormat="false" ht="15" hidden="false" customHeight="false" outlineLevel="0" collapsed="false">
      <c r="A567" s="6" t="s">
        <v>56</v>
      </c>
      <c r="B567" s="6" t="s">
        <v>43</v>
      </c>
      <c r="C567" s="6" t="s">
        <v>51</v>
      </c>
      <c r="D567" s="6" t="s">
        <v>118</v>
      </c>
      <c r="E567" s="6" t="n">
        <v>16</v>
      </c>
      <c r="F567" s="6" t="n">
        <v>2</v>
      </c>
      <c r="G567" s="6" t="s">
        <v>699</v>
      </c>
    </row>
    <row r="568" customFormat="false" ht="15" hidden="false" customHeight="false" outlineLevel="0" collapsed="false">
      <c r="A568" s="6" t="s">
        <v>56</v>
      </c>
      <c r="B568" s="6" t="s">
        <v>43</v>
      </c>
      <c r="C568" s="6" t="s">
        <v>51</v>
      </c>
      <c r="D568" s="6" t="s">
        <v>118</v>
      </c>
      <c r="E568" s="6" t="n">
        <v>16</v>
      </c>
      <c r="F568" s="6" t="n">
        <v>2</v>
      </c>
      <c r="G568" s="6" t="s">
        <v>700</v>
      </c>
    </row>
    <row r="569" customFormat="false" ht="15" hidden="false" customHeight="false" outlineLevel="0" collapsed="false">
      <c r="A569" s="6" t="s">
        <v>56</v>
      </c>
      <c r="B569" s="6" t="s">
        <v>43</v>
      </c>
      <c r="C569" s="6" t="s">
        <v>51</v>
      </c>
      <c r="D569" s="6" t="s">
        <v>118</v>
      </c>
      <c r="E569" s="6" t="n">
        <v>16</v>
      </c>
      <c r="F569" s="6" t="n">
        <v>2</v>
      </c>
      <c r="G569" s="6" t="s">
        <v>701</v>
      </c>
    </row>
    <row r="570" customFormat="false" ht="15" hidden="false" customHeight="false" outlineLevel="0" collapsed="false">
      <c r="A570" s="6" t="s">
        <v>56</v>
      </c>
      <c r="B570" s="6" t="s">
        <v>43</v>
      </c>
      <c r="C570" s="6" t="s">
        <v>51</v>
      </c>
      <c r="D570" s="6" t="s">
        <v>118</v>
      </c>
      <c r="E570" s="6" t="n">
        <v>16</v>
      </c>
      <c r="F570" s="6" t="n">
        <v>2</v>
      </c>
      <c r="G570" s="6" t="s">
        <v>702</v>
      </c>
    </row>
    <row r="571" customFormat="false" ht="15" hidden="false" customHeight="false" outlineLevel="0" collapsed="false">
      <c r="A571" s="6" t="s">
        <v>56</v>
      </c>
      <c r="B571" s="6" t="s">
        <v>43</v>
      </c>
      <c r="C571" s="6" t="s">
        <v>51</v>
      </c>
      <c r="D571" s="6" t="s">
        <v>118</v>
      </c>
      <c r="E571" s="6" t="n">
        <v>16</v>
      </c>
      <c r="F571" s="6" t="n">
        <v>2</v>
      </c>
      <c r="G571" s="6" t="s">
        <v>703</v>
      </c>
    </row>
    <row r="572" customFormat="false" ht="15" hidden="false" customHeight="false" outlineLevel="0" collapsed="false">
      <c r="A572" s="6" t="s">
        <v>56</v>
      </c>
      <c r="B572" s="6" t="s">
        <v>43</v>
      </c>
      <c r="C572" s="6" t="s">
        <v>51</v>
      </c>
      <c r="D572" s="6" t="s">
        <v>118</v>
      </c>
      <c r="E572" s="6" t="n">
        <v>16</v>
      </c>
      <c r="F572" s="6" t="n">
        <v>2</v>
      </c>
      <c r="G572" s="6" t="s">
        <v>704</v>
      </c>
    </row>
    <row r="573" customFormat="false" ht="15" hidden="false" customHeight="false" outlineLevel="0" collapsed="false">
      <c r="A573" s="6" t="s">
        <v>56</v>
      </c>
      <c r="B573" s="6" t="s">
        <v>43</v>
      </c>
      <c r="C573" s="6" t="s">
        <v>51</v>
      </c>
      <c r="D573" s="6" t="s">
        <v>118</v>
      </c>
      <c r="E573" s="6" t="n">
        <v>16</v>
      </c>
      <c r="F573" s="6" t="n">
        <v>2</v>
      </c>
      <c r="G573" s="6" t="s">
        <v>705</v>
      </c>
    </row>
    <row r="574" customFormat="false" ht="15" hidden="false" customHeight="false" outlineLevel="0" collapsed="false">
      <c r="A574" s="6" t="s">
        <v>56</v>
      </c>
      <c r="B574" s="6" t="s">
        <v>43</v>
      </c>
      <c r="C574" s="6" t="s">
        <v>51</v>
      </c>
      <c r="D574" s="6" t="s">
        <v>118</v>
      </c>
      <c r="E574" s="6" t="n">
        <v>16</v>
      </c>
      <c r="F574" s="6" t="n">
        <v>3</v>
      </c>
      <c r="G574" s="6" t="s">
        <v>706</v>
      </c>
    </row>
    <row r="575" customFormat="false" ht="15" hidden="false" customHeight="false" outlineLevel="0" collapsed="false">
      <c r="A575" s="6" t="s">
        <v>56</v>
      </c>
      <c r="B575" s="6" t="s">
        <v>43</v>
      </c>
      <c r="C575" s="6" t="s">
        <v>51</v>
      </c>
      <c r="D575" s="6" t="s">
        <v>118</v>
      </c>
      <c r="E575" s="6" t="n">
        <v>16</v>
      </c>
      <c r="F575" s="6" t="n">
        <v>3</v>
      </c>
      <c r="G575" s="6" t="s">
        <v>707</v>
      </c>
    </row>
    <row r="576" customFormat="false" ht="15" hidden="false" customHeight="false" outlineLevel="0" collapsed="false">
      <c r="A576" s="6" t="s">
        <v>56</v>
      </c>
      <c r="B576" s="6" t="s">
        <v>43</v>
      </c>
      <c r="C576" s="6" t="s">
        <v>51</v>
      </c>
      <c r="D576" s="6" t="s">
        <v>118</v>
      </c>
      <c r="E576" s="6" t="n">
        <v>16</v>
      </c>
      <c r="F576" s="6" t="n">
        <v>3</v>
      </c>
      <c r="G576" s="6" t="s">
        <v>708</v>
      </c>
    </row>
    <row r="577" customFormat="false" ht="15" hidden="false" customHeight="false" outlineLevel="0" collapsed="false">
      <c r="A577" s="6" t="s">
        <v>56</v>
      </c>
      <c r="B577" s="6" t="s">
        <v>43</v>
      </c>
      <c r="C577" s="6" t="s">
        <v>51</v>
      </c>
      <c r="D577" s="6" t="s">
        <v>118</v>
      </c>
      <c r="E577" s="6" t="n">
        <v>16</v>
      </c>
      <c r="F577" s="6" t="n">
        <v>3</v>
      </c>
      <c r="G577" s="6" t="s">
        <v>709</v>
      </c>
    </row>
    <row r="578" customFormat="false" ht="15" hidden="false" customHeight="false" outlineLevel="0" collapsed="false">
      <c r="A578" s="6" t="s">
        <v>56</v>
      </c>
      <c r="B578" s="6" t="s">
        <v>43</v>
      </c>
      <c r="C578" s="6" t="s">
        <v>51</v>
      </c>
      <c r="D578" s="6" t="s">
        <v>118</v>
      </c>
      <c r="E578" s="6" t="n">
        <v>16</v>
      </c>
      <c r="F578" s="6" t="n">
        <v>3</v>
      </c>
      <c r="G578" s="6" t="s">
        <v>710</v>
      </c>
    </row>
    <row r="579" customFormat="false" ht="15" hidden="false" customHeight="false" outlineLevel="0" collapsed="false">
      <c r="A579" s="6" t="s">
        <v>56</v>
      </c>
      <c r="B579" s="6" t="s">
        <v>43</v>
      </c>
      <c r="C579" s="6" t="s">
        <v>51</v>
      </c>
      <c r="D579" s="6" t="s">
        <v>118</v>
      </c>
      <c r="E579" s="6" t="n">
        <v>16</v>
      </c>
      <c r="F579" s="6" t="n">
        <v>3</v>
      </c>
      <c r="G579" s="6" t="s">
        <v>711</v>
      </c>
    </row>
    <row r="580" customFormat="false" ht="15" hidden="false" customHeight="false" outlineLevel="0" collapsed="false">
      <c r="A580" s="6" t="s">
        <v>56</v>
      </c>
      <c r="B580" s="6" t="s">
        <v>43</v>
      </c>
      <c r="C580" s="6" t="s">
        <v>51</v>
      </c>
      <c r="D580" s="6" t="s">
        <v>118</v>
      </c>
      <c r="E580" s="6" t="n">
        <v>16</v>
      </c>
      <c r="F580" s="6" t="n">
        <v>3</v>
      </c>
      <c r="G580" s="6" t="s">
        <v>712</v>
      </c>
    </row>
    <row r="581" customFormat="false" ht="15" hidden="false" customHeight="false" outlineLevel="0" collapsed="false">
      <c r="A581" s="6" t="s">
        <v>56</v>
      </c>
      <c r="B581" s="6" t="s">
        <v>43</v>
      </c>
      <c r="C581" s="6" t="s">
        <v>51</v>
      </c>
      <c r="D581" s="6" t="s">
        <v>118</v>
      </c>
      <c r="E581" s="6" t="n">
        <v>16</v>
      </c>
      <c r="F581" s="6" t="n">
        <v>3</v>
      </c>
      <c r="G581" s="6" t="s">
        <v>713</v>
      </c>
    </row>
    <row r="582" customFormat="false" ht="15" hidden="false" customHeight="false" outlineLevel="0" collapsed="false">
      <c r="A582" s="6" t="s">
        <v>56</v>
      </c>
      <c r="B582" s="6" t="s">
        <v>43</v>
      </c>
      <c r="C582" s="6" t="s">
        <v>51</v>
      </c>
      <c r="D582" s="6" t="s">
        <v>118</v>
      </c>
      <c r="E582" s="6" t="n">
        <v>16</v>
      </c>
      <c r="F582" s="6" t="n">
        <v>3</v>
      </c>
      <c r="G582" s="6" t="s">
        <v>714</v>
      </c>
    </row>
    <row r="583" customFormat="false" ht="15" hidden="false" customHeight="false" outlineLevel="0" collapsed="false">
      <c r="A583" s="6" t="s">
        <v>56</v>
      </c>
      <c r="B583" s="6" t="s">
        <v>43</v>
      </c>
      <c r="C583" s="6" t="s">
        <v>51</v>
      </c>
      <c r="D583" s="6" t="s">
        <v>118</v>
      </c>
      <c r="E583" s="6" t="n">
        <v>16</v>
      </c>
      <c r="F583" s="6" t="n">
        <v>3</v>
      </c>
      <c r="G583" s="6" t="s">
        <v>715</v>
      </c>
    </row>
    <row r="584" customFormat="false" ht="15" hidden="false" customHeight="false" outlineLevel="0" collapsed="false">
      <c r="A584" s="6" t="s">
        <v>56</v>
      </c>
      <c r="B584" s="6" t="s">
        <v>43</v>
      </c>
      <c r="C584" s="6" t="s">
        <v>51</v>
      </c>
      <c r="D584" s="6" t="s">
        <v>118</v>
      </c>
      <c r="E584" s="6" t="n">
        <v>16</v>
      </c>
      <c r="F584" s="6" t="n">
        <v>3</v>
      </c>
      <c r="G584" s="6" t="s">
        <v>716</v>
      </c>
    </row>
    <row r="585" customFormat="false" ht="15" hidden="false" customHeight="false" outlineLevel="0" collapsed="false">
      <c r="A585" s="6" t="s">
        <v>56</v>
      </c>
      <c r="B585" s="6" t="s">
        <v>43</v>
      </c>
      <c r="C585" s="6" t="s">
        <v>51</v>
      </c>
      <c r="D585" s="6" t="s">
        <v>118</v>
      </c>
      <c r="E585" s="6" t="n">
        <v>16</v>
      </c>
      <c r="F585" s="6" t="n">
        <v>3</v>
      </c>
      <c r="G585" s="6" t="s">
        <v>717</v>
      </c>
    </row>
    <row r="586" customFormat="false" ht="15" hidden="false" customHeight="false" outlineLevel="0" collapsed="false">
      <c r="A586" s="6" t="s">
        <v>56</v>
      </c>
      <c r="B586" s="6" t="s">
        <v>43</v>
      </c>
      <c r="C586" s="6" t="s">
        <v>51</v>
      </c>
      <c r="D586" s="6" t="s">
        <v>118</v>
      </c>
      <c r="E586" s="6" t="n">
        <v>16</v>
      </c>
      <c r="F586" s="6" t="n">
        <v>3</v>
      </c>
      <c r="G586" s="6" t="s">
        <v>718</v>
      </c>
    </row>
    <row r="587" customFormat="false" ht="15" hidden="false" customHeight="false" outlineLevel="0" collapsed="false">
      <c r="A587" s="6" t="s">
        <v>56</v>
      </c>
      <c r="B587" s="6" t="s">
        <v>43</v>
      </c>
      <c r="C587" s="6" t="s">
        <v>51</v>
      </c>
      <c r="D587" s="6" t="s">
        <v>118</v>
      </c>
      <c r="E587" s="6" t="n">
        <v>16</v>
      </c>
      <c r="F587" s="6" t="n">
        <v>3</v>
      </c>
      <c r="G587" s="6" t="s">
        <v>719</v>
      </c>
    </row>
    <row r="588" customFormat="false" ht="15" hidden="false" customHeight="false" outlineLevel="0" collapsed="false">
      <c r="A588" s="6" t="s">
        <v>56</v>
      </c>
      <c r="B588" s="6" t="s">
        <v>43</v>
      </c>
      <c r="C588" s="6" t="s">
        <v>51</v>
      </c>
      <c r="D588" s="6" t="s">
        <v>118</v>
      </c>
      <c r="E588" s="6" t="n">
        <v>16</v>
      </c>
      <c r="F588" s="6" t="n">
        <v>3</v>
      </c>
      <c r="G588" s="6" t="s">
        <v>720</v>
      </c>
    </row>
    <row r="589" customFormat="false" ht="15" hidden="false" customHeight="false" outlineLevel="0" collapsed="false">
      <c r="A589" s="6" t="s">
        <v>56</v>
      </c>
      <c r="B589" s="6" t="s">
        <v>43</v>
      </c>
      <c r="C589" s="6" t="s">
        <v>51</v>
      </c>
      <c r="D589" s="6" t="s">
        <v>118</v>
      </c>
      <c r="E589" s="6" t="n">
        <v>16</v>
      </c>
      <c r="F589" s="6" t="n">
        <v>3</v>
      </c>
      <c r="G589" s="6" t="s">
        <v>721</v>
      </c>
    </row>
    <row r="590" customFormat="false" ht="15" hidden="false" customHeight="false" outlineLevel="0" collapsed="false">
      <c r="A590" s="6" t="s">
        <v>56</v>
      </c>
      <c r="B590" s="6" t="s">
        <v>43</v>
      </c>
      <c r="C590" s="6" t="s">
        <v>51</v>
      </c>
      <c r="D590" s="6" t="s">
        <v>118</v>
      </c>
      <c r="E590" s="6" t="n">
        <v>16</v>
      </c>
      <c r="F590" s="6" t="n">
        <v>4</v>
      </c>
      <c r="G590" s="6" t="s">
        <v>722</v>
      </c>
    </row>
    <row r="591" customFormat="false" ht="15" hidden="false" customHeight="false" outlineLevel="0" collapsed="false">
      <c r="A591" s="6" t="s">
        <v>56</v>
      </c>
      <c r="B591" s="6" t="s">
        <v>43</v>
      </c>
      <c r="C591" s="6" t="s">
        <v>51</v>
      </c>
      <c r="D591" s="6" t="s">
        <v>118</v>
      </c>
      <c r="E591" s="6" t="n">
        <v>16</v>
      </c>
      <c r="F591" s="6" t="n">
        <v>4</v>
      </c>
      <c r="G591" s="6" t="s">
        <v>723</v>
      </c>
    </row>
    <row r="592" customFormat="false" ht="15" hidden="false" customHeight="false" outlineLevel="0" collapsed="false">
      <c r="A592" s="6" t="s">
        <v>56</v>
      </c>
      <c r="B592" s="6" t="s">
        <v>43</v>
      </c>
      <c r="C592" s="6" t="s">
        <v>51</v>
      </c>
      <c r="D592" s="6" t="s">
        <v>118</v>
      </c>
      <c r="E592" s="6" t="n">
        <v>16</v>
      </c>
      <c r="F592" s="6" t="n">
        <v>4</v>
      </c>
      <c r="G592" s="6" t="s">
        <v>724</v>
      </c>
    </row>
    <row r="593" customFormat="false" ht="15" hidden="false" customHeight="false" outlineLevel="0" collapsed="false">
      <c r="A593" s="6" t="s">
        <v>56</v>
      </c>
      <c r="B593" s="6" t="s">
        <v>43</v>
      </c>
      <c r="C593" s="6" t="s">
        <v>51</v>
      </c>
      <c r="D593" s="6" t="s">
        <v>118</v>
      </c>
      <c r="E593" s="6" t="n">
        <v>16</v>
      </c>
      <c r="F593" s="6" t="n">
        <v>4</v>
      </c>
      <c r="G593" s="6" t="s">
        <v>725</v>
      </c>
    </row>
    <row r="594" customFormat="false" ht="15" hidden="false" customHeight="false" outlineLevel="0" collapsed="false">
      <c r="A594" s="6" t="s">
        <v>56</v>
      </c>
      <c r="B594" s="6" t="s">
        <v>43</v>
      </c>
      <c r="C594" s="6" t="s">
        <v>51</v>
      </c>
      <c r="D594" s="6" t="s">
        <v>118</v>
      </c>
      <c r="E594" s="6" t="n">
        <v>16</v>
      </c>
      <c r="F594" s="6" t="n">
        <v>4</v>
      </c>
      <c r="G594" s="6" t="s">
        <v>726</v>
      </c>
    </row>
    <row r="595" customFormat="false" ht="15" hidden="false" customHeight="false" outlineLevel="0" collapsed="false">
      <c r="A595" s="6" t="s">
        <v>56</v>
      </c>
      <c r="B595" s="6" t="s">
        <v>43</v>
      </c>
      <c r="C595" s="6" t="s">
        <v>51</v>
      </c>
      <c r="D595" s="6" t="s">
        <v>118</v>
      </c>
      <c r="E595" s="6" t="n">
        <v>16</v>
      </c>
      <c r="F595" s="6" t="n">
        <v>4</v>
      </c>
      <c r="G595" s="6" t="s">
        <v>727</v>
      </c>
    </row>
    <row r="596" customFormat="false" ht="15" hidden="false" customHeight="false" outlineLevel="0" collapsed="false">
      <c r="A596" s="6" t="s">
        <v>56</v>
      </c>
      <c r="B596" s="6" t="s">
        <v>43</v>
      </c>
      <c r="C596" s="6" t="s">
        <v>51</v>
      </c>
      <c r="D596" s="6" t="s">
        <v>118</v>
      </c>
      <c r="E596" s="6" t="n">
        <v>16</v>
      </c>
      <c r="F596" s="6" t="n">
        <v>4</v>
      </c>
      <c r="G596" s="6" t="s">
        <v>728</v>
      </c>
    </row>
    <row r="597" customFormat="false" ht="15" hidden="false" customHeight="false" outlineLevel="0" collapsed="false">
      <c r="A597" s="6" t="s">
        <v>56</v>
      </c>
      <c r="B597" s="6" t="s">
        <v>43</v>
      </c>
      <c r="C597" s="6" t="s">
        <v>51</v>
      </c>
      <c r="D597" s="6" t="s">
        <v>118</v>
      </c>
      <c r="E597" s="6" t="n">
        <v>16</v>
      </c>
      <c r="F597" s="6" t="n">
        <v>4</v>
      </c>
      <c r="G597" s="6" t="s">
        <v>729</v>
      </c>
    </row>
    <row r="598" customFormat="false" ht="15" hidden="false" customHeight="false" outlineLevel="0" collapsed="false">
      <c r="A598" s="6" t="s">
        <v>56</v>
      </c>
      <c r="B598" s="6" t="s">
        <v>43</v>
      </c>
      <c r="C598" s="6" t="s">
        <v>51</v>
      </c>
      <c r="D598" s="6" t="s">
        <v>118</v>
      </c>
      <c r="E598" s="6" t="n">
        <v>16</v>
      </c>
      <c r="F598" s="6" t="n">
        <v>4</v>
      </c>
      <c r="G598" s="6" t="s">
        <v>730</v>
      </c>
    </row>
    <row r="599" customFormat="false" ht="15" hidden="false" customHeight="false" outlineLevel="0" collapsed="false">
      <c r="A599" s="6" t="s">
        <v>56</v>
      </c>
      <c r="B599" s="6" t="s">
        <v>43</v>
      </c>
      <c r="C599" s="6" t="s">
        <v>51</v>
      </c>
      <c r="D599" s="6" t="s">
        <v>118</v>
      </c>
      <c r="E599" s="6" t="n">
        <v>16</v>
      </c>
      <c r="F599" s="6" t="n">
        <v>4</v>
      </c>
      <c r="G599" s="6" t="s">
        <v>731</v>
      </c>
    </row>
    <row r="600" customFormat="false" ht="15" hidden="false" customHeight="false" outlineLevel="0" collapsed="false">
      <c r="A600" s="6" t="s">
        <v>56</v>
      </c>
      <c r="B600" s="6" t="s">
        <v>43</v>
      </c>
      <c r="C600" s="6" t="s">
        <v>51</v>
      </c>
      <c r="D600" s="6" t="s">
        <v>118</v>
      </c>
      <c r="E600" s="6" t="n">
        <v>16</v>
      </c>
      <c r="F600" s="6" t="n">
        <v>4</v>
      </c>
      <c r="G600" s="6" t="s">
        <v>732</v>
      </c>
    </row>
    <row r="601" customFormat="false" ht="15" hidden="false" customHeight="false" outlineLevel="0" collapsed="false">
      <c r="A601" s="6" t="s">
        <v>56</v>
      </c>
      <c r="B601" s="6" t="s">
        <v>43</v>
      </c>
      <c r="C601" s="6" t="s">
        <v>51</v>
      </c>
      <c r="D601" s="6" t="s">
        <v>118</v>
      </c>
      <c r="E601" s="6" t="n">
        <v>16</v>
      </c>
      <c r="F601" s="6" t="n">
        <v>4</v>
      </c>
      <c r="G601" s="6" t="s">
        <v>733</v>
      </c>
    </row>
    <row r="602" customFormat="false" ht="15" hidden="false" customHeight="false" outlineLevel="0" collapsed="false">
      <c r="A602" s="6" t="s">
        <v>56</v>
      </c>
      <c r="B602" s="6" t="s">
        <v>43</v>
      </c>
      <c r="C602" s="6" t="s">
        <v>51</v>
      </c>
      <c r="D602" s="6" t="s">
        <v>118</v>
      </c>
      <c r="E602" s="6" t="n">
        <v>16</v>
      </c>
      <c r="F602" s="6" t="n">
        <v>4</v>
      </c>
      <c r="G602" s="6" t="s">
        <v>734</v>
      </c>
    </row>
    <row r="603" customFormat="false" ht="15" hidden="false" customHeight="false" outlineLevel="0" collapsed="false">
      <c r="A603" s="6" t="s">
        <v>56</v>
      </c>
      <c r="B603" s="6" t="s">
        <v>43</v>
      </c>
      <c r="C603" s="6" t="s">
        <v>51</v>
      </c>
      <c r="D603" s="6" t="s">
        <v>118</v>
      </c>
      <c r="E603" s="6" t="n">
        <v>16</v>
      </c>
      <c r="F603" s="6" t="n">
        <v>4</v>
      </c>
      <c r="G603" s="6" t="s">
        <v>735</v>
      </c>
    </row>
    <row r="604" customFormat="false" ht="15" hidden="false" customHeight="false" outlineLevel="0" collapsed="false">
      <c r="A604" s="6" t="s">
        <v>56</v>
      </c>
      <c r="B604" s="6" t="s">
        <v>43</v>
      </c>
      <c r="C604" s="6" t="s">
        <v>51</v>
      </c>
      <c r="D604" s="6" t="s">
        <v>118</v>
      </c>
      <c r="E604" s="6" t="n">
        <v>16</v>
      </c>
      <c r="F604" s="6" t="n">
        <v>4</v>
      </c>
      <c r="G604" s="6" t="s">
        <v>736</v>
      </c>
    </row>
    <row r="605" customFormat="false" ht="15" hidden="false" customHeight="false" outlineLevel="0" collapsed="false">
      <c r="A605" s="6" t="s">
        <v>56</v>
      </c>
      <c r="B605" s="6" t="s">
        <v>43</v>
      </c>
      <c r="C605" s="6" t="s">
        <v>51</v>
      </c>
      <c r="D605" s="6" t="s">
        <v>118</v>
      </c>
      <c r="E605" s="6" t="n">
        <v>16</v>
      </c>
      <c r="F605" s="6" t="n">
        <v>4</v>
      </c>
      <c r="G605" s="6" t="s">
        <v>737</v>
      </c>
    </row>
    <row r="606" customFormat="false" ht="15" hidden="false" customHeight="false" outlineLevel="0" collapsed="false">
      <c r="A606" s="6" t="s">
        <v>56</v>
      </c>
      <c r="B606" s="6" t="s">
        <v>43</v>
      </c>
      <c r="C606" s="6" t="s">
        <v>51</v>
      </c>
      <c r="D606" s="6" t="s">
        <v>118</v>
      </c>
      <c r="E606" s="6" t="n">
        <v>16</v>
      </c>
      <c r="F606" s="6" t="n">
        <v>5</v>
      </c>
      <c r="G606" s="6" t="s">
        <v>738</v>
      </c>
    </row>
    <row r="607" customFormat="false" ht="15" hidden="false" customHeight="false" outlineLevel="0" collapsed="false">
      <c r="A607" s="6" t="s">
        <v>56</v>
      </c>
      <c r="B607" s="6" t="s">
        <v>43</v>
      </c>
      <c r="C607" s="6" t="s">
        <v>51</v>
      </c>
      <c r="D607" s="6" t="s">
        <v>118</v>
      </c>
      <c r="E607" s="6" t="n">
        <v>16</v>
      </c>
      <c r="F607" s="6" t="n">
        <v>5</v>
      </c>
      <c r="G607" s="6" t="s">
        <v>739</v>
      </c>
    </row>
    <row r="608" customFormat="false" ht="15" hidden="false" customHeight="false" outlineLevel="0" collapsed="false">
      <c r="A608" s="6" t="s">
        <v>56</v>
      </c>
      <c r="B608" s="6" t="s">
        <v>43</v>
      </c>
      <c r="C608" s="6" t="s">
        <v>51</v>
      </c>
      <c r="D608" s="6" t="s">
        <v>118</v>
      </c>
      <c r="E608" s="6" t="n">
        <v>16</v>
      </c>
      <c r="F608" s="6" t="n">
        <v>5</v>
      </c>
      <c r="G608" s="6" t="s">
        <v>740</v>
      </c>
    </row>
    <row r="609" customFormat="false" ht="15" hidden="false" customHeight="false" outlineLevel="0" collapsed="false">
      <c r="A609" s="6" t="s">
        <v>56</v>
      </c>
      <c r="B609" s="6" t="s">
        <v>43</v>
      </c>
      <c r="C609" s="6" t="s">
        <v>51</v>
      </c>
      <c r="D609" s="6" t="s">
        <v>118</v>
      </c>
      <c r="E609" s="6" t="n">
        <v>16</v>
      </c>
      <c r="F609" s="6" t="n">
        <v>5</v>
      </c>
      <c r="G609" s="6" t="s">
        <v>741</v>
      </c>
    </row>
    <row r="610" customFormat="false" ht="15" hidden="false" customHeight="false" outlineLevel="0" collapsed="false">
      <c r="A610" s="6" t="s">
        <v>56</v>
      </c>
      <c r="B610" s="6" t="s">
        <v>43</v>
      </c>
      <c r="C610" s="6" t="s">
        <v>51</v>
      </c>
      <c r="D610" s="6" t="s">
        <v>118</v>
      </c>
      <c r="E610" s="6" t="n">
        <v>16</v>
      </c>
      <c r="F610" s="6" t="n">
        <v>5</v>
      </c>
      <c r="G610" s="6" t="s">
        <v>742</v>
      </c>
    </row>
    <row r="611" customFormat="false" ht="15" hidden="false" customHeight="false" outlineLevel="0" collapsed="false">
      <c r="A611" s="6" t="s">
        <v>56</v>
      </c>
      <c r="B611" s="6" t="s">
        <v>43</v>
      </c>
      <c r="C611" s="6" t="s">
        <v>51</v>
      </c>
      <c r="D611" s="6" t="s">
        <v>118</v>
      </c>
      <c r="E611" s="6" t="n">
        <v>16</v>
      </c>
      <c r="F611" s="6" t="n">
        <v>5</v>
      </c>
      <c r="G611" s="6" t="s">
        <v>743</v>
      </c>
    </row>
    <row r="612" customFormat="false" ht="15" hidden="false" customHeight="false" outlineLevel="0" collapsed="false">
      <c r="A612" s="6" t="s">
        <v>56</v>
      </c>
      <c r="B612" s="6" t="s">
        <v>43</v>
      </c>
      <c r="C612" s="6" t="s">
        <v>51</v>
      </c>
      <c r="D612" s="6" t="s">
        <v>118</v>
      </c>
      <c r="E612" s="6" t="n">
        <v>16</v>
      </c>
      <c r="F612" s="6" t="n">
        <v>5</v>
      </c>
      <c r="G612" s="6" t="s">
        <v>744</v>
      </c>
    </row>
    <row r="613" customFormat="false" ht="15" hidden="false" customHeight="false" outlineLevel="0" collapsed="false">
      <c r="A613" s="6" t="s">
        <v>56</v>
      </c>
      <c r="B613" s="6" t="s">
        <v>43</v>
      </c>
      <c r="C613" s="6" t="s">
        <v>51</v>
      </c>
      <c r="D613" s="6" t="s">
        <v>118</v>
      </c>
      <c r="E613" s="6" t="n">
        <v>16</v>
      </c>
      <c r="F613" s="6" t="n">
        <v>5</v>
      </c>
      <c r="G613" s="6" t="s">
        <v>745</v>
      </c>
    </row>
    <row r="614" customFormat="false" ht="15" hidden="false" customHeight="false" outlineLevel="0" collapsed="false">
      <c r="A614" s="6" t="s">
        <v>56</v>
      </c>
      <c r="B614" s="6" t="s">
        <v>43</v>
      </c>
      <c r="C614" s="6" t="s">
        <v>51</v>
      </c>
      <c r="D614" s="6" t="s">
        <v>118</v>
      </c>
      <c r="E614" s="6" t="n">
        <v>16</v>
      </c>
      <c r="F614" s="6" t="n">
        <v>5</v>
      </c>
      <c r="G614" s="6" t="s">
        <v>746</v>
      </c>
    </row>
    <row r="615" customFormat="false" ht="15" hidden="false" customHeight="false" outlineLevel="0" collapsed="false">
      <c r="A615" s="6" t="s">
        <v>56</v>
      </c>
      <c r="B615" s="6" t="s">
        <v>43</v>
      </c>
      <c r="C615" s="6" t="s">
        <v>51</v>
      </c>
      <c r="D615" s="6" t="s">
        <v>118</v>
      </c>
      <c r="E615" s="6" t="n">
        <v>16</v>
      </c>
      <c r="F615" s="6" t="n">
        <v>5</v>
      </c>
      <c r="G615" s="6" t="s">
        <v>747</v>
      </c>
    </row>
    <row r="616" customFormat="false" ht="15" hidden="false" customHeight="false" outlineLevel="0" collapsed="false">
      <c r="A616" s="6" t="s">
        <v>56</v>
      </c>
      <c r="B616" s="6" t="s">
        <v>43</v>
      </c>
      <c r="C616" s="6" t="s">
        <v>51</v>
      </c>
      <c r="D616" s="6" t="s">
        <v>118</v>
      </c>
      <c r="E616" s="6" t="n">
        <v>16</v>
      </c>
      <c r="F616" s="6" t="n">
        <v>5</v>
      </c>
      <c r="G616" s="6" t="s">
        <v>748</v>
      </c>
    </row>
    <row r="617" customFormat="false" ht="15" hidden="false" customHeight="false" outlineLevel="0" collapsed="false">
      <c r="A617" s="6" t="s">
        <v>56</v>
      </c>
      <c r="B617" s="6" t="s">
        <v>43</v>
      </c>
      <c r="C617" s="6" t="s">
        <v>51</v>
      </c>
      <c r="D617" s="6" t="s">
        <v>118</v>
      </c>
      <c r="E617" s="6" t="n">
        <v>16</v>
      </c>
      <c r="F617" s="6" t="n">
        <v>5</v>
      </c>
      <c r="G617" s="6" t="s">
        <v>749</v>
      </c>
    </row>
    <row r="618" customFormat="false" ht="15" hidden="false" customHeight="false" outlineLevel="0" collapsed="false">
      <c r="A618" s="6" t="s">
        <v>56</v>
      </c>
      <c r="B618" s="6" t="s">
        <v>43</v>
      </c>
      <c r="C618" s="6" t="s">
        <v>51</v>
      </c>
      <c r="D618" s="6" t="s">
        <v>118</v>
      </c>
      <c r="E618" s="6" t="n">
        <v>16</v>
      </c>
      <c r="F618" s="6" t="n">
        <v>5</v>
      </c>
      <c r="G618" s="6" t="s">
        <v>750</v>
      </c>
    </row>
    <row r="619" customFormat="false" ht="15" hidden="false" customHeight="false" outlineLevel="0" collapsed="false">
      <c r="A619" s="6" t="s">
        <v>56</v>
      </c>
      <c r="B619" s="6" t="s">
        <v>43</v>
      </c>
      <c r="C619" s="6" t="s">
        <v>51</v>
      </c>
      <c r="D619" s="6" t="s">
        <v>118</v>
      </c>
      <c r="E619" s="6" t="n">
        <v>16</v>
      </c>
      <c r="F619" s="6" t="n">
        <v>5</v>
      </c>
      <c r="G619" s="6" t="s">
        <v>751</v>
      </c>
    </row>
    <row r="620" customFormat="false" ht="15" hidden="false" customHeight="false" outlineLevel="0" collapsed="false">
      <c r="A620" s="6" t="s">
        <v>56</v>
      </c>
      <c r="B620" s="6" t="s">
        <v>43</v>
      </c>
      <c r="C620" s="6" t="s">
        <v>51</v>
      </c>
      <c r="D620" s="6" t="s">
        <v>118</v>
      </c>
      <c r="E620" s="6" t="n">
        <v>16</v>
      </c>
      <c r="F620" s="6" t="n">
        <v>5</v>
      </c>
      <c r="G620" s="6" t="s">
        <v>752</v>
      </c>
    </row>
    <row r="621" customFormat="false" ht="15" hidden="false" customHeight="false" outlineLevel="0" collapsed="false">
      <c r="A621" s="6" t="s">
        <v>56</v>
      </c>
      <c r="B621" s="6" t="s">
        <v>43</v>
      </c>
      <c r="C621" s="6" t="s">
        <v>51</v>
      </c>
      <c r="D621" s="6" t="s">
        <v>118</v>
      </c>
      <c r="E621" s="6" t="n">
        <v>16</v>
      </c>
      <c r="F621" s="6" t="n">
        <v>5</v>
      </c>
      <c r="G621" s="6" t="s">
        <v>753</v>
      </c>
    </row>
    <row r="622" customFormat="false" ht="15" hidden="false" customHeight="false" outlineLevel="0" collapsed="false">
      <c r="A622" s="6" t="s">
        <v>56</v>
      </c>
      <c r="B622" s="6" t="s">
        <v>43</v>
      </c>
      <c r="C622" s="6" t="s">
        <v>51</v>
      </c>
      <c r="D622" s="6" t="s">
        <v>118</v>
      </c>
      <c r="E622" s="6" t="n">
        <v>16</v>
      </c>
      <c r="F622" s="6" t="n">
        <v>6</v>
      </c>
      <c r="G622" s="6" t="s">
        <v>754</v>
      </c>
    </row>
    <row r="623" customFormat="false" ht="15" hidden="false" customHeight="false" outlineLevel="0" collapsed="false">
      <c r="A623" s="6" t="s">
        <v>56</v>
      </c>
      <c r="B623" s="6" t="s">
        <v>43</v>
      </c>
      <c r="C623" s="6" t="s">
        <v>51</v>
      </c>
      <c r="D623" s="6" t="s">
        <v>118</v>
      </c>
      <c r="E623" s="6" t="n">
        <v>16</v>
      </c>
      <c r="F623" s="6" t="n">
        <v>6</v>
      </c>
      <c r="G623" s="6" t="s">
        <v>755</v>
      </c>
    </row>
    <row r="624" customFormat="false" ht="15" hidden="false" customHeight="false" outlineLevel="0" collapsed="false">
      <c r="A624" s="6" t="s">
        <v>56</v>
      </c>
      <c r="B624" s="6" t="s">
        <v>43</v>
      </c>
      <c r="C624" s="6" t="s">
        <v>51</v>
      </c>
      <c r="D624" s="6" t="s">
        <v>118</v>
      </c>
      <c r="E624" s="6" t="n">
        <v>16</v>
      </c>
      <c r="F624" s="6" t="n">
        <v>6</v>
      </c>
      <c r="G624" s="6" t="s">
        <v>756</v>
      </c>
    </row>
    <row r="625" customFormat="false" ht="15" hidden="false" customHeight="false" outlineLevel="0" collapsed="false">
      <c r="A625" s="6" t="s">
        <v>56</v>
      </c>
      <c r="B625" s="6" t="s">
        <v>43</v>
      </c>
      <c r="C625" s="6" t="s">
        <v>51</v>
      </c>
      <c r="D625" s="6" t="s">
        <v>118</v>
      </c>
      <c r="E625" s="6" t="n">
        <v>16</v>
      </c>
      <c r="F625" s="6" t="n">
        <v>6</v>
      </c>
      <c r="G625" s="6" t="s">
        <v>757</v>
      </c>
    </row>
    <row r="626" customFormat="false" ht="15" hidden="false" customHeight="false" outlineLevel="0" collapsed="false">
      <c r="A626" s="6" t="s">
        <v>56</v>
      </c>
      <c r="B626" s="6" t="s">
        <v>43</v>
      </c>
      <c r="C626" s="6" t="s">
        <v>51</v>
      </c>
      <c r="D626" s="6" t="s">
        <v>118</v>
      </c>
      <c r="E626" s="6" t="n">
        <v>16</v>
      </c>
      <c r="F626" s="6" t="n">
        <v>6</v>
      </c>
      <c r="G626" s="6" t="s">
        <v>758</v>
      </c>
    </row>
    <row r="627" customFormat="false" ht="15" hidden="false" customHeight="false" outlineLevel="0" collapsed="false">
      <c r="A627" s="6" t="s">
        <v>56</v>
      </c>
      <c r="B627" s="6" t="s">
        <v>43</v>
      </c>
      <c r="C627" s="6" t="s">
        <v>51</v>
      </c>
      <c r="D627" s="6" t="s">
        <v>118</v>
      </c>
      <c r="E627" s="6" t="n">
        <v>16</v>
      </c>
      <c r="F627" s="6" t="n">
        <v>6</v>
      </c>
      <c r="G627" s="6" t="s">
        <v>759</v>
      </c>
    </row>
    <row r="628" customFormat="false" ht="15" hidden="false" customHeight="false" outlineLevel="0" collapsed="false">
      <c r="A628" s="6" t="s">
        <v>56</v>
      </c>
      <c r="B628" s="6" t="s">
        <v>43</v>
      </c>
      <c r="C628" s="6" t="s">
        <v>51</v>
      </c>
      <c r="D628" s="6" t="s">
        <v>118</v>
      </c>
      <c r="E628" s="6" t="n">
        <v>16</v>
      </c>
      <c r="F628" s="6" t="n">
        <v>6</v>
      </c>
      <c r="G628" s="6" t="s">
        <v>760</v>
      </c>
    </row>
    <row r="629" customFormat="false" ht="15" hidden="false" customHeight="false" outlineLevel="0" collapsed="false">
      <c r="A629" s="6" t="s">
        <v>56</v>
      </c>
      <c r="B629" s="6" t="s">
        <v>43</v>
      </c>
      <c r="C629" s="6" t="s">
        <v>51</v>
      </c>
      <c r="D629" s="6" t="s">
        <v>118</v>
      </c>
      <c r="E629" s="6" t="n">
        <v>16</v>
      </c>
      <c r="F629" s="6" t="n">
        <v>6</v>
      </c>
      <c r="G629" s="6" t="s">
        <v>761</v>
      </c>
    </row>
    <row r="630" customFormat="false" ht="15" hidden="false" customHeight="false" outlineLevel="0" collapsed="false">
      <c r="A630" s="6" t="s">
        <v>56</v>
      </c>
      <c r="B630" s="6" t="s">
        <v>43</v>
      </c>
      <c r="C630" s="6" t="s">
        <v>51</v>
      </c>
      <c r="D630" s="6" t="s">
        <v>118</v>
      </c>
      <c r="E630" s="6" t="n">
        <v>16</v>
      </c>
      <c r="F630" s="6" t="n">
        <v>6</v>
      </c>
      <c r="G630" s="6" t="s">
        <v>762</v>
      </c>
    </row>
    <row r="631" customFormat="false" ht="15" hidden="false" customHeight="false" outlineLevel="0" collapsed="false">
      <c r="A631" s="6" t="s">
        <v>56</v>
      </c>
      <c r="B631" s="6" t="s">
        <v>43</v>
      </c>
      <c r="C631" s="6" t="s">
        <v>51</v>
      </c>
      <c r="D631" s="6" t="s">
        <v>118</v>
      </c>
      <c r="E631" s="6" t="n">
        <v>16</v>
      </c>
      <c r="F631" s="6" t="n">
        <v>6</v>
      </c>
      <c r="G631" s="6" t="s">
        <v>763</v>
      </c>
    </row>
    <row r="632" customFormat="false" ht="15" hidden="false" customHeight="false" outlineLevel="0" collapsed="false">
      <c r="A632" s="6" t="s">
        <v>56</v>
      </c>
      <c r="B632" s="6" t="s">
        <v>43</v>
      </c>
      <c r="C632" s="6" t="s">
        <v>51</v>
      </c>
      <c r="D632" s="6" t="s">
        <v>118</v>
      </c>
      <c r="E632" s="6" t="n">
        <v>16</v>
      </c>
      <c r="F632" s="6" t="n">
        <v>6</v>
      </c>
      <c r="G632" s="6" t="s">
        <v>764</v>
      </c>
    </row>
    <row r="633" customFormat="false" ht="15" hidden="false" customHeight="false" outlineLevel="0" collapsed="false">
      <c r="A633" s="6" t="s">
        <v>56</v>
      </c>
      <c r="B633" s="6" t="s">
        <v>43</v>
      </c>
      <c r="C633" s="6" t="s">
        <v>51</v>
      </c>
      <c r="D633" s="6" t="s">
        <v>118</v>
      </c>
      <c r="E633" s="6" t="n">
        <v>16</v>
      </c>
      <c r="F633" s="6" t="n">
        <v>6</v>
      </c>
      <c r="G633" s="6" t="s">
        <v>765</v>
      </c>
    </row>
    <row r="634" customFormat="false" ht="15" hidden="false" customHeight="false" outlineLevel="0" collapsed="false">
      <c r="A634" s="6" t="s">
        <v>56</v>
      </c>
      <c r="B634" s="6" t="s">
        <v>43</v>
      </c>
      <c r="C634" s="6" t="s">
        <v>51</v>
      </c>
      <c r="D634" s="6" t="s">
        <v>118</v>
      </c>
      <c r="E634" s="6" t="n">
        <v>16</v>
      </c>
      <c r="F634" s="6" t="n">
        <v>6</v>
      </c>
      <c r="G634" s="6" t="s">
        <v>766</v>
      </c>
    </row>
    <row r="635" customFormat="false" ht="15" hidden="false" customHeight="false" outlineLevel="0" collapsed="false">
      <c r="A635" s="6" t="s">
        <v>56</v>
      </c>
      <c r="B635" s="6" t="s">
        <v>43</v>
      </c>
      <c r="C635" s="6" t="s">
        <v>51</v>
      </c>
      <c r="D635" s="6" t="s">
        <v>118</v>
      </c>
      <c r="E635" s="6" t="n">
        <v>16</v>
      </c>
      <c r="F635" s="6" t="n">
        <v>6</v>
      </c>
      <c r="G635" s="6" t="s">
        <v>767</v>
      </c>
    </row>
    <row r="636" customFormat="false" ht="15" hidden="false" customHeight="false" outlineLevel="0" collapsed="false">
      <c r="A636" s="6" t="s">
        <v>56</v>
      </c>
      <c r="B636" s="6" t="s">
        <v>43</v>
      </c>
      <c r="C636" s="6" t="s">
        <v>51</v>
      </c>
      <c r="D636" s="6" t="s">
        <v>118</v>
      </c>
      <c r="E636" s="6" t="n">
        <v>16</v>
      </c>
      <c r="F636" s="6" t="n">
        <v>6</v>
      </c>
      <c r="G636" s="6" t="s">
        <v>768</v>
      </c>
    </row>
    <row r="637" customFormat="false" ht="15" hidden="false" customHeight="false" outlineLevel="0" collapsed="false">
      <c r="A637" s="6" t="s">
        <v>56</v>
      </c>
      <c r="B637" s="6" t="s">
        <v>43</v>
      </c>
      <c r="C637" s="6" t="s">
        <v>51</v>
      </c>
      <c r="D637" s="6" t="s">
        <v>118</v>
      </c>
      <c r="E637" s="6" t="n">
        <v>16</v>
      </c>
      <c r="F637" s="6" t="n">
        <v>6</v>
      </c>
      <c r="G637" s="6" t="s">
        <v>769</v>
      </c>
    </row>
    <row r="638" customFormat="false" ht="15" hidden="false" customHeight="false" outlineLevel="0" collapsed="false">
      <c r="A638" s="6" t="s">
        <v>56</v>
      </c>
      <c r="B638" s="6" t="s">
        <v>43</v>
      </c>
      <c r="C638" s="6" t="s">
        <v>51</v>
      </c>
      <c r="D638" s="6" t="s">
        <v>118</v>
      </c>
      <c r="E638" s="6" t="n">
        <v>16</v>
      </c>
      <c r="F638" s="6" t="n">
        <v>7</v>
      </c>
      <c r="G638" s="6" t="s">
        <v>770</v>
      </c>
    </row>
    <row r="639" customFormat="false" ht="15" hidden="false" customHeight="false" outlineLevel="0" collapsed="false">
      <c r="A639" s="6" t="s">
        <v>56</v>
      </c>
      <c r="B639" s="6" t="s">
        <v>43</v>
      </c>
      <c r="C639" s="6" t="s">
        <v>51</v>
      </c>
      <c r="D639" s="6" t="s">
        <v>118</v>
      </c>
      <c r="E639" s="6" t="n">
        <v>16</v>
      </c>
      <c r="F639" s="6" t="n">
        <v>7</v>
      </c>
      <c r="G639" s="6" t="s">
        <v>771</v>
      </c>
    </row>
    <row r="640" customFormat="false" ht="15" hidden="false" customHeight="false" outlineLevel="0" collapsed="false">
      <c r="A640" s="6" t="s">
        <v>56</v>
      </c>
      <c r="B640" s="6" t="s">
        <v>43</v>
      </c>
      <c r="C640" s="6" t="s">
        <v>51</v>
      </c>
      <c r="D640" s="6" t="s">
        <v>118</v>
      </c>
      <c r="E640" s="6" t="n">
        <v>16</v>
      </c>
      <c r="F640" s="6" t="n">
        <v>7</v>
      </c>
      <c r="G640" s="6" t="s">
        <v>772</v>
      </c>
    </row>
    <row r="641" customFormat="false" ht="15" hidden="false" customHeight="false" outlineLevel="0" collapsed="false">
      <c r="A641" s="6" t="s">
        <v>56</v>
      </c>
      <c r="B641" s="6" t="s">
        <v>43</v>
      </c>
      <c r="C641" s="6" t="s">
        <v>51</v>
      </c>
      <c r="D641" s="6" t="s">
        <v>118</v>
      </c>
      <c r="E641" s="6" t="n">
        <v>16</v>
      </c>
      <c r="F641" s="6" t="n">
        <v>7</v>
      </c>
      <c r="G641" s="6" t="s">
        <v>773</v>
      </c>
    </row>
    <row r="642" customFormat="false" ht="15" hidden="false" customHeight="false" outlineLevel="0" collapsed="false">
      <c r="A642" s="6" t="s">
        <v>56</v>
      </c>
      <c r="B642" s="6" t="s">
        <v>43</v>
      </c>
      <c r="C642" s="6" t="s">
        <v>51</v>
      </c>
      <c r="D642" s="6" t="s">
        <v>118</v>
      </c>
      <c r="E642" s="6" t="n">
        <v>16</v>
      </c>
      <c r="F642" s="6" t="n">
        <v>7</v>
      </c>
      <c r="G642" s="6" t="s">
        <v>774</v>
      </c>
    </row>
    <row r="643" customFormat="false" ht="15" hidden="false" customHeight="false" outlineLevel="0" collapsed="false">
      <c r="A643" s="6" t="s">
        <v>56</v>
      </c>
      <c r="B643" s="6" t="s">
        <v>43</v>
      </c>
      <c r="C643" s="6" t="s">
        <v>51</v>
      </c>
      <c r="D643" s="6" t="s">
        <v>118</v>
      </c>
      <c r="E643" s="6" t="n">
        <v>16</v>
      </c>
      <c r="F643" s="6" t="n">
        <v>7</v>
      </c>
      <c r="G643" s="6" t="s">
        <v>775</v>
      </c>
    </row>
    <row r="644" customFormat="false" ht="15" hidden="false" customHeight="false" outlineLevel="0" collapsed="false">
      <c r="A644" s="6" t="s">
        <v>56</v>
      </c>
      <c r="B644" s="6" t="s">
        <v>43</v>
      </c>
      <c r="C644" s="6" t="s">
        <v>51</v>
      </c>
      <c r="D644" s="6" t="s">
        <v>118</v>
      </c>
      <c r="E644" s="6" t="n">
        <v>16</v>
      </c>
      <c r="F644" s="6" t="n">
        <v>7</v>
      </c>
      <c r="G644" s="6" t="s">
        <v>776</v>
      </c>
    </row>
    <row r="645" customFormat="false" ht="15" hidden="false" customHeight="false" outlineLevel="0" collapsed="false">
      <c r="A645" s="6" t="s">
        <v>56</v>
      </c>
      <c r="B645" s="6" t="s">
        <v>43</v>
      </c>
      <c r="C645" s="6" t="s">
        <v>51</v>
      </c>
      <c r="D645" s="6" t="s">
        <v>118</v>
      </c>
      <c r="E645" s="6" t="n">
        <v>16</v>
      </c>
      <c r="F645" s="6" t="n">
        <v>7</v>
      </c>
      <c r="G645" s="6" t="s">
        <v>777</v>
      </c>
    </row>
    <row r="646" customFormat="false" ht="15" hidden="false" customHeight="false" outlineLevel="0" collapsed="false">
      <c r="A646" s="6" t="s">
        <v>56</v>
      </c>
      <c r="B646" s="6" t="s">
        <v>43</v>
      </c>
      <c r="C646" s="6" t="s">
        <v>51</v>
      </c>
      <c r="D646" s="6" t="s">
        <v>118</v>
      </c>
      <c r="E646" s="6" t="n">
        <v>16</v>
      </c>
      <c r="F646" s="6" t="n">
        <v>7</v>
      </c>
      <c r="G646" s="6" t="s">
        <v>778</v>
      </c>
    </row>
    <row r="647" customFormat="false" ht="15" hidden="false" customHeight="false" outlineLevel="0" collapsed="false">
      <c r="A647" s="6" t="s">
        <v>56</v>
      </c>
      <c r="B647" s="6" t="s">
        <v>43</v>
      </c>
      <c r="C647" s="6" t="s">
        <v>51</v>
      </c>
      <c r="D647" s="6" t="s">
        <v>118</v>
      </c>
      <c r="E647" s="6" t="n">
        <v>16</v>
      </c>
      <c r="F647" s="6" t="n">
        <v>7</v>
      </c>
      <c r="G647" s="6" t="s">
        <v>779</v>
      </c>
    </row>
    <row r="648" customFormat="false" ht="15" hidden="false" customHeight="false" outlineLevel="0" collapsed="false">
      <c r="A648" s="6" t="s">
        <v>56</v>
      </c>
      <c r="B648" s="6" t="s">
        <v>43</v>
      </c>
      <c r="C648" s="6" t="s">
        <v>51</v>
      </c>
      <c r="D648" s="6" t="s">
        <v>118</v>
      </c>
      <c r="E648" s="6" t="n">
        <v>16</v>
      </c>
      <c r="F648" s="6" t="n">
        <v>7</v>
      </c>
      <c r="G648" s="6" t="s">
        <v>780</v>
      </c>
    </row>
    <row r="649" customFormat="false" ht="15" hidden="false" customHeight="false" outlineLevel="0" collapsed="false">
      <c r="A649" s="6" t="s">
        <v>56</v>
      </c>
      <c r="B649" s="6" t="s">
        <v>43</v>
      </c>
      <c r="C649" s="6" t="s">
        <v>51</v>
      </c>
      <c r="D649" s="6" t="s">
        <v>118</v>
      </c>
      <c r="E649" s="6" t="n">
        <v>16</v>
      </c>
      <c r="F649" s="6" t="n">
        <v>7</v>
      </c>
      <c r="G649" s="6" t="s">
        <v>781</v>
      </c>
    </row>
    <row r="650" customFormat="false" ht="15" hidden="false" customHeight="false" outlineLevel="0" collapsed="false">
      <c r="A650" s="6" t="s">
        <v>56</v>
      </c>
      <c r="B650" s="6" t="s">
        <v>43</v>
      </c>
      <c r="C650" s="6" t="s">
        <v>51</v>
      </c>
      <c r="D650" s="6" t="s">
        <v>118</v>
      </c>
      <c r="E650" s="6" t="n">
        <v>16</v>
      </c>
      <c r="F650" s="6" t="n">
        <v>7</v>
      </c>
      <c r="G650" s="6" t="s">
        <v>782</v>
      </c>
    </row>
    <row r="651" customFormat="false" ht="15" hidden="false" customHeight="false" outlineLevel="0" collapsed="false">
      <c r="A651" s="6" t="s">
        <v>56</v>
      </c>
      <c r="B651" s="6" t="s">
        <v>43</v>
      </c>
      <c r="C651" s="6" t="s">
        <v>51</v>
      </c>
      <c r="D651" s="6" t="s">
        <v>118</v>
      </c>
      <c r="E651" s="6" t="n">
        <v>16</v>
      </c>
      <c r="F651" s="6" t="n">
        <v>7</v>
      </c>
      <c r="G651" s="6" t="s">
        <v>783</v>
      </c>
    </row>
    <row r="652" customFormat="false" ht="15" hidden="false" customHeight="false" outlineLevel="0" collapsed="false">
      <c r="A652" s="6" t="s">
        <v>56</v>
      </c>
      <c r="B652" s="6" t="s">
        <v>43</v>
      </c>
      <c r="C652" s="6" t="s">
        <v>51</v>
      </c>
      <c r="D652" s="6" t="s">
        <v>118</v>
      </c>
      <c r="E652" s="6" t="n">
        <v>16</v>
      </c>
      <c r="F652" s="6" t="n">
        <v>7</v>
      </c>
      <c r="G652" s="6" t="s">
        <v>784</v>
      </c>
    </row>
    <row r="653" customFormat="false" ht="15" hidden="false" customHeight="false" outlineLevel="0" collapsed="false">
      <c r="A653" s="6" t="s">
        <v>56</v>
      </c>
      <c r="B653" s="6" t="s">
        <v>43</v>
      </c>
      <c r="C653" s="6" t="s">
        <v>51</v>
      </c>
      <c r="D653" s="6" t="s">
        <v>118</v>
      </c>
      <c r="E653" s="6" t="n">
        <v>16</v>
      </c>
      <c r="F653" s="6" t="n">
        <v>7</v>
      </c>
      <c r="G653" s="6" t="s">
        <v>785</v>
      </c>
    </row>
    <row r="654" customFormat="false" ht="15" hidden="false" customHeight="false" outlineLevel="0" collapsed="false">
      <c r="A654" s="6" t="s">
        <v>56</v>
      </c>
      <c r="B654" s="6" t="s">
        <v>43</v>
      </c>
      <c r="C654" s="6" t="s">
        <v>51</v>
      </c>
      <c r="D654" s="6" t="s">
        <v>118</v>
      </c>
      <c r="E654" s="6" t="n">
        <v>16</v>
      </c>
      <c r="F654" s="6" t="n">
        <v>8</v>
      </c>
      <c r="G654" s="6" t="s">
        <v>786</v>
      </c>
    </row>
    <row r="655" customFormat="false" ht="15" hidden="false" customHeight="false" outlineLevel="0" collapsed="false">
      <c r="A655" s="6" t="s">
        <v>56</v>
      </c>
      <c r="B655" s="6" t="s">
        <v>43</v>
      </c>
      <c r="C655" s="6" t="s">
        <v>51</v>
      </c>
      <c r="D655" s="6" t="s">
        <v>118</v>
      </c>
      <c r="E655" s="6" t="n">
        <v>16</v>
      </c>
      <c r="F655" s="6" t="n">
        <v>8</v>
      </c>
      <c r="G655" s="6" t="s">
        <v>787</v>
      </c>
    </row>
    <row r="656" customFormat="false" ht="15" hidden="false" customHeight="false" outlineLevel="0" collapsed="false">
      <c r="A656" s="6" t="s">
        <v>56</v>
      </c>
      <c r="B656" s="6" t="s">
        <v>43</v>
      </c>
      <c r="C656" s="6" t="s">
        <v>51</v>
      </c>
      <c r="D656" s="6" t="s">
        <v>118</v>
      </c>
      <c r="E656" s="6" t="n">
        <v>16</v>
      </c>
      <c r="F656" s="6" t="n">
        <v>8</v>
      </c>
      <c r="G656" s="6" t="s">
        <v>788</v>
      </c>
    </row>
    <row r="657" customFormat="false" ht="15" hidden="false" customHeight="false" outlineLevel="0" collapsed="false">
      <c r="A657" s="6" t="s">
        <v>56</v>
      </c>
      <c r="B657" s="6" t="s">
        <v>43</v>
      </c>
      <c r="C657" s="6" t="s">
        <v>51</v>
      </c>
      <c r="D657" s="6" t="s">
        <v>118</v>
      </c>
      <c r="E657" s="6" t="n">
        <v>16</v>
      </c>
      <c r="F657" s="6" t="n">
        <v>8</v>
      </c>
      <c r="G657" s="6" t="s">
        <v>789</v>
      </c>
    </row>
    <row r="658" customFormat="false" ht="15" hidden="false" customHeight="false" outlineLevel="0" collapsed="false">
      <c r="A658" s="6" t="s">
        <v>56</v>
      </c>
      <c r="B658" s="6" t="s">
        <v>43</v>
      </c>
      <c r="C658" s="6" t="s">
        <v>51</v>
      </c>
      <c r="D658" s="6" t="s">
        <v>118</v>
      </c>
      <c r="E658" s="6" t="n">
        <v>16</v>
      </c>
      <c r="F658" s="6" t="n">
        <v>8</v>
      </c>
      <c r="G658" s="6" t="s">
        <v>790</v>
      </c>
    </row>
    <row r="659" customFormat="false" ht="15" hidden="false" customHeight="false" outlineLevel="0" collapsed="false">
      <c r="A659" s="6" t="s">
        <v>56</v>
      </c>
      <c r="B659" s="6" t="s">
        <v>43</v>
      </c>
      <c r="C659" s="6" t="s">
        <v>51</v>
      </c>
      <c r="D659" s="6" t="s">
        <v>118</v>
      </c>
      <c r="E659" s="6" t="n">
        <v>16</v>
      </c>
      <c r="F659" s="6" t="n">
        <v>8</v>
      </c>
      <c r="G659" s="6" t="s">
        <v>791</v>
      </c>
    </row>
    <row r="660" customFormat="false" ht="15" hidden="false" customHeight="false" outlineLevel="0" collapsed="false">
      <c r="A660" s="6" t="s">
        <v>56</v>
      </c>
      <c r="B660" s="6" t="s">
        <v>43</v>
      </c>
      <c r="C660" s="6" t="s">
        <v>51</v>
      </c>
      <c r="D660" s="6" t="s">
        <v>118</v>
      </c>
      <c r="E660" s="6" t="n">
        <v>16</v>
      </c>
      <c r="F660" s="6" t="n">
        <v>8</v>
      </c>
      <c r="G660" s="6" t="s">
        <v>792</v>
      </c>
    </row>
    <row r="661" customFormat="false" ht="15" hidden="false" customHeight="false" outlineLevel="0" collapsed="false">
      <c r="A661" s="6" t="s">
        <v>56</v>
      </c>
      <c r="B661" s="6" t="s">
        <v>43</v>
      </c>
      <c r="C661" s="6" t="s">
        <v>51</v>
      </c>
      <c r="D661" s="6" t="s">
        <v>118</v>
      </c>
      <c r="E661" s="6" t="n">
        <v>16</v>
      </c>
      <c r="F661" s="6" t="n">
        <v>8</v>
      </c>
      <c r="G661" s="6" t="s">
        <v>793</v>
      </c>
    </row>
    <row r="662" customFormat="false" ht="15" hidden="false" customHeight="false" outlineLevel="0" collapsed="false">
      <c r="A662" s="6" t="s">
        <v>56</v>
      </c>
      <c r="B662" s="6" t="s">
        <v>43</v>
      </c>
      <c r="C662" s="6" t="s">
        <v>51</v>
      </c>
      <c r="D662" s="6" t="s">
        <v>118</v>
      </c>
      <c r="E662" s="6" t="n">
        <v>16</v>
      </c>
      <c r="F662" s="6" t="n">
        <v>8</v>
      </c>
      <c r="G662" s="6" t="s">
        <v>794</v>
      </c>
    </row>
    <row r="663" customFormat="false" ht="15" hidden="false" customHeight="false" outlineLevel="0" collapsed="false">
      <c r="A663" s="6" t="s">
        <v>56</v>
      </c>
      <c r="B663" s="6" t="s">
        <v>43</v>
      </c>
      <c r="C663" s="6" t="s">
        <v>51</v>
      </c>
      <c r="D663" s="6" t="s">
        <v>118</v>
      </c>
      <c r="E663" s="6" t="n">
        <v>16</v>
      </c>
      <c r="F663" s="6" t="n">
        <v>8</v>
      </c>
      <c r="G663" s="6" t="s">
        <v>795</v>
      </c>
    </row>
    <row r="664" customFormat="false" ht="15" hidden="false" customHeight="false" outlineLevel="0" collapsed="false">
      <c r="A664" s="6" t="s">
        <v>56</v>
      </c>
      <c r="B664" s="6" t="s">
        <v>43</v>
      </c>
      <c r="C664" s="6" t="s">
        <v>51</v>
      </c>
      <c r="D664" s="6" t="s">
        <v>118</v>
      </c>
      <c r="E664" s="6" t="n">
        <v>16</v>
      </c>
      <c r="F664" s="6" t="n">
        <v>8</v>
      </c>
      <c r="G664" s="6" t="s">
        <v>796</v>
      </c>
    </row>
    <row r="665" customFormat="false" ht="15" hidden="false" customHeight="false" outlineLevel="0" collapsed="false">
      <c r="A665" s="6" t="s">
        <v>56</v>
      </c>
      <c r="B665" s="6" t="s">
        <v>43</v>
      </c>
      <c r="C665" s="6" t="s">
        <v>51</v>
      </c>
      <c r="D665" s="6" t="s">
        <v>118</v>
      </c>
      <c r="E665" s="6" t="n">
        <v>16</v>
      </c>
      <c r="F665" s="6" t="n">
        <v>8</v>
      </c>
      <c r="G665" s="6" t="s">
        <v>797</v>
      </c>
    </row>
    <row r="666" customFormat="false" ht="15" hidden="false" customHeight="false" outlineLevel="0" collapsed="false">
      <c r="A666" s="6" t="s">
        <v>56</v>
      </c>
      <c r="B666" s="6" t="s">
        <v>43</v>
      </c>
      <c r="C666" s="6" t="s">
        <v>51</v>
      </c>
      <c r="D666" s="6" t="s">
        <v>118</v>
      </c>
      <c r="E666" s="6" t="n">
        <v>16</v>
      </c>
      <c r="F666" s="6" t="n">
        <v>8</v>
      </c>
      <c r="G666" s="6" t="s">
        <v>798</v>
      </c>
    </row>
    <row r="667" customFormat="false" ht="15" hidden="false" customHeight="false" outlineLevel="0" collapsed="false">
      <c r="A667" s="6" t="s">
        <v>56</v>
      </c>
      <c r="B667" s="6" t="s">
        <v>43</v>
      </c>
      <c r="C667" s="6" t="s">
        <v>51</v>
      </c>
      <c r="D667" s="6" t="s">
        <v>118</v>
      </c>
      <c r="E667" s="6" t="n">
        <v>16</v>
      </c>
      <c r="F667" s="6" t="n">
        <v>8</v>
      </c>
      <c r="G667" s="6" t="s">
        <v>799</v>
      </c>
    </row>
    <row r="668" customFormat="false" ht="15" hidden="false" customHeight="false" outlineLevel="0" collapsed="false">
      <c r="A668" s="6" t="s">
        <v>56</v>
      </c>
      <c r="B668" s="6" t="s">
        <v>43</v>
      </c>
      <c r="C668" s="6" t="s">
        <v>51</v>
      </c>
      <c r="D668" s="6" t="s">
        <v>118</v>
      </c>
      <c r="E668" s="6" t="n">
        <v>16</v>
      </c>
      <c r="F668" s="6" t="n">
        <v>8</v>
      </c>
      <c r="G668" s="6" t="s">
        <v>800</v>
      </c>
    </row>
    <row r="669" customFormat="false" ht="15" hidden="false" customHeight="false" outlineLevel="0" collapsed="false">
      <c r="A669" s="6" t="s">
        <v>56</v>
      </c>
      <c r="B669" s="6" t="s">
        <v>43</v>
      </c>
      <c r="C669" s="6" t="s">
        <v>51</v>
      </c>
      <c r="D669" s="6" t="s">
        <v>118</v>
      </c>
      <c r="E669" s="6" t="n">
        <v>16</v>
      </c>
      <c r="F669" s="6" t="n">
        <v>8</v>
      </c>
      <c r="G669" s="6" t="s">
        <v>801</v>
      </c>
    </row>
    <row r="670" customFormat="false" ht="15" hidden="false" customHeight="false" outlineLevel="0" collapsed="false">
      <c r="A670" s="6" t="s">
        <v>56</v>
      </c>
      <c r="B670" s="6" t="s">
        <v>43</v>
      </c>
      <c r="C670" s="6" t="s">
        <v>51</v>
      </c>
      <c r="D670" s="6" t="s">
        <v>118</v>
      </c>
      <c r="E670" s="6" t="n">
        <v>16</v>
      </c>
      <c r="F670" s="6" t="n">
        <v>9</v>
      </c>
      <c r="G670" s="6" t="s">
        <v>802</v>
      </c>
    </row>
    <row r="671" customFormat="false" ht="15" hidden="false" customHeight="false" outlineLevel="0" collapsed="false">
      <c r="A671" s="6" t="s">
        <v>56</v>
      </c>
      <c r="B671" s="6" t="s">
        <v>43</v>
      </c>
      <c r="C671" s="6" t="s">
        <v>51</v>
      </c>
      <c r="D671" s="6" t="s">
        <v>118</v>
      </c>
      <c r="E671" s="6" t="n">
        <v>16</v>
      </c>
      <c r="F671" s="6" t="n">
        <v>9</v>
      </c>
      <c r="G671" s="6" t="s">
        <v>803</v>
      </c>
    </row>
    <row r="672" customFormat="false" ht="15" hidden="false" customHeight="false" outlineLevel="0" collapsed="false">
      <c r="A672" s="6" t="s">
        <v>56</v>
      </c>
      <c r="B672" s="6" t="s">
        <v>43</v>
      </c>
      <c r="C672" s="6" t="s">
        <v>51</v>
      </c>
      <c r="D672" s="6" t="s">
        <v>118</v>
      </c>
      <c r="E672" s="6" t="n">
        <v>16</v>
      </c>
      <c r="F672" s="6" t="n">
        <v>9</v>
      </c>
      <c r="G672" s="6" t="s">
        <v>804</v>
      </c>
    </row>
    <row r="673" customFormat="false" ht="15" hidden="false" customHeight="false" outlineLevel="0" collapsed="false">
      <c r="A673" s="6" t="s">
        <v>56</v>
      </c>
      <c r="B673" s="6" t="s">
        <v>43</v>
      </c>
      <c r="C673" s="6" t="s">
        <v>51</v>
      </c>
      <c r="D673" s="6" t="s">
        <v>118</v>
      </c>
      <c r="E673" s="6" t="n">
        <v>16</v>
      </c>
      <c r="F673" s="6" t="n">
        <v>9</v>
      </c>
      <c r="G673" s="6" t="s">
        <v>805</v>
      </c>
    </row>
    <row r="674" customFormat="false" ht="15" hidden="false" customHeight="false" outlineLevel="0" collapsed="false">
      <c r="A674" s="6" t="s">
        <v>56</v>
      </c>
      <c r="B674" s="6" t="s">
        <v>43</v>
      </c>
      <c r="C674" s="6" t="s">
        <v>51</v>
      </c>
      <c r="D674" s="6" t="s">
        <v>118</v>
      </c>
      <c r="E674" s="6" t="n">
        <v>16</v>
      </c>
      <c r="F674" s="6" t="n">
        <v>9</v>
      </c>
      <c r="G674" s="6" t="s">
        <v>806</v>
      </c>
    </row>
    <row r="675" customFormat="false" ht="15" hidden="false" customHeight="false" outlineLevel="0" collapsed="false">
      <c r="A675" s="6" t="s">
        <v>56</v>
      </c>
      <c r="B675" s="6" t="s">
        <v>43</v>
      </c>
      <c r="C675" s="6" t="s">
        <v>51</v>
      </c>
      <c r="D675" s="6" t="s">
        <v>118</v>
      </c>
      <c r="E675" s="6" t="n">
        <v>16</v>
      </c>
      <c r="F675" s="6" t="n">
        <v>9</v>
      </c>
      <c r="G675" s="6" t="s">
        <v>807</v>
      </c>
    </row>
    <row r="676" customFormat="false" ht="15" hidden="false" customHeight="false" outlineLevel="0" collapsed="false">
      <c r="A676" s="6" t="s">
        <v>56</v>
      </c>
      <c r="B676" s="6" t="s">
        <v>43</v>
      </c>
      <c r="C676" s="6" t="s">
        <v>51</v>
      </c>
      <c r="D676" s="6" t="s">
        <v>118</v>
      </c>
      <c r="E676" s="6" t="n">
        <v>16</v>
      </c>
      <c r="F676" s="6" t="n">
        <v>9</v>
      </c>
      <c r="G676" s="6" t="s">
        <v>808</v>
      </c>
    </row>
    <row r="677" customFormat="false" ht="15" hidden="false" customHeight="false" outlineLevel="0" collapsed="false">
      <c r="A677" s="6" t="s">
        <v>56</v>
      </c>
      <c r="B677" s="6" t="s">
        <v>43</v>
      </c>
      <c r="C677" s="6" t="s">
        <v>51</v>
      </c>
      <c r="D677" s="6" t="s">
        <v>118</v>
      </c>
      <c r="E677" s="6" t="n">
        <v>16</v>
      </c>
      <c r="F677" s="6" t="n">
        <v>9</v>
      </c>
      <c r="G677" s="6" t="s">
        <v>809</v>
      </c>
    </row>
    <row r="678" customFormat="false" ht="15" hidden="false" customHeight="false" outlineLevel="0" collapsed="false">
      <c r="A678" s="6" t="s">
        <v>56</v>
      </c>
      <c r="B678" s="6" t="s">
        <v>43</v>
      </c>
      <c r="C678" s="6" t="s">
        <v>51</v>
      </c>
      <c r="D678" s="6" t="s">
        <v>118</v>
      </c>
      <c r="E678" s="6" t="n">
        <v>16</v>
      </c>
      <c r="F678" s="6" t="n">
        <v>9</v>
      </c>
      <c r="G678" s="6" t="s">
        <v>810</v>
      </c>
    </row>
    <row r="679" customFormat="false" ht="15" hidden="false" customHeight="false" outlineLevel="0" collapsed="false">
      <c r="A679" s="6" t="s">
        <v>56</v>
      </c>
      <c r="B679" s="6" t="s">
        <v>43</v>
      </c>
      <c r="C679" s="6" t="s">
        <v>51</v>
      </c>
      <c r="D679" s="6" t="s">
        <v>118</v>
      </c>
      <c r="E679" s="6" t="n">
        <v>16</v>
      </c>
      <c r="F679" s="6" t="n">
        <v>9</v>
      </c>
      <c r="G679" s="6" t="s">
        <v>811</v>
      </c>
    </row>
    <row r="680" customFormat="false" ht="15" hidden="false" customHeight="false" outlineLevel="0" collapsed="false">
      <c r="A680" s="6" t="s">
        <v>56</v>
      </c>
      <c r="B680" s="6" t="s">
        <v>43</v>
      </c>
      <c r="C680" s="6" t="s">
        <v>51</v>
      </c>
      <c r="D680" s="6" t="s">
        <v>118</v>
      </c>
      <c r="E680" s="6" t="n">
        <v>16</v>
      </c>
      <c r="F680" s="6" t="n">
        <v>9</v>
      </c>
      <c r="G680" s="6" t="s">
        <v>812</v>
      </c>
    </row>
    <row r="681" customFormat="false" ht="15" hidden="false" customHeight="false" outlineLevel="0" collapsed="false">
      <c r="A681" s="6" t="s">
        <v>56</v>
      </c>
      <c r="B681" s="6" t="s">
        <v>43</v>
      </c>
      <c r="C681" s="6" t="s">
        <v>51</v>
      </c>
      <c r="D681" s="6" t="s">
        <v>118</v>
      </c>
      <c r="E681" s="6" t="n">
        <v>16</v>
      </c>
      <c r="F681" s="6" t="n">
        <v>9</v>
      </c>
      <c r="G681" s="6" t="s">
        <v>813</v>
      </c>
    </row>
    <row r="682" customFormat="false" ht="15" hidden="false" customHeight="false" outlineLevel="0" collapsed="false">
      <c r="A682" s="6" t="s">
        <v>56</v>
      </c>
      <c r="B682" s="6" t="s">
        <v>43</v>
      </c>
      <c r="C682" s="6" t="s">
        <v>51</v>
      </c>
      <c r="D682" s="6" t="s">
        <v>118</v>
      </c>
      <c r="E682" s="6" t="n">
        <v>16</v>
      </c>
      <c r="F682" s="6" t="n">
        <v>9</v>
      </c>
      <c r="G682" s="6" t="s">
        <v>814</v>
      </c>
    </row>
    <row r="683" customFormat="false" ht="15" hidden="false" customHeight="false" outlineLevel="0" collapsed="false">
      <c r="A683" s="6" t="s">
        <v>56</v>
      </c>
      <c r="B683" s="6" t="s">
        <v>43</v>
      </c>
      <c r="C683" s="6" t="s">
        <v>51</v>
      </c>
      <c r="D683" s="6" t="s">
        <v>118</v>
      </c>
      <c r="E683" s="6" t="n">
        <v>16</v>
      </c>
      <c r="F683" s="6" t="n">
        <v>9</v>
      </c>
      <c r="G683" s="6" t="s">
        <v>815</v>
      </c>
    </row>
    <row r="684" customFormat="false" ht="15" hidden="false" customHeight="false" outlineLevel="0" collapsed="false">
      <c r="A684" s="6" t="s">
        <v>56</v>
      </c>
      <c r="B684" s="6" t="s">
        <v>43</v>
      </c>
      <c r="C684" s="6" t="s">
        <v>51</v>
      </c>
      <c r="D684" s="6" t="s">
        <v>118</v>
      </c>
      <c r="E684" s="6" t="n">
        <v>16</v>
      </c>
      <c r="F684" s="6" t="n">
        <v>9</v>
      </c>
      <c r="G684" s="6" t="s">
        <v>816</v>
      </c>
    </row>
    <row r="685" customFormat="false" ht="15" hidden="false" customHeight="false" outlineLevel="0" collapsed="false">
      <c r="A685" s="6" t="s">
        <v>56</v>
      </c>
      <c r="B685" s="6" t="s">
        <v>43</v>
      </c>
      <c r="C685" s="6" t="s">
        <v>51</v>
      </c>
      <c r="D685" s="6" t="s">
        <v>118</v>
      </c>
      <c r="E685" s="6" t="n">
        <v>16</v>
      </c>
      <c r="F685" s="6" t="n">
        <v>9</v>
      </c>
      <c r="G685" s="6" t="s">
        <v>817</v>
      </c>
    </row>
    <row r="686" customFormat="false" ht="15" hidden="false" customHeight="false" outlineLevel="0" collapsed="false">
      <c r="A686" s="6" t="s">
        <v>56</v>
      </c>
      <c r="B686" s="6" t="s">
        <v>43</v>
      </c>
      <c r="C686" s="6" t="s">
        <v>51</v>
      </c>
      <c r="D686" s="6" t="s">
        <v>118</v>
      </c>
      <c r="E686" s="6" t="n">
        <v>16</v>
      </c>
      <c r="F686" s="6" t="n">
        <v>10</v>
      </c>
      <c r="G686" s="6" t="s">
        <v>818</v>
      </c>
    </row>
    <row r="687" customFormat="false" ht="15" hidden="false" customHeight="false" outlineLevel="0" collapsed="false">
      <c r="A687" s="6" t="s">
        <v>56</v>
      </c>
      <c r="B687" s="6" t="s">
        <v>43</v>
      </c>
      <c r="C687" s="6" t="s">
        <v>51</v>
      </c>
      <c r="D687" s="6" t="s">
        <v>118</v>
      </c>
      <c r="E687" s="6" t="n">
        <v>16</v>
      </c>
      <c r="F687" s="6" t="n">
        <v>10</v>
      </c>
      <c r="G687" s="6" t="s">
        <v>819</v>
      </c>
    </row>
    <row r="688" customFormat="false" ht="15" hidden="false" customHeight="false" outlineLevel="0" collapsed="false">
      <c r="A688" s="6" t="s">
        <v>56</v>
      </c>
      <c r="B688" s="6" t="s">
        <v>43</v>
      </c>
      <c r="C688" s="6" t="s">
        <v>51</v>
      </c>
      <c r="D688" s="6" t="s">
        <v>118</v>
      </c>
      <c r="E688" s="6" t="n">
        <v>16</v>
      </c>
      <c r="F688" s="6" t="n">
        <v>10</v>
      </c>
      <c r="G688" s="6" t="s">
        <v>820</v>
      </c>
    </row>
    <row r="689" customFormat="false" ht="15" hidden="false" customHeight="false" outlineLevel="0" collapsed="false">
      <c r="A689" s="6" t="s">
        <v>56</v>
      </c>
      <c r="B689" s="6" t="s">
        <v>43</v>
      </c>
      <c r="C689" s="6" t="s">
        <v>51</v>
      </c>
      <c r="D689" s="6" t="s">
        <v>118</v>
      </c>
      <c r="E689" s="6" t="n">
        <v>16</v>
      </c>
      <c r="F689" s="6" t="n">
        <v>10</v>
      </c>
      <c r="G689" s="6" t="s">
        <v>821</v>
      </c>
    </row>
    <row r="690" customFormat="false" ht="15" hidden="false" customHeight="false" outlineLevel="0" collapsed="false">
      <c r="A690" s="6" t="s">
        <v>56</v>
      </c>
      <c r="B690" s="6" t="s">
        <v>43</v>
      </c>
      <c r="C690" s="6" t="s">
        <v>51</v>
      </c>
      <c r="D690" s="6" t="s">
        <v>118</v>
      </c>
      <c r="E690" s="6" t="n">
        <v>16</v>
      </c>
      <c r="F690" s="6" t="n">
        <v>10</v>
      </c>
      <c r="G690" s="6" t="s">
        <v>822</v>
      </c>
    </row>
    <row r="691" customFormat="false" ht="15" hidden="false" customHeight="false" outlineLevel="0" collapsed="false">
      <c r="A691" s="6" t="s">
        <v>56</v>
      </c>
      <c r="B691" s="6" t="s">
        <v>43</v>
      </c>
      <c r="C691" s="6" t="s">
        <v>51</v>
      </c>
      <c r="D691" s="6" t="s">
        <v>118</v>
      </c>
      <c r="E691" s="6" t="n">
        <v>16</v>
      </c>
      <c r="F691" s="6" t="n">
        <v>10</v>
      </c>
      <c r="G691" s="6" t="s">
        <v>823</v>
      </c>
    </row>
    <row r="692" customFormat="false" ht="15" hidden="false" customHeight="false" outlineLevel="0" collapsed="false">
      <c r="A692" s="6" t="s">
        <v>56</v>
      </c>
      <c r="B692" s="6" t="s">
        <v>43</v>
      </c>
      <c r="C692" s="6" t="s">
        <v>51</v>
      </c>
      <c r="D692" s="6" t="s">
        <v>118</v>
      </c>
      <c r="E692" s="6" t="n">
        <v>16</v>
      </c>
      <c r="F692" s="6" t="n">
        <v>10</v>
      </c>
      <c r="G692" s="6" t="s">
        <v>824</v>
      </c>
    </row>
    <row r="693" customFormat="false" ht="15" hidden="false" customHeight="false" outlineLevel="0" collapsed="false">
      <c r="A693" s="6" t="s">
        <v>56</v>
      </c>
      <c r="B693" s="6" t="s">
        <v>43</v>
      </c>
      <c r="C693" s="6" t="s">
        <v>51</v>
      </c>
      <c r="D693" s="6" t="s">
        <v>118</v>
      </c>
      <c r="E693" s="6" t="n">
        <v>16</v>
      </c>
      <c r="F693" s="6" t="n">
        <v>10</v>
      </c>
      <c r="G693" s="6" t="s">
        <v>825</v>
      </c>
    </row>
    <row r="694" customFormat="false" ht="15" hidden="false" customHeight="false" outlineLevel="0" collapsed="false">
      <c r="A694" s="6" t="s">
        <v>56</v>
      </c>
      <c r="B694" s="6" t="s">
        <v>43</v>
      </c>
      <c r="C694" s="6" t="s">
        <v>51</v>
      </c>
      <c r="D694" s="6" t="s">
        <v>118</v>
      </c>
      <c r="E694" s="6" t="n">
        <v>16</v>
      </c>
      <c r="F694" s="6" t="n">
        <v>10</v>
      </c>
      <c r="G694" s="6" t="s">
        <v>826</v>
      </c>
    </row>
    <row r="695" customFormat="false" ht="15" hidden="false" customHeight="false" outlineLevel="0" collapsed="false">
      <c r="A695" s="6" t="s">
        <v>56</v>
      </c>
      <c r="B695" s="6" t="s">
        <v>43</v>
      </c>
      <c r="C695" s="6" t="s">
        <v>51</v>
      </c>
      <c r="D695" s="6" t="s">
        <v>118</v>
      </c>
      <c r="E695" s="6" t="n">
        <v>16</v>
      </c>
      <c r="F695" s="6" t="n">
        <v>10</v>
      </c>
      <c r="G695" s="6" t="s">
        <v>827</v>
      </c>
    </row>
    <row r="696" customFormat="false" ht="15" hidden="false" customHeight="false" outlineLevel="0" collapsed="false">
      <c r="A696" s="6" t="s">
        <v>56</v>
      </c>
      <c r="B696" s="6" t="s">
        <v>43</v>
      </c>
      <c r="C696" s="6" t="s">
        <v>51</v>
      </c>
      <c r="D696" s="6" t="s">
        <v>118</v>
      </c>
      <c r="E696" s="6" t="n">
        <v>16</v>
      </c>
      <c r="F696" s="6" t="n">
        <v>10</v>
      </c>
      <c r="G696" s="6" t="s">
        <v>828</v>
      </c>
    </row>
    <row r="697" customFormat="false" ht="15" hidden="false" customHeight="false" outlineLevel="0" collapsed="false">
      <c r="A697" s="6" t="s">
        <v>56</v>
      </c>
      <c r="B697" s="6" t="s">
        <v>43</v>
      </c>
      <c r="C697" s="6" t="s">
        <v>51</v>
      </c>
      <c r="D697" s="6" t="s">
        <v>118</v>
      </c>
      <c r="E697" s="6" t="n">
        <v>16</v>
      </c>
      <c r="F697" s="6" t="n">
        <v>10</v>
      </c>
      <c r="G697" s="6" t="s">
        <v>829</v>
      </c>
    </row>
    <row r="698" customFormat="false" ht="15" hidden="false" customHeight="false" outlineLevel="0" collapsed="false">
      <c r="A698" s="6" t="s">
        <v>56</v>
      </c>
      <c r="B698" s="6" t="s">
        <v>43</v>
      </c>
      <c r="C698" s="6" t="s">
        <v>51</v>
      </c>
      <c r="D698" s="6" t="s">
        <v>118</v>
      </c>
      <c r="E698" s="6" t="n">
        <v>16</v>
      </c>
      <c r="F698" s="6" t="n">
        <v>10</v>
      </c>
      <c r="G698" s="6" t="s">
        <v>830</v>
      </c>
    </row>
    <row r="699" customFormat="false" ht="15" hidden="false" customHeight="false" outlineLevel="0" collapsed="false">
      <c r="A699" s="6" t="s">
        <v>56</v>
      </c>
      <c r="B699" s="6" t="s">
        <v>43</v>
      </c>
      <c r="C699" s="6" t="s">
        <v>51</v>
      </c>
      <c r="D699" s="6" t="s">
        <v>118</v>
      </c>
      <c r="E699" s="6" t="n">
        <v>16</v>
      </c>
      <c r="F699" s="6" t="n">
        <v>10</v>
      </c>
      <c r="G699" s="6" t="s">
        <v>831</v>
      </c>
    </row>
    <row r="700" customFormat="false" ht="15" hidden="false" customHeight="false" outlineLevel="0" collapsed="false">
      <c r="A700" s="6" t="s">
        <v>56</v>
      </c>
      <c r="B700" s="6" t="s">
        <v>43</v>
      </c>
      <c r="C700" s="6" t="s">
        <v>51</v>
      </c>
      <c r="D700" s="6" t="s">
        <v>118</v>
      </c>
      <c r="E700" s="6" t="n">
        <v>16</v>
      </c>
      <c r="F700" s="6" t="n">
        <v>10</v>
      </c>
      <c r="G700" s="6" t="s">
        <v>832</v>
      </c>
    </row>
    <row r="701" customFormat="false" ht="15" hidden="false" customHeight="false" outlineLevel="0" collapsed="false">
      <c r="A701" s="6" t="s">
        <v>56</v>
      </c>
      <c r="B701" s="6" t="s">
        <v>43</v>
      </c>
      <c r="C701" s="6" t="s">
        <v>51</v>
      </c>
      <c r="D701" s="6" t="s">
        <v>118</v>
      </c>
      <c r="E701" s="6" t="n">
        <v>16</v>
      </c>
      <c r="F701" s="6" t="n">
        <v>10</v>
      </c>
      <c r="G701" s="6" t="s">
        <v>833</v>
      </c>
    </row>
    <row r="702" customFormat="false" ht="15" hidden="false" customHeight="false" outlineLevel="0" collapsed="false">
      <c r="A702" s="6" t="s">
        <v>58</v>
      </c>
      <c r="B702" s="6" t="s">
        <v>59</v>
      </c>
      <c r="C702" s="6" t="s">
        <v>44</v>
      </c>
      <c r="D702" s="6" t="s">
        <v>114</v>
      </c>
      <c r="E702" s="6" t="n">
        <v>4</v>
      </c>
      <c r="F702" s="6" t="n">
        <v>1</v>
      </c>
      <c r="G702" s="6" t="s">
        <v>834</v>
      </c>
    </row>
    <row r="703" customFormat="false" ht="15" hidden="false" customHeight="false" outlineLevel="0" collapsed="false">
      <c r="A703" s="6" t="s">
        <v>58</v>
      </c>
      <c r="B703" s="6" t="s">
        <v>59</v>
      </c>
      <c r="C703" s="6" t="s">
        <v>44</v>
      </c>
      <c r="D703" s="6" t="s">
        <v>114</v>
      </c>
      <c r="E703" s="6" t="n">
        <v>4</v>
      </c>
      <c r="F703" s="6" t="n">
        <v>1</v>
      </c>
      <c r="G703" s="6" t="s">
        <v>835</v>
      </c>
    </row>
    <row r="704" customFormat="false" ht="15" hidden="false" customHeight="false" outlineLevel="0" collapsed="false">
      <c r="A704" s="6" t="s">
        <v>58</v>
      </c>
      <c r="B704" s="6" t="s">
        <v>59</v>
      </c>
      <c r="C704" s="6" t="s">
        <v>44</v>
      </c>
      <c r="D704" s="6" t="s">
        <v>114</v>
      </c>
      <c r="E704" s="6" t="n">
        <v>4</v>
      </c>
      <c r="F704" s="6" t="n">
        <v>1</v>
      </c>
      <c r="G704" s="6" t="s">
        <v>836</v>
      </c>
    </row>
    <row r="705" customFormat="false" ht="15" hidden="false" customHeight="false" outlineLevel="0" collapsed="false">
      <c r="A705" s="6" t="s">
        <v>58</v>
      </c>
      <c r="B705" s="6" t="s">
        <v>59</v>
      </c>
      <c r="C705" s="6" t="s">
        <v>44</v>
      </c>
      <c r="D705" s="6" t="s">
        <v>114</v>
      </c>
      <c r="E705" s="6" t="n">
        <v>4</v>
      </c>
      <c r="F705" s="6" t="n">
        <v>1</v>
      </c>
      <c r="G705" s="6" t="s">
        <v>837</v>
      </c>
    </row>
    <row r="706" customFormat="false" ht="15" hidden="false" customHeight="false" outlineLevel="0" collapsed="false">
      <c r="A706" s="6" t="s">
        <v>58</v>
      </c>
      <c r="B706" s="6" t="s">
        <v>59</v>
      </c>
      <c r="C706" s="6" t="s">
        <v>44</v>
      </c>
      <c r="D706" s="6" t="s">
        <v>114</v>
      </c>
      <c r="E706" s="6" t="n">
        <v>4</v>
      </c>
      <c r="F706" s="6" t="n">
        <v>2</v>
      </c>
      <c r="G706" s="6" t="s">
        <v>838</v>
      </c>
    </row>
    <row r="707" customFormat="false" ht="15" hidden="false" customHeight="false" outlineLevel="0" collapsed="false">
      <c r="A707" s="6" t="s">
        <v>58</v>
      </c>
      <c r="B707" s="6" t="s">
        <v>59</v>
      </c>
      <c r="C707" s="6" t="s">
        <v>44</v>
      </c>
      <c r="D707" s="6" t="s">
        <v>114</v>
      </c>
      <c r="E707" s="6" t="n">
        <v>4</v>
      </c>
      <c r="F707" s="6" t="n">
        <v>2</v>
      </c>
      <c r="G707" s="6" t="s">
        <v>839</v>
      </c>
    </row>
    <row r="708" customFormat="false" ht="15" hidden="false" customHeight="false" outlineLevel="0" collapsed="false">
      <c r="A708" s="6" t="s">
        <v>58</v>
      </c>
      <c r="B708" s="6" t="s">
        <v>59</v>
      </c>
      <c r="C708" s="6" t="s">
        <v>44</v>
      </c>
      <c r="D708" s="6" t="s">
        <v>114</v>
      </c>
      <c r="E708" s="6" t="n">
        <v>4</v>
      </c>
      <c r="F708" s="6" t="n">
        <v>2</v>
      </c>
      <c r="G708" s="6" t="s">
        <v>840</v>
      </c>
    </row>
    <row r="709" customFormat="false" ht="15" hidden="false" customHeight="false" outlineLevel="0" collapsed="false">
      <c r="A709" s="6" t="s">
        <v>58</v>
      </c>
      <c r="B709" s="6" t="s">
        <v>59</v>
      </c>
      <c r="C709" s="6" t="s">
        <v>44</v>
      </c>
      <c r="D709" s="6" t="s">
        <v>114</v>
      </c>
      <c r="E709" s="6" t="n">
        <v>4</v>
      </c>
      <c r="F709" s="6" t="n">
        <v>2</v>
      </c>
      <c r="G709" s="6" t="s">
        <v>841</v>
      </c>
    </row>
    <row r="710" customFormat="false" ht="15" hidden="false" customHeight="false" outlineLevel="0" collapsed="false">
      <c r="A710" s="6" t="s">
        <v>58</v>
      </c>
      <c r="B710" s="6" t="s">
        <v>59</v>
      </c>
      <c r="C710" s="6" t="s">
        <v>44</v>
      </c>
      <c r="D710" s="6" t="s">
        <v>114</v>
      </c>
      <c r="E710" s="6" t="n">
        <v>4</v>
      </c>
      <c r="F710" s="6" t="n">
        <v>3</v>
      </c>
      <c r="G710" s="6" t="s">
        <v>842</v>
      </c>
    </row>
    <row r="711" customFormat="false" ht="15" hidden="false" customHeight="false" outlineLevel="0" collapsed="false">
      <c r="A711" s="6" t="s">
        <v>58</v>
      </c>
      <c r="B711" s="6" t="s">
        <v>59</v>
      </c>
      <c r="C711" s="6" t="s">
        <v>44</v>
      </c>
      <c r="D711" s="6" t="s">
        <v>114</v>
      </c>
      <c r="E711" s="6" t="n">
        <v>4</v>
      </c>
      <c r="F711" s="6" t="n">
        <v>3</v>
      </c>
      <c r="G711" s="6" t="s">
        <v>843</v>
      </c>
    </row>
    <row r="712" customFormat="false" ht="15" hidden="false" customHeight="false" outlineLevel="0" collapsed="false">
      <c r="A712" s="6" t="s">
        <v>58</v>
      </c>
      <c r="B712" s="6" t="s">
        <v>59</v>
      </c>
      <c r="C712" s="6" t="s">
        <v>44</v>
      </c>
      <c r="D712" s="6" t="s">
        <v>114</v>
      </c>
      <c r="E712" s="6" t="n">
        <v>4</v>
      </c>
      <c r="F712" s="6" t="n">
        <v>3</v>
      </c>
      <c r="G712" s="6" t="s">
        <v>844</v>
      </c>
    </row>
    <row r="713" customFormat="false" ht="15" hidden="false" customHeight="false" outlineLevel="0" collapsed="false">
      <c r="A713" s="6" t="s">
        <v>58</v>
      </c>
      <c r="B713" s="6" t="s">
        <v>59</v>
      </c>
      <c r="C713" s="6" t="s">
        <v>44</v>
      </c>
      <c r="D713" s="6" t="s">
        <v>114</v>
      </c>
      <c r="E713" s="6" t="n">
        <v>4</v>
      </c>
      <c r="F713" s="6" t="n">
        <v>3</v>
      </c>
      <c r="G713" s="6" t="s">
        <v>845</v>
      </c>
    </row>
    <row r="714" customFormat="false" ht="15" hidden="false" customHeight="false" outlineLevel="0" collapsed="false">
      <c r="A714" s="6" t="s">
        <v>58</v>
      </c>
      <c r="B714" s="6" t="s">
        <v>59</v>
      </c>
      <c r="C714" s="6" t="s">
        <v>44</v>
      </c>
      <c r="D714" s="6" t="s">
        <v>114</v>
      </c>
      <c r="E714" s="6" t="n">
        <v>4</v>
      </c>
      <c r="F714" s="6" t="n">
        <v>4</v>
      </c>
      <c r="G714" s="6" t="s">
        <v>846</v>
      </c>
    </row>
    <row r="715" customFormat="false" ht="15" hidden="false" customHeight="false" outlineLevel="0" collapsed="false">
      <c r="A715" s="6" t="s">
        <v>58</v>
      </c>
      <c r="B715" s="6" t="s">
        <v>59</v>
      </c>
      <c r="C715" s="6" t="s">
        <v>44</v>
      </c>
      <c r="D715" s="6" t="s">
        <v>114</v>
      </c>
      <c r="E715" s="6" t="n">
        <v>4</v>
      </c>
      <c r="F715" s="6" t="n">
        <v>4</v>
      </c>
      <c r="G715" s="6" t="s">
        <v>847</v>
      </c>
    </row>
    <row r="716" customFormat="false" ht="15" hidden="false" customHeight="false" outlineLevel="0" collapsed="false">
      <c r="A716" s="6" t="s">
        <v>58</v>
      </c>
      <c r="B716" s="6" t="s">
        <v>59</v>
      </c>
      <c r="C716" s="6" t="s">
        <v>44</v>
      </c>
      <c r="D716" s="6" t="s">
        <v>114</v>
      </c>
      <c r="E716" s="6" t="n">
        <v>4</v>
      </c>
      <c r="F716" s="6" t="n">
        <v>4</v>
      </c>
      <c r="G716" s="6" t="s">
        <v>848</v>
      </c>
    </row>
    <row r="717" customFormat="false" ht="15" hidden="false" customHeight="false" outlineLevel="0" collapsed="false">
      <c r="A717" s="6" t="s">
        <v>58</v>
      </c>
      <c r="B717" s="6" t="s">
        <v>59</v>
      </c>
      <c r="C717" s="6" t="s">
        <v>44</v>
      </c>
      <c r="D717" s="6" t="s">
        <v>114</v>
      </c>
      <c r="E717" s="6" t="n">
        <v>4</v>
      </c>
      <c r="F717" s="6" t="n">
        <v>4</v>
      </c>
      <c r="G717" s="6" t="s">
        <v>849</v>
      </c>
    </row>
    <row r="718" customFormat="false" ht="15" hidden="false" customHeight="false" outlineLevel="0" collapsed="false">
      <c r="A718" s="6" t="s">
        <v>58</v>
      </c>
      <c r="B718" s="6" t="s">
        <v>59</v>
      </c>
      <c r="C718" s="6" t="s">
        <v>44</v>
      </c>
      <c r="D718" s="6" t="s">
        <v>114</v>
      </c>
      <c r="E718" s="6" t="n">
        <v>4</v>
      </c>
      <c r="F718" s="6" t="n">
        <v>5</v>
      </c>
      <c r="G718" s="6" t="s">
        <v>850</v>
      </c>
    </row>
    <row r="719" customFormat="false" ht="15" hidden="false" customHeight="false" outlineLevel="0" collapsed="false">
      <c r="A719" s="6" t="s">
        <v>58</v>
      </c>
      <c r="B719" s="6" t="s">
        <v>59</v>
      </c>
      <c r="C719" s="6" t="s">
        <v>44</v>
      </c>
      <c r="D719" s="6" t="s">
        <v>114</v>
      </c>
      <c r="E719" s="6" t="n">
        <v>4</v>
      </c>
      <c r="F719" s="6" t="n">
        <v>5</v>
      </c>
      <c r="G719" s="6" t="s">
        <v>851</v>
      </c>
    </row>
    <row r="720" customFormat="false" ht="15" hidden="false" customHeight="false" outlineLevel="0" collapsed="false">
      <c r="A720" s="6" t="s">
        <v>58</v>
      </c>
      <c r="B720" s="6" t="s">
        <v>59</v>
      </c>
      <c r="C720" s="6" t="s">
        <v>44</v>
      </c>
      <c r="D720" s="6" t="s">
        <v>114</v>
      </c>
      <c r="E720" s="6" t="n">
        <v>4</v>
      </c>
      <c r="F720" s="6" t="n">
        <v>5</v>
      </c>
      <c r="G720" s="6" t="s">
        <v>852</v>
      </c>
    </row>
    <row r="721" customFormat="false" ht="15" hidden="false" customHeight="false" outlineLevel="0" collapsed="false">
      <c r="A721" s="6" t="s">
        <v>58</v>
      </c>
      <c r="B721" s="6" t="s">
        <v>59</v>
      </c>
      <c r="C721" s="6" t="s">
        <v>44</v>
      </c>
      <c r="D721" s="6" t="s">
        <v>114</v>
      </c>
      <c r="E721" s="6" t="n">
        <v>4</v>
      </c>
      <c r="F721" s="6" t="n">
        <v>5</v>
      </c>
      <c r="G721" s="6" t="s">
        <v>853</v>
      </c>
    </row>
    <row r="722" customFormat="false" ht="15" hidden="false" customHeight="false" outlineLevel="0" collapsed="false">
      <c r="A722" s="6" t="s">
        <v>58</v>
      </c>
      <c r="B722" s="6" t="s">
        <v>59</v>
      </c>
      <c r="C722" s="6" t="s">
        <v>44</v>
      </c>
      <c r="D722" s="6" t="s">
        <v>114</v>
      </c>
      <c r="E722" s="6" t="n">
        <v>4</v>
      </c>
      <c r="F722" s="6" t="n">
        <v>6</v>
      </c>
      <c r="G722" s="6" t="s">
        <v>854</v>
      </c>
    </row>
    <row r="723" customFormat="false" ht="15" hidden="false" customHeight="false" outlineLevel="0" collapsed="false">
      <c r="A723" s="6" t="s">
        <v>58</v>
      </c>
      <c r="B723" s="6" t="s">
        <v>59</v>
      </c>
      <c r="C723" s="6" t="s">
        <v>44</v>
      </c>
      <c r="D723" s="6" t="s">
        <v>114</v>
      </c>
      <c r="E723" s="6" t="n">
        <v>4</v>
      </c>
      <c r="F723" s="6" t="n">
        <v>6</v>
      </c>
      <c r="G723" s="6" t="s">
        <v>855</v>
      </c>
    </row>
    <row r="724" customFormat="false" ht="15" hidden="false" customHeight="false" outlineLevel="0" collapsed="false">
      <c r="A724" s="6" t="s">
        <v>58</v>
      </c>
      <c r="B724" s="6" t="s">
        <v>59</v>
      </c>
      <c r="C724" s="6" t="s">
        <v>44</v>
      </c>
      <c r="D724" s="6" t="s">
        <v>114</v>
      </c>
      <c r="E724" s="6" t="n">
        <v>4</v>
      </c>
      <c r="F724" s="6" t="n">
        <v>6</v>
      </c>
      <c r="G724" s="6" t="s">
        <v>856</v>
      </c>
    </row>
    <row r="725" customFormat="false" ht="15" hidden="false" customHeight="false" outlineLevel="0" collapsed="false">
      <c r="A725" s="6" t="s">
        <v>58</v>
      </c>
      <c r="B725" s="6" t="s">
        <v>59</v>
      </c>
      <c r="C725" s="6" t="s">
        <v>44</v>
      </c>
      <c r="D725" s="6" t="s">
        <v>114</v>
      </c>
      <c r="E725" s="6" t="n">
        <v>4</v>
      </c>
      <c r="F725" s="6" t="n">
        <v>6</v>
      </c>
      <c r="G725" s="6" t="s">
        <v>857</v>
      </c>
    </row>
    <row r="726" customFormat="false" ht="15" hidden="false" customHeight="false" outlineLevel="0" collapsed="false">
      <c r="A726" s="6" t="s">
        <v>58</v>
      </c>
      <c r="B726" s="6" t="s">
        <v>59</v>
      </c>
      <c r="C726" s="6" t="s">
        <v>44</v>
      </c>
      <c r="D726" s="6" t="s">
        <v>114</v>
      </c>
      <c r="E726" s="6" t="n">
        <v>4</v>
      </c>
      <c r="F726" s="6" t="n">
        <v>7</v>
      </c>
      <c r="G726" s="6" t="s">
        <v>858</v>
      </c>
    </row>
    <row r="727" customFormat="false" ht="15" hidden="false" customHeight="false" outlineLevel="0" collapsed="false">
      <c r="A727" s="6" t="s">
        <v>58</v>
      </c>
      <c r="B727" s="6" t="s">
        <v>59</v>
      </c>
      <c r="C727" s="6" t="s">
        <v>44</v>
      </c>
      <c r="D727" s="6" t="s">
        <v>114</v>
      </c>
      <c r="E727" s="6" t="n">
        <v>4</v>
      </c>
      <c r="F727" s="6" t="n">
        <v>7</v>
      </c>
      <c r="G727" s="6" t="s">
        <v>859</v>
      </c>
    </row>
    <row r="728" customFormat="false" ht="15" hidden="false" customHeight="false" outlineLevel="0" collapsed="false">
      <c r="A728" s="6" t="s">
        <v>58</v>
      </c>
      <c r="B728" s="6" t="s">
        <v>59</v>
      </c>
      <c r="C728" s="6" t="s">
        <v>44</v>
      </c>
      <c r="D728" s="6" t="s">
        <v>114</v>
      </c>
      <c r="E728" s="6" t="n">
        <v>4</v>
      </c>
      <c r="F728" s="6" t="n">
        <v>7</v>
      </c>
      <c r="G728" s="6" t="s">
        <v>860</v>
      </c>
    </row>
    <row r="729" customFormat="false" ht="15" hidden="false" customHeight="false" outlineLevel="0" collapsed="false">
      <c r="A729" s="6" t="s">
        <v>58</v>
      </c>
      <c r="B729" s="6" t="s">
        <v>59</v>
      </c>
      <c r="C729" s="6" t="s">
        <v>44</v>
      </c>
      <c r="D729" s="6" t="s">
        <v>114</v>
      </c>
      <c r="E729" s="6" t="n">
        <v>4</v>
      </c>
      <c r="F729" s="6" t="n">
        <v>7</v>
      </c>
      <c r="G729" s="6" t="s">
        <v>861</v>
      </c>
    </row>
    <row r="730" customFormat="false" ht="15" hidden="false" customHeight="false" outlineLevel="0" collapsed="false">
      <c r="A730" s="6" t="s">
        <v>58</v>
      </c>
      <c r="B730" s="6" t="s">
        <v>59</v>
      </c>
      <c r="C730" s="6" t="s">
        <v>44</v>
      </c>
      <c r="D730" s="6" t="s">
        <v>114</v>
      </c>
      <c r="E730" s="6" t="n">
        <v>4</v>
      </c>
      <c r="F730" s="6" t="n">
        <v>8</v>
      </c>
      <c r="G730" s="6" t="s">
        <v>862</v>
      </c>
    </row>
    <row r="731" customFormat="false" ht="15" hidden="false" customHeight="false" outlineLevel="0" collapsed="false">
      <c r="A731" s="6" t="s">
        <v>58</v>
      </c>
      <c r="B731" s="6" t="s">
        <v>59</v>
      </c>
      <c r="C731" s="6" t="s">
        <v>44</v>
      </c>
      <c r="D731" s="6" t="s">
        <v>114</v>
      </c>
      <c r="E731" s="6" t="n">
        <v>4</v>
      </c>
      <c r="F731" s="6" t="n">
        <v>8</v>
      </c>
      <c r="G731" s="6" t="s">
        <v>863</v>
      </c>
    </row>
    <row r="732" customFormat="false" ht="15" hidden="false" customHeight="false" outlineLevel="0" collapsed="false">
      <c r="A732" s="6" t="s">
        <v>58</v>
      </c>
      <c r="B732" s="6" t="s">
        <v>59</v>
      </c>
      <c r="C732" s="6" t="s">
        <v>44</v>
      </c>
      <c r="D732" s="6" t="s">
        <v>114</v>
      </c>
      <c r="E732" s="6" t="n">
        <v>4</v>
      </c>
      <c r="F732" s="6" t="n">
        <v>8</v>
      </c>
      <c r="G732" s="6" t="s">
        <v>864</v>
      </c>
    </row>
    <row r="733" customFormat="false" ht="15" hidden="false" customHeight="false" outlineLevel="0" collapsed="false">
      <c r="A733" s="6" t="s">
        <v>58</v>
      </c>
      <c r="B733" s="6" t="s">
        <v>59</v>
      </c>
      <c r="C733" s="6" t="s">
        <v>44</v>
      </c>
      <c r="D733" s="6" t="s">
        <v>114</v>
      </c>
      <c r="E733" s="6" t="n">
        <v>4</v>
      </c>
      <c r="F733" s="6" t="n">
        <v>8</v>
      </c>
      <c r="G733" s="6" t="s">
        <v>865</v>
      </c>
    </row>
    <row r="734" customFormat="false" ht="15" hidden="false" customHeight="false" outlineLevel="0" collapsed="false">
      <c r="A734" s="6" t="s">
        <v>58</v>
      </c>
      <c r="B734" s="6" t="s">
        <v>59</v>
      </c>
      <c r="C734" s="6" t="s">
        <v>44</v>
      </c>
      <c r="D734" s="6" t="s">
        <v>114</v>
      </c>
      <c r="E734" s="6" t="n">
        <v>4</v>
      </c>
      <c r="F734" s="6" t="n">
        <v>9</v>
      </c>
      <c r="G734" s="6" t="s">
        <v>866</v>
      </c>
    </row>
    <row r="735" customFormat="false" ht="15" hidden="false" customHeight="false" outlineLevel="0" collapsed="false">
      <c r="A735" s="6" t="s">
        <v>58</v>
      </c>
      <c r="B735" s="6" t="s">
        <v>59</v>
      </c>
      <c r="C735" s="6" t="s">
        <v>44</v>
      </c>
      <c r="D735" s="6" t="s">
        <v>114</v>
      </c>
      <c r="E735" s="6" t="n">
        <v>4</v>
      </c>
      <c r="F735" s="6" t="n">
        <v>9</v>
      </c>
      <c r="G735" s="6" t="s">
        <v>867</v>
      </c>
    </row>
    <row r="736" customFormat="false" ht="15" hidden="false" customHeight="false" outlineLevel="0" collapsed="false">
      <c r="A736" s="6" t="s">
        <v>58</v>
      </c>
      <c r="B736" s="6" t="s">
        <v>59</v>
      </c>
      <c r="C736" s="6" t="s">
        <v>44</v>
      </c>
      <c r="D736" s="6" t="s">
        <v>114</v>
      </c>
      <c r="E736" s="6" t="n">
        <v>4</v>
      </c>
      <c r="F736" s="6" t="n">
        <v>9</v>
      </c>
      <c r="G736" s="6" t="s">
        <v>868</v>
      </c>
    </row>
    <row r="737" customFormat="false" ht="15" hidden="false" customHeight="false" outlineLevel="0" collapsed="false">
      <c r="A737" s="6" t="s">
        <v>58</v>
      </c>
      <c r="B737" s="6" t="s">
        <v>59</v>
      </c>
      <c r="C737" s="6" t="s">
        <v>44</v>
      </c>
      <c r="D737" s="6" t="s">
        <v>114</v>
      </c>
      <c r="E737" s="6" t="n">
        <v>4</v>
      </c>
      <c r="F737" s="6" t="n">
        <v>9</v>
      </c>
      <c r="G737" s="6" t="s">
        <v>869</v>
      </c>
    </row>
    <row r="738" customFormat="false" ht="15" hidden="false" customHeight="false" outlineLevel="0" collapsed="false">
      <c r="A738" s="6" t="s">
        <v>58</v>
      </c>
      <c r="B738" s="6" t="s">
        <v>59</v>
      </c>
      <c r="C738" s="6" t="s">
        <v>44</v>
      </c>
      <c r="D738" s="6" t="s">
        <v>114</v>
      </c>
      <c r="E738" s="6" t="n">
        <v>4</v>
      </c>
      <c r="F738" s="6" t="n">
        <v>10</v>
      </c>
      <c r="G738" s="6" t="s">
        <v>870</v>
      </c>
    </row>
    <row r="739" customFormat="false" ht="15" hidden="false" customHeight="false" outlineLevel="0" collapsed="false">
      <c r="A739" s="6" t="s">
        <v>58</v>
      </c>
      <c r="B739" s="6" t="s">
        <v>59</v>
      </c>
      <c r="C739" s="6" t="s">
        <v>44</v>
      </c>
      <c r="D739" s="6" t="s">
        <v>114</v>
      </c>
      <c r="E739" s="6" t="n">
        <v>4</v>
      </c>
      <c r="F739" s="6" t="n">
        <v>10</v>
      </c>
      <c r="G739" s="6" t="s">
        <v>871</v>
      </c>
    </row>
    <row r="740" customFormat="false" ht="15" hidden="false" customHeight="false" outlineLevel="0" collapsed="false">
      <c r="A740" s="6" t="s">
        <v>58</v>
      </c>
      <c r="B740" s="6" t="s">
        <v>59</v>
      </c>
      <c r="C740" s="6" t="s">
        <v>44</v>
      </c>
      <c r="D740" s="6" t="s">
        <v>114</v>
      </c>
      <c r="E740" s="6" t="n">
        <v>4</v>
      </c>
      <c r="F740" s="6" t="n">
        <v>10</v>
      </c>
      <c r="G740" s="6" t="s">
        <v>872</v>
      </c>
    </row>
    <row r="741" customFormat="false" ht="15" hidden="false" customHeight="false" outlineLevel="0" collapsed="false">
      <c r="A741" s="6" t="s">
        <v>58</v>
      </c>
      <c r="B741" s="6" t="s">
        <v>59</v>
      </c>
      <c r="C741" s="6" t="s">
        <v>44</v>
      </c>
      <c r="D741" s="6" t="s">
        <v>114</v>
      </c>
      <c r="E741" s="6" t="n">
        <v>4</v>
      </c>
      <c r="F741" s="6" t="n">
        <v>10</v>
      </c>
      <c r="G741" s="6" t="s">
        <v>873</v>
      </c>
    </row>
    <row r="742" customFormat="false" ht="15" hidden="false" customHeight="false" outlineLevel="0" collapsed="false">
      <c r="A742" s="6" t="s">
        <v>60</v>
      </c>
      <c r="B742" s="6" t="s">
        <v>59</v>
      </c>
      <c r="C742" s="6" t="s">
        <v>51</v>
      </c>
      <c r="D742" s="6" t="s">
        <v>119</v>
      </c>
      <c r="E742" s="6" t="n">
        <v>16</v>
      </c>
      <c r="F742" s="6" t="n">
        <v>1</v>
      </c>
      <c r="G742" s="6" t="s">
        <v>874</v>
      </c>
    </row>
    <row r="743" customFormat="false" ht="15" hidden="false" customHeight="false" outlineLevel="0" collapsed="false">
      <c r="A743" s="6" t="s">
        <v>60</v>
      </c>
      <c r="B743" s="6" t="s">
        <v>59</v>
      </c>
      <c r="C743" s="6" t="s">
        <v>51</v>
      </c>
      <c r="D743" s="6" t="s">
        <v>119</v>
      </c>
      <c r="E743" s="6" t="n">
        <v>16</v>
      </c>
      <c r="F743" s="6" t="n">
        <v>1</v>
      </c>
      <c r="G743" s="6" t="s">
        <v>875</v>
      </c>
    </row>
    <row r="744" customFormat="false" ht="15" hidden="false" customHeight="false" outlineLevel="0" collapsed="false">
      <c r="A744" s="6" t="s">
        <v>60</v>
      </c>
      <c r="B744" s="6" t="s">
        <v>59</v>
      </c>
      <c r="C744" s="6" t="s">
        <v>51</v>
      </c>
      <c r="D744" s="6" t="s">
        <v>119</v>
      </c>
      <c r="E744" s="6" t="n">
        <v>16</v>
      </c>
      <c r="F744" s="6" t="n">
        <v>1</v>
      </c>
      <c r="G744" s="6" t="s">
        <v>876</v>
      </c>
    </row>
    <row r="745" customFormat="false" ht="15" hidden="false" customHeight="false" outlineLevel="0" collapsed="false">
      <c r="A745" s="6" t="s">
        <v>60</v>
      </c>
      <c r="B745" s="6" t="s">
        <v>59</v>
      </c>
      <c r="C745" s="6" t="s">
        <v>51</v>
      </c>
      <c r="D745" s="6" t="s">
        <v>119</v>
      </c>
      <c r="E745" s="6" t="n">
        <v>16</v>
      </c>
      <c r="F745" s="6" t="n">
        <v>1</v>
      </c>
      <c r="G745" s="6" t="s">
        <v>877</v>
      </c>
    </row>
    <row r="746" customFormat="false" ht="15" hidden="false" customHeight="false" outlineLevel="0" collapsed="false">
      <c r="A746" s="6" t="s">
        <v>60</v>
      </c>
      <c r="B746" s="6" t="s">
        <v>59</v>
      </c>
      <c r="C746" s="6" t="s">
        <v>51</v>
      </c>
      <c r="D746" s="6" t="s">
        <v>119</v>
      </c>
      <c r="E746" s="6" t="n">
        <v>16</v>
      </c>
      <c r="F746" s="6" t="n">
        <v>1</v>
      </c>
      <c r="G746" s="6" t="s">
        <v>878</v>
      </c>
    </row>
    <row r="747" customFormat="false" ht="15" hidden="false" customHeight="false" outlineLevel="0" collapsed="false">
      <c r="A747" s="6" t="s">
        <v>60</v>
      </c>
      <c r="B747" s="6" t="s">
        <v>59</v>
      </c>
      <c r="C747" s="6" t="s">
        <v>51</v>
      </c>
      <c r="D747" s="6" t="s">
        <v>119</v>
      </c>
      <c r="E747" s="6" t="n">
        <v>16</v>
      </c>
      <c r="F747" s="6" t="n">
        <v>1</v>
      </c>
      <c r="G747" s="6" t="s">
        <v>879</v>
      </c>
    </row>
    <row r="748" customFormat="false" ht="15" hidden="false" customHeight="false" outlineLevel="0" collapsed="false">
      <c r="A748" s="6" t="s">
        <v>60</v>
      </c>
      <c r="B748" s="6" t="s">
        <v>59</v>
      </c>
      <c r="C748" s="6" t="s">
        <v>51</v>
      </c>
      <c r="D748" s="6" t="s">
        <v>119</v>
      </c>
      <c r="E748" s="6" t="n">
        <v>16</v>
      </c>
      <c r="F748" s="6" t="n">
        <v>1</v>
      </c>
      <c r="G748" s="6" t="s">
        <v>880</v>
      </c>
    </row>
    <row r="749" customFormat="false" ht="15" hidden="false" customHeight="false" outlineLevel="0" collapsed="false">
      <c r="A749" s="6" t="s">
        <v>60</v>
      </c>
      <c r="B749" s="6" t="s">
        <v>59</v>
      </c>
      <c r="C749" s="6" t="s">
        <v>51</v>
      </c>
      <c r="D749" s="6" t="s">
        <v>119</v>
      </c>
      <c r="E749" s="6" t="n">
        <v>16</v>
      </c>
      <c r="F749" s="6" t="n">
        <v>1</v>
      </c>
      <c r="G749" s="6" t="s">
        <v>881</v>
      </c>
    </row>
    <row r="750" customFormat="false" ht="15" hidden="false" customHeight="false" outlineLevel="0" collapsed="false">
      <c r="A750" s="6" t="s">
        <v>60</v>
      </c>
      <c r="B750" s="6" t="s">
        <v>59</v>
      </c>
      <c r="C750" s="6" t="s">
        <v>51</v>
      </c>
      <c r="D750" s="6" t="s">
        <v>119</v>
      </c>
      <c r="E750" s="6" t="n">
        <v>16</v>
      </c>
      <c r="F750" s="6" t="n">
        <v>1</v>
      </c>
      <c r="G750" s="6" t="s">
        <v>882</v>
      </c>
    </row>
    <row r="751" customFormat="false" ht="15" hidden="false" customHeight="false" outlineLevel="0" collapsed="false">
      <c r="A751" s="6" t="s">
        <v>60</v>
      </c>
      <c r="B751" s="6" t="s">
        <v>59</v>
      </c>
      <c r="C751" s="6" t="s">
        <v>51</v>
      </c>
      <c r="D751" s="6" t="s">
        <v>119</v>
      </c>
      <c r="E751" s="6" t="n">
        <v>16</v>
      </c>
      <c r="F751" s="6" t="n">
        <v>1</v>
      </c>
      <c r="G751" s="6" t="s">
        <v>883</v>
      </c>
    </row>
    <row r="752" customFormat="false" ht="15" hidden="false" customHeight="false" outlineLevel="0" collapsed="false">
      <c r="A752" s="6" t="s">
        <v>60</v>
      </c>
      <c r="B752" s="6" t="s">
        <v>59</v>
      </c>
      <c r="C752" s="6" t="s">
        <v>51</v>
      </c>
      <c r="D752" s="6" t="s">
        <v>119</v>
      </c>
      <c r="E752" s="6" t="n">
        <v>16</v>
      </c>
      <c r="F752" s="6" t="n">
        <v>1</v>
      </c>
      <c r="G752" s="6" t="s">
        <v>884</v>
      </c>
    </row>
    <row r="753" customFormat="false" ht="15" hidden="false" customHeight="false" outlineLevel="0" collapsed="false">
      <c r="A753" s="6" t="s">
        <v>60</v>
      </c>
      <c r="B753" s="6" t="s">
        <v>59</v>
      </c>
      <c r="C753" s="6" t="s">
        <v>51</v>
      </c>
      <c r="D753" s="6" t="s">
        <v>119</v>
      </c>
      <c r="E753" s="6" t="n">
        <v>16</v>
      </c>
      <c r="F753" s="6" t="n">
        <v>1</v>
      </c>
      <c r="G753" s="6" t="s">
        <v>885</v>
      </c>
    </row>
    <row r="754" customFormat="false" ht="15" hidden="false" customHeight="false" outlineLevel="0" collapsed="false">
      <c r="A754" s="6" t="s">
        <v>60</v>
      </c>
      <c r="B754" s="6" t="s">
        <v>59</v>
      </c>
      <c r="C754" s="6" t="s">
        <v>51</v>
      </c>
      <c r="D754" s="6" t="s">
        <v>119</v>
      </c>
      <c r="E754" s="6" t="n">
        <v>16</v>
      </c>
      <c r="F754" s="6" t="n">
        <v>1</v>
      </c>
      <c r="G754" s="6" t="s">
        <v>886</v>
      </c>
    </row>
    <row r="755" customFormat="false" ht="15" hidden="false" customHeight="false" outlineLevel="0" collapsed="false">
      <c r="A755" s="6" t="s">
        <v>60</v>
      </c>
      <c r="B755" s="6" t="s">
        <v>59</v>
      </c>
      <c r="C755" s="6" t="s">
        <v>51</v>
      </c>
      <c r="D755" s="6" t="s">
        <v>119</v>
      </c>
      <c r="E755" s="6" t="n">
        <v>16</v>
      </c>
      <c r="F755" s="6" t="n">
        <v>1</v>
      </c>
      <c r="G755" s="6" t="s">
        <v>887</v>
      </c>
    </row>
    <row r="756" customFormat="false" ht="15" hidden="false" customHeight="false" outlineLevel="0" collapsed="false">
      <c r="A756" s="6" t="s">
        <v>60</v>
      </c>
      <c r="B756" s="6" t="s">
        <v>59</v>
      </c>
      <c r="C756" s="6" t="s">
        <v>51</v>
      </c>
      <c r="D756" s="6" t="s">
        <v>119</v>
      </c>
      <c r="E756" s="6" t="n">
        <v>16</v>
      </c>
      <c r="F756" s="6" t="n">
        <v>1</v>
      </c>
      <c r="G756" s="6" t="s">
        <v>888</v>
      </c>
    </row>
    <row r="757" customFormat="false" ht="15" hidden="false" customHeight="false" outlineLevel="0" collapsed="false">
      <c r="A757" s="6" t="s">
        <v>60</v>
      </c>
      <c r="B757" s="6" t="s">
        <v>59</v>
      </c>
      <c r="C757" s="6" t="s">
        <v>51</v>
      </c>
      <c r="D757" s="6" t="s">
        <v>119</v>
      </c>
      <c r="E757" s="6" t="n">
        <v>16</v>
      </c>
      <c r="F757" s="6" t="n">
        <v>1</v>
      </c>
      <c r="G757" s="6" t="s">
        <v>889</v>
      </c>
    </row>
    <row r="758" customFormat="false" ht="15" hidden="false" customHeight="false" outlineLevel="0" collapsed="false">
      <c r="A758" s="6" t="s">
        <v>60</v>
      </c>
      <c r="B758" s="6" t="s">
        <v>59</v>
      </c>
      <c r="C758" s="6" t="s">
        <v>51</v>
      </c>
      <c r="D758" s="6" t="s">
        <v>119</v>
      </c>
      <c r="E758" s="6" t="n">
        <v>16</v>
      </c>
      <c r="F758" s="6" t="n">
        <v>2</v>
      </c>
      <c r="G758" s="6" t="s">
        <v>890</v>
      </c>
    </row>
    <row r="759" customFormat="false" ht="15" hidden="false" customHeight="false" outlineLevel="0" collapsed="false">
      <c r="A759" s="6" t="s">
        <v>60</v>
      </c>
      <c r="B759" s="6" t="s">
        <v>59</v>
      </c>
      <c r="C759" s="6" t="s">
        <v>51</v>
      </c>
      <c r="D759" s="6" t="s">
        <v>119</v>
      </c>
      <c r="E759" s="6" t="n">
        <v>16</v>
      </c>
      <c r="F759" s="6" t="n">
        <v>2</v>
      </c>
      <c r="G759" s="6" t="s">
        <v>891</v>
      </c>
    </row>
    <row r="760" customFormat="false" ht="15" hidden="false" customHeight="false" outlineLevel="0" collapsed="false">
      <c r="A760" s="6" t="s">
        <v>60</v>
      </c>
      <c r="B760" s="6" t="s">
        <v>59</v>
      </c>
      <c r="C760" s="6" t="s">
        <v>51</v>
      </c>
      <c r="D760" s="6" t="s">
        <v>119</v>
      </c>
      <c r="E760" s="6" t="n">
        <v>16</v>
      </c>
      <c r="F760" s="6" t="n">
        <v>2</v>
      </c>
      <c r="G760" s="6" t="s">
        <v>892</v>
      </c>
    </row>
    <row r="761" customFormat="false" ht="15" hidden="false" customHeight="false" outlineLevel="0" collapsed="false">
      <c r="A761" s="6" t="s">
        <v>60</v>
      </c>
      <c r="B761" s="6" t="s">
        <v>59</v>
      </c>
      <c r="C761" s="6" t="s">
        <v>51</v>
      </c>
      <c r="D761" s="6" t="s">
        <v>119</v>
      </c>
      <c r="E761" s="6" t="n">
        <v>16</v>
      </c>
      <c r="F761" s="6" t="n">
        <v>2</v>
      </c>
      <c r="G761" s="6" t="s">
        <v>893</v>
      </c>
    </row>
    <row r="762" customFormat="false" ht="15" hidden="false" customHeight="false" outlineLevel="0" collapsed="false">
      <c r="A762" s="6" t="s">
        <v>60</v>
      </c>
      <c r="B762" s="6" t="s">
        <v>59</v>
      </c>
      <c r="C762" s="6" t="s">
        <v>51</v>
      </c>
      <c r="D762" s="6" t="s">
        <v>119</v>
      </c>
      <c r="E762" s="6" t="n">
        <v>16</v>
      </c>
      <c r="F762" s="6" t="n">
        <v>2</v>
      </c>
      <c r="G762" s="6" t="s">
        <v>894</v>
      </c>
    </row>
    <row r="763" customFormat="false" ht="15" hidden="false" customHeight="false" outlineLevel="0" collapsed="false">
      <c r="A763" s="6" t="s">
        <v>60</v>
      </c>
      <c r="B763" s="6" t="s">
        <v>59</v>
      </c>
      <c r="C763" s="6" t="s">
        <v>51</v>
      </c>
      <c r="D763" s="6" t="s">
        <v>119</v>
      </c>
      <c r="E763" s="6" t="n">
        <v>16</v>
      </c>
      <c r="F763" s="6" t="n">
        <v>2</v>
      </c>
      <c r="G763" s="6" t="s">
        <v>895</v>
      </c>
    </row>
    <row r="764" customFormat="false" ht="15" hidden="false" customHeight="false" outlineLevel="0" collapsed="false">
      <c r="A764" s="6" t="s">
        <v>60</v>
      </c>
      <c r="B764" s="6" t="s">
        <v>59</v>
      </c>
      <c r="C764" s="6" t="s">
        <v>51</v>
      </c>
      <c r="D764" s="6" t="s">
        <v>119</v>
      </c>
      <c r="E764" s="6" t="n">
        <v>16</v>
      </c>
      <c r="F764" s="6" t="n">
        <v>2</v>
      </c>
      <c r="G764" s="6" t="s">
        <v>896</v>
      </c>
    </row>
    <row r="765" customFormat="false" ht="15" hidden="false" customHeight="false" outlineLevel="0" collapsed="false">
      <c r="A765" s="6" t="s">
        <v>60</v>
      </c>
      <c r="B765" s="6" t="s">
        <v>59</v>
      </c>
      <c r="C765" s="6" t="s">
        <v>51</v>
      </c>
      <c r="D765" s="6" t="s">
        <v>119</v>
      </c>
      <c r="E765" s="6" t="n">
        <v>16</v>
      </c>
      <c r="F765" s="6" t="n">
        <v>2</v>
      </c>
      <c r="G765" s="6" t="s">
        <v>897</v>
      </c>
    </row>
    <row r="766" customFormat="false" ht="15" hidden="false" customHeight="false" outlineLevel="0" collapsed="false">
      <c r="A766" s="6" t="s">
        <v>60</v>
      </c>
      <c r="B766" s="6" t="s">
        <v>59</v>
      </c>
      <c r="C766" s="6" t="s">
        <v>51</v>
      </c>
      <c r="D766" s="6" t="s">
        <v>119</v>
      </c>
      <c r="E766" s="6" t="n">
        <v>16</v>
      </c>
      <c r="F766" s="6" t="n">
        <v>2</v>
      </c>
      <c r="G766" s="6" t="s">
        <v>898</v>
      </c>
    </row>
    <row r="767" customFormat="false" ht="15" hidden="false" customHeight="false" outlineLevel="0" collapsed="false">
      <c r="A767" s="6" t="s">
        <v>60</v>
      </c>
      <c r="B767" s="6" t="s">
        <v>59</v>
      </c>
      <c r="C767" s="6" t="s">
        <v>51</v>
      </c>
      <c r="D767" s="6" t="s">
        <v>119</v>
      </c>
      <c r="E767" s="6" t="n">
        <v>16</v>
      </c>
      <c r="F767" s="6" t="n">
        <v>2</v>
      </c>
      <c r="G767" s="6" t="s">
        <v>899</v>
      </c>
    </row>
    <row r="768" customFormat="false" ht="15" hidden="false" customHeight="false" outlineLevel="0" collapsed="false">
      <c r="A768" s="6" t="s">
        <v>60</v>
      </c>
      <c r="B768" s="6" t="s">
        <v>59</v>
      </c>
      <c r="C768" s="6" t="s">
        <v>51</v>
      </c>
      <c r="D768" s="6" t="s">
        <v>119</v>
      </c>
      <c r="E768" s="6" t="n">
        <v>16</v>
      </c>
      <c r="F768" s="6" t="n">
        <v>2</v>
      </c>
      <c r="G768" s="6" t="s">
        <v>900</v>
      </c>
    </row>
    <row r="769" customFormat="false" ht="15" hidden="false" customHeight="false" outlineLevel="0" collapsed="false">
      <c r="A769" s="6" t="s">
        <v>60</v>
      </c>
      <c r="B769" s="6" t="s">
        <v>59</v>
      </c>
      <c r="C769" s="6" t="s">
        <v>51</v>
      </c>
      <c r="D769" s="6" t="s">
        <v>119</v>
      </c>
      <c r="E769" s="6" t="n">
        <v>16</v>
      </c>
      <c r="F769" s="6" t="n">
        <v>2</v>
      </c>
      <c r="G769" s="6" t="s">
        <v>901</v>
      </c>
    </row>
    <row r="770" customFormat="false" ht="15" hidden="false" customHeight="false" outlineLevel="0" collapsed="false">
      <c r="A770" s="6" t="s">
        <v>60</v>
      </c>
      <c r="B770" s="6" t="s">
        <v>59</v>
      </c>
      <c r="C770" s="6" t="s">
        <v>51</v>
      </c>
      <c r="D770" s="6" t="s">
        <v>119</v>
      </c>
      <c r="E770" s="6" t="n">
        <v>16</v>
      </c>
      <c r="F770" s="6" t="n">
        <v>2</v>
      </c>
      <c r="G770" s="6" t="s">
        <v>902</v>
      </c>
    </row>
    <row r="771" customFormat="false" ht="15" hidden="false" customHeight="false" outlineLevel="0" collapsed="false">
      <c r="A771" s="6" t="s">
        <v>60</v>
      </c>
      <c r="B771" s="6" t="s">
        <v>59</v>
      </c>
      <c r="C771" s="6" t="s">
        <v>51</v>
      </c>
      <c r="D771" s="6" t="s">
        <v>119</v>
      </c>
      <c r="E771" s="6" t="n">
        <v>16</v>
      </c>
      <c r="F771" s="6" t="n">
        <v>2</v>
      </c>
      <c r="G771" s="6" t="s">
        <v>903</v>
      </c>
    </row>
    <row r="772" customFormat="false" ht="15" hidden="false" customHeight="false" outlineLevel="0" collapsed="false">
      <c r="A772" s="6" t="s">
        <v>60</v>
      </c>
      <c r="B772" s="6" t="s">
        <v>59</v>
      </c>
      <c r="C772" s="6" t="s">
        <v>51</v>
      </c>
      <c r="D772" s="6" t="s">
        <v>119</v>
      </c>
      <c r="E772" s="6" t="n">
        <v>16</v>
      </c>
      <c r="F772" s="6" t="n">
        <v>2</v>
      </c>
      <c r="G772" s="6" t="s">
        <v>904</v>
      </c>
    </row>
    <row r="773" customFormat="false" ht="15" hidden="false" customHeight="false" outlineLevel="0" collapsed="false">
      <c r="A773" s="6" t="s">
        <v>60</v>
      </c>
      <c r="B773" s="6" t="s">
        <v>59</v>
      </c>
      <c r="C773" s="6" t="s">
        <v>51</v>
      </c>
      <c r="D773" s="6" t="s">
        <v>119</v>
      </c>
      <c r="E773" s="6" t="n">
        <v>16</v>
      </c>
      <c r="F773" s="6" t="n">
        <v>2</v>
      </c>
      <c r="G773" s="6" t="s">
        <v>905</v>
      </c>
    </row>
    <row r="774" customFormat="false" ht="15" hidden="false" customHeight="false" outlineLevel="0" collapsed="false">
      <c r="A774" s="6" t="s">
        <v>60</v>
      </c>
      <c r="B774" s="6" t="s">
        <v>59</v>
      </c>
      <c r="C774" s="6" t="s">
        <v>51</v>
      </c>
      <c r="D774" s="6" t="s">
        <v>119</v>
      </c>
      <c r="E774" s="6" t="n">
        <v>16</v>
      </c>
      <c r="F774" s="6" t="n">
        <v>3</v>
      </c>
      <c r="G774" s="6" t="s">
        <v>906</v>
      </c>
    </row>
    <row r="775" customFormat="false" ht="15" hidden="false" customHeight="false" outlineLevel="0" collapsed="false">
      <c r="A775" s="6" t="s">
        <v>60</v>
      </c>
      <c r="B775" s="6" t="s">
        <v>59</v>
      </c>
      <c r="C775" s="6" t="s">
        <v>51</v>
      </c>
      <c r="D775" s="6" t="s">
        <v>119</v>
      </c>
      <c r="E775" s="6" t="n">
        <v>16</v>
      </c>
      <c r="F775" s="6" t="n">
        <v>3</v>
      </c>
      <c r="G775" s="6" t="s">
        <v>907</v>
      </c>
    </row>
    <row r="776" customFormat="false" ht="15" hidden="false" customHeight="false" outlineLevel="0" collapsed="false">
      <c r="A776" s="6" t="s">
        <v>60</v>
      </c>
      <c r="B776" s="6" t="s">
        <v>59</v>
      </c>
      <c r="C776" s="6" t="s">
        <v>51</v>
      </c>
      <c r="D776" s="6" t="s">
        <v>119</v>
      </c>
      <c r="E776" s="6" t="n">
        <v>16</v>
      </c>
      <c r="F776" s="6" t="n">
        <v>3</v>
      </c>
      <c r="G776" s="6" t="s">
        <v>908</v>
      </c>
    </row>
    <row r="777" customFormat="false" ht="15" hidden="false" customHeight="false" outlineLevel="0" collapsed="false">
      <c r="A777" s="6" t="s">
        <v>60</v>
      </c>
      <c r="B777" s="6" t="s">
        <v>59</v>
      </c>
      <c r="C777" s="6" t="s">
        <v>51</v>
      </c>
      <c r="D777" s="6" t="s">
        <v>119</v>
      </c>
      <c r="E777" s="6" t="n">
        <v>16</v>
      </c>
      <c r="F777" s="6" t="n">
        <v>3</v>
      </c>
      <c r="G777" s="6" t="s">
        <v>909</v>
      </c>
    </row>
    <row r="778" customFormat="false" ht="15" hidden="false" customHeight="false" outlineLevel="0" collapsed="false">
      <c r="A778" s="6" t="s">
        <v>60</v>
      </c>
      <c r="B778" s="6" t="s">
        <v>59</v>
      </c>
      <c r="C778" s="6" t="s">
        <v>51</v>
      </c>
      <c r="D778" s="6" t="s">
        <v>119</v>
      </c>
      <c r="E778" s="6" t="n">
        <v>16</v>
      </c>
      <c r="F778" s="6" t="n">
        <v>3</v>
      </c>
      <c r="G778" s="6" t="s">
        <v>910</v>
      </c>
    </row>
    <row r="779" customFormat="false" ht="15" hidden="false" customHeight="false" outlineLevel="0" collapsed="false">
      <c r="A779" s="6" t="s">
        <v>60</v>
      </c>
      <c r="B779" s="6" t="s">
        <v>59</v>
      </c>
      <c r="C779" s="6" t="s">
        <v>51</v>
      </c>
      <c r="D779" s="6" t="s">
        <v>119</v>
      </c>
      <c r="E779" s="6" t="n">
        <v>16</v>
      </c>
      <c r="F779" s="6" t="n">
        <v>3</v>
      </c>
      <c r="G779" s="6" t="s">
        <v>911</v>
      </c>
    </row>
    <row r="780" customFormat="false" ht="15" hidden="false" customHeight="false" outlineLevel="0" collapsed="false">
      <c r="A780" s="6" t="s">
        <v>60</v>
      </c>
      <c r="B780" s="6" t="s">
        <v>59</v>
      </c>
      <c r="C780" s="6" t="s">
        <v>51</v>
      </c>
      <c r="D780" s="6" t="s">
        <v>119</v>
      </c>
      <c r="E780" s="6" t="n">
        <v>16</v>
      </c>
      <c r="F780" s="6" t="n">
        <v>3</v>
      </c>
      <c r="G780" s="6" t="s">
        <v>912</v>
      </c>
    </row>
    <row r="781" customFormat="false" ht="15" hidden="false" customHeight="false" outlineLevel="0" collapsed="false">
      <c r="A781" s="6" t="s">
        <v>60</v>
      </c>
      <c r="B781" s="6" t="s">
        <v>59</v>
      </c>
      <c r="C781" s="6" t="s">
        <v>51</v>
      </c>
      <c r="D781" s="6" t="s">
        <v>119</v>
      </c>
      <c r="E781" s="6" t="n">
        <v>16</v>
      </c>
      <c r="F781" s="6" t="n">
        <v>3</v>
      </c>
      <c r="G781" s="6" t="s">
        <v>913</v>
      </c>
    </row>
    <row r="782" customFormat="false" ht="15" hidden="false" customHeight="false" outlineLevel="0" collapsed="false">
      <c r="A782" s="6" t="s">
        <v>60</v>
      </c>
      <c r="B782" s="6" t="s">
        <v>59</v>
      </c>
      <c r="C782" s="6" t="s">
        <v>51</v>
      </c>
      <c r="D782" s="6" t="s">
        <v>119</v>
      </c>
      <c r="E782" s="6" t="n">
        <v>16</v>
      </c>
      <c r="F782" s="6" t="n">
        <v>3</v>
      </c>
      <c r="G782" s="6" t="s">
        <v>914</v>
      </c>
    </row>
    <row r="783" customFormat="false" ht="15" hidden="false" customHeight="false" outlineLevel="0" collapsed="false">
      <c r="A783" s="6" t="s">
        <v>60</v>
      </c>
      <c r="B783" s="6" t="s">
        <v>59</v>
      </c>
      <c r="C783" s="6" t="s">
        <v>51</v>
      </c>
      <c r="D783" s="6" t="s">
        <v>119</v>
      </c>
      <c r="E783" s="6" t="n">
        <v>16</v>
      </c>
      <c r="F783" s="6" t="n">
        <v>3</v>
      </c>
      <c r="G783" s="6" t="s">
        <v>915</v>
      </c>
    </row>
    <row r="784" customFormat="false" ht="15" hidden="false" customHeight="false" outlineLevel="0" collapsed="false">
      <c r="A784" s="6" t="s">
        <v>60</v>
      </c>
      <c r="B784" s="6" t="s">
        <v>59</v>
      </c>
      <c r="C784" s="6" t="s">
        <v>51</v>
      </c>
      <c r="D784" s="6" t="s">
        <v>119</v>
      </c>
      <c r="E784" s="6" t="n">
        <v>16</v>
      </c>
      <c r="F784" s="6" t="n">
        <v>3</v>
      </c>
      <c r="G784" s="6" t="s">
        <v>916</v>
      </c>
    </row>
    <row r="785" customFormat="false" ht="15" hidden="false" customHeight="false" outlineLevel="0" collapsed="false">
      <c r="A785" s="6" t="s">
        <v>60</v>
      </c>
      <c r="B785" s="6" t="s">
        <v>59</v>
      </c>
      <c r="C785" s="6" t="s">
        <v>51</v>
      </c>
      <c r="D785" s="6" t="s">
        <v>119</v>
      </c>
      <c r="E785" s="6" t="n">
        <v>16</v>
      </c>
      <c r="F785" s="6" t="n">
        <v>3</v>
      </c>
      <c r="G785" s="6" t="s">
        <v>917</v>
      </c>
    </row>
    <row r="786" customFormat="false" ht="15" hidden="false" customHeight="false" outlineLevel="0" collapsed="false">
      <c r="A786" s="6" t="s">
        <v>60</v>
      </c>
      <c r="B786" s="6" t="s">
        <v>59</v>
      </c>
      <c r="C786" s="6" t="s">
        <v>51</v>
      </c>
      <c r="D786" s="6" t="s">
        <v>119</v>
      </c>
      <c r="E786" s="6" t="n">
        <v>16</v>
      </c>
      <c r="F786" s="6" t="n">
        <v>3</v>
      </c>
      <c r="G786" s="6" t="s">
        <v>918</v>
      </c>
    </row>
    <row r="787" customFormat="false" ht="15" hidden="false" customHeight="false" outlineLevel="0" collapsed="false">
      <c r="A787" s="6" t="s">
        <v>60</v>
      </c>
      <c r="B787" s="6" t="s">
        <v>59</v>
      </c>
      <c r="C787" s="6" t="s">
        <v>51</v>
      </c>
      <c r="D787" s="6" t="s">
        <v>119</v>
      </c>
      <c r="E787" s="6" t="n">
        <v>16</v>
      </c>
      <c r="F787" s="6" t="n">
        <v>3</v>
      </c>
      <c r="G787" s="6" t="s">
        <v>919</v>
      </c>
    </row>
    <row r="788" customFormat="false" ht="15" hidden="false" customHeight="false" outlineLevel="0" collapsed="false">
      <c r="A788" s="6" t="s">
        <v>60</v>
      </c>
      <c r="B788" s="6" t="s">
        <v>59</v>
      </c>
      <c r="C788" s="6" t="s">
        <v>51</v>
      </c>
      <c r="D788" s="6" t="s">
        <v>119</v>
      </c>
      <c r="E788" s="6" t="n">
        <v>16</v>
      </c>
      <c r="F788" s="6" t="n">
        <v>3</v>
      </c>
      <c r="G788" s="6" t="s">
        <v>920</v>
      </c>
    </row>
    <row r="789" customFormat="false" ht="15" hidden="false" customHeight="false" outlineLevel="0" collapsed="false">
      <c r="A789" s="6" t="s">
        <v>60</v>
      </c>
      <c r="B789" s="6" t="s">
        <v>59</v>
      </c>
      <c r="C789" s="6" t="s">
        <v>51</v>
      </c>
      <c r="D789" s="6" t="s">
        <v>119</v>
      </c>
      <c r="E789" s="6" t="n">
        <v>16</v>
      </c>
      <c r="F789" s="6" t="n">
        <v>3</v>
      </c>
      <c r="G789" s="6" t="s">
        <v>921</v>
      </c>
    </row>
    <row r="790" customFormat="false" ht="15" hidden="false" customHeight="false" outlineLevel="0" collapsed="false">
      <c r="A790" s="6" t="s">
        <v>60</v>
      </c>
      <c r="B790" s="6" t="s">
        <v>59</v>
      </c>
      <c r="C790" s="6" t="s">
        <v>51</v>
      </c>
      <c r="D790" s="6" t="s">
        <v>119</v>
      </c>
      <c r="E790" s="6" t="n">
        <v>16</v>
      </c>
      <c r="F790" s="6" t="n">
        <v>4</v>
      </c>
      <c r="G790" s="6" t="s">
        <v>922</v>
      </c>
    </row>
    <row r="791" customFormat="false" ht="15" hidden="false" customHeight="false" outlineLevel="0" collapsed="false">
      <c r="A791" s="6" t="s">
        <v>60</v>
      </c>
      <c r="B791" s="6" t="s">
        <v>59</v>
      </c>
      <c r="C791" s="6" t="s">
        <v>51</v>
      </c>
      <c r="D791" s="6" t="s">
        <v>119</v>
      </c>
      <c r="E791" s="6" t="n">
        <v>16</v>
      </c>
      <c r="F791" s="6" t="n">
        <v>4</v>
      </c>
      <c r="G791" s="6" t="s">
        <v>923</v>
      </c>
    </row>
    <row r="792" customFormat="false" ht="15" hidden="false" customHeight="false" outlineLevel="0" collapsed="false">
      <c r="A792" s="6" t="s">
        <v>60</v>
      </c>
      <c r="B792" s="6" t="s">
        <v>59</v>
      </c>
      <c r="C792" s="6" t="s">
        <v>51</v>
      </c>
      <c r="D792" s="6" t="s">
        <v>119</v>
      </c>
      <c r="E792" s="6" t="n">
        <v>16</v>
      </c>
      <c r="F792" s="6" t="n">
        <v>4</v>
      </c>
      <c r="G792" s="6" t="s">
        <v>924</v>
      </c>
    </row>
    <row r="793" customFormat="false" ht="15" hidden="false" customHeight="false" outlineLevel="0" collapsed="false">
      <c r="A793" s="6" t="s">
        <v>60</v>
      </c>
      <c r="B793" s="6" t="s">
        <v>59</v>
      </c>
      <c r="C793" s="6" t="s">
        <v>51</v>
      </c>
      <c r="D793" s="6" t="s">
        <v>119</v>
      </c>
      <c r="E793" s="6" t="n">
        <v>16</v>
      </c>
      <c r="F793" s="6" t="n">
        <v>4</v>
      </c>
      <c r="G793" s="6" t="s">
        <v>925</v>
      </c>
    </row>
    <row r="794" customFormat="false" ht="15" hidden="false" customHeight="false" outlineLevel="0" collapsed="false">
      <c r="A794" s="6" t="s">
        <v>60</v>
      </c>
      <c r="B794" s="6" t="s">
        <v>59</v>
      </c>
      <c r="C794" s="6" t="s">
        <v>51</v>
      </c>
      <c r="D794" s="6" t="s">
        <v>119</v>
      </c>
      <c r="E794" s="6" t="n">
        <v>16</v>
      </c>
      <c r="F794" s="6" t="n">
        <v>4</v>
      </c>
      <c r="G794" s="6" t="s">
        <v>926</v>
      </c>
    </row>
    <row r="795" customFormat="false" ht="15" hidden="false" customHeight="false" outlineLevel="0" collapsed="false">
      <c r="A795" s="6" t="s">
        <v>60</v>
      </c>
      <c r="B795" s="6" t="s">
        <v>59</v>
      </c>
      <c r="C795" s="6" t="s">
        <v>51</v>
      </c>
      <c r="D795" s="6" t="s">
        <v>119</v>
      </c>
      <c r="E795" s="6" t="n">
        <v>16</v>
      </c>
      <c r="F795" s="6" t="n">
        <v>4</v>
      </c>
      <c r="G795" s="6" t="s">
        <v>927</v>
      </c>
    </row>
    <row r="796" customFormat="false" ht="15" hidden="false" customHeight="false" outlineLevel="0" collapsed="false">
      <c r="A796" s="6" t="s">
        <v>60</v>
      </c>
      <c r="B796" s="6" t="s">
        <v>59</v>
      </c>
      <c r="C796" s="6" t="s">
        <v>51</v>
      </c>
      <c r="D796" s="6" t="s">
        <v>119</v>
      </c>
      <c r="E796" s="6" t="n">
        <v>16</v>
      </c>
      <c r="F796" s="6" t="n">
        <v>4</v>
      </c>
      <c r="G796" s="6" t="s">
        <v>928</v>
      </c>
    </row>
    <row r="797" customFormat="false" ht="15" hidden="false" customHeight="false" outlineLevel="0" collapsed="false">
      <c r="A797" s="6" t="s">
        <v>60</v>
      </c>
      <c r="B797" s="6" t="s">
        <v>59</v>
      </c>
      <c r="C797" s="6" t="s">
        <v>51</v>
      </c>
      <c r="D797" s="6" t="s">
        <v>119</v>
      </c>
      <c r="E797" s="6" t="n">
        <v>16</v>
      </c>
      <c r="F797" s="6" t="n">
        <v>4</v>
      </c>
      <c r="G797" s="6" t="s">
        <v>929</v>
      </c>
    </row>
    <row r="798" customFormat="false" ht="15" hidden="false" customHeight="false" outlineLevel="0" collapsed="false">
      <c r="A798" s="6" t="s">
        <v>60</v>
      </c>
      <c r="B798" s="6" t="s">
        <v>59</v>
      </c>
      <c r="C798" s="6" t="s">
        <v>51</v>
      </c>
      <c r="D798" s="6" t="s">
        <v>119</v>
      </c>
      <c r="E798" s="6" t="n">
        <v>16</v>
      </c>
      <c r="F798" s="6" t="n">
        <v>4</v>
      </c>
      <c r="G798" s="6" t="s">
        <v>930</v>
      </c>
    </row>
    <row r="799" customFormat="false" ht="15" hidden="false" customHeight="false" outlineLevel="0" collapsed="false">
      <c r="A799" s="6" t="s">
        <v>60</v>
      </c>
      <c r="B799" s="6" t="s">
        <v>59</v>
      </c>
      <c r="C799" s="6" t="s">
        <v>51</v>
      </c>
      <c r="D799" s="6" t="s">
        <v>119</v>
      </c>
      <c r="E799" s="6" t="n">
        <v>16</v>
      </c>
      <c r="F799" s="6" t="n">
        <v>4</v>
      </c>
      <c r="G799" s="6" t="s">
        <v>931</v>
      </c>
    </row>
    <row r="800" customFormat="false" ht="15" hidden="false" customHeight="false" outlineLevel="0" collapsed="false">
      <c r="A800" s="6" t="s">
        <v>60</v>
      </c>
      <c r="B800" s="6" t="s">
        <v>59</v>
      </c>
      <c r="C800" s="6" t="s">
        <v>51</v>
      </c>
      <c r="D800" s="6" t="s">
        <v>119</v>
      </c>
      <c r="E800" s="6" t="n">
        <v>16</v>
      </c>
      <c r="F800" s="6" t="n">
        <v>4</v>
      </c>
      <c r="G800" s="6" t="s">
        <v>932</v>
      </c>
    </row>
    <row r="801" customFormat="false" ht="15" hidden="false" customHeight="false" outlineLevel="0" collapsed="false">
      <c r="A801" s="6" t="s">
        <v>60</v>
      </c>
      <c r="B801" s="6" t="s">
        <v>59</v>
      </c>
      <c r="C801" s="6" t="s">
        <v>51</v>
      </c>
      <c r="D801" s="6" t="s">
        <v>119</v>
      </c>
      <c r="E801" s="6" t="n">
        <v>16</v>
      </c>
      <c r="F801" s="6" t="n">
        <v>4</v>
      </c>
      <c r="G801" s="6" t="s">
        <v>933</v>
      </c>
    </row>
    <row r="802" customFormat="false" ht="15" hidden="false" customHeight="false" outlineLevel="0" collapsed="false">
      <c r="A802" s="6" t="s">
        <v>60</v>
      </c>
      <c r="B802" s="6" t="s">
        <v>59</v>
      </c>
      <c r="C802" s="6" t="s">
        <v>51</v>
      </c>
      <c r="D802" s="6" t="s">
        <v>119</v>
      </c>
      <c r="E802" s="6" t="n">
        <v>16</v>
      </c>
      <c r="F802" s="6" t="n">
        <v>4</v>
      </c>
      <c r="G802" s="6" t="s">
        <v>934</v>
      </c>
    </row>
    <row r="803" customFormat="false" ht="15" hidden="false" customHeight="false" outlineLevel="0" collapsed="false">
      <c r="A803" s="6" t="s">
        <v>60</v>
      </c>
      <c r="B803" s="6" t="s">
        <v>59</v>
      </c>
      <c r="C803" s="6" t="s">
        <v>51</v>
      </c>
      <c r="D803" s="6" t="s">
        <v>119</v>
      </c>
      <c r="E803" s="6" t="n">
        <v>16</v>
      </c>
      <c r="F803" s="6" t="n">
        <v>4</v>
      </c>
      <c r="G803" s="6" t="s">
        <v>935</v>
      </c>
    </row>
    <row r="804" customFormat="false" ht="15" hidden="false" customHeight="false" outlineLevel="0" collapsed="false">
      <c r="A804" s="6" t="s">
        <v>60</v>
      </c>
      <c r="B804" s="6" t="s">
        <v>59</v>
      </c>
      <c r="C804" s="6" t="s">
        <v>51</v>
      </c>
      <c r="D804" s="6" t="s">
        <v>119</v>
      </c>
      <c r="E804" s="6" t="n">
        <v>16</v>
      </c>
      <c r="F804" s="6" t="n">
        <v>4</v>
      </c>
      <c r="G804" s="6" t="s">
        <v>936</v>
      </c>
    </row>
    <row r="805" customFormat="false" ht="15" hidden="false" customHeight="false" outlineLevel="0" collapsed="false">
      <c r="A805" s="6" t="s">
        <v>60</v>
      </c>
      <c r="B805" s="6" t="s">
        <v>59</v>
      </c>
      <c r="C805" s="6" t="s">
        <v>51</v>
      </c>
      <c r="D805" s="6" t="s">
        <v>119</v>
      </c>
      <c r="E805" s="6" t="n">
        <v>16</v>
      </c>
      <c r="F805" s="6" t="n">
        <v>4</v>
      </c>
      <c r="G805" s="6" t="s">
        <v>937</v>
      </c>
    </row>
    <row r="806" customFormat="false" ht="15" hidden="false" customHeight="false" outlineLevel="0" collapsed="false">
      <c r="A806" s="6" t="s">
        <v>60</v>
      </c>
      <c r="B806" s="6" t="s">
        <v>59</v>
      </c>
      <c r="C806" s="6" t="s">
        <v>51</v>
      </c>
      <c r="D806" s="6" t="s">
        <v>119</v>
      </c>
      <c r="E806" s="6" t="n">
        <v>16</v>
      </c>
      <c r="F806" s="6" t="n">
        <v>5</v>
      </c>
      <c r="G806" s="6" t="s">
        <v>938</v>
      </c>
    </row>
    <row r="807" customFormat="false" ht="15" hidden="false" customHeight="false" outlineLevel="0" collapsed="false">
      <c r="A807" s="6" t="s">
        <v>60</v>
      </c>
      <c r="B807" s="6" t="s">
        <v>59</v>
      </c>
      <c r="C807" s="6" t="s">
        <v>51</v>
      </c>
      <c r="D807" s="6" t="s">
        <v>119</v>
      </c>
      <c r="E807" s="6" t="n">
        <v>16</v>
      </c>
      <c r="F807" s="6" t="n">
        <v>5</v>
      </c>
      <c r="G807" s="6" t="s">
        <v>939</v>
      </c>
    </row>
    <row r="808" customFormat="false" ht="15" hidden="false" customHeight="false" outlineLevel="0" collapsed="false">
      <c r="A808" s="6" t="s">
        <v>60</v>
      </c>
      <c r="B808" s="6" t="s">
        <v>59</v>
      </c>
      <c r="C808" s="6" t="s">
        <v>51</v>
      </c>
      <c r="D808" s="6" t="s">
        <v>119</v>
      </c>
      <c r="E808" s="6" t="n">
        <v>16</v>
      </c>
      <c r="F808" s="6" t="n">
        <v>5</v>
      </c>
      <c r="G808" s="6" t="s">
        <v>940</v>
      </c>
    </row>
    <row r="809" customFormat="false" ht="15" hidden="false" customHeight="false" outlineLevel="0" collapsed="false">
      <c r="A809" s="6" t="s">
        <v>60</v>
      </c>
      <c r="B809" s="6" t="s">
        <v>59</v>
      </c>
      <c r="C809" s="6" t="s">
        <v>51</v>
      </c>
      <c r="D809" s="6" t="s">
        <v>119</v>
      </c>
      <c r="E809" s="6" t="n">
        <v>16</v>
      </c>
      <c r="F809" s="6" t="n">
        <v>5</v>
      </c>
      <c r="G809" s="6" t="s">
        <v>941</v>
      </c>
    </row>
    <row r="810" customFormat="false" ht="15" hidden="false" customHeight="false" outlineLevel="0" collapsed="false">
      <c r="A810" s="6" t="s">
        <v>60</v>
      </c>
      <c r="B810" s="6" t="s">
        <v>59</v>
      </c>
      <c r="C810" s="6" t="s">
        <v>51</v>
      </c>
      <c r="D810" s="6" t="s">
        <v>119</v>
      </c>
      <c r="E810" s="6" t="n">
        <v>16</v>
      </c>
      <c r="F810" s="6" t="n">
        <v>5</v>
      </c>
      <c r="G810" s="6" t="s">
        <v>942</v>
      </c>
    </row>
    <row r="811" customFormat="false" ht="15" hidden="false" customHeight="false" outlineLevel="0" collapsed="false">
      <c r="A811" s="6" t="s">
        <v>60</v>
      </c>
      <c r="B811" s="6" t="s">
        <v>59</v>
      </c>
      <c r="C811" s="6" t="s">
        <v>51</v>
      </c>
      <c r="D811" s="6" t="s">
        <v>119</v>
      </c>
      <c r="E811" s="6" t="n">
        <v>16</v>
      </c>
      <c r="F811" s="6" t="n">
        <v>5</v>
      </c>
      <c r="G811" s="6" t="s">
        <v>943</v>
      </c>
    </row>
    <row r="812" customFormat="false" ht="15" hidden="false" customHeight="false" outlineLevel="0" collapsed="false">
      <c r="A812" s="6" t="s">
        <v>60</v>
      </c>
      <c r="B812" s="6" t="s">
        <v>59</v>
      </c>
      <c r="C812" s="6" t="s">
        <v>51</v>
      </c>
      <c r="D812" s="6" t="s">
        <v>119</v>
      </c>
      <c r="E812" s="6" t="n">
        <v>16</v>
      </c>
      <c r="F812" s="6" t="n">
        <v>5</v>
      </c>
      <c r="G812" s="6" t="s">
        <v>944</v>
      </c>
    </row>
    <row r="813" customFormat="false" ht="15" hidden="false" customHeight="false" outlineLevel="0" collapsed="false">
      <c r="A813" s="6" t="s">
        <v>60</v>
      </c>
      <c r="B813" s="6" t="s">
        <v>59</v>
      </c>
      <c r="C813" s="6" t="s">
        <v>51</v>
      </c>
      <c r="D813" s="6" t="s">
        <v>119</v>
      </c>
      <c r="E813" s="6" t="n">
        <v>16</v>
      </c>
      <c r="F813" s="6" t="n">
        <v>5</v>
      </c>
      <c r="G813" s="6" t="s">
        <v>945</v>
      </c>
    </row>
    <row r="814" customFormat="false" ht="15" hidden="false" customHeight="false" outlineLevel="0" collapsed="false">
      <c r="A814" s="6" t="s">
        <v>60</v>
      </c>
      <c r="B814" s="6" t="s">
        <v>59</v>
      </c>
      <c r="C814" s="6" t="s">
        <v>51</v>
      </c>
      <c r="D814" s="6" t="s">
        <v>119</v>
      </c>
      <c r="E814" s="6" t="n">
        <v>16</v>
      </c>
      <c r="F814" s="6" t="n">
        <v>5</v>
      </c>
      <c r="G814" s="6" t="s">
        <v>946</v>
      </c>
    </row>
    <row r="815" customFormat="false" ht="15" hidden="false" customHeight="false" outlineLevel="0" collapsed="false">
      <c r="A815" s="6" t="s">
        <v>60</v>
      </c>
      <c r="B815" s="6" t="s">
        <v>59</v>
      </c>
      <c r="C815" s="6" t="s">
        <v>51</v>
      </c>
      <c r="D815" s="6" t="s">
        <v>119</v>
      </c>
      <c r="E815" s="6" t="n">
        <v>16</v>
      </c>
      <c r="F815" s="6" t="n">
        <v>5</v>
      </c>
      <c r="G815" s="6" t="s">
        <v>947</v>
      </c>
    </row>
    <row r="816" customFormat="false" ht="15" hidden="false" customHeight="false" outlineLevel="0" collapsed="false">
      <c r="A816" s="6" t="s">
        <v>60</v>
      </c>
      <c r="B816" s="6" t="s">
        <v>59</v>
      </c>
      <c r="C816" s="6" t="s">
        <v>51</v>
      </c>
      <c r="D816" s="6" t="s">
        <v>119</v>
      </c>
      <c r="E816" s="6" t="n">
        <v>16</v>
      </c>
      <c r="F816" s="6" t="n">
        <v>5</v>
      </c>
      <c r="G816" s="6" t="s">
        <v>948</v>
      </c>
    </row>
    <row r="817" customFormat="false" ht="15" hidden="false" customHeight="false" outlineLevel="0" collapsed="false">
      <c r="A817" s="6" t="s">
        <v>60</v>
      </c>
      <c r="B817" s="6" t="s">
        <v>59</v>
      </c>
      <c r="C817" s="6" t="s">
        <v>51</v>
      </c>
      <c r="D817" s="6" t="s">
        <v>119</v>
      </c>
      <c r="E817" s="6" t="n">
        <v>16</v>
      </c>
      <c r="F817" s="6" t="n">
        <v>5</v>
      </c>
      <c r="G817" s="6" t="s">
        <v>949</v>
      </c>
    </row>
    <row r="818" customFormat="false" ht="15" hidden="false" customHeight="false" outlineLevel="0" collapsed="false">
      <c r="A818" s="6" t="s">
        <v>60</v>
      </c>
      <c r="B818" s="6" t="s">
        <v>59</v>
      </c>
      <c r="C818" s="6" t="s">
        <v>51</v>
      </c>
      <c r="D818" s="6" t="s">
        <v>119</v>
      </c>
      <c r="E818" s="6" t="n">
        <v>16</v>
      </c>
      <c r="F818" s="6" t="n">
        <v>5</v>
      </c>
      <c r="G818" s="6" t="s">
        <v>950</v>
      </c>
    </row>
    <row r="819" customFormat="false" ht="15" hidden="false" customHeight="false" outlineLevel="0" collapsed="false">
      <c r="A819" s="6" t="s">
        <v>60</v>
      </c>
      <c r="B819" s="6" t="s">
        <v>59</v>
      </c>
      <c r="C819" s="6" t="s">
        <v>51</v>
      </c>
      <c r="D819" s="6" t="s">
        <v>119</v>
      </c>
      <c r="E819" s="6" t="n">
        <v>16</v>
      </c>
      <c r="F819" s="6" t="n">
        <v>5</v>
      </c>
      <c r="G819" s="6" t="s">
        <v>951</v>
      </c>
    </row>
    <row r="820" customFormat="false" ht="15" hidden="false" customHeight="false" outlineLevel="0" collapsed="false">
      <c r="A820" s="6" t="s">
        <v>60</v>
      </c>
      <c r="B820" s="6" t="s">
        <v>59</v>
      </c>
      <c r="C820" s="6" t="s">
        <v>51</v>
      </c>
      <c r="D820" s="6" t="s">
        <v>119</v>
      </c>
      <c r="E820" s="6" t="n">
        <v>16</v>
      </c>
      <c r="F820" s="6" t="n">
        <v>5</v>
      </c>
      <c r="G820" s="6" t="s">
        <v>952</v>
      </c>
    </row>
    <row r="821" customFormat="false" ht="15" hidden="false" customHeight="false" outlineLevel="0" collapsed="false">
      <c r="A821" s="6" t="s">
        <v>60</v>
      </c>
      <c r="B821" s="6" t="s">
        <v>59</v>
      </c>
      <c r="C821" s="6" t="s">
        <v>51</v>
      </c>
      <c r="D821" s="6" t="s">
        <v>119</v>
      </c>
      <c r="E821" s="6" t="n">
        <v>16</v>
      </c>
      <c r="F821" s="6" t="n">
        <v>5</v>
      </c>
      <c r="G821" s="6" t="s">
        <v>953</v>
      </c>
    </row>
    <row r="822" customFormat="false" ht="15" hidden="false" customHeight="false" outlineLevel="0" collapsed="false">
      <c r="A822" s="6" t="s">
        <v>60</v>
      </c>
      <c r="B822" s="6" t="s">
        <v>59</v>
      </c>
      <c r="C822" s="6" t="s">
        <v>51</v>
      </c>
      <c r="D822" s="6" t="s">
        <v>119</v>
      </c>
      <c r="E822" s="6" t="n">
        <v>16</v>
      </c>
      <c r="F822" s="6" t="n">
        <v>6</v>
      </c>
      <c r="G822" s="6" t="s">
        <v>954</v>
      </c>
    </row>
    <row r="823" customFormat="false" ht="15" hidden="false" customHeight="false" outlineLevel="0" collapsed="false">
      <c r="A823" s="6" t="s">
        <v>60</v>
      </c>
      <c r="B823" s="6" t="s">
        <v>59</v>
      </c>
      <c r="C823" s="6" t="s">
        <v>51</v>
      </c>
      <c r="D823" s="6" t="s">
        <v>119</v>
      </c>
      <c r="E823" s="6" t="n">
        <v>16</v>
      </c>
      <c r="F823" s="6" t="n">
        <v>6</v>
      </c>
      <c r="G823" s="6" t="s">
        <v>955</v>
      </c>
    </row>
    <row r="824" customFormat="false" ht="15" hidden="false" customHeight="false" outlineLevel="0" collapsed="false">
      <c r="A824" s="6" t="s">
        <v>60</v>
      </c>
      <c r="B824" s="6" t="s">
        <v>59</v>
      </c>
      <c r="C824" s="6" t="s">
        <v>51</v>
      </c>
      <c r="D824" s="6" t="s">
        <v>119</v>
      </c>
      <c r="E824" s="6" t="n">
        <v>16</v>
      </c>
      <c r="F824" s="6" t="n">
        <v>6</v>
      </c>
      <c r="G824" s="6" t="s">
        <v>956</v>
      </c>
    </row>
    <row r="825" customFormat="false" ht="15" hidden="false" customHeight="false" outlineLevel="0" collapsed="false">
      <c r="A825" s="6" t="s">
        <v>60</v>
      </c>
      <c r="B825" s="6" t="s">
        <v>59</v>
      </c>
      <c r="C825" s="6" t="s">
        <v>51</v>
      </c>
      <c r="D825" s="6" t="s">
        <v>119</v>
      </c>
      <c r="E825" s="6" t="n">
        <v>16</v>
      </c>
      <c r="F825" s="6" t="n">
        <v>6</v>
      </c>
      <c r="G825" s="6" t="s">
        <v>957</v>
      </c>
    </row>
    <row r="826" customFormat="false" ht="15" hidden="false" customHeight="false" outlineLevel="0" collapsed="false">
      <c r="A826" s="6" t="s">
        <v>60</v>
      </c>
      <c r="B826" s="6" t="s">
        <v>59</v>
      </c>
      <c r="C826" s="6" t="s">
        <v>51</v>
      </c>
      <c r="D826" s="6" t="s">
        <v>119</v>
      </c>
      <c r="E826" s="6" t="n">
        <v>16</v>
      </c>
      <c r="F826" s="6" t="n">
        <v>6</v>
      </c>
      <c r="G826" s="6" t="s">
        <v>958</v>
      </c>
    </row>
    <row r="827" customFormat="false" ht="15" hidden="false" customHeight="false" outlineLevel="0" collapsed="false">
      <c r="A827" s="6" t="s">
        <v>60</v>
      </c>
      <c r="B827" s="6" t="s">
        <v>59</v>
      </c>
      <c r="C827" s="6" t="s">
        <v>51</v>
      </c>
      <c r="D827" s="6" t="s">
        <v>119</v>
      </c>
      <c r="E827" s="6" t="n">
        <v>16</v>
      </c>
      <c r="F827" s="6" t="n">
        <v>6</v>
      </c>
      <c r="G827" s="6" t="s">
        <v>959</v>
      </c>
    </row>
    <row r="828" customFormat="false" ht="15" hidden="false" customHeight="false" outlineLevel="0" collapsed="false">
      <c r="A828" s="6" t="s">
        <v>60</v>
      </c>
      <c r="B828" s="6" t="s">
        <v>59</v>
      </c>
      <c r="C828" s="6" t="s">
        <v>51</v>
      </c>
      <c r="D828" s="6" t="s">
        <v>119</v>
      </c>
      <c r="E828" s="6" t="n">
        <v>16</v>
      </c>
      <c r="F828" s="6" t="n">
        <v>6</v>
      </c>
      <c r="G828" s="6" t="s">
        <v>960</v>
      </c>
    </row>
    <row r="829" customFormat="false" ht="15" hidden="false" customHeight="false" outlineLevel="0" collapsed="false">
      <c r="A829" s="6" t="s">
        <v>60</v>
      </c>
      <c r="B829" s="6" t="s">
        <v>59</v>
      </c>
      <c r="C829" s="6" t="s">
        <v>51</v>
      </c>
      <c r="D829" s="6" t="s">
        <v>119</v>
      </c>
      <c r="E829" s="6" t="n">
        <v>16</v>
      </c>
      <c r="F829" s="6" t="n">
        <v>6</v>
      </c>
      <c r="G829" s="6" t="s">
        <v>961</v>
      </c>
    </row>
    <row r="830" customFormat="false" ht="15" hidden="false" customHeight="false" outlineLevel="0" collapsed="false">
      <c r="A830" s="6" t="s">
        <v>60</v>
      </c>
      <c r="B830" s="6" t="s">
        <v>59</v>
      </c>
      <c r="C830" s="6" t="s">
        <v>51</v>
      </c>
      <c r="D830" s="6" t="s">
        <v>119</v>
      </c>
      <c r="E830" s="6" t="n">
        <v>16</v>
      </c>
      <c r="F830" s="6" t="n">
        <v>6</v>
      </c>
      <c r="G830" s="6" t="s">
        <v>962</v>
      </c>
    </row>
    <row r="831" customFormat="false" ht="15" hidden="false" customHeight="false" outlineLevel="0" collapsed="false">
      <c r="A831" s="6" t="s">
        <v>60</v>
      </c>
      <c r="B831" s="6" t="s">
        <v>59</v>
      </c>
      <c r="C831" s="6" t="s">
        <v>51</v>
      </c>
      <c r="D831" s="6" t="s">
        <v>119</v>
      </c>
      <c r="E831" s="6" t="n">
        <v>16</v>
      </c>
      <c r="F831" s="6" t="n">
        <v>6</v>
      </c>
      <c r="G831" s="6" t="s">
        <v>963</v>
      </c>
    </row>
    <row r="832" customFormat="false" ht="15" hidden="false" customHeight="false" outlineLevel="0" collapsed="false">
      <c r="A832" s="6" t="s">
        <v>60</v>
      </c>
      <c r="B832" s="6" t="s">
        <v>59</v>
      </c>
      <c r="C832" s="6" t="s">
        <v>51</v>
      </c>
      <c r="D832" s="6" t="s">
        <v>119</v>
      </c>
      <c r="E832" s="6" t="n">
        <v>16</v>
      </c>
      <c r="F832" s="6" t="n">
        <v>6</v>
      </c>
      <c r="G832" s="6" t="s">
        <v>964</v>
      </c>
    </row>
    <row r="833" customFormat="false" ht="15" hidden="false" customHeight="false" outlineLevel="0" collapsed="false">
      <c r="A833" s="6" t="s">
        <v>60</v>
      </c>
      <c r="B833" s="6" t="s">
        <v>59</v>
      </c>
      <c r="C833" s="6" t="s">
        <v>51</v>
      </c>
      <c r="D833" s="6" t="s">
        <v>119</v>
      </c>
      <c r="E833" s="6" t="n">
        <v>16</v>
      </c>
      <c r="F833" s="6" t="n">
        <v>6</v>
      </c>
      <c r="G833" s="6" t="s">
        <v>965</v>
      </c>
    </row>
    <row r="834" customFormat="false" ht="15" hidden="false" customHeight="false" outlineLevel="0" collapsed="false">
      <c r="A834" s="6" t="s">
        <v>60</v>
      </c>
      <c r="B834" s="6" t="s">
        <v>59</v>
      </c>
      <c r="C834" s="6" t="s">
        <v>51</v>
      </c>
      <c r="D834" s="6" t="s">
        <v>119</v>
      </c>
      <c r="E834" s="6" t="n">
        <v>16</v>
      </c>
      <c r="F834" s="6" t="n">
        <v>6</v>
      </c>
      <c r="G834" s="6" t="s">
        <v>966</v>
      </c>
    </row>
    <row r="835" customFormat="false" ht="15" hidden="false" customHeight="false" outlineLevel="0" collapsed="false">
      <c r="A835" s="6" t="s">
        <v>60</v>
      </c>
      <c r="B835" s="6" t="s">
        <v>59</v>
      </c>
      <c r="C835" s="6" t="s">
        <v>51</v>
      </c>
      <c r="D835" s="6" t="s">
        <v>119</v>
      </c>
      <c r="E835" s="6" t="n">
        <v>16</v>
      </c>
      <c r="F835" s="6" t="n">
        <v>6</v>
      </c>
      <c r="G835" s="6" t="s">
        <v>967</v>
      </c>
    </row>
    <row r="836" customFormat="false" ht="15" hidden="false" customHeight="false" outlineLevel="0" collapsed="false">
      <c r="A836" s="6" t="s">
        <v>60</v>
      </c>
      <c r="B836" s="6" t="s">
        <v>59</v>
      </c>
      <c r="C836" s="6" t="s">
        <v>51</v>
      </c>
      <c r="D836" s="6" t="s">
        <v>119</v>
      </c>
      <c r="E836" s="6" t="n">
        <v>16</v>
      </c>
      <c r="F836" s="6" t="n">
        <v>6</v>
      </c>
      <c r="G836" s="6" t="s">
        <v>968</v>
      </c>
    </row>
    <row r="837" customFormat="false" ht="15" hidden="false" customHeight="false" outlineLevel="0" collapsed="false">
      <c r="A837" s="6" t="s">
        <v>60</v>
      </c>
      <c r="B837" s="6" t="s">
        <v>59</v>
      </c>
      <c r="C837" s="6" t="s">
        <v>51</v>
      </c>
      <c r="D837" s="6" t="s">
        <v>119</v>
      </c>
      <c r="E837" s="6" t="n">
        <v>16</v>
      </c>
      <c r="F837" s="6" t="n">
        <v>6</v>
      </c>
      <c r="G837" s="6" t="s">
        <v>969</v>
      </c>
    </row>
    <row r="838" customFormat="false" ht="15" hidden="false" customHeight="false" outlineLevel="0" collapsed="false">
      <c r="A838" s="6" t="s">
        <v>60</v>
      </c>
      <c r="B838" s="6" t="s">
        <v>59</v>
      </c>
      <c r="C838" s="6" t="s">
        <v>51</v>
      </c>
      <c r="D838" s="6" t="s">
        <v>119</v>
      </c>
      <c r="E838" s="6" t="n">
        <v>16</v>
      </c>
      <c r="F838" s="6" t="n">
        <v>7</v>
      </c>
      <c r="G838" s="6" t="s">
        <v>970</v>
      </c>
    </row>
    <row r="839" customFormat="false" ht="15" hidden="false" customHeight="false" outlineLevel="0" collapsed="false">
      <c r="A839" s="6" t="s">
        <v>60</v>
      </c>
      <c r="B839" s="6" t="s">
        <v>59</v>
      </c>
      <c r="C839" s="6" t="s">
        <v>51</v>
      </c>
      <c r="D839" s="6" t="s">
        <v>119</v>
      </c>
      <c r="E839" s="6" t="n">
        <v>16</v>
      </c>
      <c r="F839" s="6" t="n">
        <v>7</v>
      </c>
      <c r="G839" s="6" t="s">
        <v>971</v>
      </c>
    </row>
    <row r="840" customFormat="false" ht="15" hidden="false" customHeight="false" outlineLevel="0" collapsed="false">
      <c r="A840" s="6" t="s">
        <v>60</v>
      </c>
      <c r="B840" s="6" t="s">
        <v>59</v>
      </c>
      <c r="C840" s="6" t="s">
        <v>51</v>
      </c>
      <c r="D840" s="6" t="s">
        <v>119</v>
      </c>
      <c r="E840" s="6" t="n">
        <v>16</v>
      </c>
      <c r="F840" s="6" t="n">
        <v>7</v>
      </c>
      <c r="G840" s="6" t="s">
        <v>972</v>
      </c>
    </row>
    <row r="841" customFormat="false" ht="15" hidden="false" customHeight="false" outlineLevel="0" collapsed="false">
      <c r="A841" s="6" t="s">
        <v>60</v>
      </c>
      <c r="B841" s="6" t="s">
        <v>59</v>
      </c>
      <c r="C841" s="6" t="s">
        <v>51</v>
      </c>
      <c r="D841" s="6" t="s">
        <v>119</v>
      </c>
      <c r="E841" s="6" t="n">
        <v>16</v>
      </c>
      <c r="F841" s="6" t="n">
        <v>7</v>
      </c>
      <c r="G841" s="6" t="s">
        <v>973</v>
      </c>
    </row>
    <row r="842" customFormat="false" ht="15" hidden="false" customHeight="false" outlineLevel="0" collapsed="false">
      <c r="A842" s="6" t="s">
        <v>60</v>
      </c>
      <c r="B842" s="6" t="s">
        <v>59</v>
      </c>
      <c r="C842" s="6" t="s">
        <v>51</v>
      </c>
      <c r="D842" s="6" t="s">
        <v>119</v>
      </c>
      <c r="E842" s="6" t="n">
        <v>16</v>
      </c>
      <c r="F842" s="6" t="n">
        <v>7</v>
      </c>
      <c r="G842" s="6" t="s">
        <v>974</v>
      </c>
    </row>
    <row r="843" customFormat="false" ht="15" hidden="false" customHeight="false" outlineLevel="0" collapsed="false">
      <c r="A843" s="6" t="s">
        <v>60</v>
      </c>
      <c r="B843" s="6" t="s">
        <v>59</v>
      </c>
      <c r="C843" s="6" t="s">
        <v>51</v>
      </c>
      <c r="D843" s="6" t="s">
        <v>119</v>
      </c>
      <c r="E843" s="6" t="n">
        <v>16</v>
      </c>
      <c r="F843" s="6" t="n">
        <v>7</v>
      </c>
      <c r="G843" s="6" t="s">
        <v>975</v>
      </c>
    </row>
    <row r="844" customFormat="false" ht="15" hidden="false" customHeight="false" outlineLevel="0" collapsed="false">
      <c r="A844" s="6" t="s">
        <v>60</v>
      </c>
      <c r="B844" s="6" t="s">
        <v>59</v>
      </c>
      <c r="C844" s="6" t="s">
        <v>51</v>
      </c>
      <c r="D844" s="6" t="s">
        <v>119</v>
      </c>
      <c r="E844" s="6" t="n">
        <v>16</v>
      </c>
      <c r="F844" s="6" t="n">
        <v>7</v>
      </c>
      <c r="G844" s="6" t="s">
        <v>976</v>
      </c>
    </row>
    <row r="845" customFormat="false" ht="15" hidden="false" customHeight="false" outlineLevel="0" collapsed="false">
      <c r="A845" s="6" t="s">
        <v>60</v>
      </c>
      <c r="B845" s="6" t="s">
        <v>59</v>
      </c>
      <c r="C845" s="6" t="s">
        <v>51</v>
      </c>
      <c r="D845" s="6" t="s">
        <v>119</v>
      </c>
      <c r="E845" s="6" t="n">
        <v>16</v>
      </c>
      <c r="F845" s="6" t="n">
        <v>7</v>
      </c>
      <c r="G845" s="6" t="s">
        <v>977</v>
      </c>
    </row>
    <row r="846" customFormat="false" ht="15" hidden="false" customHeight="false" outlineLevel="0" collapsed="false">
      <c r="A846" s="6" t="s">
        <v>60</v>
      </c>
      <c r="B846" s="6" t="s">
        <v>59</v>
      </c>
      <c r="C846" s="6" t="s">
        <v>51</v>
      </c>
      <c r="D846" s="6" t="s">
        <v>119</v>
      </c>
      <c r="E846" s="6" t="n">
        <v>16</v>
      </c>
      <c r="F846" s="6" t="n">
        <v>7</v>
      </c>
      <c r="G846" s="6" t="s">
        <v>978</v>
      </c>
    </row>
    <row r="847" customFormat="false" ht="15" hidden="false" customHeight="false" outlineLevel="0" collapsed="false">
      <c r="A847" s="6" t="s">
        <v>60</v>
      </c>
      <c r="B847" s="6" t="s">
        <v>59</v>
      </c>
      <c r="C847" s="6" t="s">
        <v>51</v>
      </c>
      <c r="D847" s="6" t="s">
        <v>119</v>
      </c>
      <c r="E847" s="6" t="n">
        <v>16</v>
      </c>
      <c r="F847" s="6" t="n">
        <v>7</v>
      </c>
      <c r="G847" s="6" t="s">
        <v>979</v>
      </c>
    </row>
    <row r="848" customFormat="false" ht="15" hidden="false" customHeight="false" outlineLevel="0" collapsed="false">
      <c r="A848" s="6" t="s">
        <v>60</v>
      </c>
      <c r="B848" s="6" t="s">
        <v>59</v>
      </c>
      <c r="C848" s="6" t="s">
        <v>51</v>
      </c>
      <c r="D848" s="6" t="s">
        <v>119</v>
      </c>
      <c r="E848" s="6" t="n">
        <v>16</v>
      </c>
      <c r="F848" s="6" t="n">
        <v>7</v>
      </c>
      <c r="G848" s="6" t="s">
        <v>980</v>
      </c>
    </row>
    <row r="849" customFormat="false" ht="15" hidden="false" customHeight="false" outlineLevel="0" collapsed="false">
      <c r="A849" s="6" t="s">
        <v>60</v>
      </c>
      <c r="B849" s="6" t="s">
        <v>59</v>
      </c>
      <c r="C849" s="6" t="s">
        <v>51</v>
      </c>
      <c r="D849" s="6" t="s">
        <v>119</v>
      </c>
      <c r="E849" s="6" t="n">
        <v>16</v>
      </c>
      <c r="F849" s="6" t="n">
        <v>7</v>
      </c>
      <c r="G849" s="6" t="s">
        <v>981</v>
      </c>
    </row>
    <row r="850" customFormat="false" ht="15" hidden="false" customHeight="false" outlineLevel="0" collapsed="false">
      <c r="A850" s="6" t="s">
        <v>60</v>
      </c>
      <c r="B850" s="6" t="s">
        <v>59</v>
      </c>
      <c r="C850" s="6" t="s">
        <v>51</v>
      </c>
      <c r="D850" s="6" t="s">
        <v>119</v>
      </c>
      <c r="E850" s="6" t="n">
        <v>16</v>
      </c>
      <c r="F850" s="6" t="n">
        <v>7</v>
      </c>
      <c r="G850" s="6" t="s">
        <v>982</v>
      </c>
    </row>
    <row r="851" customFormat="false" ht="15" hidden="false" customHeight="false" outlineLevel="0" collapsed="false">
      <c r="A851" s="6" t="s">
        <v>60</v>
      </c>
      <c r="B851" s="6" t="s">
        <v>59</v>
      </c>
      <c r="C851" s="6" t="s">
        <v>51</v>
      </c>
      <c r="D851" s="6" t="s">
        <v>119</v>
      </c>
      <c r="E851" s="6" t="n">
        <v>16</v>
      </c>
      <c r="F851" s="6" t="n">
        <v>7</v>
      </c>
      <c r="G851" s="6" t="s">
        <v>983</v>
      </c>
    </row>
    <row r="852" customFormat="false" ht="15" hidden="false" customHeight="false" outlineLevel="0" collapsed="false">
      <c r="A852" s="6" t="s">
        <v>60</v>
      </c>
      <c r="B852" s="6" t="s">
        <v>59</v>
      </c>
      <c r="C852" s="6" t="s">
        <v>51</v>
      </c>
      <c r="D852" s="6" t="s">
        <v>119</v>
      </c>
      <c r="E852" s="6" t="n">
        <v>16</v>
      </c>
      <c r="F852" s="6" t="n">
        <v>7</v>
      </c>
      <c r="G852" s="6" t="s">
        <v>984</v>
      </c>
    </row>
    <row r="853" customFormat="false" ht="15" hidden="false" customHeight="false" outlineLevel="0" collapsed="false">
      <c r="A853" s="6" t="s">
        <v>60</v>
      </c>
      <c r="B853" s="6" t="s">
        <v>59</v>
      </c>
      <c r="C853" s="6" t="s">
        <v>51</v>
      </c>
      <c r="D853" s="6" t="s">
        <v>119</v>
      </c>
      <c r="E853" s="6" t="n">
        <v>16</v>
      </c>
      <c r="F853" s="6" t="n">
        <v>7</v>
      </c>
      <c r="G853" s="6" t="s">
        <v>985</v>
      </c>
    </row>
    <row r="854" customFormat="false" ht="15" hidden="false" customHeight="false" outlineLevel="0" collapsed="false">
      <c r="A854" s="6" t="s">
        <v>60</v>
      </c>
      <c r="B854" s="6" t="s">
        <v>59</v>
      </c>
      <c r="C854" s="6" t="s">
        <v>51</v>
      </c>
      <c r="D854" s="6" t="s">
        <v>119</v>
      </c>
      <c r="E854" s="6" t="n">
        <v>16</v>
      </c>
      <c r="F854" s="6" t="n">
        <v>8</v>
      </c>
      <c r="G854" s="6" t="s">
        <v>986</v>
      </c>
    </row>
    <row r="855" customFormat="false" ht="15" hidden="false" customHeight="false" outlineLevel="0" collapsed="false">
      <c r="A855" s="6" t="s">
        <v>60</v>
      </c>
      <c r="B855" s="6" t="s">
        <v>59</v>
      </c>
      <c r="C855" s="6" t="s">
        <v>51</v>
      </c>
      <c r="D855" s="6" t="s">
        <v>119</v>
      </c>
      <c r="E855" s="6" t="n">
        <v>16</v>
      </c>
      <c r="F855" s="6" t="n">
        <v>8</v>
      </c>
      <c r="G855" s="6" t="s">
        <v>987</v>
      </c>
    </row>
    <row r="856" customFormat="false" ht="15" hidden="false" customHeight="false" outlineLevel="0" collapsed="false">
      <c r="A856" s="6" t="s">
        <v>60</v>
      </c>
      <c r="B856" s="6" t="s">
        <v>59</v>
      </c>
      <c r="C856" s="6" t="s">
        <v>51</v>
      </c>
      <c r="D856" s="6" t="s">
        <v>119</v>
      </c>
      <c r="E856" s="6" t="n">
        <v>16</v>
      </c>
      <c r="F856" s="6" t="n">
        <v>8</v>
      </c>
      <c r="G856" s="6" t="s">
        <v>988</v>
      </c>
    </row>
    <row r="857" customFormat="false" ht="15" hidden="false" customHeight="false" outlineLevel="0" collapsed="false">
      <c r="A857" s="6" t="s">
        <v>60</v>
      </c>
      <c r="B857" s="6" t="s">
        <v>59</v>
      </c>
      <c r="C857" s="6" t="s">
        <v>51</v>
      </c>
      <c r="D857" s="6" t="s">
        <v>119</v>
      </c>
      <c r="E857" s="6" t="n">
        <v>16</v>
      </c>
      <c r="F857" s="6" t="n">
        <v>8</v>
      </c>
      <c r="G857" s="6" t="s">
        <v>989</v>
      </c>
    </row>
    <row r="858" customFormat="false" ht="15" hidden="false" customHeight="false" outlineLevel="0" collapsed="false">
      <c r="A858" s="6" t="s">
        <v>60</v>
      </c>
      <c r="B858" s="6" t="s">
        <v>59</v>
      </c>
      <c r="C858" s="6" t="s">
        <v>51</v>
      </c>
      <c r="D858" s="6" t="s">
        <v>119</v>
      </c>
      <c r="E858" s="6" t="n">
        <v>16</v>
      </c>
      <c r="F858" s="6" t="n">
        <v>8</v>
      </c>
      <c r="G858" s="6" t="s">
        <v>990</v>
      </c>
    </row>
    <row r="859" customFormat="false" ht="15" hidden="false" customHeight="false" outlineLevel="0" collapsed="false">
      <c r="A859" s="6" t="s">
        <v>60</v>
      </c>
      <c r="B859" s="6" t="s">
        <v>59</v>
      </c>
      <c r="C859" s="6" t="s">
        <v>51</v>
      </c>
      <c r="D859" s="6" t="s">
        <v>119</v>
      </c>
      <c r="E859" s="6" t="n">
        <v>16</v>
      </c>
      <c r="F859" s="6" t="n">
        <v>8</v>
      </c>
      <c r="G859" s="6" t="s">
        <v>991</v>
      </c>
    </row>
    <row r="860" customFormat="false" ht="15" hidden="false" customHeight="false" outlineLevel="0" collapsed="false">
      <c r="A860" s="6" t="s">
        <v>60</v>
      </c>
      <c r="B860" s="6" t="s">
        <v>59</v>
      </c>
      <c r="C860" s="6" t="s">
        <v>51</v>
      </c>
      <c r="D860" s="6" t="s">
        <v>119</v>
      </c>
      <c r="E860" s="6" t="n">
        <v>16</v>
      </c>
      <c r="F860" s="6" t="n">
        <v>8</v>
      </c>
      <c r="G860" s="6" t="s">
        <v>992</v>
      </c>
    </row>
    <row r="861" customFormat="false" ht="15" hidden="false" customHeight="false" outlineLevel="0" collapsed="false">
      <c r="A861" s="6" t="s">
        <v>60</v>
      </c>
      <c r="B861" s="6" t="s">
        <v>59</v>
      </c>
      <c r="C861" s="6" t="s">
        <v>51</v>
      </c>
      <c r="D861" s="6" t="s">
        <v>119</v>
      </c>
      <c r="E861" s="6" t="n">
        <v>16</v>
      </c>
      <c r="F861" s="6" t="n">
        <v>8</v>
      </c>
      <c r="G861" s="6" t="s">
        <v>993</v>
      </c>
    </row>
    <row r="862" customFormat="false" ht="15" hidden="false" customHeight="false" outlineLevel="0" collapsed="false">
      <c r="A862" s="6" t="s">
        <v>60</v>
      </c>
      <c r="B862" s="6" t="s">
        <v>59</v>
      </c>
      <c r="C862" s="6" t="s">
        <v>51</v>
      </c>
      <c r="D862" s="6" t="s">
        <v>119</v>
      </c>
      <c r="E862" s="6" t="n">
        <v>16</v>
      </c>
      <c r="F862" s="6" t="n">
        <v>8</v>
      </c>
      <c r="G862" s="6" t="s">
        <v>994</v>
      </c>
    </row>
    <row r="863" customFormat="false" ht="15" hidden="false" customHeight="false" outlineLevel="0" collapsed="false">
      <c r="A863" s="6" t="s">
        <v>60</v>
      </c>
      <c r="B863" s="6" t="s">
        <v>59</v>
      </c>
      <c r="C863" s="6" t="s">
        <v>51</v>
      </c>
      <c r="D863" s="6" t="s">
        <v>119</v>
      </c>
      <c r="E863" s="6" t="n">
        <v>16</v>
      </c>
      <c r="F863" s="6" t="n">
        <v>8</v>
      </c>
      <c r="G863" s="6" t="s">
        <v>995</v>
      </c>
    </row>
    <row r="864" customFormat="false" ht="15" hidden="false" customHeight="false" outlineLevel="0" collapsed="false">
      <c r="A864" s="6" t="s">
        <v>60</v>
      </c>
      <c r="B864" s="6" t="s">
        <v>59</v>
      </c>
      <c r="C864" s="6" t="s">
        <v>51</v>
      </c>
      <c r="D864" s="6" t="s">
        <v>119</v>
      </c>
      <c r="E864" s="6" t="n">
        <v>16</v>
      </c>
      <c r="F864" s="6" t="n">
        <v>8</v>
      </c>
      <c r="G864" s="6" t="s">
        <v>996</v>
      </c>
    </row>
    <row r="865" customFormat="false" ht="15" hidden="false" customHeight="false" outlineLevel="0" collapsed="false">
      <c r="A865" s="6" t="s">
        <v>60</v>
      </c>
      <c r="B865" s="6" t="s">
        <v>59</v>
      </c>
      <c r="C865" s="6" t="s">
        <v>51</v>
      </c>
      <c r="D865" s="6" t="s">
        <v>119</v>
      </c>
      <c r="E865" s="6" t="n">
        <v>16</v>
      </c>
      <c r="F865" s="6" t="n">
        <v>8</v>
      </c>
      <c r="G865" s="6" t="s">
        <v>997</v>
      </c>
    </row>
    <row r="866" customFormat="false" ht="15" hidden="false" customHeight="false" outlineLevel="0" collapsed="false">
      <c r="A866" s="6" t="s">
        <v>60</v>
      </c>
      <c r="B866" s="6" t="s">
        <v>59</v>
      </c>
      <c r="C866" s="6" t="s">
        <v>51</v>
      </c>
      <c r="D866" s="6" t="s">
        <v>119</v>
      </c>
      <c r="E866" s="6" t="n">
        <v>16</v>
      </c>
      <c r="F866" s="6" t="n">
        <v>8</v>
      </c>
      <c r="G866" s="6" t="s">
        <v>998</v>
      </c>
    </row>
    <row r="867" customFormat="false" ht="15" hidden="false" customHeight="false" outlineLevel="0" collapsed="false">
      <c r="A867" s="6" t="s">
        <v>60</v>
      </c>
      <c r="B867" s="6" t="s">
        <v>59</v>
      </c>
      <c r="C867" s="6" t="s">
        <v>51</v>
      </c>
      <c r="D867" s="6" t="s">
        <v>119</v>
      </c>
      <c r="E867" s="6" t="n">
        <v>16</v>
      </c>
      <c r="F867" s="6" t="n">
        <v>8</v>
      </c>
      <c r="G867" s="6" t="s">
        <v>999</v>
      </c>
    </row>
    <row r="868" customFormat="false" ht="15" hidden="false" customHeight="false" outlineLevel="0" collapsed="false">
      <c r="A868" s="6" t="s">
        <v>60</v>
      </c>
      <c r="B868" s="6" t="s">
        <v>59</v>
      </c>
      <c r="C868" s="6" t="s">
        <v>51</v>
      </c>
      <c r="D868" s="6" t="s">
        <v>119</v>
      </c>
      <c r="E868" s="6" t="n">
        <v>16</v>
      </c>
      <c r="F868" s="6" t="n">
        <v>8</v>
      </c>
      <c r="G868" s="6" t="s">
        <v>1000</v>
      </c>
    </row>
    <row r="869" customFormat="false" ht="15" hidden="false" customHeight="false" outlineLevel="0" collapsed="false">
      <c r="A869" s="6" t="s">
        <v>60</v>
      </c>
      <c r="B869" s="6" t="s">
        <v>59</v>
      </c>
      <c r="C869" s="6" t="s">
        <v>51</v>
      </c>
      <c r="D869" s="6" t="s">
        <v>119</v>
      </c>
      <c r="E869" s="6" t="n">
        <v>16</v>
      </c>
      <c r="F869" s="6" t="n">
        <v>8</v>
      </c>
      <c r="G869" s="6" t="s">
        <v>1001</v>
      </c>
    </row>
    <row r="870" customFormat="false" ht="15" hidden="false" customHeight="false" outlineLevel="0" collapsed="false">
      <c r="A870" s="6" t="s">
        <v>60</v>
      </c>
      <c r="B870" s="6" t="s">
        <v>59</v>
      </c>
      <c r="C870" s="6" t="s">
        <v>51</v>
      </c>
      <c r="D870" s="6" t="s">
        <v>119</v>
      </c>
      <c r="E870" s="6" t="n">
        <v>16</v>
      </c>
      <c r="F870" s="6" t="n">
        <v>9</v>
      </c>
      <c r="G870" s="6" t="s">
        <v>1002</v>
      </c>
    </row>
    <row r="871" customFormat="false" ht="15" hidden="false" customHeight="false" outlineLevel="0" collapsed="false">
      <c r="A871" s="6" t="s">
        <v>60</v>
      </c>
      <c r="B871" s="6" t="s">
        <v>59</v>
      </c>
      <c r="C871" s="6" t="s">
        <v>51</v>
      </c>
      <c r="D871" s="6" t="s">
        <v>119</v>
      </c>
      <c r="E871" s="6" t="n">
        <v>16</v>
      </c>
      <c r="F871" s="6" t="n">
        <v>9</v>
      </c>
      <c r="G871" s="6" t="s">
        <v>1003</v>
      </c>
    </row>
    <row r="872" customFormat="false" ht="15" hidden="false" customHeight="false" outlineLevel="0" collapsed="false">
      <c r="A872" s="6" t="s">
        <v>60</v>
      </c>
      <c r="B872" s="6" t="s">
        <v>59</v>
      </c>
      <c r="C872" s="6" t="s">
        <v>51</v>
      </c>
      <c r="D872" s="6" t="s">
        <v>119</v>
      </c>
      <c r="E872" s="6" t="n">
        <v>16</v>
      </c>
      <c r="F872" s="6" t="n">
        <v>9</v>
      </c>
      <c r="G872" s="6" t="s">
        <v>1004</v>
      </c>
    </row>
    <row r="873" customFormat="false" ht="15" hidden="false" customHeight="false" outlineLevel="0" collapsed="false">
      <c r="A873" s="6" t="s">
        <v>60</v>
      </c>
      <c r="B873" s="6" t="s">
        <v>59</v>
      </c>
      <c r="C873" s="6" t="s">
        <v>51</v>
      </c>
      <c r="D873" s="6" t="s">
        <v>119</v>
      </c>
      <c r="E873" s="6" t="n">
        <v>16</v>
      </c>
      <c r="F873" s="6" t="n">
        <v>9</v>
      </c>
      <c r="G873" s="6" t="s">
        <v>1005</v>
      </c>
    </row>
    <row r="874" customFormat="false" ht="15" hidden="false" customHeight="false" outlineLevel="0" collapsed="false">
      <c r="A874" s="6" t="s">
        <v>60</v>
      </c>
      <c r="B874" s="6" t="s">
        <v>59</v>
      </c>
      <c r="C874" s="6" t="s">
        <v>51</v>
      </c>
      <c r="D874" s="6" t="s">
        <v>119</v>
      </c>
      <c r="E874" s="6" t="n">
        <v>16</v>
      </c>
      <c r="F874" s="6" t="n">
        <v>9</v>
      </c>
      <c r="G874" s="6" t="s">
        <v>1006</v>
      </c>
    </row>
    <row r="875" customFormat="false" ht="15" hidden="false" customHeight="false" outlineLevel="0" collapsed="false">
      <c r="A875" s="6" t="s">
        <v>60</v>
      </c>
      <c r="B875" s="6" t="s">
        <v>59</v>
      </c>
      <c r="C875" s="6" t="s">
        <v>51</v>
      </c>
      <c r="D875" s="6" t="s">
        <v>119</v>
      </c>
      <c r="E875" s="6" t="n">
        <v>16</v>
      </c>
      <c r="F875" s="6" t="n">
        <v>9</v>
      </c>
      <c r="G875" s="6" t="s">
        <v>1007</v>
      </c>
    </row>
    <row r="876" customFormat="false" ht="15" hidden="false" customHeight="false" outlineLevel="0" collapsed="false">
      <c r="A876" s="6" t="s">
        <v>60</v>
      </c>
      <c r="B876" s="6" t="s">
        <v>59</v>
      </c>
      <c r="C876" s="6" t="s">
        <v>51</v>
      </c>
      <c r="D876" s="6" t="s">
        <v>119</v>
      </c>
      <c r="E876" s="6" t="n">
        <v>16</v>
      </c>
      <c r="F876" s="6" t="n">
        <v>9</v>
      </c>
      <c r="G876" s="6" t="s">
        <v>1008</v>
      </c>
    </row>
    <row r="877" customFormat="false" ht="15" hidden="false" customHeight="false" outlineLevel="0" collapsed="false">
      <c r="A877" s="6" t="s">
        <v>60</v>
      </c>
      <c r="B877" s="6" t="s">
        <v>59</v>
      </c>
      <c r="C877" s="6" t="s">
        <v>51</v>
      </c>
      <c r="D877" s="6" t="s">
        <v>119</v>
      </c>
      <c r="E877" s="6" t="n">
        <v>16</v>
      </c>
      <c r="F877" s="6" t="n">
        <v>9</v>
      </c>
      <c r="G877" s="6" t="s">
        <v>1009</v>
      </c>
    </row>
    <row r="878" customFormat="false" ht="15" hidden="false" customHeight="false" outlineLevel="0" collapsed="false">
      <c r="A878" s="6" t="s">
        <v>60</v>
      </c>
      <c r="B878" s="6" t="s">
        <v>59</v>
      </c>
      <c r="C878" s="6" t="s">
        <v>51</v>
      </c>
      <c r="D878" s="6" t="s">
        <v>119</v>
      </c>
      <c r="E878" s="6" t="n">
        <v>16</v>
      </c>
      <c r="F878" s="6" t="n">
        <v>9</v>
      </c>
      <c r="G878" s="6" t="s">
        <v>1010</v>
      </c>
    </row>
    <row r="879" customFormat="false" ht="15" hidden="false" customHeight="false" outlineLevel="0" collapsed="false">
      <c r="A879" s="6" t="s">
        <v>60</v>
      </c>
      <c r="B879" s="6" t="s">
        <v>59</v>
      </c>
      <c r="C879" s="6" t="s">
        <v>51</v>
      </c>
      <c r="D879" s="6" t="s">
        <v>119</v>
      </c>
      <c r="E879" s="6" t="n">
        <v>16</v>
      </c>
      <c r="F879" s="6" t="n">
        <v>9</v>
      </c>
      <c r="G879" s="6" t="s">
        <v>1011</v>
      </c>
    </row>
    <row r="880" customFormat="false" ht="15" hidden="false" customHeight="false" outlineLevel="0" collapsed="false">
      <c r="A880" s="6" t="s">
        <v>60</v>
      </c>
      <c r="B880" s="6" t="s">
        <v>59</v>
      </c>
      <c r="C880" s="6" t="s">
        <v>51</v>
      </c>
      <c r="D880" s="6" t="s">
        <v>119</v>
      </c>
      <c r="E880" s="6" t="n">
        <v>16</v>
      </c>
      <c r="F880" s="6" t="n">
        <v>9</v>
      </c>
      <c r="G880" s="6" t="s">
        <v>1012</v>
      </c>
    </row>
    <row r="881" customFormat="false" ht="15" hidden="false" customHeight="false" outlineLevel="0" collapsed="false">
      <c r="A881" s="6" t="s">
        <v>60</v>
      </c>
      <c r="B881" s="6" t="s">
        <v>59</v>
      </c>
      <c r="C881" s="6" t="s">
        <v>51</v>
      </c>
      <c r="D881" s="6" t="s">
        <v>119</v>
      </c>
      <c r="E881" s="6" t="n">
        <v>16</v>
      </c>
      <c r="F881" s="6" t="n">
        <v>9</v>
      </c>
      <c r="G881" s="6" t="s">
        <v>1013</v>
      </c>
    </row>
    <row r="882" customFormat="false" ht="15" hidden="false" customHeight="false" outlineLevel="0" collapsed="false">
      <c r="A882" s="6" t="s">
        <v>60</v>
      </c>
      <c r="B882" s="6" t="s">
        <v>59</v>
      </c>
      <c r="C882" s="6" t="s">
        <v>51</v>
      </c>
      <c r="D882" s="6" t="s">
        <v>119</v>
      </c>
      <c r="E882" s="6" t="n">
        <v>16</v>
      </c>
      <c r="F882" s="6" t="n">
        <v>9</v>
      </c>
      <c r="G882" s="6" t="s">
        <v>1014</v>
      </c>
    </row>
    <row r="883" customFormat="false" ht="15" hidden="false" customHeight="false" outlineLevel="0" collapsed="false">
      <c r="A883" s="6" t="s">
        <v>60</v>
      </c>
      <c r="B883" s="6" t="s">
        <v>59</v>
      </c>
      <c r="C883" s="6" t="s">
        <v>51</v>
      </c>
      <c r="D883" s="6" t="s">
        <v>119</v>
      </c>
      <c r="E883" s="6" t="n">
        <v>16</v>
      </c>
      <c r="F883" s="6" t="n">
        <v>9</v>
      </c>
      <c r="G883" s="6" t="s">
        <v>1015</v>
      </c>
    </row>
    <row r="884" customFormat="false" ht="15" hidden="false" customHeight="false" outlineLevel="0" collapsed="false">
      <c r="A884" s="6" t="s">
        <v>60</v>
      </c>
      <c r="B884" s="6" t="s">
        <v>59</v>
      </c>
      <c r="C884" s="6" t="s">
        <v>51</v>
      </c>
      <c r="D884" s="6" t="s">
        <v>119</v>
      </c>
      <c r="E884" s="6" t="n">
        <v>16</v>
      </c>
      <c r="F884" s="6" t="n">
        <v>9</v>
      </c>
      <c r="G884" s="6" t="s">
        <v>1016</v>
      </c>
    </row>
    <row r="885" customFormat="false" ht="15" hidden="false" customHeight="false" outlineLevel="0" collapsed="false">
      <c r="A885" s="6" t="s">
        <v>60</v>
      </c>
      <c r="B885" s="6" t="s">
        <v>59</v>
      </c>
      <c r="C885" s="6" t="s">
        <v>51</v>
      </c>
      <c r="D885" s="6" t="s">
        <v>119</v>
      </c>
      <c r="E885" s="6" t="n">
        <v>16</v>
      </c>
      <c r="F885" s="6" t="n">
        <v>9</v>
      </c>
      <c r="G885" s="6" t="s">
        <v>1017</v>
      </c>
    </row>
    <row r="886" customFormat="false" ht="15" hidden="false" customHeight="false" outlineLevel="0" collapsed="false">
      <c r="A886" s="6" t="s">
        <v>60</v>
      </c>
      <c r="B886" s="6" t="s">
        <v>59</v>
      </c>
      <c r="C886" s="6" t="s">
        <v>51</v>
      </c>
      <c r="D886" s="6" t="s">
        <v>119</v>
      </c>
      <c r="E886" s="6" t="n">
        <v>16</v>
      </c>
      <c r="F886" s="6" t="n">
        <v>10</v>
      </c>
      <c r="G886" s="6" t="s">
        <v>1018</v>
      </c>
    </row>
    <row r="887" customFormat="false" ht="15" hidden="false" customHeight="false" outlineLevel="0" collapsed="false">
      <c r="A887" s="6" t="s">
        <v>60</v>
      </c>
      <c r="B887" s="6" t="s">
        <v>59</v>
      </c>
      <c r="C887" s="6" t="s">
        <v>51</v>
      </c>
      <c r="D887" s="6" t="s">
        <v>119</v>
      </c>
      <c r="E887" s="6" t="n">
        <v>16</v>
      </c>
      <c r="F887" s="6" t="n">
        <v>10</v>
      </c>
      <c r="G887" s="6" t="s">
        <v>1019</v>
      </c>
    </row>
    <row r="888" customFormat="false" ht="15" hidden="false" customHeight="false" outlineLevel="0" collapsed="false">
      <c r="A888" s="6" t="s">
        <v>60</v>
      </c>
      <c r="B888" s="6" t="s">
        <v>59</v>
      </c>
      <c r="C888" s="6" t="s">
        <v>51</v>
      </c>
      <c r="D888" s="6" t="s">
        <v>119</v>
      </c>
      <c r="E888" s="6" t="n">
        <v>16</v>
      </c>
      <c r="F888" s="6" t="n">
        <v>10</v>
      </c>
      <c r="G888" s="6" t="s">
        <v>1020</v>
      </c>
    </row>
    <row r="889" customFormat="false" ht="15" hidden="false" customHeight="false" outlineLevel="0" collapsed="false">
      <c r="A889" s="6" t="s">
        <v>60</v>
      </c>
      <c r="B889" s="6" t="s">
        <v>59</v>
      </c>
      <c r="C889" s="6" t="s">
        <v>51</v>
      </c>
      <c r="D889" s="6" t="s">
        <v>119</v>
      </c>
      <c r="E889" s="6" t="n">
        <v>16</v>
      </c>
      <c r="F889" s="6" t="n">
        <v>10</v>
      </c>
      <c r="G889" s="6" t="s">
        <v>1021</v>
      </c>
    </row>
    <row r="890" customFormat="false" ht="15" hidden="false" customHeight="false" outlineLevel="0" collapsed="false">
      <c r="A890" s="6" t="s">
        <v>60</v>
      </c>
      <c r="B890" s="6" t="s">
        <v>59</v>
      </c>
      <c r="C890" s="6" t="s">
        <v>51</v>
      </c>
      <c r="D890" s="6" t="s">
        <v>119</v>
      </c>
      <c r="E890" s="6" t="n">
        <v>16</v>
      </c>
      <c r="F890" s="6" t="n">
        <v>10</v>
      </c>
      <c r="G890" s="6" t="s">
        <v>1022</v>
      </c>
    </row>
    <row r="891" customFormat="false" ht="15" hidden="false" customHeight="false" outlineLevel="0" collapsed="false">
      <c r="A891" s="6" t="s">
        <v>60</v>
      </c>
      <c r="B891" s="6" t="s">
        <v>59</v>
      </c>
      <c r="C891" s="6" t="s">
        <v>51</v>
      </c>
      <c r="D891" s="6" t="s">
        <v>119</v>
      </c>
      <c r="E891" s="6" t="n">
        <v>16</v>
      </c>
      <c r="F891" s="6" t="n">
        <v>10</v>
      </c>
      <c r="G891" s="6" t="s">
        <v>1023</v>
      </c>
    </row>
    <row r="892" customFormat="false" ht="15" hidden="false" customHeight="false" outlineLevel="0" collapsed="false">
      <c r="A892" s="6" t="s">
        <v>60</v>
      </c>
      <c r="B892" s="6" t="s">
        <v>59</v>
      </c>
      <c r="C892" s="6" t="s">
        <v>51</v>
      </c>
      <c r="D892" s="6" t="s">
        <v>119</v>
      </c>
      <c r="E892" s="6" t="n">
        <v>16</v>
      </c>
      <c r="F892" s="6" t="n">
        <v>10</v>
      </c>
      <c r="G892" s="6" t="s">
        <v>1024</v>
      </c>
    </row>
    <row r="893" customFormat="false" ht="15" hidden="false" customHeight="false" outlineLevel="0" collapsed="false">
      <c r="A893" s="6" t="s">
        <v>60</v>
      </c>
      <c r="B893" s="6" t="s">
        <v>59</v>
      </c>
      <c r="C893" s="6" t="s">
        <v>51</v>
      </c>
      <c r="D893" s="6" t="s">
        <v>119</v>
      </c>
      <c r="E893" s="6" t="n">
        <v>16</v>
      </c>
      <c r="F893" s="6" t="n">
        <v>10</v>
      </c>
      <c r="G893" s="6" t="s">
        <v>1025</v>
      </c>
    </row>
    <row r="894" customFormat="false" ht="15" hidden="false" customHeight="false" outlineLevel="0" collapsed="false">
      <c r="A894" s="6" t="s">
        <v>60</v>
      </c>
      <c r="B894" s="6" t="s">
        <v>59</v>
      </c>
      <c r="C894" s="6" t="s">
        <v>51</v>
      </c>
      <c r="D894" s="6" t="s">
        <v>119</v>
      </c>
      <c r="E894" s="6" t="n">
        <v>16</v>
      </c>
      <c r="F894" s="6" t="n">
        <v>10</v>
      </c>
      <c r="G894" s="6" t="s">
        <v>1026</v>
      </c>
    </row>
    <row r="895" customFormat="false" ht="15" hidden="false" customHeight="false" outlineLevel="0" collapsed="false">
      <c r="A895" s="6" t="s">
        <v>60</v>
      </c>
      <c r="B895" s="6" t="s">
        <v>59</v>
      </c>
      <c r="C895" s="6" t="s">
        <v>51</v>
      </c>
      <c r="D895" s="6" t="s">
        <v>119</v>
      </c>
      <c r="E895" s="6" t="n">
        <v>16</v>
      </c>
      <c r="F895" s="6" t="n">
        <v>10</v>
      </c>
      <c r="G895" s="6" t="s">
        <v>1027</v>
      </c>
    </row>
    <row r="896" customFormat="false" ht="15" hidden="false" customHeight="false" outlineLevel="0" collapsed="false">
      <c r="A896" s="6" t="s">
        <v>60</v>
      </c>
      <c r="B896" s="6" t="s">
        <v>59</v>
      </c>
      <c r="C896" s="6" t="s">
        <v>51</v>
      </c>
      <c r="D896" s="6" t="s">
        <v>119</v>
      </c>
      <c r="E896" s="6" t="n">
        <v>16</v>
      </c>
      <c r="F896" s="6" t="n">
        <v>10</v>
      </c>
      <c r="G896" s="6" t="s">
        <v>1028</v>
      </c>
    </row>
    <row r="897" customFormat="false" ht="15" hidden="false" customHeight="false" outlineLevel="0" collapsed="false">
      <c r="A897" s="6" t="s">
        <v>60</v>
      </c>
      <c r="B897" s="6" t="s">
        <v>59</v>
      </c>
      <c r="C897" s="6" t="s">
        <v>51</v>
      </c>
      <c r="D897" s="6" t="s">
        <v>119</v>
      </c>
      <c r="E897" s="6" t="n">
        <v>16</v>
      </c>
      <c r="F897" s="6" t="n">
        <v>10</v>
      </c>
      <c r="G897" s="6" t="s">
        <v>1029</v>
      </c>
    </row>
    <row r="898" customFormat="false" ht="15" hidden="false" customHeight="false" outlineLevel="0" collapsed="false">
      <c r="A898" s="6" t="s">
        <v>60</v>
      </c>
      <c r="B898" s="6" t="s">
        <v>59</v>
      </c>
      <c r="C898" s="6" t="s">
        <v>51</v>
      </c>
      <c r="D898" s="6" t="s">
        <v>119</v>
      </c>
      <c r="E898" s="6" t="n">
        <v>16</v>
      </c>
      <c r="F898" s="6" t="n">
        <v>10</v>
      </c>
      <c r="G898" s="6" t="s">
        <v>1030</v>
      </c>
    </row>
    <row r="899" customFormat="false" ht="15" hidden="false" customHeight="false" outlineLevel="0" collapsed="false">
      <c r="A899" s="6" t="s">
        <v>60</v>
      </c>
      <c r="B899" s="6" t="s">
        <v>59</v>
      </c>
      <c r="C899" s="6" t="s">
        <v>51</v>
      </c>
      <c r="D899" s="6" t="s">
        <v>119</v>
      </c>
      <c r="E899" s="6" t="n">
        <v>16</v>
      </c>
      <c r="F899" s="6" t="n">
        <v>10</v>
      </c>
      <c r="G899" s="6" t="s">
        <v>1031</v>
      </c>
    </row>
    <row r="900" customFormat="false" ht="15" hidden="false" customHeight="false" outlineLevel="0" collapsed="false">
      <c r="A900" s="6" t="s">
        <v>60</v>
      </c>
      <c r="B900" s="6" t="s">
        <v>59</v>
      </c>
      <c r="C900" s="6" t="s">
        <v>51</v>
      </c>
      <c r="D900" s="6" t="s">
        <v>119</v>
      </c>
      <c r="E900" s="6" t="n">
        <v>16</v>
      </c>
      <c r="F900" s="6" t="n">
        <v>10</v>
      </c>
      <c r="G900" s="6" t="s">
        <v>1032</v>
      </c>
    </row>
    <row r="901" customFormat="false" ht="15" hidden="false" customHeight="false" outlineLevel="0" collapsed="false">
      <c r="A901" s="6" t="s">
        <v>60</v>
      </c>
      <c r="B901" s="6" t="s">
        <v>59</v>
      </c>
      <c r="C901" s="6" t="s">
        <v>51</v>
      </c>
      <c r="D901" s="6" t="s">
        <v>119</v>
      </c>
      <c r="E901" s="6" t="n">
        <v>16</v>
      </c>
      <c r="F901" s="6" t="n">
        <v>10</v>
      </c>
      <c r="G901" s="6" t="s">
        <v>1033</v>
      </c>
    </row>
    <row r="902" customFormat="false" ht="15" hidden="false" customHeight="false" outlineLevel="0" collapsed="false">
      <c r="A902" s="6" t="s">
        <v>62</v>
      </c>
      <c r="B902" s="6" t="s">
        <v>63</v>
      </c>
      <c r="C902" s="6" t="s">
        <v>44</v>
      </c>
      <c r="D902" s="6" t="s">
        <v>114</v>
      </c>
      <c r="E902" s="6" t="n">
        <v>16</v>
      </c>
      <c r="F902" s="6" t="n">
        <v>1</v>
      </c>
      <c r="G902" s="6" t="s">
        <v>1034</v>
      </c>
    </row>
    <row r="903" customFormat="false" ht="15" hidden="false" customHeight="false" outlineLevel="0" collapsed="false">
      <c r="A903" s="6" t="s">
        <v>62</v>
      </c>
      <c r="B903" s="6" t="s">
        <v>63</v>
      </c>
      <c r="C903" s="6" t="s">
        <v>44</v>
      </c>
      <c r="D903" s="6" t="s">
        <v>114</v>
      </c>
      <c r="E903" s="6" t="n">
        <v>16</v>
      </c>
      <c r="F903" s="6" t="n">
        <v>1</v>
      </c>
      <c r="G903" s="6" t="s">
        <v>1035</v>
      </c>
    </row>
    <row r="904" customFormat="false" ht="15" hidden="false" customHeight="false" outlineLevel="0" collapsed="false">
      <c r="A904" s="6" t="s">
        <v>62</v>
      </c>
      <c r="B904" s="6" t="s">
        <v>63</v>
      </c>
      <c r="C904" s="6" t="s">
        <v>44</v>
      </c>
      <c r="D904" s="6" t="s">
        <v>114</v>
      </c>
      <c r="E904" s="6" t="n">
        <v>16</v>
      </c>
      <c r="F904" s="6" t="n">
        <v>1</v>
      </c>
      <c r="G904" s="6" t="s">
        <v>1036</v>
      </c>
    </row>
    <row r="905" customFormat="false" ht="15" hidden="false" customHeight="false" outlineLevel="0" collapsed="false">
      <c r="A905" s="6" t="s">
        <v>62</v>
      </c>
      <c r="B905" s="6" t="s">
        <v>63</v>
      </c>
      <c r="C905" s="6" t="s">
        <v>44</v>
      </c>
      <c r="D905" s="6" t="s">
        <v>114</v>
      </c>
      <c r="E905" s="6" t="n">
        <v>16</v>
      </c>
      <c r="F905" s="6" t="n">
        <v>1</v>
      </c>
      <c r="G905" s="6" t="s">
        <v>1037</v>
      </c>
    </row>
    <row r="906" customFormat="false" ht="15" hidden="false" customHeight="false" outlineLevel="0" collapsed="false">
      <c r="A906" s="6" t="s">
        <v>62</v>
      </c>
      <c r="B906" s="6" t="s">
        <v>63</v>
      </c>
      <c r="C906" s="6" t="s">
        <v>44</v>
      </c>
      <c r="D906" s="6" t="s">
        <v>114</v>
      </c>
      <c r="E906" s="6" t="n">
        <v>16</v>
      </c>
      <c r="F906" s="6" t="n">
        <v>1</v>
      </c>
      <c r="G906" s="6" t="s">
        <v>1038</v>
      </c>
    </row>
    <row r="907" customFormat="false" ht="15" hidden="false" customHeight="false" outlineLevel="0" collapsed="false">
      <c r="A907" s="6" t="s">
        <v>62</v>
      </c>
      <c r="B907" s="6" t="s">
        <v>63</v>
      </c>
      <c r="C907" s="6" t="s">
        <v>44</v>
      </c>
      <c r="D907" s="6" t="s">
        <v>114</v>
      </c>
      <c r="E907" s="6" t="n">
        <v>16</v>
      </c>
      <c r="F907" s="6" t="n">
        <v>1</v>
      </c>
      <c r="G907" s="6" t="s">
        <v>1039</v>
      </c>
    </row>
    <row r="908" customFormat="false" ht="15" hidden="false" customHeight="false" outlineLevel="0" collapsed="false">
      <c r="A908" s="6" t="s">
        <v>62</v>
      </c>
      <c r="B908" s="6" t="s">
        <v>63</v>
      </c>
      <c r="C908" s="6" t="s">
        <v>44</v>
      </c>
      <c r="D908" s="6" t="s">
        <v>114</v>
      </c>
      <c r="E908" s="6" t="n">
        <v>16</v>
      </c>
      <c r="F908" s="6" t="n">
        <v>1</v>
      </c>
      <c r="G908" s="6" t="s">
        <v>1040</v>
      </c>
    </row>
    <row r="909" customFormat="false" ht="15" hidden="false" customHeight="false" outlineLevel="0" collapsed="false">
      <c r="A909" s="6" t="s">
        <v>62</v>
      </c>
      <c r="B909" s="6" t="s">
        <v>63</v>
      </c>
      <c r="C909" s="6" t="s">
        <v>44</v>
      </c>
      <c r="D909" s="6" t="s">
        <v>114</v>
      </c>
      <c r="E909" s="6" t="n">
        <v>16</v>
      </c>
      <c r="F909" s="6" t="n">
        <v>1</v>
      </c>
      <c r="G909" s="6" t="s">
        <v>1041</v>
      </c>
    </row>
    <row r="910" customFormat="false" ht="15" hidden="false" customHeight="false" outlineLevel="0" collapsed="false">
      <c r="A910" s="6" t="s">
        <v>62</v>
      </c>
      <c r="B910" s="6" t="s">
        <v>63</v>
      </c>
      <c r="C910" s="6" t="s">
        <v>44</v>
      </c>
      <c r="D910" s="6" t="s">
        <v>114</v>
      </c>
      <c r="E910" s="6" t="n">
        <v>16</v>
      </c>
      <c r="F910" s="6" t="n">
        <v>1</v>
      </c>
      <c r="G910" s="6" t="s">
        <v>1042</v>
      </c>
    </row>
    <row r="911" customFormat="false" ht="15" hidden="false" customHeight="false" outlineLevel="0" collapsed="false">
      <c r="A911" s="6" t="s">
        <v>62</v>
      </c>
      <c r="B911" s="6" t="s">
        <v>63</v>
      </c>
      <c r="C911" s="6" t="s">
        <v>44</v>
      </c>
      <c r="D911" s="6" t="s">
        <v>114</v>
      </c>
      <c r="E911" s="6" t="n">
        <v>16</v>
      </c>
      <c r="F911" s="6" t="n">
        <v>1</v>
      </c>
      <c r="G911" s="6" t="s">
        <v>1043</v>
      </c>
    </row>
    <row r="912" customFormat="false" ht="15" hidden="false" customHeight="false" outlineLevel="0" collapsed="false">
      <c r="A912" s="6" t="s">
        <v>62</v>
      </c>
      <c r="B912" s="6" t="s">
        <v>63</v>
      </c>
      <c r="C912" s="6" t="s">
        <v>44</v>
      </c>
      <c r="D912" s="6" t="s">
        <v>114</v>
      </c>
      <c r="E912" s="6" t="n">
        <v>16</v>
      </c>
      <c r="F912" s="6" t="n">
        <v>1</v>
      </c>
      <c r="G912" s="6" t="s">
        <v>1044</v>
      </c>
    </row>
    <row r="913" customFormat="false" ht="15" hidden="false" customHeight="false" outlineLevel="0" collapsed="false">
      <c r="A913" s="6" t="s">
        <v>62</v>
      </c>
      <c r="B913" s="6" t="s">
        <v>63</v>
      </c>
      <c r="C913" s="6" t="s">
        <v>44</v>
      </c>
      <c r="D913" s="6" t="s">
        <v>114</v>
      </c>
      <c r="E913" s="6" t="n">
        <v>16</v>
      </c>
      <c r="F913" s="6" t="n">
        <v>1</v>
      </c>
      <c r="G913" s="6" t="s">
        <v>1045</v>
      </c>
    </row>
    <row r="914" customFormat="false" ht="15" hidden="false" customHeight="false" outlineLevel="0" collapsed="false">
      <c r="A914" s="6" t="s">
        <v>62</v>
      </c>
      <c r="B914" s="6" t="s">
        <v>63</v>
      </c>
      <c r="C914" s="6" t="s">
        <v>44</v>
      </c>
      <c r="D914" s="6" t="s">
        <v>114</v>
      </c>
      <c r="E914" s="6" t="n">
        <v>16</v>
      </c>
      <c r="F914" s="6" t="n">
        <v>1</v>
      </c>
      <c r="G914" s="6" t="s">
        <v>1046</v>
      </c>
    </row>
    <row r="915" customFormat="false" ht="15" hidden="false" customHeight="false" outlineLevel="0" collapsed="false">
      <c r="A915" s="6" t="s">
        <v>62</v>
      </c>
      <c r="B915" s="6" t="s">
        <v>63</v>
      </c>
      <c r="C915" s="6" t="s">
        <v>44</v>
      </c>
      <c r="D915" s="6" t="s">
        <v>114</v>
      </c>
      <c r="E915" s="6" t="n">
        <v>16</v>
      </c>
      <c r="F915" s="6" t="n">
        <v>1</v>
      </c>
      <c r="G915" s="6" t="s">
        <v>1047</v>
      </c>
    </row>
    <row r="916" customFormat="false" ht="15" hidden="false" customHeight="false" outlineLevel="0" collapsed="false">
      <c r="A916" s="6" t="s">
        <v>62</v>
      </c>
      <c r="B916" s="6" t="s">
        <v>63</v>
      </c>
      <c r="C916" s="6" t="s">
        <v>44</v>
      </c>
      <c r="D916" s="6" t="s">
        <v>114</v>
      </c>
      <c r="E916" s="6" t="n">
        <v>16</v>
      </c>
      <c r="F916" s="6" t="n">
        <v>1</v>
      </c>
      <c r="G916" s="6" t="s">
        <v>1048</v>
      </c>
    </row>
    <row r="917" customFormat="false" ht="15" hidden="false" customHeight="false" outlineLevel="0" collapsed="false">
      <c r="A917" s="6" t="s">
        <v>62</v>
      </c>
      <c r="B917" s="6" t="s">
        <v>63</v>
      </c>
      <c r="C917" s="6" t="s">
        <v>44</v>
      </c>
      <c r="D917" s="6" t="s">
        <v>114</v>
      </c>
      <c r="E917" s="6" t="n">
        <v>16</v>
      </c>
      <c r="F917" s="6" t="n">
        <v>1</v>
      </c>
      <c r="G917" s="6" t="s">
        <v>1049</v>
      </c>
    </row>
    <row r="918" customFormat="false" ht="15" hidden="false" customHeight="false" outlineLevel="0" collapsed="false">
      <c r="A918" s="6" t="s">
        <v>62</v>
      </c>
      <c r="B918" s="6" t="s">
        <v>63</v>
      </c>
      <c r="C918" s="6" t="s">
        <v>44</v>
      </c>
      <c r="D918" s="6" t="s">
        <v>114</v>
      </c>
      <c r="E918" s="6" t="n">
        <v>16</v>
      </c>
      <c r="F918" s="6" t="n">
        <v>2</v>
      </c>
      <c r="G918" s="6" t="s">
        <v>1050</v>
      </c>
    </row>
    <row r="919" customFormat="false" ht="15" hidden="false" customHeight="false" outlineLevel="0" collapsed="false">
      <c r="A919" s="6" t="s">
        <v>62</v>
      </c>
      <c r="B919" s="6" t="s">
        <v>63</v>
      </c>
      <c r="C919" s="6" t="s">
        <v>44</v>
      </c>
      <c r="D919" s="6" t="s">
        <v>114</v>
      </c>
      <c r="E919" s="6" t="n">
        <v>16</v>
      </c>
      <c r="F919" s="6" t="n">
        <v>2</v>
      </c>
      <c r="G919" s="6" t="s">
        <v>1051</v>
      </c>
    </row>
    <row r="920" customFormat="false" ht="15" hidden="false" customHeight="false" outlineLevel="0" collapsed="false">
      <c r="A920" s="6" t="s">
        <v>62</v>
      </c>
      <c r="B920" s="6" t="s">
        <v>63</v>
      </c>
      <c r="C920" s="6" t="s">
        <v>44</v>
      </c>
      <c r="D920" s="6" t="s">
        <v>114</v>
      </c>
      <c r="E920" s="6" t="n">
        <v>16</v>
      </c>
      <c r="F920" s="6" t="n">
        <v>2</v>
      </c>
      <c r="G920" s="6" t="s">
        <v>1052</v>
      </c>
    </row>
    <row r="921" customFormat="false" ht="15" hidden="false" customHeight="false" outlineLevel="0" collapsed="false">
      <c r="A921" s="6" t="s">
        <v>62</v>
      </c>
      <c r="B921" s="6" t="s">
        <v>63</v>
      </c>
      <c r="C921" s="6" t="s">
        <v>44</v>
      </c>
      <c r="D921" s="6" t="s">
        <v>114</v>
      </c>
      <c r="E921" s="6" t="n">
        <v>16</v>
      </c>
      <c r="F921" s="6" t="n">
        <v>2</v>
      </c>
      <c r="G921" s="6" t="s">
        <v>1053</v>
      </c>
    </row>
    <row r="922" customFormat="false" ht="15" hidden="false" customHeight="false" outlineLevel="0" collapsed="false">
      <c r="A922" s="6" t="s">
        <v>62</v>
      </c>
      <c r="B922" s="6" t="s">
        <v>63</v>
      </c>
      <c r="C922" s="6" t="s">
        <v>44</v>
      </c>
      <c r="D922" s="6" t="s">
        <v>114</v>
      </c>
      <c r="E922" s="6" t="n">
        <v>16</v>
      </c>
      <c r="F922" s="6" t="n">
        <v>2</v>
      </c>
      <c r="G922" s="6" t="s">
        <v>1054</v>
      </c>
    </row>
    <row r="923" customFormat="false" ht="15" hidden="false" customHeight="false" outlineLevel="0" collapsed="false">
      <c r="A923" s="6" t="s">
        <v>62</v>
      </c>
      <c r="B923" s="6" t="s">
        <v>63</v>
      </c>
      <c r="C923" s="6" t="s">
        <v>44</v>
      </c>
      <c r="D923" s="6" t="s">
        <v>114</v>
      </c>
      <c r="E923" s="6" t="n">
        <v>16</v>
      </c>
      <c r="F923" s="6" t="n">
        <v>2</v>
      </c>
      <c r="G923" s="6" t="s">
        <v>1055</v>
      </c>
    </row>
    <row r="924" customFormat="false" ht="15" hidden="false" customHeight="false" outlineLevel="0" collapsed="false">
      <c r="A924" s="6" t="s">
        <v>62</v>
      </c>
      <c r="B924" s="6" t="s">
        <v>63</v>
      </c>
      <c r="C924" s="6" t="s">
        <v>44</v>
      </c>
      <c r="D924" s="6" t="s">
        <v>114</v>
      </c>
      <c r="E924" s="6" t="n">
        <v>16</v>
      </c>
      <c r="F924" s="6" t="n">
        <v>2</v>
      </c>
      <c r="G924" s="6" t="s">
        <v>1056</v>
      </c>
    </row>
    <row r="925" customFormat="false" ht="15" hidden="false" customHeight="false" outlineLevel="0" collapsed="false">
      <c r="A925" s="6" t="s">
        <v>62</v>
      </c>
      <c r="B925" s="6" t="s">
        <v>63</v>
      </c>
      <c r="C925" s="6" t="s">
        <v>44</v>
      </c>
      <c r="D925" s="6" t="s">
        <v>114</v>
      </c>
      <c r="E925" s="6" t="n">
        <v>16</v>
      </c>
      <c r="F925" s="6" t="n">
        <v>2</v>
      </c>
      <c r="G925" s="6" t="s">
        <v>1057</v>
      </c>
    </row>
    <row r="926" customFormat="false" ht="15" hidden="false" customHeight="false" outlineLevel="0" collapsed="false">
      <c r="A926" s="6" t="s">
        <v>62</v>
      </c>
      <c r="B926" s="6" t="s">
        <v>63</v>
      </c>
      <c r="C926" s="6" t="s">
        <v>44</v>
      </c>
      <c r="D926" s="6" t="s">
        <v>114</v>
      </c>
      <c r="E926" s="6" t="n">
        <v>16</v>
      </c>
      <c r="F926" s="6" t="n">
        <v>2</v>
      </c>
      <c r="G926" s="6" t="s">
        <v>1058</v>
      </c>
    </row>
    <row r="927" customFormat="false" ht="15" hidden="false" customHeight="false" outlineLevel="0" collapsed="false">
      <c r="A927" s="6" t="s">
        <v>62</v>
      </c>
      <c r="B927" s="6" t="s">
        <v>63</v>
      </c>
      <c r="C927" s="6" t="s">
        <v>44</v>
      </c>
      <c r="D927" s="6" t="s">
        <v>114</v>
      </c>
      <c r="E927" s="6" t="n">
        <v>16</v>
      </c>
      <c r="F927" s="6" t="n">
        <v>2</v>
      </c>
      <c r="G927" s="6" t="s">
        <v>1059</v>
      </c>
    </row>
    <row r="928" customFormat="false" ht="15" hidden="false" customHeight="false" outlineLevel="0" collapsed="false">
      <c r="A928" s="6" t="s">
        <v>62</v>
      </c>
      <c r="B928" s="6" t="s">
        <v>63</v>
      </c>
      <c r="C928" s="6" t="s">
        <v>44</v>
      </c>
      <c r="D928" s="6" t="s">
        <v>114</v>
      </c>
      <c r="E928" s="6" t="n">
        <v>16</v>
      </c>
      <c r="F928" s="6" t="n">
        <v>2</v>
      </c>
      <c r="G928" s="6" t="s">
        <v>1060</v>
      </c>
    </row>
    <row r="929" customFormat="false" ht="15" hidden="false" customHeight="false" outlineLevel="0" collapsed="false">
      <c r="A929" s="6" t="s">
        <v>62</v>
      </c>
      <c r="B929" s="6" t="s">
        <v>63</v>
      </c>
      <c r="C929" s="6" t="s">
        <v>44</v>
      </c>
      <c r="D929" s="6" t="s">
        <v>114</v>
      </c>
      <c r="E929" s="6" t="n">
        <v>16</v>
      </c>
      <c r="F929" s="6" t="n">
        <v>2</v>
      </c>
      <c r="G929" s="6" t="s">
        <v>1061</v>
      </c>
    </row>
    <row r="930" customFormat="false" ht="15" hidden="false" customHeight="false" outlineLevel="0" collapsed="false">
      <c r="A930" s="6" t="s">
        <v>62</v>
      </c>
      <c r="B930" s="6" t="s">
        <v>63</v>
      </c>
      <c r="C930" s="6" t="s">
        <v>44</v>
      </c>
      <c r="D930" s="6" t="s">
        <v>114</v>
      </c>
      <c r="E930" s="6" t="n">
        <v>16</v>
      </c>
      <c r="F930" s="6" t="n">
        <v>2</v>
      </c>
      <c r="G930" s="6" t="s">
        <v>1062</v>
      </c>
    </row>
    <row r="931" customFormat="false" ht="15" hidden="false" customHeight="false" outlineLevel="0" collapsed="false">
      <c r="A931" s="6" t="s">
        <v>62</v>
      </c>
      <c r="B931" s="6" t="s">
        <v>63</v>
      </c>
      <c r="C931" s="6" t="s">
        <v>44</v>
      </c>
      <c r="D931" s="6" t="s">
        <v>114</v>
      </c>
      <c r="E931" s="6" t="n">
        <v>16</v>
      </c>
      <c r="F931" s="6" t="n">
        <v>2</v>
      </c>
      <c r="G931" s="6" t="s">
        <v>1063</v>
      </c>
    </row>
    <row r="932" customFormat="false" ht="15" hidden="false" customHeight="false" outlineLevel="0" collapsed="false">
      <c r="A932" s="6" t="s">
        <v>62</v>
      </c>
      <c r="B932" s="6" t="s">
        <v>63</v>
      </c>
      <c r="C932" s="6" t="s">
        <v>44</v>
      </c>
      <c r="D932" s="6" t="s">
        <v>114</v>
      </c>
      <c r="E932" s="6" t="n">
        <v>16</v>
      </c>
      <c r="F932" s="6" t="n">
        <v>2</v>
      </c>
      <c r="G932" s="6" t="s">
        <v>1064</v>
      </c>
    </row>
    <row r="933" customFormat="false" ht="15" hidden="false" customHeight="false" outlineLevel="0" collapsed="false">
      <c r="A933" s="6" t="s">
        <v>62</v>
      </c>
      <c r="B933" s="6" t="s">
        <v>63</v>
      </c>
      <c r="C933" s="6" t="s">
        <v>44</v>
      </c>
      <c r="D933" s="6" t="s">
        <v>114</v>
      </c>
      <c r="E933" s="6" t="n">
        <v>16</v>
      </c>
      <c r="F933" s="6" t="n">
        <v>2</v>
      </c>
      <c r="G933" s="6" t="s">
        <v>1065</v>
      </c>
    </row>
    <row r="934" customFormat="false" ht="15" hidden="false" customHeight="false" outlineLevel="0" collapsed="false">
      <c r="A934" s="6" t="s">
        <v>62</v>
      </c>
      <c r="B934" s="6" t="s">
        <v>63</v>
      </c>
      <c r="C934" s="6" t="s">
        <v>44</v>
      </c>
      <c r="D934" s="6" t="s">
        <v>114</v>
      </c>
      <c r="E934" s="6" t="n">
        <v>16</v>
      </c>
      <c r="F934" s="6" t="n">
        <v>3</v>
      </c>
      <c r="G934" s="6" t="s">
        <v>1066</v>
      </c>
    </row>
    <row r="935" customFormat="false" ht="15" hidden="false" customHeight="false" outlineLevel="0" collapsed="false">
      <c r="A935" s="6" t="s">
        <v>62</v>
      </c>
      <c r="B935" s="6" t="s">
        <v>63</v>
      </c>
      <c r="C935" s="6" t="s">
        <v>44</v>
      </c>
      <c r="D935" s="6" t="s">
        <v>114</v>
      </c>
      <c r="E935" s="6" t="n">
        <v>16</v>
      </c>
      <c r="F935" s="6" t="n">
        <v>3</v>
      </c>
      <c r="G935" s="6" t="s">
        <v>1067</v>
      </c>
    </row>
    <row r="936" customFormat="false" ht="15" hidden="false" customHeight="false" outlineLevel="0" collapsed="false">
      <c r="A936" s="6" t="s">
        <v>62</v>
      </c>
      <c r="B936" s="6" t="s">
        <v>63</v>
      </c>
      <c r="C936" s="6" t="s">
        <v>44</v>
      </c>
      <c r="D936" s="6" t="s">
        <v>114</v>
      </c>
      <c r="E936" s="6" t="n">
        <v>16</v>
      </c>
      <c r="F936" s="6" t="n">
        <v>3</v>
      </c>
      <c r="G936" s="6" t="s">
        <v>1068</v>
      </c>
    </row>
    <row r="937" customFormat="false" ht="15" hidden="false" customHeight="false" outlineLevel="0" collapsed="false">
      <c r="A937" s="6" t="s">
        <v>62</v>
      </c>
      <c r="B937" s="6" t="s">
        <v>63</v>
      </c>
      <c r="C937" s="6" t="s">
        <v>44</v>
      </c>
      <c r="D937" s="6" t="s">
        <v>114</v>
      </c>
      <c r="E937" s="6" t="n">
        <v>16</v>
      </c>
      <c r="F937" s="6" t="n">
        <v>3</v>
      </c>
      <c r="G937" s="6" t="s">
        <v>1069</v>
      </c>
    </row>
    <row r="938" customFormat="false" ht="15" hidden="false" customHeight="false" outlineLevel="0" collapsed="false">
      <c r="A938" s="6" t="s">
        <v>62</v>
      </c>
      <c r="B938" s="6" t="s">
        <v>63</v>
      </c>
      <c r="C938" s="6" t="s">
        <v>44</v>
      </c>
      <c r="D938" s="6" t="s">
        <v>114</v>
      </c>
      <c r="E938" s="6" t="n">
        <v>16</v>
      </c>
      <c r="F938" s="6" t="n">
        <v>3</v>
      </c>
      <c r="G938" s="6" t="s">
        <v>1070</v>
      </c>
    </row>
    <row r="939" customFormat="false" ht="15" hidden="false" customHeight="false" outlineLevel="0" collapsed="false">
      <c r="A939" s="6" t="s">
        <v>62</v>
      </c>
      <c r="B939" s="6" t="s">
        <v>63</v>
      </c>
      <c r="C939" s="6" t="s">
        <v>44</v>
      </c>
      <c r="D939" s="6" t="s">
        <v>114</v>
      </c>
      <c r="E939" s="6" t="n">
        <v>16</v>
      </c>
      <c r="F939" s="6" t="n">
        <v>3</v>
      </c>
      <c r="G939" s="6" t="s">
        <v>1071</v>
      </c>
    </row>
    <row r="940" customFormat="false" ht="15" hidden="false" customHeight="false" outlineLevel="0" collapsed="false">
      <c r="A940" s="6" t="s">
        <v>62</v>
      </c>
      <c r="B940" s="6" t="s">
        <v>63</v>
      </c>
      <c r="C940" s="6" t="s">
        <v>44</v>
      </c>
      <c r="D940" s="6" t="s">
        <v>114</v>
      </c>
      <c r="E940" s="6" t="n">
        <v>16</v>
      </c>
      <c r="F940" s="6" t="n">
        <v>3</v>
      </c>
      <c r="G940" s="6" t="s">
        <v>1072</v>
      </c>
    </row>
    <row r="941" customFormat="false" ht="15" hidden="false" customHeight="false" outlineLevel="0" collapsed="false">
      <c r="A941" s="6" t="s">
        <v>62</v>
      </c>
      <c r="B941" s="6" t="s">
        <v>63</v>
      </c>
      <c r="C941" s="6" t="s">
        <v>44</v>
      </c>
      <c r="D941" s="6" t="s">
        <v>114</v>
      </c>
      <c r="E941" s="6" t="n">
        <v>16</v>
      </c>
      <c r="F941" s="6" t="n">
        <v>3</v>
      </c>
      <c r="G941" s="6" t="s">
        <v>1073</v>
      </c>
    </row>
    <row r="942" customFormat="false" ht="15" hidden="false" customHeight="false" outlineLevel="0" collapsed="false">
      <c r="A942" s="6" t="s">
        <v>62</v>
      </c>
      <c r="B942" s="6" t="s">
        <v>63</v>
      </c>
      <c r="C942" s="6" t="s">
        <v>44</v>
      </c>
      <c r="D942" s="6" t="s">
        <v>114</v>
      </c>
      <c r="E942" s="6" t="n">
        <v>16</v>
      </c>
      <c r="F942" s="6" t="n">
        <v>3</v>
      </c>
      <c r="G942" s="6" t="s">
        <v>1074</v>
      </c>
    </row>
    <row r="943" customFormat="false" ht="15" hidden="false" customHeight="false" outlineLevel="0" collapsed="false">
      <c r="A943" s="6" t="s">
        <v>62</v>
      </c>
      <c r="B943" s="6" t="s">
        <v>63</v>
      </c>
      <c r="C943" s="6" t="s">
        <v>44</v>
      </c>
      <c r="D943" s="6" t="s">
        <v>114</v>
      </c>
      <c r="E943" s="6" t="n">
        <v>16</v>
      </c>
      <c r="F943" s="6" t="n">
        <v>3</v>
      </c>
      <c r="G943" s="6" t="s">
        <v>1075</v>
      </c>
    </row>
    <row r="944" customFormat="false" ht="15" hidden="false" customHeight="false" outlineLevel="0" collapsed="false">
      <c r="A944" s="6" t="s">
        <v>62</v>
      </c>
      <c r="B944" s="6" t="s">
        <v>63</v>
      </c>
      <c r="C944" s="6" t="s">
        <v>44</v>
      </c>
      <c r="D944" s="6" t="s">
        <v>114</v>
      </c>
      <c r="E944" s="6" t="n">
        <v>16</v>
      </c>
      <c r="F944" s="6" t="n">
        <v>3</v>
      </c>
      <c r="G944" s="6" t="s">
        <v>1076</v>
      </c>
    </row>
    <row r="945" customFormat="false" ht="15" hidden="false" customHeight="false" outlineLevel="0" collapsed="false">
      <c r="A945" s="6" t="s">
        <v>62</v>
      </c>
      <c r="B945" s="6" t="s">
        <v>63</v>
      </c>
      <c r="C945" s="6" t="s">
        <v>44</v>
      </c>
      <c r="D945" s="6" t="s">
        <v>114</v>
      </c>
      <c r="E945" s="6" t="n">
        <v>16</v>
      </c>
      <c r="F945" s="6" t="n">
        <v>3</v>
      </c>
      <c r="G945" s="6" t="s">
        <v>1077</v>
      </c>
    </row>
    <row r="946" customFormat="false" ht="15" hidden="false" customHeight="false" outlineLevel="0" collapsed="false">
      <c r="A946" s="6" t="s">
        <v>62</v>
      </c>
      <c r="B946" s="6" t="s">
        <v>63</v>
      </c>
      <c r="C946" s="6" t="s">
        <v>44</v>
      </c>
      <c r="D946" s="6" t="s">
        <v>114</v>
      </c>
      <c r="E946" s="6" t="n">
        <v>16</v>
      </c>
      <c r="F946" s="6" t="n">
        <v>3</v>
      </c>
      <c r="G946" s="6" t="s">
        <v>1078</v>
      </c>
    </row>
    <row r="947" customFormat="false" ht="15" hidden="false" customHeight="false" outlineLevel="0" collapsed="false">
      <c r="A947" s="6" t="s">
        <v>62</v>
      </c>
      <c r="B947" s="6" t="s">
        <v>63</v>
      </c>
      <c r="C947" s="6" t="s">
        <v>44</v>
      </c>
      <c r="D947" s="6" t="s">
        <v>114</v>
      </c>
      <c r="E947" s="6" t="n">
        <v>16</v>
      </c>
      <c r="F947" s="6" t="n">
        <v>3</v>
      </c>
      <c r="G947" s="6" t="s">
        <v>1079</v>
      </c>
    </row>
    <row r="948" customFormat="false" ht="15" hidden="false" customHeight="false" outlineLevel="0" collapsed="false">
      <c r="A948" s="6" t="s">
        <v>62</v>
      </c>
      <c r="B948" s="6" t="s">
        <v>63</v>
      </c>
      <c r="C948" s="6" t="s">
        <v>44</v>
      </c>
      <c r="D948" s="6" t="s">
        <v>114</v>
      </c>
      <c r="E948" s="6" t="n">
        <v>16</v>
      </c>
      <c r="F948" s="6" t="n">
        <v>3</v>
      </c>
      <c r="G948" s="6" t="s">
        <v>1080</v>
      </c>
    </row>
    <row r="949" customFormat="false" ht="15" hidden="false" customHeight="false" outlineLevel="0" collapsed="false">
      <c r="A949" s="6" t="s">
        <v>62</v>
      </c>
      <c r="B949" s="6" t="s">
        <v>63</v>
      </c>
      <c r="C949" s="6" t="s">
        <v>44</v>
      </c>
      <c r="D949" s="6" t="s">
        <v>114</v>
      </c>
      <c r="E949" s="6" t="n">
        <v>16</v>
      </c>
      <c r="F949" s="6" t="n">
        <v>3</v>
      </c>
      <c r="G949" s="6" t="s">
        <v>1081</v>
      </c>
    </row>
    <row r="950" customFormat="false" ht="15" hidden="false" customHeight="false" outlineLevel="0" collapsed="false">
      <c r="A950" s="6" t="s">
        <v>62</v>
      </c>
      <c r="B950" s="6" t="s">
        <v>63</v>
      </c>
      <c r="C950" s="6" t="s">
        <v>44</v>
      </c>
      <c r="D950" s="6" t="s">
        <v>114</v>
      </c>
      <c r="E950" s="6" t="n">
        <v>16</v>
      </c>
      <c r="F950" s="6" t="n">
        <v>4</v>
      </c>
      <c r="G950" s="6" t="s">
        <v>1082</v>
      </c>
    </row>
    <row r="951" customFormat="false" ht="15" hidden="false" customHeight="false" outlineLevel="0" collapsed="false">
      <c r="A951" s="6" t="s">
        <v>62</v>
      </c>
      <c r="B951" s="6" t="s">
        <v>63</v>
      </c>
      <c r="C951" s="6" t="s">
        <v>44</v>
      </c>
      <c r="D951" s="6" t="s">
        <v>114</v>
      </c>
      <c r="E951" s="6" t="n">
        <v>16</v>
      </c>
      <c r="F951" s="6" t="n">
        <v>4</v>
      </c>
      <c r="G951" s="6" t="s">
        <v>1083</v>
      </c>
    </row>
    <row r="952" customFormat="false" ht="15" hidden="false" customHeight="false" outlineLevel="0" collapsed="false">
      <c r="A952" s="6" t="s">
        <v>62</v>
      </c>
      <c r="B952" s="6" t="s">
        <v>63</v>
      </c>
      <c r="C952" s="6" t="s">
        <v>44</v>
      </c>
      <c r="D952" s="6" t="s">
        <v>114</v>
      </c>
      <c r="E952" s="6" t="n">
        <v>16</v>
      </c>
      <c r="F952" s="6" t="n">
        <v>4</v>
      </c>
      <c r="G952" s="6" t="s">
        <v>1084</v>
      </c>
    </row>
    <row r="953" customFormat="false" ht="15" hidden="false" customHeight="false" outlineLevel="0" collapsed="false">
      <c r="A953" s="6" t="s">
        <v>62</v>
      </c>
      <c r="B953" s="6" t="s">
        <v>63</v>
      </c>
      <c r="C953" s="6" t="s">
        <v>44</v>
      </c>
      <c r="D953" s="6" t="s">
        <v>114</v>
      </c>
      <c r="E953" s="6" t="n">
        <v>16</v>
      </c>
      <c r="F953" s="6" t="n">
        <v>4</v>
      </c>
      <c r="G953" s="6" t="s">
        <v>1085</v>
      </c>
    </row>
    <row r="954" customFormat="false" ht="15" hidden="false" customHeight="false" outlineLevel="0" collapsed="false">
      <c r="A954" s="6" t="s">
        <v>62</v>
      </c>
      <c r="B954" s="6" t="s">
        <v>63</v>
      </c>
      <c r="C954" s="6" t="s">
        <v>44</v>
      </c>
      <c r="D954" s="6" t="s">
        <v>114</v>
      </c>
      <c r="E954" s="6" t="n">
        <v>16</v>
      </c>
      <c r="F954" s="6" t="n">
        <v>4</v>
      </c>
      <c r="G954" s="6" t="s">
        <v>1086</v>
      </c>
    </row>
    <row r="955" customFormat="false" ht="15" hidden="false" customHeight="false" outlineLevel="0" collapsed="false">
      <c r="A955" s="6" t="s">
        <v>62</v>
      </c>
      <c r="B955" s="6" t="s">
        <v>63</v>
      </c>
      <c r="C955" s="6" t="s">
        <v>44</v>
      </c>
      <c r="D955" s="6" t="s">
        <v>114</v>
      </c>
      <c r="E955" s="6" t="n">
        <v>16</v>
      </c>
      <c r="F955" s="6" t="n">
        <v>4</v>
      </c>
      <c r="G955" s="6" t="s">
        <v>1087</v>
      </c>
    </row>
    <row r="956" customFormat="false" ht="15" hidden="false" customHeight="false" outlineLevel="0" collapsed="false">
      <c r="A956" s="6" t="s">
        <v>62</v>
      </c>
      <c r="B956" s="6" t="s">
        <v>63</v>
      </c>
      <c r="C956" s="6" t="s">
        <v>44</v>
      </c>
      <c r="D956" s="6" t="s">
        <v>114</v>
      </c>
      <c r="E956" s="6" t="n">
        <v>16</v>
      </c>
      <c r="F956" s="6" t="n">
        <v>4</v>
      </c>
      <c r="G956" s="6" t="s">
        <v>1088</v>
      </c>
    </row>
    <row r="957" customFormat="false" ht="15" hidden="false" customHeight="false" outlineLevel="0" collapsed="false">
      <c r="A957" s="6" t="s">
        <v>62</v>
      </c>
      <c r="B957" s="6" t="s">
        <v>63</v>
      </c>
      <c r="C957" s="6" t="s">
        <v>44</v>
      </c>
      <c r="D957" s="6" t="s">
        <v>114</v>
      </c>
      <c r="E957" s="6" t="n">
        <v>16</v>
      </c>
      <c r="F957" s="6" t="n">
        <v>4</v>
      </c>
      <c r="G957" s="6" t="s">
        <v>1089</v>
      </c>
    </row>
    <row r="958" customFormat="false" ht="15" hidden="false" customHeight="false" outlineLevel="0" collapsed="false">
      <c r="A958" s="6" t="s">
        <v>62</v>
      </c>
      <c r="B958" s="6" t="s">
        <v>63</v>
      </c>
      <c r="C958" s="6" t="s">
        <v>44</v>
      </c>
      <c r="D958" s="6" t="s">
        <v>114</v>
      </c>
      <c r="E958" s="6" t="n">
        <v>16</v>
      </c>
      <c r="F958" s="6" t="n">
        <v>4</v>
      </c>
      <c r="G958" s="6" t="s">
        <v>1090</v>
      </c>
    </row>
    <row r="959" customFormat="false" ht="15" hidden="false" customHeight="false" outlineLevel="0" collapsed="false">
      <c r="A959" s="6" t="s">
        <v>62</v>
      </c>
      <c r="B959" s="6" t="s">
        <v>63</v>
      </c>
      <c r="C959" s="6" t="s">
        <v>44</v>
      </c>
      <c r="D959" s="6" t="s">
        <v>114</v>
      </c>
      <c r="E959" s="6" t="n">
        <v>16</v>
      </c>
      <c r="F959" s="6" t="n">
        <v>4</v>
      </c>
      <c r="G959" s="6" t="s">
        <v>1091</v>
      </c>
    </row>
    <row r="960" customFormat="false" ht="15" hidden="false" customHeight="false" outlineLevel="0" collapsed="false">
      <c r="A960" s="6" t="s">
        <v>62</v>
      </c>
      <c r="B960" s="6" t="s">
        <v>63</v>
      </c>
      <c r="C960" s="6" t="s">
        <v>44</v>
      </c>
      <c r="D960" s="6" t="s">
        <v>114</v>
      </c>
      <c r="E960" s="6" t="n">
        <v>16</v>
      </c>
      <c r="F960" s="6" t="n">
        <v>4</v>
      </c>
      <c r="G960" s="6" t="s">
        <v>1092</v>
      </c>
    </row>
    <row r="961" customFormat="false" ht="15" hidden="false" customHeight="false" outlineLevel="0" collapsed="false">
      <c r="A961" s="6" t="s">
        <v>62</v>
      </c>
      <c r="B961" s="6" t="s">
        <v>63</v>
      </c>
      <c r="C961" s="6" t="s">
        <v>44</v>
      </c>
      <c r="D961" s="6" t="s">
        <v>114</v>
      </c>
      <c r="E961" s="6" t="n">
        <v>16</v>
      </c>
      <c r="F961" s="6" t="n">
        <v>4</v>
      </c>
      <c r="G961" s="6" t="s">
        <v>1093</v>
      </c>
    </row>
    <row r="962" customFormat="false" ht="15" hidden="false" customHeight="false" outlineLevel="0" collapsed="false">
      <c r="A962" s="6" t="s">
        <v>62</v>
      </c>
      <c r="B962" s="6" t="s">
        <v>63</v>
      </c>
      <c r="C962" s="6" t="s">
        <v>44</v>
      </c>
      <c r="D962" s="6" t="s">
        <v>114</v>
      </c>
      <c r="E962" s="6" t="n">
        <v>16</v>
      </c>
      <c r="F962" s="6" t="n">
        <v>4</v>
      </c>
      <c r="G962" s="6" t="s">
        <v>1094</v>
      </c>
    </row>
    <row r="963" customFormat="false" ht="15" hidden="false" customHeight="false" outlineLevel="0" collapsed="false">
      <c r="A963" s="6" t="s">
        <v>62</v>
      </c>
      <c r="B963" s="6" t="s">
        <v>63</v>
      </c>
      <c r="C963" s="6" t="s">
        <v>44</v>
      </c>
      <c r="D963" s="6" t="s">
        <v>114</v>
      </c>
      <c r="E963" s="6" t="n">
        <v>16</v>
      </c>
      <c r="F963" s="6" t="n">
        <v>4</v>
      </c>
      <c r="G963" s="6" t="s">
        <v>1095</v>
      </c>
    </row>
    <row r="964" customFormat="false" ht="15" hidden="false" customHeight="false" outlineLevel="0" collapsed="false">
      <c r="A964" s="6" t="s">
        <v>62</v>
      </c>
      <c r="B964" s="6" t="s">
        <v>63</v>
      </c>
      <c r="C964" s="6" t="s">
        <v>44</v>
      </c>
      <c r="D964" s="6" t="s">
        <v>114</v>
      </c>
      <c r="E964" s="6" t="n">
        <v>16</v>
      </c>
      <c r="F964" s="6" t="n">
        <v>4</v>
      </c>
      <c r="G964" s="6" t="s">
        <v>1096</v>
      </c>
    </row>
    <row r="965" customFormat="false" ht="15" hidden="false" customHeight="false" outlineLevel="0" collapsed="false">
      <c r="A965" s="6" t="s">
        <v>62</v>
      </c>
      <c r="B965" s="6" t="s">
        <v>63</v>
      </c>
      <c r="C965" s="6" t="s">
        <v>44</v>
      </c>
      <c r="D965" s="6" t="s">
        <v>114</v>
      </c>
      <c r="E965" s="6" t="n">
        <v>16</v>
      </c>
      <c r="F965" s="6" t="n">
        <v>4</v>
      </c>
      <c r="G965" s="6" t="s">
        <v>1097</v>
      </c>
    </row>
    <row r="966" customFormat="false" ht="15" hidden="false" customHeight="false" outlineLevel="0" collapsed="false">
      <c r="A966" s="6" t="s">
        <v>62</v>
      </c>
      <c r="B966" s="6" t="s">
        <v>63</v>
      </c>
      <c r="C966" s="6" t="s">
        <v>44</v>
      </c>
      <c r="D966" s="6" t="s">
        <v>114</v>
      </c>
      <c r="E966" s="6" t="n">
        <v>16</v>
      </c>
      <c r="F966" s="6" t="n">
        <v>5</v>
      </c>
      <c r="G966" s="6" t="s">
        <v>1098</v>
      </c>
    </row>
    <row r="967" customFormat="false" ht="15" hidden="false" customHeight="false" outlineLevel="0" collapsed="false">
      <c r="A967" s="6" t="s">
        <v>62</v>
      </c>
      <c r="B967" s="6" t="s">
        <v>63</v>
      </c>
      <c r="C967" s="6" t="s">
        <v>44</v>
      </c>
      <c r="D967" s="6" t="s">
        <v>114</v>
      </c>
      <c r="E967" s="6" t="n">
        <v>16</v>
      </c>
      <c r="F967" s="6" t="n">
        <v>5</v>
      </c>
      <c r="G967" s="6" t="s">
        <v>1099</v>
      </c>
    </row>
    <row r="968" customFormat="false" ht="15" hidden="false" customHeight="false" outlineLevel="0" collapsed="false">
      <c r="A968" s="6" t="s">
        <v>62</v>
      </c>
      <c r="B968" s="6" t="s">
        <v>63</v>
      </c>
      <c r="C968" s="6" t="s">
        <v>44</v>
      </c>
      <c r="D968" s="6" t="s">
        <v>114</v>
      </c>
      <c r="E968" s="6" t="n">
        <v>16</v>
      </c>
      <c r="F968" s="6" t="n">
        <v>5</v>
      </c>
      <c r="G968" s="6" t="s">
        <v>1100</v>
      </c>
    </row>
    <row r="969" customFormat="false" ht="15" hidden="false" customHeight="false" outlineLevel="0" collapsed="false">
      <c r="A969" s="6" t="s">
        <v>62</v>
      </c>
      <c r="B969" s="6" t="s">
        <v>63</v>
      </c>
      <c r="C969" s="6" t="s">
        <v>44</v>
      </c>
      <c r="D969" s="6" t="s">
        <v>114</v>
      </c>
      <c r="E969" s="6" t="n">
        <v>16</v>
      </c>
      <c r="F969" s="6" t="n">
        <v>5</v>
      </c>
      <c r="G969" s="6" t="s">
        <v>1101</v>
      </c>
    </row>
    <row r="970" customFormat="false" ht="15" hidden="false" customHeight="false" outlineLevel="0" collapsed="false">
      <c r="A970" s="6" t="s">
        <v>62</v>
      </c>
      <c r="B970" s="6" t="s">
        <v>63</v>
      </c>
      <c r="C970" s="6" t="s">
        <v>44</v>
      </c>
      <c r="D970" s="6" t="s">
        <v>114</v>
      </c>
      <c r="E970" s="6" t="n">
        <v>16</v>
      </c>
      <c r="F970" s="6" t="n">
        <v>5</v>
      </c>
      <c r="G970" s="6" t="s">
        <v>1102</v>
      </c>
    </row>
    <row r="971" customFormat="false" ht="15" hidden="false" customHeight="false" outlineLevel="0" collapsed="false">
      <c r="A971" s="6" t="s">
        <v>62</v>
      </c>
      <c r="B971" s="6" t="s">
        <v>63</v>
      </c>
      <c r="C971" s="6" t="s">
        <v>44</v>
      </c>
      <c r="D971" s="6" t="s">
        <v>114</v>
      </c>
      <c r="E971" s="6" t="n">
        <v>16</v>
      </c>
      <c r="F971" s="6" t="n">
        <v>5</v>
      </c>
      <c r="G971" s="6" t="s">
        <v>1103</v>
      </c>
    </row>
    <row r="972" customFormat="false" ht="15" hidden="false" customHeight="false" outlineLevel="0" collapsed="false">
      <c r="A972" s="6" t="s">
        <v>62</v>
      </c>
      <c r="B972" s="6" t="s">
        <v>63</v>
      </c>
      <c r="C972" s="6" t="s">
        <v>44</v>
      </c>
      <c r="D972" s="6" t="s">
        <v>114</v>
      </c>
      <c r="E972" s="6" t="n">
        <v>16</v>
      </c>
      <c r="F972" s="6" t="n">
        <v>5</v>
      </c>
      <c r="G972" s="6" t="s">
        <v>1104</v>
      </c>
    </row>
    <row r="973" customFormat="false" ht="15" hidden="false" customHeight="false" outlineLevel="0" collapsed="false">
      <c r="A973" s="6" t="s">
        <v>62</v>
      </c>
      <c r="B973" s="6" t="s">
        <v>63</v>
      </c>
      <c r="C973" s="6" t="s">
        <v>44</v>
      </c>
      <c r="D973" s="6" t="s">
        <v>114</v>
      </c>
      <c r="E973" s="6" t="n">
        <v>16</v>
      </c>
      <c r="F973" s="6" t="n">
        <v>5</v>
      </c>
      <c r="G973" s="6" t="s">
        <v>1105</v>
      </c>
    </row>
    <row r="974" customFormat="false" ht="15" hidden="false" customHeight="false" outlineLevel="0" collapsed="false">
      <c r="A974" s="6" t="s">
        <v>62</v>
      </c>
      <c r="B974" s="6" t="s">
        <v>63</v>
      </c>
      <c r="C974" s="6" t="s">
        <v>44</v>
      </c>
      <c r="D974" s="6" t="s">
        <v>114</v>
      </c>
      <c r="E974" s="6" t="n">
        <v>16</v>
      </c>
      <c r="F974" s="6" t="n">
        <v>5</v>
      </c>
      <c r="G974" s="6" t="s">
        <v>1106</v>
      </c>
    </row>
    <row r="975" customFormat="false" ht="15" hidden="false" customHeight="false" outlineLevel="0" collapsed="false">
      <c r="A975" s="6" t="s">
        <v>62</v>
      </c>
      <c r="B975" s="6" t="s">
        <v>63</v>
      </c>
      <c r="C975" s="6" t="s">
        <v>44</v>
      </c>
      <c r="D975" s="6" t="s">
        <v>114</v>
      </c>
      <c r="E975" s="6" t="n">
        <v>16</v>
      </c>
      <c r="F975" s="6" t="n">
        <v>5</v>
      </c>
      <c r="G975" s="6" t="s">
        <v>1107</v>
      </c>
    </row>
    <row r="976" customFormat="false" ht="15" hidden="false" customHeight="false" outlineLevel="0" collapsed="false">
      <c r="A976" s="6" t="s">
        <v>62</v>
      </c>
      <c r="B976" s="6" t="s">
        <v>63</v>
      </c>
      <c r="C976" s="6" t="s">
        <v>44</v>
      </c>
      <c r="D976" s="6" t="s">
        <v>114</v>
      </c>
      <c r="E976" s="6" t="n">
        <v>16</v>
      </c>
      <c r="F976" s="6" t="n">
        <v>5</v>
      </c>
      <c r="G976" s="6" t="s">
        <v>1108</v>
      </c>
    </row>
    <row r="977" customFormat="false" ht="15" hidden="false" customHeight="false" outlineLevel="0" collapsed="false">
      <c r="A977" s="6" t="s">
        <v>62</v>
      </c>
      <c r="B977" s="6" t="s">
        <v>63</v>
      </c>
      <c r="C977" s="6" t="s">
        <v>44</v>
      </c>
      <c r="D977" s="6" t="s">
        <v>114</v>
      </c>
      <c r="E977" s="6" t="n">
        <v>16</v>
      </c>
      <c r="F977" s="6" t="n">
        <v>5</v>
      </c>
      <c r="G977" s="6" t="s">
        <v>1109</v>
      </c>
    </row>
    <row r="978" customFormat="false" ht="15" hidden="false" customHeight="false" outlineLevel="0" collapsed="false">
      <c r="A978" s="6" t="s">
        <v>62</v>
      </c>
      <c r="B978" s="6" t="s">
        <v>63</v>
      </c>
      <c r="C978" s="6" t="s">
        <v>44</v>
      </c>
      <c r="D978" s="6" t="s">
        <v>114</v>
      </c>
      <c r="E978" s="6" t="n">
        <v>16</v>
      </c>
      <c r="F978" s="6" t="n">
        <v>5</v>
      </c>
      <c r="G978" s="6" t="s">
        <v>1110</v>
      </c>
    </row>
    <row r="979" customFormat="false" ht="15" hidden="false" customHeight="false" outlineLevel="0" collapsed="false">
      <c r="A979" s="6" t="s">
        <v>62</v>
      </c>
      <c r="B979" s="6" t="s">
        <v>63</v>
      </c>
      <c r="C979" s="6" t="s">
        <v>44</v>
      </c>
      <c r="D979" s="6" t="s">
        <v>114</v>
      </c>
      <c r="E979" s="6" t="n">
        <v>16</v>
      </c>
      <c r="F979" s="6" t="n">
        <v>5</v>
      </c>
      <c r="G979" s="6" t="s">
        <v>1111</v>
      </c>
    </row>
    <row r="980" customFormat="false" ht="15" hidden="false" customHeight="false" outlineLevel="0" collapsed="false">
      <c r="A980" s="6" t="s">
        <v>62</v>
      </c>
      <c r="B980" s="6" t="s">
        <v>63</v>
      </c>
      <c r="C980" s="6" t="s">
        <v>44</v>
      </c>
      <c r="D980" s="6" t="s">
        <v>114</v>
      </c>
      <c r="E980" s="6" t="n">
        <v>16</v>
      </c>
      <c r="F980" s="6" t="n">
        <v>5</v>
      </c>
      <c r="G980" s="6" t="s">
        <v>1112</v>
      </c>
    </row>
    <row r="981" customFormat="false" ht="15" hidden="false" customHeight="false" outlineLevel="0" collapsed="false">
      <c r="A981" s="6" t="s">
        <v>62</v>
      </c>
      <c r="B981" s="6" t="s">
        <v>63</v>
      </c>
      <c r="C981" s="6" t="s">
        <v>44</v>
      </c>
      <c r="D981" s="6" t="s">
        <v>114</v>
      </c>
      <c r="E981" s="6" t="n">
        <v>16</v>
      </c>
      <c r="F981" s="6" t="n">
        <v>5</v>
      </c>
      <c r="G981" s="6" t="s">
        <v>1113</v>
      </c>
    </row>
    <row r="982" customFormat="false" ht="15" hidden="false" customHeight="false" outlineLevel="0" collapsed="false">
      <c r="A982" s="6" t="s">
        <v>62</v>
      </c>
      <c r="B982" s="6" t="s">
        <v>63</v>
      </c>
      <c r="C982" s="6" t="s">
        <v>44</v>
      </c>
      <c r="D982" s="6" t="s">
        <v>114</v>
      </c>
      <c r="E982" s="6" t="n">
        <v>16</v>
      </c>
      <c r="F982" s="6" t="n">
        <v>6</v>
      </c>
      <c r="G982" s="6" t="s">
        <v>1114</v>
      </c>
    </row>
    <row r="983" customFormat="false" ht="15" hidden="false" customHeight="false" outlineLevel="0" collapsed="false">
      <c r="A983" s="6" t="s">
        <v>62</v>
      </c>
      <c r="B983" s="6" t="s">
        <v>63</v>
      </c>
      <c r="C983" s="6" t="s">
        <v>44</v>
      </c>
      <c r="D983" s="6" t="s">
        <v>114</v>
      </c>
      <c r="E983" s="6" t="n">
        <v>16</v>
      </c>
      <c r="F983" s="6" t="n">
        <v>6</v>
      </c>
      <c r="G983" s="6" t="s">
        <v>1115</v>
      </c>
    </row>
    <row r="984" customFormat="false" ht="15" hidden="false" customHeight="false" outlineLevel="0" collapsed="false">
      <c r="A984" s="6" t="s">
        <v>62</v>
      </c>
      <c r="B984" s="6" t="s">
        <v>63</v>
      </c>
      <c r="C984" s="6" t="s">
        <v>44</v>
      </c>
      <c r="D984" s="6" t="s">
        <v>114</v>
      </c>
      <c r="E984" s="6" t="n">
        <v>16</v>
      </c>
      <c r="F984" s="6" t="n">
        <v>6</v>
      </c>
      <c r="G984" s="6" t="s">
        <v>1116</v>
      </c>
    </row>
    <row r="985" customFormat="false" ht="15" hidden="false" customHeight="false" outlineLevel="0" collapsed="false">
      <c r="A985" s="6" t="s">
        <v>62</v>
      </c>
      <c r="B985" s="6" t="s">
        <v>63</v>
      </c>
      <c r="C985" s="6" t="s">
        <v>44</v>
      </c>
      <c r="D985" s="6" t="s">
        <v>114</v>
      </c>
      <c r="E985" s="6" t="n">
        <v>16</v>
      </c>
      <c r="F985" s="6" t="n">
        <v>6</v>
      </c>
      <c r="G985" s="6" t="s">
        <v>1117</v>
      </c>
    </row>
    <row r="986" customFormat="false" ht="15" hidden="false" customHeight="false" outlineLevel="0" collapsed="false">
      <c r="A986" s="6" t="s">
        <v>62</v>
      </c>
      <c r="B986" s="6" t="s">
        <v>63</v>
      </c>
      <c r="C986" s="6" t="s">
        <v>44</v>
      </c>
      <c r="D986" s="6" t="s">
        <v>114</v>
      </c>
      <c r="E986" s="6" t="n">
        <v>16</v>
      </c>
      <c r="F986" s="6" t="n">
        <v>6</v>
      </c>
      <c r="G986" s="6" t="s">
        <v>1118</v>
      </c>
    </row>
    <row r="987" customFormat="false" ht="15" hidden="false" customHeight="false" outlineLevel="0" collapsed="false">
      <c r="A987" s="6" t="s">
        <v>62</v>
      </c>
      <c r="B987" s="6" t="s">
        <v>63</v>
      </c>
      <c r="C987" s="6" t="s">
        <v>44</v>
      </c>
      <c r="D987" s="6" t="s">
        <v>114</v>
      </c>
      <c r="E987" s="6" t="n">
        <v>16</v>
      </c>
      <c r="F987" s="6" t="n">
        <v>6</v>
      </c>
      <c r="G987" s="6" t="s">
        <v>1119</v>
      </c>
    </row>
    <row r="988" customFormat="false" ht="15" hidden="false" customHeight="false" outlineLevel="0" collapsed="false">
      <c r="A988" s="6" t="s">
        <v>62</v>
      </c>
      <c r="B988" s="6" t="s">
        <v>63</v>
      </c>
      <c r="C988" s="6" t="s">
        <v>44</v>
      </c>
      <c r="D988" s="6" t="s">
        <v>114</v>
      </c>
      <c r="E988" s="6" t="n">
        <v>16</v>
      </c>
      <c r="F988" s="6" t="n">
        <v>6</v>
      </c>
      <c r="G988" s="6" t="s">
        <v>1120</v>
      </c>
    </row>
    <row r="989" customFormat="false" ht="15" hidden="false" customHeight="false" outlineLevel="0" collapsed="false">
      <c r="A989" s="6" t="s">
        <v>62</v>
      </c>
      <c r="B989" s="6" t="s">
        <v>63</v>
      </c>
      <c r="C989" s="6" t="s">
        <v>44</v>
      </c>
      <c r="D989" s="6" t="s">
        <v>114</v>
      </c>
      <c r="E989" s="6" t="n">
        <v>16</v>
      </c>
      <c r="F989" s="6" t="n">
        <v>6</v>
      </c>
      <c r="G989" s="6" t="s">
        <v>1121</v>
      </c>
    </row>
    <row r="990" customFormat="false" ht="15" hidden="false" customHeight="false" outlineLevel="0" collapsed="false">
      <c r="A990" s="6" t="s">
        <v>62</v>
      </c>
      <c r="B990" s="6" t="s">
        <v>63</v>
      </c>
      <c r="C990" s="6" t="s">
        <v>44</v>
      </c>
      <c r="D990" s="6" t="s">
        <v>114</v>
      </c>
      <c r="E990" s="6" t="n">
        <v>16</v>
      </c>
      <c r="F990" s="6" t="n">
        <v>6</v>
      </c>
      <c r="G990" s="6" t="s">
        <v>1122</v>
      </c>
    </row>
    <row r="991" customFormat="false" ht="15" hidden="false" customHeight="false" outlineLevel="0" collapsed="false">
      <c r="A991" s="6" t="s">
        <v>62</v>
      </c>
      <c r="B991" s="6" t="s">
        <v>63</v>
      </c>
      <c r="C991" s="6" t="s">
        <v>44</v>
      </c>
      <c r="D991" s="6" t="s">
        <v>114</v>
      </c>
      <c r="E991" s="6" t="n">
        <v>16</v>
      </c>
      <c r="F991" s="6" t="n">
        <v>6</v>
      </c>
      <c r="G991" s="6" t="s">
        <v>1123</v>
      </c>
    </row>
    <row r="992" customFormat="false" ht="15" hidden="false" customHeight="false" outlineLevel="0" collapsed="false">
      <c r="A992" s="6" t="s">
        <v>62</v>
      </c>
      <c r="B992" s="6" t="s">
        <v>63</v>
      </c>
      <c r="C992" s="6" t="s">
        <v>44</v>
      </c>
      <c r="D992" s="6" t="s">
        <v>114</v>
      </c>
      <c r="E992" s="6" t="n">
        <v>16</v>
      </c>
      <c r="F992" s="6" t="n">
        <v>6</v>
      </c>
      <c r="G992" s="6" t="s">
        <v>1124</v>
      </c>
    </row>
    <row r="993" customFormat="false" ht="15" hidden="false" customHeight="false" outlineLevel="0" collapsed="false">
      <c r="A993" s="6" t="s">
        <v>62</v>
      </c>
      <c r="B993" s="6" t="s">
        <v>63</v>
      </c>
      <c r="C993" s="6" t="s">
        <v>44</v>
      </c>
      <c r="D993" s="6" t="s">
        <v>114</v>
      </c>
      <c r="E993" s="6" t="n">
        <v>16</v>
      </c>
      <c r="F993" s="6" t="n">
        <v>6</v>
      </c>
      <c r="G993" s="6" t="s">
        <v>1125</v>
      </c>
    </row>
    <row r="994" customFormat="false" ht="15" hidden="false" customHeight="false" outlineLevel="0" collapsed="false">
      <c r="A994" s="6" t="s">
        <v>62</v>
      </c>
      <c r="B994" s="6" t="s">
        <v>63</v>
      </c>
      <c r="C994" s="6" t="s">
        <v>44</v>
      </c>
      <c r="D994" s="6" t="s">
        <v>114</v>
      </c>
      <c r="E994" s="6" t="n">
        <v>16</v>
      </c>
      <c r="F994" s="6" t="n">
        <v>6</v>
      </c>
      <c r="G994" s="6" t="s">
        <v>1126</v>
      </c>
    </row>
    <row r="995" customFormat="false" ht="15" hidden="false" customHeight="false" outlineLevel="0" collapsed="false">
      <c r="A995" s="6" t="s">
        <v>62</v>
      </c>
      <c r="B995" s="6" t="s">
        <v>63</v>
      </c>
      <c r="C995" s="6" t="s">
        <v>44</v>
      </c>
      <c r="D995" s="6" t="s">
        <v>114</v>
      </c>
      <c r="E995" s="6" t="n">
        <v>16</v>
      </c>
      <c r="F995" s="6" t="n">
        <v>6</v>
      </c>
      <c r="G995" s="6" t="s">
        <v>1127</v>
      </c>
    </row>
    <row r="996" customFormat="false" ht="15" hidden="false" customHeight="false" outlineLevel="0" collapsed="false">
      <c r="A996" s="6" t="s">
        <v>62</v>
      </c>
      <c r="B996" s="6" t="s">
        <v>63</v>
      </c>
      <c r="C996" s="6" t="s">
        <v>44</v>
      </c>
      <c r="D996" s="6" t="s">
        <v>114</v>
      </c>
      <c r="E996" s="6" t="n">
        <v>16</v>
      </c>
      <c r="F996" s="6" t="n">
        <v>6</v>
      </c>
      <c r="G996" s="6" t="s">
        <v>1128</v>
      </c>
    </row>
    <row r="997" customFormat="false" ht="15" hidden="false" customHeight="false" outlineLevel="0" collapsed="false">
      <c r="A997" s="6" t="s">
        <v>62</v>
      </c>
      <c r="B997" s="6" t="s">
        <v>63</v>
      </c>
      <c r="C997" s="6" t="s">
        <v>44</v>
      </c>
      <c r="D997" s="6" t="s">
        <v>114</v>
      </c>
      <c r="E997" s="6" t="n">
        <v>16</v>
      </c>
      <c r="F997" s="6" t="n">
        <v>6</v>
      </c>
      <c r="G997" s="6" t="s">
        <v>1129</v>
      </c>
    </row>
    <row r="998" customFormat="false" ht="15" hidden="false" customHeight="false" outlineLevel="0" collapsed="false">
      <c r="A998" s="6" t="s">
        <v>62</v>
      </c>
      <c r="B998" s="6" t="s">
        <v>63</v>
      </c>
      <c r="C998" s="6" t="s">
        <v>44</v>
      </c>
      <c r="D998" s="6" t="s">
        <v>114</v>
      </c>
      <c r="E998" s="6" t="n">
        <v>16</v>
      </c>
      <c r="F998" s="6" t="n">
        <v>7</v>
      </c>
      <c r="G998" s="6" t="s">
        <v>1130</v>
      </c>
    </row>
    <row r="999" customFormat="false" ht="15" hidden="false" customHeight="false" outlineLevel="0" collapsed="false">
      <c r="A999" s="6" t="s">
        <v>62</v>
      </c>
      <c r="B999" s="6" t="s">
        <v>63</v>
      </c>
      <c r="C999" s="6" t="s">
        <v>44</v>
      </c>
      <c r="D999" s="6" t="s">
        <v>114</v>
      </c>
      <c r="E999" s="6" t="n">
        <v>16</v>
      </c>
      <c r="F999" s="6" t="n">
        <v>7</v>
      </c>
      <c r="G999" s="6" t="s">
        <v>1131</v>
      </c>
    </row>
    <row r="1000" customFormat="false" ht="15" hidden="false" customHeight="false" outlineLevel="0" collapsed="false">
      <c r="A1000" s="6" t="s">
        <v>62</v>
      </c>
      <c r="B1000" s="6" t="s">
        <v>63</v>
      </c>
      <c r="C1000" s="6" t="s">
        <v>44</v>
      </c>
      <c r="D1000" s="6" t="s">
        <v>114</v>
      </c>
      <c r="E1000" s="6" t="n">
        <v>16</v>
      </c>
      <c r="F1000" s="6" t="n">
        <v>7</v>
      </c>
      <c r="G1000" s="6" t="s">
        <v>1132</v>
      </c>
    </row>
    <row r="1001" customFormat="false" ht="15" hidden="false" customHeight="false" outlineLevel="0" collapsed="false">
      <c r="A1001" s="6" t="s">
        <v>62</v>
      </c>
      <c r="B1001" s="6" t="s">
        <v>63</v>
      </c>
      <c r="C1001" s="6" t="s">
        <v>44</v>
      </c>
      <c r="D1001" s="6" t="s">
        <v>114</v>
      </c>
      <c r="E1001" s="6" t="n">
        <v>16</v>
      </c>
      <c r="F1001" s="6" t="n">
        <v>7</v>
      </c>
      <c r="G1001" s="6" t="s">
        <v>1133</v>
      </c>
    </row>
    <row r="1002" customFormat="false" ht="15" hidden="false" customHeight="false" outlineLevel="0" collapsed="false">
      <c r="A1002" s="6" t="s">
        <v>62</v>
      </c>
      <c r="B1002" s="6" t="s">
        <v>63</v>
      </c>
      <c r="C1002" s="6" t="s">
        <v>44</v>
      </c>
      <c r="D1002" s="6" t="s">
        <v>114</v>
      </c>
      <c r="E1002" s="6" t="n">
        <v>16</v>
      </c>
      <c r="F1002" s="6" t="n">
        <v>7</v>
      </c>
      <c r="G1002" s="6" t="s">
        <v>1134</v>
      </c>
    </row>
    <row r="1003" customFormat="false" ht="15" hidden="false" customHeight="false" outlineLevel="0" collapsed="false">
      <c r="A1003" s="6" t="s">
        <v>62</v>
      </c>
      <c r="B1003" s="6" t="s">
        <v>63</v>
      </c>
      <c r="C1003" s="6" t="s">
        <v>44</v>
      </c>
      <c r="D1003" s="6" t="s">
        <v>114</v>
      </c>
      <c r="E1003" s="6" t="n">
        <v>16</v>
      </c>
      <c r="F1003" s="6" t="n">
        <v>7</v>
      </c>
      <c r="G1003" s="6" t="s">
        <v>1135</v>
      </c>
    </row>
    <row r="1004" customFormat="false" ht="15" hidden="false" customHeight="false" outlineLevel="0" collapsed="false">
      <c r="A1004" s="6" t="s">
        <v>62</v>
      </c>
      <c r="B1004" s="6" t="s">
        <v>63</v>
      </c>
      <c r="C1004" s="6" t="s">
        <v>44</v>
      </c>
      <c r="D1004" s="6" t="s">
        <v>114</v>
      </c>
      <c r="E1004" s="6" t="n">
        <v>16</v>
      </c>
      <c r="F1004" s="6" t="n">
        <v>7</v>
      </c>
      <c r="G1004" s="6" t="s">
        <v>1136</v>
      </c>
    </row>
    <row r="1005" customFormat="false" ht="15" hidden="false" customHeight="false" outlineLevel="0" collapsed="false">
      <c r="A1005" s="6" t="s">
        <v>62</v>
      </c>
      <c r="B1005" s="6" t="s">
        <v>63</v>
      </c>
      <c r="C1005" s="6" t="s">
        <v>44</v>
      </c>
      <c r="D1005" s="6" t="s">
        <v>114</v>
      </c>
      <c r="E1005" s="6" t="n">
        <v>16</v>
      </c>
      <c r="F1005" s="6" t="n">
        <v>7</v>
      </c>
      <c r="G1005" s="6" t="s">
        <v>1137</v>
      </c>
    </row>
    <row r="1006" customFormat="false" ht="15" hidden="false" customHeight="false" outlineLevel="0" collapsed="false">
      <c r="A1006" s="6" t="s">
        <v>62</v>
      </c>
      <c r="B1006" s="6" t="s">
        <v>63</v>
      </c>
      <c r="C1006" s="6" t="s">
        <v>44</v>
      </c>
      <c r="D1006" s="6" t="s">
        <v>114</v>
      </c>
      <c r="E1006" s="6" t="n">
        <v>16</v>
      </c>
      <c r="F1006" s="6" t="n">
        <v>7</v>
      </c>
      <c r="G1006" s="6" t="s">
        <v>1138</v>
      </c>
    </row>
    <row r="1007" customFormat="false" ht="15" hidden="false" customHeight="false" outlineLevel="0" collapsed="false">
      <c r="A1007" s="6" t="s">
        <v>62</v>
      </c>
      <c r="B1007" s="6" t="s">
        <v>63</v>
      </c>
      <c r="C1007" s="6" t="s">
        <v>44</v>
      </c>
      <c r="D1007" s="6" t="s">
        <v>114</v>
      </c>
      <c r="E1007" s="6" t="n">
        <v>16</v>
      </c>
      <c r="F1007" s="6" t="n">
        <v>7</v>
      </c>
      <c r="G1007" s="6" t="s">
        <v>1139</v>
      </c>
    </row>
    <row r="1008" customFormat="false" ht="15" hidden="false" customHeight="false" outlineLevel="0" collapsed="false">
      <c r="A1008" s="6" t="s">
        <v>62</v>
      </c>
      <c r="B1008" s="6" t="s">
        <v>63</v>
      </c>
      <c r="C1008" s="6" t="s">
        <v>44</v>
      </c>
      <c r="D1008" s="6" t="s">
        <v>114</v>
      </c>
      <c r="E1008" s="6" t="n">
        <v>16</v>
      </c>
      <c r="F1008" s="6" t="n">
        <v>7</v>
      </c>
      <c r="G1008" s="6" t="s">
        <v>1140</v>
      </c>
    </row>
    <row r="1009" customFormat="false" ht="15" hidden="false" customHeight="false" outlineLevel="0" collapsed="false">
      <c r="A1009" s="6" t="s">
        <v>62</v>
      </c>
      <c r="B1009" s="6" t="s">
        <v>63</v>
      </c>
      <c r="C1009" s="6" t="s">
        <v>44</v>
      </c>
      <c r="D1009" s="6" t="s">
        <v>114</v>
      </c>
      <c r="E1009" s="6" t="n">
        <v>16</v>
      </c>
      <c r="F1009" s="6" t="n">
        <v>7</v>
      </c>
      <c r="G1009" s="6" t="s">
        <v>1141</v>
      </c>
    </row>
    <row r="1010" customFormat="false" ht="15" hidden="false" customHeight="false" outlineLevel="0" collapsed="false">
      <c r="A1010" s="6" t="s">
        <v>62</v>
      </c>
      <c r="B1010" s="6" t="s">
        <v>63</v>
      </c>
      <c r="C1010" s="6" t="s">
        <v>44</v>
      </c>
      <c r="D1010" s="6" t="s">
        <v>114</v>
      </c>
      <c r="E1010" s="6" t="n">
        <v>16</v>
      </c>
      <c r="F1010" s="6" t="n">
        <v>7</v>
      </c>
      <c r="G1010" s="6" t="s">
        <v>1142</v>
      </c>
    </row>
    <row r="1011" customFormat="false" ht="15" hidden="false" customHeight="false" outlineLevel="0" collapsed="false">
      <c r="A1011" s="6" t="s">
        <v>62</v>
      </c>
      <c r="B1011" s="6" t="s">
        <v>63</v>
      </c>
      <c r="C1011" s="6" t="s">
        <v>44</v>
      </c>
      <c r="D1011" s="6" t="s">
        <v>114</v>
      </c>
      <c r="E1011" s="6" t="n">
        <v>16</v>
      </c>
      <c r="F1011" s="6" t="n">
        <v>7</v>
      </c>
      <c r="G1011" s="6" t="s">
        <v>1143</v>
      </c>
    </row>
    <row r="1012" customFormat="false" ht="15" hidden="false" customHeight="false" outlineLevel="0" collapsed="false">
      <c r="A1012" s="6" t="s">
        <v>62</v>
      </c>
      <c r="B1012" s="6" t="s">
        <v>63</v>
      </c>
      <c r="C1012" s="6" t="s">
        <v>44</v>
      </c>
      <c r="D1012" s="6" t="s">
        <v>114</v>
      </c>
      <c r="E1012" s="6" t="n">
        <v>16</v>
      </c>
      <c r="F1012" s="6" t="n">
        <v>7</v>
      </c>
      <c r="G1012" s="6" t="s">
        <v>1144</v>
      </c>
    </row>
    <row r="1013" customFormat="false" ht="15" hidden="false" customHeight="false" outlineLevel="0" collapsed="false">
      <c r="A1013" s="6" t="s">
        <v>62</v>
      </c>
      <c r="B1013" s="6" t="s">
        <v>63</v>
      </c>
      <c r="C1013" s="6" t="s">
        <v>44</v>
      </c>
      <c r="D1013" s="6" t="s">
        <v>114</v>
      </c>
      <c r="E1013" s="6" t="n">
        <v>16</v>
      </c>
      <c r="F1013" s="6" t="n">
        <v>7</v>
      </c>
      <c r="G1013" s="6" t="s">
        <v>1145</v>
      </c>
    </row>
    <row r="1014" customFormat="false" ht="15" hidden="false" customHeight="false" outlineLevel="0" collapsed="false">
      <c r="A1014" s="6" t="s">
        <v>62</v>
      </c>
      <c r="B1014" s="6" t="s">
        <v>63</v>
      </c>
      <c r="C1014" s="6" t="s">
        <v>44</v>
      </c>
      <c r="D1014" s="6" t="s">
        <v>114</v>
      </c>
      <c r="E1014" s="6" t="n">
        <v>16</v>
      </c>
      <c r="F1014" s="6" t="n">
        <v>8</v>
      </c>
      <c r="G1014" s="6" t="s">
        <v>1146</v>
      </c>
    </row>
    <row r="1015" customFormat="false" ht="15" hidden="false" customHeight="false" outlineLevel="0" collapsed="false">
      <c r="A1015" s="6" t="s">
        <v>62</v>
      </c>
      <c r="B1015" s="6" t="s">
        <v>63</v>
      </c>
      <c r="C1015" s="6" t="s">
        <v>44</v>
      </c>
      <c r="D1015" s="6" t="s">
        <v>114</v>
      </c>
      <c r="E1015" s="6" t="n">
        <v>16</v>
      </c>
      <c r="F1015" s="6" t="n">
        <v>8</v>
      </c>
      <c r="G1015" s="6" t="s">
        <v>1147</v>
      </c>
    </row>
    <row r="1016" customFormat="false" ht="15" hidden="false" customHeight="false" outlineLevel="0" collapsed="false">
      <c r="A1016" s="6" t="s">
        <v>62</v>
      </c>
      <c r="B1016" s="6" t="s">
        <v>63</v>
      </c>
      <c r="C1016" s="6" t="s">
        <v>44</v>
      </c>
      <c r="D1016" s="6" t="s">
        <v>114</v>
      </c>
      <c r="E1016" s="6" t="n">
        <v>16</v>
      </c>
      <c r="F1016" s="6" t="n">
        <v>8</v>
      </c>
      <c r="G1016" s="6" t="s">
        <v>1148</v>
      </c>
    </row>
    <row r="1017" customFormat="false" ht="15" hidden="false" customHeight="false" outlineLevel="0" collapsed="false">
      <c r="A1017" s="6" t="s">
        <v>62</v>
      </c>
      <c r="B1017" s="6" t="s">
        <v>63</v>
      </c>
      <c r="C1017" s="6" t="s">
        <v>44</v>
      </c>
      <c r="D1017" s="6" t="s">
        <v>114</v>
      </c>
      <c r="E1017" s="6" t="n">
        <v>16</v>
      </c>
      <c r="F1017" s="6" t="n">
        <v>8</v>
      </c>
      <c r="G1017" s="6" t="s">
        <v>1149</v>
      </c>
    </row>
    <row r="1018" customFormat="false" ht="15" hidden="false" customHeight="false" outlineLevel="0" collapsed="false">
      <c r="A1018" s="6" t="s">
        <v>62</v>
      </c>
      <c r="B1018" s="6" t="s">
        <v>63</v>
      </c>
      <c r="C1018" s="6" t="s">
        <v>44</v>
      </c>
      <c r="D1018" s="6" t="s">
        <v>114</v>
      </c>
      <c r="E1018" s="6" t="n">
        <v>16</v>
      </c>
      <c r="F1018" s="6" t="n">
        <v>8</v>
      </c>
      <c r="G1018" s="6" t="s">
        <v>1150</v>
      </c>
    </row>
    <row r="1019" customFormat="false" ht="15" hidden="false" customHeight="false" outlineLevel="0" collapsed="false">
      <c r="A1019" s="6" t="s">
        <v>62</v>
      </c>
      <c r="B1019" s="6" t="s">
        <v>63</v>
      </c>
      <c r="C1019" s="6" t="s">
        <v>44</v>
      </c>
      <c r="D1019" s="6" t="s">
        <v>114</v>
      </c>
      <c r="E1019" s="6" t="n">
        <v>16</v>
      </c>
      <c r="F1019" s="6" t="n">
        <v>8</v>
      </c>
      <c r="G1019" s="6" t="s">
        <v>1151</v>
      </c>
    </row>
    <row r="1020" customFormat="false" ht="15" hidden="false" customHeight="false" outlineLevel="0" collapsed="false">
      <c r="A1020" s="6" t="s">
        <v>62</v>
      </c>
      <c r="B1020" s="6" t="s">
        <v>63</v>
      </c>
      <c r="C1020" s="6" t="s">
        <v>44</v>
      </c>
      <c r="D1020" s="6" t="s">
        <v>114</v>
      </c>
      <c r="E1020" s="6" t="n">
        <v>16</v>
      </c>
      <c r="F1020" s="6" t="n">
        <v>8</v>
      </c>
      <c r="G1020" s="6" t="s">
        <v>1152</v>
      </c>
    </row>
    <row r="1021" customFormat="false" ht="15" hidden="false" customHeight="false" outlineLevel="0" collapsed="false">
      <c r="A1021" s="6" t="s">
        <v>62</v>
      </c>
      <c r="B1021" s="6" t="s">
        <v>63</v>
      </c>
      <c r="C1021" s="6" t="s">
        <v>44</v>
      </c>
      <c r="D1021" s="6" t="s">
        <v>114</v>
      </c>
      <c r="E1021" s="6" t="n">
        <v>16</v>
      </c>
      <c r="F1021" s="6" t="n">
        <v>8</v>
      </c>
      <c r="G1021" s="6" t="s">
        <v>1153</v>
      </c>
    </row>
    <row r="1022" customFormat="false" ht="15" hidden="false" customHeight="false" outlineLevel="0" collapsed="false">
      <c r="A1022" s="6" t="s">
        <v>62</v>
      </c>
      <c r="B1022" s="6" t="s">
        <v>63</v>
      </c>
      <c r="C1022" s="6" t="s">
        <v>44</v>
      </c>
      <c r="D1022" s="6" t="s">
        <v>114</v>
      </c>
      <c r="E1022" s="6" t="n">
        <v>16</v>
      </c>
      <c r="F1022" s="6" t="n">
        <v>8</v>
      </c>
      <c r="G1022" s="6" t="s">
        <v>1154</v>
      </c>
    </row>
    <row r="1023" customFormat="false" ht="15" hidden="false" customHeight="false" outlineLevel="0" collapsed="false">
      <c r="A1023" s="6" t="s">
        <v>62</v>
      </c>
      <c r="B1023" s="6" t="s">
        <v>63</v>
      </c>
      <c r="C1023" s="6" t="s">
        <v>44</v>
      </c>
      <c r="D1023" s="6" t="s">
        <v>114</v>
      </c>
      <c r="E1023" s="6" t="n">
        <v>16</v>
      </c>
      <c r="F1023" s="6" t="n">
        <v>8</v>
      </c>
      <c r="G1023" s="6" t="s">
        <v>1155</v>
      </c>
    </row>
    <row r="1024" customFormat="false" ht="15" hidden="false" customHeight="false" outlineLevel="0" collapsed="false">
      <c r="A1024" s="6" t="s">
        <v>62</v>
      </c>
      <c r="B1024" s="6" t="s">
        <v>63</v>
      </c>
      <c r="C1024" s="6" t="s">
        <v>44</v>
      </c>
      <c r="D1024" s="6" t="s">
        <v>114</v>
      </c>
      <c r="E1024" s="6" t="n">
        <v>16</v>
      </c>
      <c r="F1024" s="6" t="n">
        <v>8</v>
      </c>
      <c r="G1024" s="6" t="s">
        <v>1156</v>
      </c>
    </row>
    <row r="1025" customFormat="false" ht="15" hidden="false" customHeight="false" outlineLevel="0" collapsed="false">
      <c r="A1025" s="6" t="s">
        <v>62</v>
      </c>
      <c r="B1025" s="6" t="s">
        <v>63</v>
      </c>
      <c r="C1025" s="6" t="s">
        <v>44</v>
      </c>
      <c r="D1025" s="6" t="s">
        <v>114</v>
      </c>
      <c r="E1025" s="6" t="n">
        <v>16</v>
      </c>
      <c r="F1025" s="6" t="n">
        <v>8</v>
      </c>
      <c r="G1025" s="6" t="s">
        <v>1157</v>
      </c>
    </row>
    <row r="1026" customFormat="false" ht="15" hidden="false" customHeight="false" outlineLevel="0" collapsed="false">
      <c r="A1026" s="6" t="s">
        <v>62</v>
      </c>
      <c r="B1026" s="6" t="s">
        <v>63</v>
      </c>
      <c r="C1026" s="6" t="s">
        <v>44</v>
      </c>
      <c r="D1026" s="6" t="s">
        <v>114</v>
      </c>
      <c r="E1026" s="6" t="n">
        <v>16</v>
      </c>
      <c r="F1026" s="6" t="n">
        <v>8</v>
      </c>
      <c r="G1026" s="6" t="s">
        <v>1158</v>
      </c>
    </row>
    <row r="1027" customFormat="false" ht="15" hidden="false" customHeight="false" outlineLevel="0" collapsed="false">
      <c r="A1027" s="6" t="s">
        <v>62</v>
      </c>
      <c r="B1027" s="6" t="s">
        <v>63</v>
      </c>
      <c r="C1027" s="6" t="s">
        <v>44</v>
      </c>
      <c r="D1027" s="6" t="s">
        <v>114</v>
      </c>
      <c r="E1027" s="6" t="n">
        <v>16</v>
      </c>
      <c r="F1027" s="6" t="n">
        <v>8</v>
      </c>
      <c r="G1027" s="6" t="s">
        <v>1159</v>
      </c>
    </row>
    <row r="1028" customFormat="false" ht="15" hidden="false" customHeight="false" outlineLevel="0" collapsed="false">
      <c r="A1028" s="6" t="s">
        <v>62</v>
      </c>
      <c r="B1028" s="6" t="s">
        <v>63</v>
      </c>
      <c r="C1028" s="6" t="s">
        <v>44</v>
      </c>
      <c r="D1028" s="6" t="s">
        <v>114</v>
      </c>
      <c r="E1028" s="6" t="n">
        <v>16</v>
      </c>
      <c r="F1028" s="6" t="n">
        <v>8</v>
      </c>
      <c r="G1028" s="6" t="s">
        <v>1160</v>
      </c>
    </row>
    <row r="1029" customFormat="false" ht="15" hidden="false" customHeight="false" outlineLevel="0" collapsed="false">
      <c r="A1029" s="6" t="s">
        <v>62</v>
      </c>
      <c r="B1029" s="6" t="s">
        <v>63</v>
      </c>
      <c r="C1029" s="6" t="s">
        <v>44</v>
      </c>
      <c r="D1029" s="6" t="s">
        <v>114</v>
      </c>
      <c r="E1029" s="6" t="n">
        <v>16</v>
      </c>
      <c r="F1029" s="6" t="n">
        <v>8</v>
      </c>
      <c r="G1029" s="6" t="s">
        <v>1161</v>
      </c>
    </row>
    <row r="1030" customFormat="false" ht="15" hidden="false" customHeight="false" outlineLevel="0" collapsed="false">
      <c r="A1030" s="6" t="s">
        <v>62</v>
      </c>
      <c r="B1030" s="6" t="s">
        <v>63</v>
      </c>
      <c r="C1030" s="6" t="s">
        <v>44</v>
      </c>
      <c r="D1030" s="6" t="s">
        <v>114</v>
      </c>
      <c r="E1030" s="6" t="n">
        <v>16</v>
      </c>
      <c r="F1030" s="6" t="n">
        <v>9</v>
      </c>
      <c r="G1030" s="6" t="s">
        <v>1162</v>
      </c>
    </row>
    <row r="1031" customFormat="false" ht="15" hidden="false" customHeight="false" outlineLevel="0" collapsed="false">
      <c r="A1031" s="6" t="s">
        <v>62</v>
      </c>
      <c r="B1031" s="6" t="s">
        <v>63</v>
      </c>
      <c r="C1031" s="6" t="s">
        <v>44</v>
      </c>
      <c r="D1031" s="6" t="s">
        <v>114</v>
      </c>
      <c r="E1031" s="6" t="n">
        <v>16</v>
      </c>
      <c r="F1031" s="6" t="n">
        <v>9</v>
      </c>
      <c r="G1031" s="6" t="s">
        <v>1163</v>
      </c>
    </row>
    <row r="1032" customFormat="false" ht="15" hidden="false" customHeight="false" outlineLevel="0" collapsed="false">
      <c r="A1032" s="6" t="s">
        <v>62</v>
      </c>
      <c r="B1032" s="6" t="s">
        <v>63</v>
      </c>
      <c r="C1032" s="6" t="s">
        <v>44</v>
      </c>
      <c r="D1032" s="6" t="s">
        <v>114</v>
      </c>
      <c r="E1032" s="6" t="n">
        <v>16</v>
      </c>
      <c r="F1032" s="6" t="n">
        <v>9</v>
      </c>
      <c r="G1032" s="6" t="s">
        <v>1164</v>
      </c>
    </row>
    <row r="1033" customFormat="false" ht="15" hidden="false" customHeight="false" outlineLevel="0" collapsed="false">
      <c r="A1033" s="6" t="s">
        <v>62</v>
      </c>
      <c r="B1033" s="6" t="s">
        <v>63</v>
      </c>
      <c r="C1033" s="6" t="s">
        <v>44</v>
      </c>
      <c r="D1033" s="6" t="s">
        <v>114</v>
      </c>
      <c r="E1033" s="6" t="n">
        <v>16</v>
      </c>
      <c r="F1033" s="6" t="n">
        <v>9</v>
      </c>
      <c r="G1033" s="6" t="s">
        <v>1165</v>
      </c>
    </row>
    <row r="1034" customFormat="false" ht="15" hidden="false" customHeight="false" outlineLevel="0" collapsed="false">
      <c r="A1034" s="6" t="s">
        <v>62</v>
      </c>
      <c r="B1034" s="6" t="s">
        <v>63</v>
      </c>
      <c r="C1034" s="6" t="s">
        <v>44</v>
      </c>
      <c r="D1034" s="6" t="s">
        <v>114</v>
      </c>
      <c r="E1034" s="6" t="n">
        <v>16</v>
      </c>
      <c r="F1034" s="6" t="n">
        <v>9</v>
      </c>
      <c r="G1034" s="6" t="s">
        <v>1166</v>
      </c>
    </row>
    <row r="1035" customFormat="false" ht="15" hidden="false" customHeight="false" outlineLevel="0" collapsed="false">
      <c r="A1035" s="6" t="s">
        <v>62</v>
      </c>
      <c r="B1035" s="6" t="s">
        <v>63</v>
      </c>
      <c r="C1035" s="6" t="s">
        <v>44</v>
      </c>
      <c r="D1035" s="6" t="s">
        <v>114</v>
      </c>
      <c r="E1035" s="6" t="n">
        <v>16</v>
      </c>
      <c r="F1035" s="6" t="n">
        <v>9</v>
      </c>
      <c r="G1035" s="6" t="s">
        <v>1167</v>
      </c>
    </row>
    <row r="1036" customFormat="false" ht="15" hidden="false" customHeight="false" outlineLevel="0" collapsed="false">
      <c r="A1036" s="6" t="s">
        <v>62</v>
      </c>
      <c r="B1036" s="6" t="s">
        <v>63</v>
      </c>
      <c r="C1036" s="6" t="s">
        <v>44</v>
      </c>
      <c r="D1036" s="6" t="s">
        <v>114</v>
      </c>
      <c r="E1036" s="6" t="n">
        <v>16</v>
      </c>
      <c r="F1036" s="6" t="n">
        <v>9</v>
      </c>
      <c r="G1036" s="6" t="s">
        <v>1168</v>
      </c>
    </row>
    <row r="1037" customFormat="false" ht="15" hidden="false" customHeight="false" outlineLevel="0" collapsed="false">
      <c r="A1037" s="6" t="s">
        <v>62</v>
      </c>
      <c r="B1037" s="6" t="s">
        <v>63</v>
      </c>
      <c r="C1037" s="6" t="s">
        <v>44</v>
      </c>
      <c r="D1037" s="6" t="s">
        <v>114</v>
      </c>
      <c r="E1037" s="6" t="n">
        <v>16</v>
      </c>
      <c r="F1037" s="6" t="n">
        <v>9</v>
      </c>
      <c r="G1037" s="6" t="s">
        <v>1169</v>
      </c>
    </row>
    <row r="1038" customFormat="false" ht="15" hidden="false" customHeight="false" outlineLevel="0" collapsed="false">
      <c r="A1038" s="6" t="s">
        <v>62</v>
      </c>
      <c r="B1038" s="6" t="s">
        <v>63</v>
      </c>
      <c r="C1038" s="6" t="s">
        <v>44</v>
      </c>
      <c r="D1038" s="6" t="s">
        <v>114</v>
      </c>
      <c r="E1038" s="6" t="n">
        <v>16</v>
      </c>
      <c r="F1038" s="6" t="n">
        <v>9</v>
      </c>
      <c r="G1038" s="6" t="s">
        <v>1170</v>
      </c>
    </row>
    <row r="1039" customFormat="false" ht="15" hidden="false" customHeight="false" outlineLevel="0" collapsed="false">
      <c r="A1039" s="6" t="s">
        <v>62</v>
      </c>
      <c r="B1039" s="6" t="s">
        <v>63</v>
      </c>
      <c r="C1039" s="6" t="s">
        <v>44</v>
      </c>
      <c r="D1039" s="6" t="s">
        <v>114</v>
      </c>
      <c r="E1039" s="6" t="n">
        <v>16</v>
      </c>
      <c r="F1039" s="6" t="n">
        <v>9</v>
      </c>
      <c r="G1039" s="6" t="s">
        <v>1171</v>
      </c>
    </row>
    <row r="1040" customFormat="false" ht="15" hidden="false" customHeight="false" outlineLevel="0" collapsed="false">
      <c r="A1040" s="6" t="s">
        <v>62</v>
      </c>
      <c r="B1040" s="6" t="s">
        <v>63</v>
      </c>
      <c r="C1040" s="6" t="s">
        <v>44</v>
      </c>
      <c r="D1040" s="6" t="s">
        <v>114</v>
      </c>
      <c r="E1040" s="6" t="n">
        <v>16</v>
      </c>
      <c r="F1040" s="6" t="n">
        <v>9</v>
      </c>
      <c r="G1040" s="6" t="s">
        <v>1172</v>
      </c>
    </row>
    <row r="1041" customFormat="false" ht="15" hidden="false" customHeight="false" outlineLevel="0" collapsed="false">
      <c r="A1041" s="6" t="s">
        <v>62</v>
      </c>
      <c r="B1041" s="6" t="s">
        <v>63</v>
      </c>
      <c r="C1041" s="6" t="s">
        <v>44</v>
      </c>
      <c r="D1041" s="6" t="s">
        <v>114</v>
      </c>
      <c r="E1041" s="6" t="n">
        <v>16</v>
      </c>
      <c r="F1041" s="6" t="n">
        <v>9</v>
      </c>
      <c r="G1041" s="6" t="s">
        <v>1173</v>
      </c>
    </row>
    <row r="1042" customFormat="false" ht="15" hidden="false" customHeight="false" outlineLevel="0" collapsed="false">
      <c r="A1042" s="6" t="s">
        <v>62</v>
      </c>
      <c r="B1042" s="6" t="s">
        <v>63</v>
      </c>
      <c r="C1042" s="6" t="s">
        <v>44</v>
      </c>
      <c r="D1042" s="6" t="s">
        <v>114</v>
      </c>
      <c r="E1042" s="6" t="n">
        <v>16</v>
      </c>
      <c r="F1042" s="6" t="n">
        <v>9</v>
      </c>
      <c r="G1042" s="6" t="s">
        <v>1174</v>
      </c>
    </row>
    <row r="1043" customFormat="false" ht="15" hidden="false" customHeight="false" outlineLevel="0" collapsed="false">
      <c r="A1043" s="6" t="s">
        <v>62</v>
      </c>
      <c r="B1043" s="6" t="s">
        <v>63</v>
      </c>
      <c r="C1043" s="6" t="s">
        <v>44</v>
      </c>
      <c r="D1043" s="6" t="s">
        <v>114</v>
      </c>
      <c r="E1043" s="6" t="n">
        <v>16</v>
      </c>
      <c r="F1043" s="6" t="n">
        <v>9</v>
      </c>
      <c r="G1043" s="6" t="s">
        <v>1175</v>
      </c>
    </row>
    <row r="1044" customFormat="false" ht="15" hidden="false" customHeight="false" outlineLevel="0" collapsed="false">
      <c r="A1044" s="6" t="s">
        <v>62</v>
      </c>
      <c r="B1044" s="6" t="s">
        <v>63</v>
      </c>
      <c r="C1044" s="6" t="s">
        <v>44</v>
      </c>
      <c r="D1044" s="6" t="s">
        <v>114</v>
      </c>
      <c r="E1044" s="6" t="n">
        <v>16</v>
      </c>
      <c r="F1044" s="6" t="n">
        <v>9</v>
      </c>
      <c r="G1044" s="6" t="s">
        <v>1176</v>
      </c>
    </row>
    <row r="1045" customFormat="false" ht="15" hidden="false" customHeight="false" outlineLevel="0" collapsed="false">
      <c r="A1045" s="6" t="s">
        <v>62</v>
      </c>
      <c r="B1045" s="6" t="s">
        <v>63</v>
      </c>
      <c r="C1045" s="6" t="s">
        <v>44</v>
      </c>
      <c r="D1045" s="6" t="s">
        <v>114</v>
      </c>
      <c r="E1045" s="6" t="n">
        <v>16</v>
      </c>
      <c r="F1045" s="6" t="n">
        <v>9</v>
      </c>
      <c r="G1045" s="6" t="s">
        <v>1177</v>
      </c>
    </row>
    <row r="1046" customFormat="false" ht="15" hidden="false" customHeight="false" outlineLevel="0" collapsed="false">
      <c r="A1046" s="6" t="s">
        <v>62</v>
      </c>
      <c r="B1046" s="6" t="s">
        <v>63</v>
      </c>
      <c r="C1046" s="6" t="s">
        <v>44</v>
      </c>
      <c r="D1046" s="6" t="s">
        <v>114</v>
      </c>
      <c r="E1046" s="6" t="n">
        <v>16</v>
      </c>
      <c r="F1046" s="6" t="n">
        <v>10</v>
      </c>
      <c r="G1046" s="6" t="s">
        <v>1178</v>
      </c>
    </row>
    <row r="1047" customFormat="false" ht="15" hidden="false" customHeight="false" outlineLevel="0" collapsed="false">
      <c r="A1047" s="6" t="s">
        <v>62</v>
      </c>
      <c r="B1047" s="6" t="s">
        <v>63</v>
      </c>
      <c r="C1047" s="6" t="s">
        <v>44</v>
      </c>
      <c r="D1047" s="6" t="s">
        <v>114</v>
      </c>
      <c r="E1047" s="6" t="n">
        <v>16</v>
      </c>
      <c r="F1047" s="6" t="n">
        <v>10</v>
      </c>
      <c r="G1047" s="6" t="s">
        <v>1179</v>
      </c>
    </row>
    <row r="1048" customFormat="false" ht="15" hidden="false" customHeight="false" outlineLevel="0" collapsed="false">
      <c r="A1048" s="6" t="s">
        <v>62</v>
      </c>
      <c r="B1048" s="6" t="s">
        <v>63</v>
      </c>
      <c r="C1048" s="6" t="s">
        <v>44</v>
      </c>
      <c r="D1048" s="6" t="s">
        <v>114</v>
      </c>
      <c r="E1048" s="6" t="n">
        <v>16</v>
      </c>
      <c r="F1048" s="6" t="n">
        <v>10</v>
      </c>
      <c r="G1048" s="6" t="s">
        <v>1180</v>
      </c>
    </row>
    <row r="1049" customFormat="false" ht="15" hidden="false" customHeight="false" outlineLevel="0" collapsed="false">
      <c r="A1049" s="6" t="s">
        <v>62</v>
      </c>
      <c r="B1049" s="6" t="s">
        <v>63</v>
      </c>
      <c r="C1049" s="6" t="s">
        <v>44</v>
      </c>
      <c r="D1049" s="6" t="s">
        <v>114</v>
      </c>
      <c r="E1049" s="6" t="n">
        <v>16</v>
      </c>
      <c r="F1049" s="6" t="n">
        <v>10</v>
      </c>
      <c r="G1049" s="6" t="s">
        <v>1181</v>
      </c>
    </row>
    <row r="1050" customFormat="false" ht="15" hidden="false" customHeight="false" outlineLevel="0" collapsed="false">
      <c r="A1050" s="6" t="s">
        <v>62</v>
      </c>
      <c r="B1050" s="6" t="s">
        <v>63</v>
      </c>
      <c r="C1050" s="6" t="s">
        <v>44</v>
      </c>
      <c r="D1050" s="6" t="s">
        <v>114</v>
      </c>
      <c r="E1050" s="6" t="n">
        <v>16</v>
      </c>
      <c r="F1050" s="6" t="n">
        <v>10</v>
      </c>
      <c r="G1050" s="6" t="s">
        <v>1182</v>
      </c>
    </row>
    <row r="1051" customFormat="false" ht="15" hidden="false" customHeight="false" outlineLevel="0" collapsed="false">
      <c r="A1051" s="6" t="s">
        <v>62</v>
      </c>
      <c r="B1051" s="6" t="s">
        <v>63</v>
      </c>
      <c r="C1051" s="6" t="s">
        <v>44</v>
      </c>
      <c r="D1051" s="6" t="s">
        <v>114</v>
      </c>
      <c r="E1051" s="6" t="n">
        <v>16</v>
      </c>
      <c r="F1051" s="6" t="n">
        <v>10</v>
      </c>
      <c r="G1051" s="6" t="s">
        <v>1183</v>
      </c>
    </row>
    <row r="1052" customFormat="false" ht="15" hidden="false" customHeight="false" outlineLevel="0" collapsed="false">
      <c r="A1052" s="6" t="s">
        <v>62</v>
      </c>
      <c r="B1052" s="6" t="s">
        <v>63</v>
      </c>
      <c r="C1052" s="6" t="s">
        <v>44</v>
      </c>
      <c r="D1052" s="6" t="s">
        <v>114</v>
      </c>
      <c r="E1052" s="6" t="n">
        <v>16</v>
      </c>
      <c r="F1052" s="6" t="n">
        <v>10</v>
      </c>
      <c r="G1052" s="6" t="s">
        <v>1184</v>
      </c>
    </row>
    <row r="1053" customFormat="false" ht="15" hidden="false" customHeight="false" outlineLevel="0" collapsed="false">
      <c r="A1053" s="6" t="s">
        <v>62</v>
      </c>
      <c r="B1053" s="6" t="s">
        <v>63</v>
      </c>
      <c r="C1053" s="6" t="s">
        <v>44</v>
      </c>
      <c r="D1053" s="6" t="s">
        <v>114</v>
      </c>
      <c r="E1053" s="6" t="n">
        <v>16</v>
      </c>
      <c r="F1053" s="6" t="n">
        <v>10</v>
      </c>
      <c r="G1053" s="6" t="s">
        <v>1185</v>
      </c>
    </row>
    <row r="1054" customFormat="false" ht="15" hidden="false" customHeight="false" outlineLevel="0" collapsed="false">
      <c r="A1054" s="6" t="s">
        <v>62</v>
      </c>
      <c r="B1054" s="6" t="s">
        <v>63</v>
      </c>
      <c r="C1054" s="6" t="s">
        <v>44</v>
      </c>
      <c r="D1054" s="6" t="s">
        <v>114</v>
      </c>
      <c r="E1054" s="6" t="n">
        <v>16</v>
      </c>
      <c r="F1054" s="6" t="n">
        <v>10</v>
      </c>
      <c r="G1054" s="6" t="s">
        <v>1186</v>
      </c>
    </row>
    <row r="1055" customFormat="false" ht="15" hidden="false" customHeight="false" outlineLevel="0" collapsed="false">
      <c r="A1055" s="6" t="s">
        <v>62</v>
      </c>
      <c r="B1055" s="6" t="s">
        <v>63</v>
      </c>
      <c r="C1055" s="6" t="s">
        <v>44</v>
      </c>
      <c r="D1055" s="6" t="s">
        <v>114</v>
      </c>
      <c r="E1055" s="6" t="n">
        <v>16</v>
      </c>
      <c r="F1055" s="6" t="n">
        <v>10</v>
      </c>
      <c r="G1055" s="6" t="s">
        <v>1187</v>
      </c>
    </row>
    <row r="1056" customFormat="false" ht="15" hidden="false" customHeight="false" outlineLevel="0" collapsed="false">
      <c r="A1056" s="6" t="s">
        <v>62</v>
      </c>
      <c r="B1056" s="6" t="s">
        <v>63</v>
      </c>
      <c r="C1056" s="6" t="s">
        <v>44</v>
      </c>
      <c r="D1056" s="6" t="s">
        <v>114</v>
      </c>
      <c r="E1056" s="6" t="n">
        <v>16</v>
      </c>
      <c r="F1056" s="6" t="n">
        <v>10</v>
      </c>
      <c r="G1056" s="6" t="s">
        <v>1188</v>
      </c>
    </row>
    <row r="1057" customFormat="false" ht="15" hidden="false" customHeight="false" outlineLevel="0" collapsed="false">
      <c r="A1057" s="6" t="s">
        <v>62</v>
      </c>
      <c r="B1057" s="6" t="s">
        <v>63</v>
      </c>
      <c r="C1057" s="6" t="s">
        <v>44</v>
      </c>
      <c r="D1057" s="6" t="s">
        <v>114</v>
      </c>
      <c r="E1057" s="6" t="n">
        <v>16</v>
      </c>
      <c r="F1057" s="6" t="n">
        <v>10</v>
      </c>
      <c r="G1057" s="6" t="s">
        <v>1189</v>
      </c>
    </row>
    <row r="1058" customFormat="false" ht="15" hidden="false" customHeight="false" outlineLevel="0" collapsed="false">
      <c r="A1058" s="6" t="s">
        <v>62</v>
      </c>
      <c r="B1058" s="6" t="s">
        <v>63</v>
      </c>
      <c r="C1058" s="6" t="s">
        <v>44</v>
      </c>
      <c r="D1058" s="6" t="s">
        <v>114</v>
      </c>
      <c r="E1058" s="6" t="n">
        <v>16</v>
      </c>
      <c r="F1058" s="6" t="n">
        <v>10</v>
      </c>
      <c r="G1058" s="6" t="s">
        <v>1190</v>
      </c>
    </row>
    <row r="1059" customFormat="false" ht="15" hidden="false" customHeight="false" outlineLevel="0" collapsed="false">
      <c r="A1059" s="6" t="s">
        <v>62</v>
      </c>
      <c r="B1059" s="6" t="s">
        <v>63</v>
      </c>
      <c r="C1059" s="6" t="s">
        <v>44</v>
      </c>
      <c r="D1059" s="6" t="s">
        <v>114</v>
      </c>
      <c r="E1059" s="6" t="n">
        <v>16</v>
      </c>
      <c r="F1059" s="6" t="n">
        <v>10</v>
      </c>
      <c r="G1059" s="6" t="s">
        <v>1191</v>
      </c>
    </row>
    <row r="1060" customFormat="false" ht="15" hidden="false" customHeight="false" outlineLevel="0" collapsed="false">
      <c r="A1060" s="6" t="s">
        <v>62</v>
      </c>
      <c r="B1060" s="6" t="s">
        <v>63</v>
      </c>
      <c r="C1060" s="6" t="s">
        <v>44</v>
      </c>
      <c r="D1060" s="6" t="s">
        <v>114</v>
      </c>
      <c r="E1060" s="6" t="n">
        <v>16</v>
      </c>
      <c r="F1060" s="6" t="n">
        <v>10</v>
      </c>
      <c r="G1060" s="6" t="s">
        <v>1192</v>
      </c>
    </row>
    <row r="1061" customFormat="false" ht="15" hidden="false" customHeight="false" outlineLevel="0" collapsed="false">
      <c r="A1061" s="6" t="s">
        <v>62</v>
      </c>
      <c r="B1061" s="6" t="s">
        <v>63</v>
      </c>
      <c r="C1061" s="6" t="s">
        <v>44</v>
      </c>
      <c r="D1061" s="6" t="s">
        <v>114</v>
      </c>
      <c r="E1061" s="6" t="n">
        <v>16</v>
      </c>
      <c r="F1061" s="6" t="n">
        <v>10</v>
      </c>
      <c r="G1061" s="6" t="s">
        <v>1193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2026-10-29T13:40:56Z</dcterms:created>
  <dc:creator>openpyxl</dc:creator>
  <dc:description/>
  <dc:language>en-US</dc:language>
  <cp:lastModifiedBy/>
  <dcterms:modified xsi:type="dcterms:W3CDTF">2026-10-29T13:40:57Z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